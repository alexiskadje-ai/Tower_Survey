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FECE19-6A11-403B-9FE6-4BA83D73309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01_Power_Audit" sheetId="1" r:id="rId1"/>
    <sheet name="02_Site_Infra" sheetId="2" r:id="rId2"/>
  </sheets>
  <definedNames>
    <definedName name="_xlnm._FilterDatabase" localSheetId="0" hidden="1">'01_Power_Audit'!$A$1:$C$77</definedName>
    <definedName name="_xlnm._FilterDatabase" localSheetId="1" hidden="1">'02_Site_Infra'!$A$1:$C$74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1" i="1" l="1"/>
  <c r="B32" i="1" s="1"/>
</calcChain>
</file>

<file path=xl/sharedStrings.xml><?xml version="1.0" encoding="utf-8"?>
<sst xmlns="http://schemas.openxmlformats.org/spreadsheetml/2006/main" count="283" uniqueCount="164">
  <si>
    <t>IHS CAMEROON – SITE AUDIT DATA COLLECTION | POWER &amp; ENERGY</t>
  </si>
  <si>
    <t>A. SITE IDENTIFICATION</t>
  </si>
  <si>
    <t>IHS Site ID</t>
  </si>
  <si>
    <t>Enter / select value</t>
  </si>
  <si>
    <t>Site ID / Reference</t>
  </si>
  <si>
    <t>Region / State</t>
  </si>
  <si>
    <t>SBC / Vendor</t>
  </si>
  <si>
    <t>Audit Date</t>
  </si>
  <si>
    <t>Auditor Name(s)</t>
  </si>
  <si>
    <t>Number of Tenants</t>
  </si>
  <si>
    <t>B. GENERATOR – MAIN DATA</t>
  </si>
  <si>
    <t>Generator 1 – Type</t>
  </si>
  <si>
    <t>Generator 1 – Brand / Make</t>
  </si>
  <si>
    <t>Generator 1 – Capacity</t>
  </si>
  <si>
    <t>kVA</t>
  </si>
  <si>
    <t>Generator 1 – Rated Power Factor</t>
  </si>
  <si>
    <t>PF (e.g. 0.8)</t>
  </si>
  <si>
    <t>Generator 1 – Running Hours</t>
  </si>
  <si>
    <t>h</t>
  </si>
  <si>
    <t>Generator 1 – Condition</t>
  </si>
  <si>
    <t>Good / Fair / Poor</t>
  </si>
  <si>
    <t>Generator 1 – Current Load</t>
  </si>
  <si>
    <t>A</t>
  </si>
  <si>
    <t>Generator 1 – Measured/Estimated Load</t>
  </si>
  <si>
    <t>Measured or estimated</t>
  </si>
  <si>
    <t>Generator 2 – Type</t>
  </si>
  <si>
    <t>Generator 2 – Brand / Make</t>
  </si>
  <si>
    <t>Generator 2 – Capacity</t>
  </si>
  <si>
    <t>Generator 2 – Rated Power Factor</t>
  </si>
  <si>
    <t>PF</t>
  </si>
  <si>
    <t>Generator 2 – Running Hours</t>
  </si>
  <si>
    <t>Generator 2 – Condition</t>
  </si>
  <si>
    <t>C. SITE LOAD CALCULATION</t>
  </si>
  <si>
    <t>Measured Site Load</t>
  </si>
  <si>
    <t>kW</t>
  </si>
  <si>
    <t>Generator Rated Capacity</t>
  </si>
  <si>
    <t>Generator Power Factor Used</t>
  </si>
  <si>
    <t>Generator Rated Power</t>
  </si>
  <si>
    <t>Generator Utilization / Loading</t>
  </si>
  <si>
    <t>%</t>
  </si>
  <si>
    <t>Site Load Source</t>
  </si>
  <si>
    <t>Controller / Meter / Calculation</t>
  </si>
  <si>
    <t>Site Categorization</t>
  </si>
  <si>
    <t>Load Comments</t>
  </si>
  <si>
    <t>D. RECTIFIER / DC POWER</t>
  </si>
  <si>
    <t>Rectifier Brand / Make</t>
  </si>
  <si>
    <t>Module Rating</t>
  </si>
  <si>
    <t>Number of Slots Available</t>
  </si>
  <si>
    <t>Number of Slots Used</t>
  </si>
  <si>
    <t>Rectifier Rated Capacity</t>
  </si>
  <si>
    <t>Rectifier Used Power</t>
  </si>
  <si>
    <t>Extra DC-DC / AC-DC Slot Available</t>
  </si>
  <si>
    <t>Yes / No</t>
  </si>
  <si>
    <t>Upgrade Recommendation</t>
  </si>
  <si>
    <t>E. BATTERY</t>
  </si>
  <si>
    <t>Battery Type</t>
  </si>
  <si>
    <t>Battery Brand / Make</t>
  </si>
  <si>
    <t>Number of Battery Blocks</t>
  </si>
  <si>
    <t>Capacity per Block</t>
  </si>
  <si>
    <t>Ah</t>
  </si>
  <si>
    <t>Total Installed Capacity</t>
  </si>
  <si>
    <t>Battery Autonomy</t>
  </si>
  <si>
    <t>Charging Coefficient</t>
  </si>
  <si>
    <t>Battery Condition</t>
  </si>
  <si>
    <t>F. SOLAR</t>
  </si>
  <si>
    <t>PV Available</t>
  </si>
  <si>
    <t>PV Brand / Make</t>
  </si>
  <si>
    <t>PV Quantity</t>
  </si>
  <si>
    <t>PV Module Capacity</t>
  </si>
  <si>
    <t>Wp</t>
  </si>
  <si>
    <t>Total Installed PV Capacity</t>
  </si>
  <si>
    <t>kWp</t>
  </si>
  <si>
    <t>Solar Charger Brand / Make</t>
  </si>
  <si>
    <t>Solar Charger Current</t>
  </si>
  <si>
    <t>Solar Charger Voltage</t>
  </si>
  <si>
    <t>V</t>
  </si>
  <si>
    <t>Solar Panel Condition</t>
  </si>
  <si>
    <t>Recommended PV Size</t>
  </si>
  <si>
    <t>Recommended Battery Addition</t>
  </si>
  <si>
    <t>kWh / Ah</t>
  </si>
  <si>
    <t>Solar Feasibility Rating</t>
  </si>
  <si>
    <t>High / Medium / Low / Not Feasible</t>
  </si>
  <si>
    <t>Solar Comments</t>
  </si>
  <si>
    <t>G. FUNCTIONAL CHECKS &amp; PHOTOS</t>
  </si>
  <si>
    <t>Mains–DG–Battery Changeover</t>
  </si>
  <si>
    <t>Pass / Fail</t>
  </si>
  <si>
    <t>Alarm Reporting to NOC</t>
  </si>
  <si>
    <t>Earthing / Lightning Protection</t>
  </si>
  <si>
    <t>DC / AC Distribution Board</t>
  </si>
  <si>
    <t>Overall Power Chain</t>
  </si>
  <si>
    <t>Functional / Partial / Non-Functional</t>
  </si>
  <si>
    <t>Before/After Photos Captured</t>
  </si>
  <si>
    <t>Open Follow-Up Item</t>
  </si>
  <si>
    <t>Follow-Up Comments</t>
  </si>
  <si>
    <t>IHS CAMEROON – SITE AUDIT DATA COLLECTION | SITE INFRASTRUCTURE</t>
  </si>
  <si>
    <t>B. SHELTER / COOLING</t>
  </si>
  <si>
    <t>Number of Shelters</t>
  </si>
  <si>
    <t>Shelter Type</t>
  </si>
  <si>
    <t>Shelter Condition</t>
  </si>
  <si>
    <t>Number of AC Units</t>
  </si>
  <si>
    <t>AC Capacity</t>
  </si>
  <si>
    <t>HP</t>
  </si>
  <si>
    <t>AC Type</t>
  </si>
  <si>
    <t>Cooling Unit Brand / Make</t>
  </si>
  <si>
    <t>Cooling Unit Condition</t>
  </si>
  <si>
    <t>Shelter Temperature</t>
  </si>
  <si>
    <t>°C</t>
  </si>
  <si>
    <t>Heat Extractor</t>
  </si>
  <si>
    <t>Cooling Upgrade Recommendation</t>
  </si>
  <si>
    <t>C. ATS / DIESEL TANK</t>
  </si>
  <si>
    <t>ATS Available</t>
  </si>
  <si>
    <t>ATS Capacity</t>
  </si>
  <si>
    <t>ATS Brand / Make</t>
  </si>
  <si>
    <t>ATS Condition</t>
  </si>
  <si>
    <t>Diesel Tank Capacity</t>
  </si>
  <si>
    <t>Litres</t>
  </si>
  <si>
    <t>Tank Type</t>
  </si>
  <si>
    <t>Tank Shape</t>
  </si>
  <si>
    <t>Tank Condition</t>
  </si>
  <si>
    <t>Water Separator Available</t>
  </si>
  <si>
    <t>Water Separator Condition</t>
  </si>
  <si>
    <t>D. GRID / GAS / GENERATOR FEASIBILITY</t>
  </si>
  <si>
    <t>Grid Connected</t>
  </si>
  <si>
    <t>Grid Connection Type</t>
  </si>
  <si>
    <t>Pipeline Owner</t>
  </si>
  <si>
    <t>Pipeline Accessibility</t>
  </si>
  <si>
    <t>Accessible / Not Accessible</t>
  </si>
  <si>
    <t>Gas Pressure Available</t>
  </si>
  <si>
    <t>Gas Type</t>
  </si>
  <si>
    <t>Generator Type</t>
  </si>
  <si>
    <t>Existing Generator Capacity</t>
  </si>
  <si>
    <t>Gas Generator Feasible</t>
  </si>
  <si>
    <t>Infrastructure Requirements</t>
  </si>
  <si>
    <t>Safety Constraints</t>
  </si>
  <si>
    <t>Regulatory Constraints</t>
  </si>
  <si>
    <t>Overall Feasibility Rating</t>
  </si>
  <si>
    <t>Comments</t>
  </si>
  <si>
    <t>E. SITE SPACE / SOLAR FEASIBILITY</t>
  </si>
  <si>
    <t>Available Space for Solar</t>
  </si>
  <si>
    <t>Space Type</t>
  </si>
  <si>
    <t>Roof / Ground / Tower Compound</t>
  </si>
  <si>
    <t>Shading Assessment</t>
  </si>
  <si>
    <t>None / Partial / Significant</t>
  </si>
  <si>
    <t>Structural Load Suitability</t>
  </si>
  <si>
    <t>Suitable / Review Required / Not Suitable</t>
  </si>
  <si>
    <t>Existing Load Profile Reviewed</t>
  </si>
  <si>
    <t>Estimated DG Run-Hour Reduction</t>
  </si>
  <si>
    <t>Overall Solar Rating</t>
  </si>
  <si>
    <t>F. MINOR FIX / CLOSURE</t>
  </si>
  <si>
    <t>Breaker / MCB Fault Identified</t>
  </si>
  <si>
    <t>Replacement Required</t>
  </si>
  <si>
    <t>Free-Issued by IHS</t>
  </si>
  <si>
    <t>Replacement Completed</t>
  </si>
  <si>
    <t>Rectifier Module Fault Identified</t>
  </si>
  <si>
    <t>Rectifier Replacement Required</t>
  </si>
  <si>
    <t>Rectifier Free-Issued by IHS</t>
  </si>
  <si>
    <t>Rectifier Replacement Completed</t>
  </si>
  <si>
    <t>Other Minor Fix Description</t>
  </si>
  <si>
    <t>Free-Issue Material Required</t>
  </si>
  <si>
    <t>Other Fix Completed</t>
  </si>
  <si>
    <t>Date Completed</t>
  </si>
  <si>
    <t>Before / After Photos</t>
  </si>
  <si>
    <t>Open Follow-Up Required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</si>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</sst>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7"/>
  <sheetViews>
    <sheetView showGridLines="0" tabSelected="1" view="pageBreakPreview" zoomScale="115" zoomScaleNormal="100" zoomScaleSheetLayoutView="115" workbookViewId="0">
      <pane ySplit="2" topLeftCell="A3" activePane="bottomLeft" state="frozen"/>
      <selection pane="bottomLeft" activeCell="A12" sqref="A12:C12"/>
    </sheetView>
  </sheetViews>
  <sheetFormatPr baseColWidth="10" defaultColWidth="9.140625" defaultRowHeight="15" x14ac:dyDescent="0.25"/>
  <cols>
    <col min="1" max="1" width="38" customWidth="1"/>
    <col min="2" max="2" width="28" customWidth="1"/>
    <col min="3" max="3" width="52" customWidth="1"/>
  </cols>
  <sheetData>
    <row r="1" spans="1:3" ht="27.95" customHeight="1" x14ac:dyDescent="0.25">
      <c r="A1" s="7" t="s">
        <v>0</v>
      </c>
      <c r="B1" s="6"/>
      <c r="C1" s="6"/>
    </row>
    <row r="3" spans="1:3" x14ac:dyDescent="0.25">
      <c r="A3" s="5" t="s">
        <v>1</v>
      </c>
      <c r="B3" s="6"/>
      <c r="C3" s="6"/>
    </row>
    <row r="4" spans="1:3" x14ac:dyDescent="0.25">
      <c r="A4" s="1" t="s">
        <v>2</v>
      </c>
      <c r="B4" s="2"/>
      <c r="C4" s="3" t="s">
        <v>3</v>
      </c>
    </row>
    <row r="5" spans="1:3" x14ac:dyDescent="0.25">
      <c r="A5" s="1" t="s">
        <v>163</v>
      </c>
      <c r="B5" s="2"/>
      <c r="C5" s="3" t="s">
        <v>3</v>
      </c>
    </row>
    <row r="6" spans="1:3" x14ac:dyDescent="0.25">
      <c r="A6" s="1" t="s">
        <v>4</v>
      </c>
      <c r="B6" s="2"/>
      <c r="C6" s="3" t="s">
        <v>3</v>
      </c>
    </row>
    <row r="7" spans="1:3" x14ac:dyDescent="0.25">
      <c r="A7" s="1" t="s">
        <v>5</v>
      </c>
      <c r="B7" s="2"/>
      <c r="C7" s="3" t="s">
        <v>3</v>
      </c>
    </row>
    <row r="8" spans="1:3" x14ac:dyDescent="0.25">
      <c r="A8" s="1" t="s">
        <v>6</v>
      </c>
      <c r="B8" s="2"/>
      <c r="C8" s="3" t="s">
        <v>3</v>
      </c>
    </row>
    <row r="9" spans="1:3" x14ac:dyDescent="0.25">
      <c r="A9" s="1" t="s">
        <v>7</v>
      </c>
      <c r="B9" s="2"/>
      <c r="C9" s="3" t="s">
        <v>3</v>
      </c>
    </row>
    <row r="10" spans="1:3" x14ac:dyDescent="0.25">
      <c r="A10" s="1" t="s">
        <v>8</v>
      </c>
      <c r="B10" s="2"/>
      <c r="C10" s="3" t="s">
        <v>3</v>
      </c>
    </row>
    <row r="11" spans="1:3" x14ac:dyDescent="0.25">
      <c r="A11" s="1" t="s">
        <v>9</v>
      </c>
      <c r="B11" s="2"/>
      <c r="C11" s="3" t="s">
        <v>3</v>
      </c>
    </row>
    <row r="12" spans="1:3" x14ac:dyDescent="0.25">
      <c r="A12" s="5" t="s">
        <v>10</v>
      </c>
      <c r="B12" s="6"/>
      <c r="C12" s="6"/>
    </row>
    <row r="13" spans="1:3" x14ac:dyDescent="0.25">
      <c r="A13" s="1" t="s">
        <v>11</v>
      </c>
      <c r="B13" s="2"/>
      <c r="C13" s="3" t="s">
        <v>3</v>
      </c>
    </row>
    <row r="14" spans="1:3" x14ac:dyDescent="0.25">
      <c r="A14" s="1" t="s">
        <v>12</v>
      </c>
      <c r="B14" s="2"/>
      <c r="C14" s="3" t="s">
        <v>3</v>
      </c>
    </row>
    <row r="15" spans="1:3" x14ac:dyDescent="0.25">
      <c r="A15" s="1" t="s">
        <v>13</v>
      </c>
      <c r="B15" s="2"/>
      <c r="C15" s="3" t="s">
        <v>14</v>
      </c>
    </row>
    <row r="16" spans="1:3" x14ac:dyDescent="0.25">
      <c r="A16" s="1" t="s">
        <v>15</v>
      </c>
      <c r="B16" s="2"/>
      <c r="C16" s="3" t="s">
        <v>16</v>
      </c>
    </row>
    <row r="17" spans="1:3" x14ac:dyDescent="0.25">
      <c r="A17" s="1" t="s">
        <v>17</v>
      </c>
      <c r="B17" s="2"/>
      <c r="C17" s="3" t="s">
        <v>18</v>
      </c>
    </row>
    <row r="18" spans="1:3" x14ac:dyDescent="0.25">
      <c r="A18" s="1" t="s">
        <v>19</v>
      </c>
      <c r="B18" s="2"/>
      <c r="C18" s="3" t="s">
        <v>20</v>
      </c>
    </row>
    <row r="19" spans="1:3" x14ac:dyDescent="0.25">
      <c r="A19" s="1" t="s">
        <v>21</v>
      </c>
      <c r="B19" s="2"/>
      <c r="C19" s="3" t="s">
        <v>22</v>
      </c>
    </row>
    <row r="20" spans="1:3" x14ac:dyDescent="0.25">
      <c r="A20" s="1" t="s">
        <v>23</v>
      </c>
      <c r="B20" s="2"/>
      <c r="C20" s="3" t="s">
        <v>24</v>
      </c>
    </row>
    <row r="21" spans="1:3" x14ac:dyDescent="0.25">
      <c r="A21" s="1" t="s">
        <v>25</v>
      </c>
      <c r="B21" s="2"/>
      <c r="C21" s="3" t="s">
        <v>3</v>
      </c>
    </row>
    <row r="22" spans="1:3" x14ac:dyDescent="0.25">
      <c r="A22" s="1" t="s">
        <v>26</v>
      </c>
      <c r="B22" s="2"/>
      <c r="C22" s="3" t="s">
        <v>3</v>
      </c>
    </row>
    <row r="23" spans="1:3" x14ac:dyDescent="0.25">
      <c r="A23" s="1" t="s">
        <v>27</v>
      </c>
      <c r="B23" s="2"/>
      <c r="C23" s="3" t="s">
        <v>14</v>
      </c>
    </row>
    <row r="24" spans="1:3" x14ac:dyDescent="0.25">
      <c r="A24" s="1" t="s">
        <v>28</v>
      </c>
      <c r="B24" s="2"/>
      <c r="C24" s="3" t="s">
        <v>29</v>
      </c>
    </row>
    <row r="25" spans="1:3" x14ac:dyDescent="0.25">
      <c r="A25" s="1" t="s">
        <v>30</v>
      </c>
      <c r="B25" s="2"/>
      <c r="C25" s="3" t="s">
        <v>18</v>
      </c>
    </row>
    <row r="26" spans="1:3" x14ac:dyDescent="0.25">
      <c r="A26" s="1" t="s">
        <v>31</v>
      </c>
      <c r="B26" s="2"/>
      <c r="C26" s="3" t="s">
        <v>20</v>
      </c>
    </row>
    <row r="27" spans="1:3" x14ac:dyDescent="0.25">
      <c r="A27" s="5" t="s">
        <v>32</v>
      </c>
      <c r="B27" s="6"/>
      <c r="C27" s="6"/>
    </row>
    <row r="28" spans="1:3" x14ac:dyDescent="0.25">
      <c r="A28" s="1" t="s">
        <v>33</v>
      </c>
      <c r="B28" s="2"/>
      <c r="C28" s="3" t="s">
        <v>34</v>
      </c>
    </row>
    <row r="29" spans="1:3" x14ac:dyDescent="0.25">
      <c r="A29" s="1" t="s">
        <v>35</v>
      </c>
      <c r="B29" s="2"/>
      <c r="C29" s="3" t="s">
        <v>14</v>
      </c>
    </row>
    <row r="30" spans="1:3" x14ac:dyDescent="0.25">
      <c r="A30" s="1" t="s">
        <v>36</v>
      </c>
      <c r="B30" s="2"/>
      <c r="C30" s="3" t="s">
        <v>29</v>
      </c>
    </row>
    <row r="31" spans="1:3" x14ac:dyDescent="0.25">
      <c r="A31" s="1" t="s">
        <v>37</v>
      </c>
      <c r="B31" s="2" t="str">
        <f>IF(OR(B29="",B30=""),"",B29*B30)</f>
        <v/>
      </c>
      <c r="C31" s="3" t="s">
        <v>34</v>
      </c>
    </row>
    <row r="32" spans="1:3" x14ac:dyDescent="0.25">
      <c r="A32" s="1" t="s">
        <v>38</v>
      </c>
      <c r="B32" s="4" t="str">
        <f>IFERROR(B28/B31,"")</f>
        <v/>
      </c>
      <c r="C32" s="3" t="s">
        <v>39</v>
      </c>
    </row>
    <row r="33" spans="1:3" x14ac:dyDescent="0.25">
      <c r="A33" s="1" t="s">
        <v>40</v>
      </c>
      <c r="B33" s="2"/>
      <c r="C33" s="3" t="s">
        <v>41</v>
      </c>
    </row>
    <row r="34" spans="1:3" x14ac:dyDescent="0.25">
      <c r="A34" s="1" t="s">
        <v>42</v>
      </c>
      <c r="B34" s="2"/>
      <c r="C34" s="3" t="s">
        <v>3</v>
      </c>
    </row>
    <row r="35" spans="1:3" x14ac:dyDescent="0.25">
      <c r="A35" s="1" t="s">
        <v>43</v>
      </c>
      <c r="B35" s="2"/>
      <c r="C35" s="3" t="s">
        <v>3</v>
      </c>
    </row>
    <row r="36" spans="1:3" x14ac:dyDescent="0.25">
      <c r="A36" s="5" t="s">
        <v>44</v>
      </c>
      <c r="B36" s="6"/>
      <c r="C36" s="6"/>
    </row>
    <row r="37" spans="1:3" x14ac:dyDescent="0.25">
      <c r="A37" s="1" t="s">
        <v>45</v>
      </c>
      <c r="B37" s="2"/>
      <c r="C37" s="3" t="s">
        <v>3</v>
      </c>
    </row>
    <row r="38" spans="1:3" x14ac:dyDescent="0.25">
      <c r="A38" s="1" t="s">
        <v>46</v>
      </c>
      <c r="B38" s="2"/>
      <c r="C38" s="3" t="s">
        <v>34</v>
      </c>
    </row>
    <row r="39" spans="1:3" x14ac:dyDescent="0.25">
      <c r="A39" s="1" t="s">
        <v>47</v>
      </c>
      <c r="B39" s="2"/>
      <c r="C39" s="3" t="s">
        <v>3</v>
      </c>
    </row>
    <row r="40" spans="1:3" x14ac:dyDescent="0.25">
      <c r="A40" s="1" t="s">
        <v>48</v>
      </c>
      <c r="B40" s="2"/>
      <c r="C40" s="3" t="s">
        <v>3</v>
      </c>
    </row>
    <row r="41" spans="1:3" x14ac:dyDescent="0.25">
      <c r="A41" s="1" t="s">
        <v>49</v>
      </c>
      <c r="B41" s="2"/>
      <c r="C41" s="3" t="s">
        <v>34</v>
      </c>
    </row>
    <row r="42" spans="1:3" x14ac:dyDescent="0.25">
      <c r="A42" s="1" t="s">
        <v>50</v>
      </c>
      <c r="B42" s="2"/>
      <c r="C42" s="3" t="s">
        <v>34</v>
      </c>
    </row>
    <row r="43" spans="1:3" x14ac:dyDescent="0.25">
      <c r="A43" s="1" t="s">
        <v>51</v>
      </c>
      <c r="B43" s="2"/>
      <c r="C43" s="3" t="s">
        <v>52</v>
      </c>
    </row>
    <row r="44" spans="1:3" x14ac:dyDescent="0.25">
      <c r="A44" s="1" t="s">
        <v>53</v>
      </c>
      <c r="B44" s="2"/>
      <c r="C44" s="3" t="s">
        <v>3</v>
      </c>
    </row>
    <row r="45" spans="1:3" x14ac:dyDescent="0.25">
      <c r="A45" s="5" t="s">
        <v>54</v>
      </c>
      <c r="B45" s="6"/>
      <c r="C45" s="6"/>
    </row>
    <row r="46" spans="1:3" x14ac:dyDescent="0.25">
      <c r="A46" s="1" t="s">
        <v>55</v>
      </c>
      <c r="B46" s="2"/>
      <c r="C46" s="3" t="s">
        <v>3</v>
      </c>
    </row>
    <row r="47" spans="1:3" x14ac:dyDescent="0.25">
      <c r="A47" s="1" t="s">
        <v>56</v>
      </c>
      <c r="B47" s="2"/>
      <c r="C47" s="3" t="s">
        <v>3</v>
      </c>
    </row>
    <row r="48" spans="1:3" x14ac:dyDescent="0.25">
      <c r="A48" s="1" t="s">
        <v>57</v>
      </c>
      <c r="B48" s="2"/>
      <c r="C48" s="3" t="s">
        <v>3</v>
      </c>
    </row>
    <row r="49" spans="1:3" x14ac:dyDescent="0.25">
      <c r="A49" s="1" t="s">
        <v>58</v>
      </c>
      <c r="B49" s="2"/>
      <c r="C49" s="3" t="s">
        <v>59</v>
      </c>
    </row>
    <row r="50" spans="1:3" x14ac:dyDescent="0.25">
      <c r="A50" s="1" t="s">
        <v>60</v>
      </c>
      <c r="B50" s="2"/>
      <c r="C50" s="3" t="s">
        <v>59</v>
      </c>
    </row>
    <row r="51" spans="1:3" x14ac:dyDescent="0.25">
      <c r="A51" s="1" t="s">
        <v>61</v>
      </c>
      <c r="B51" s="2"/>
      <c r="C51" s="3" t="s">
        <v>18</v>
      </c>
    </row>
    <row r="52" spans="1:3" x14ac:dyDescent="0.25">
      <c r="A52" s="1" t="s">
        <v>62</v>
      </c>
      <c r="B52" s="2"/>
      <c r="C52" s="3" t="s">
        <v>3</v>
      </c>
    </row>
    <row r="53" spans="1:3" x14ac:dyDescent="0.25">
      <c r="A53" s="1" t="s">
        <v>63</v>
      </c>
      <c r="B53" s="2"/>
      <c r="C53" s="3" t="s">
        <v>20</v>
      </c>
    </row>
    <row r="54" spans="1:3" x14ac:dyDescent="0.25">
      <c r="A54" s="1" t="s">
        <v>53</v>
      </c>
      <c r="B54" s="2"/>
      <c r="C54" s="3" t="s">
        <v>3</v>
      </c>
    </row>
    <row r="55" spans="1:3" x14ac:dyDescent="0.25">
      <c r="A55" s="5" t="s">
        <v>64</v>
      </c>
      <c r="B55" s="6"/>
      <c r="C55" s="6"/>
    </row>
    <row r="56" spans="1:3" x14ac:dyDescent="0.25">
      <c r="A56" s="1" t="s">
        <v>65</v>
      </c>
      <c r="B56" s="2"/>
      <c r="C56" s="3" t="s">
        <v>52</v>
      </c>
    </row>
    <row r="57" spans="1:3" x14ac:dyDescent="0.25">
      <c r="A57" s="1" t="s">
        <v>66</v>
      </c>
      <c r="B57" s="2"/>
      <c r="C57" s="3" t="s">
        <v>3</v>
      </c>
    </row>
    <row r="58" spans="1:3" x14ac:dyDescent="0.25">
      <c r="A58" s="1" t="s">
        <v>67</v>
      </c>
      <c r="B58" s="2"/>
      <c r="C58" s="3" t="s">
        <v>3</v>
      </c>
    </row>
    <row r="59" spans="1:3" x14ac:dyDescent="0.25">
      <c r="A59" s="1" t="s">
        <v>68</v>
      </c>
      <c r="B59" s="2"/>
      <c r="C59" s="3" t="s">
        <v>69</v>
      </c>
    </row>
    <row r="60" spans="1:3" x14ac:dyDescent="0.25">
      <c r="A60" s="1" t="s">
        <v>70</v>
      </c>
      <c r="B60" s="2"/>
      <c r="C60" s="3" t="s">
        <v>71</v>
      </c>
    </row>
    <row r="61" spans="1:3" x14ac:dyDescent="0.25">
      <c r="A61" s="1" t="s">
        <v>72</v>
      </c>
      <c r="B61" s="2"/>
      <c r="C61" s="3" t="s">
        <v>3</v>
      </c>
    </row>
    <row r="62" spans="1:3" x14ac:dyDescent="0.25">
      <c r="A62" s="1" t="s">
        <v>73</v>
      </c>
      <c r="B62" s="2"/>
      <c r="C62" s="3" t="s">
        <v>22</v>
      </c>
    </row>
    <row r="63" spans="1:3" x14ac:dyDescent="0.25">
      <c r="A63" s="1" t="s">
        <v>74</v>
      </c>
      <c r="B63" s="2"/>
      <c r="C63" s="3" t="s">
        <v>75</v>
      </c>
    </row>
    <row r="64" spans="1:3" x14ac:dyDescent="0.25">
      <c r="A64" s="1" t="s">
        <v>76</v>
      </c>
      <c r="B64" s="2"/>
      <c r="C64" s="3" t="s">
        <v>20</v>
      </c>
    </row>
    <row r="65" spans="1:3" x14ac:dyDescent="0.25">
      <c r="A65" s="1" t="s">
        <v>77</v>
      </c>
      <c r="B65" s="2"/>
      <c r="C65" s="3" t="s">
        <v>71</v>
      </c>
    </row>
    <row r="66" spans="1:3" x14ac:dyDescent="0.25">
      <c r="A66" s="1" t="s">
        <v>78</v>
      </c>
      <c r="B66" s="2"/>
      <c r="C66" s="3" t="s">
        <v>79</v>
      </c>
    </row>
    <row r="67" spans="1:3" x14ac:dyDescent="0.25">
      <c r="A67" s="1" t="s">
        <v>80</v>
      </c>
      <c r="B67" s="2"/>
      <c r="C67" s="3" t="s">
        <v>81</v>
      </c>
    </row>
    <row r="68" spans="1:3" x14ac:dyDescent="0.25">
      <c r="A68" s="1" t="s">
        <v>82</v>
      </c>
      <c r="B68" s="2"/>
      <c r="C68" s="3" t="s">
        <v>3</v>
      </c>
    </row>
    <row r="69" spans="1:3" x14ac:dyDescent="0.25">
      <c r="A69" s="5" t="s">
        <v>83</v>
      </c>
      <c r="B69" s="6"/>
      <c r="C69" s="6"/>
    </row>
    <row r="70" spans="1:3" x14ac:dyDescent="0.25">
      <c r="A70" s="1" t="s">
        <v>84</v>
      </c>
      <c r="B70" s="2"/>
      <c r="C70" s="3" t="s">
        <v>85</v>
      </c>
    </row>
    <row r="71" spans="1:3" x14ac:dyDescent="0.25">
      <c r="A71" s="1" t="s">
        <v>86</v>
      </c>
      <c r="B71" s="2"/>
      <c r="C71" s="3" t="s">
        <v>85</v>
      </c>
    </row>
    <row r="72" spans="1:3" x14ac:dyDescent="0.25">
      <c r="A72" s="1" t="s">
        <v>87</v>
      </c>
      <c r="B72" s="2"/>
      <c r="C72" s="3" t="s">
        <v>85</v>
      </c>
    </row>
    <row r="73" spans="1:3" x14ac:dyDescent="0.25">
      <c r="A73" s="1" t="s">
        <v>88</v>
      </c>
      <c r="B73" s="2"/>
      <c r="C73" s="3" t="s">
        <v>20</v>
      </c>
    </row>
    <row r="74" spans="1:3" x14ac:dyDescent="0.25">
      <c r="A74" s="1" t="s">
        <v>89</v>
      </c>
      <c r="B74" s="2"/>
      <c r="C74" s="3" t="s">
        <v>90</v>
      </c>
    </row>
    <row r="75" spans="1:3" x14ac:dyDescent="0.25">
      <c r="A75" s="1" t="s">
        <v>91</v>
      </c>
      <c r="B75" s="2"/>
      <c r="C75" s="3" t="s">
        <v>52</v>
      </c>
    </row>
    <row r="76" spans="1:3" x14ac:dyDescent="0.25">
      <c r="A76" s="1" t="s">
        <v>92</v>
      </c>
      <c r="B76" s="2"/>
      <c r="C76" s="3" t="s">
        <v>52</v>
      </c>
    </row>
    <row r="77" spans="1:3" x14ac:dyDescent="0.25">
      <c r="A77" s="1" t="s">
        <v>93</v>
      </c>
      <c r="B77" s="2"/>
      <c r="C77" s="3" t="s">
        <v>3</v>
      </c>
    </row>
  </sheetData>
  <autoFilter ref="A1:C77" xr:uid="{00000000-0009-0000-0000-000000000000}"/>
  <mergeCells count="8">
    <mergeCell ref="A69:C69"/>
    <mergeCell ref="A12:C12"/>
    <mergeCell ref="A45:C45"/>
    <mergeCell ref="A1:C1"/>
    <mergeCell ref="A3:C3"/>
    <mergeCell ref="A36:C36"/>
    <mergeCell ref="A27:C27"/>
    <mergeCell ref="A55:C55"/>
  </mergeCells>
  <dataValidations count="8">
    <dataValidation type="list" allowBlank="1" sqref="B18 B64 B53 B26" xr:uid="{00000000-0002-0000-0000-000000000000}">
      <formula1>"Good,Fair,Poor,Not Available"</formula1>
    </dataValidation>
    <dataValidation type="list" allowBlank="1" sqref="B33" xr:uid="{00000000-0002-0000-0000-000002000000}">
      <formula1>"Controller,Power meter,Clamp meter,Calculated,Estimated"</formula1>
    </dataValidation>
    <dataValidation type="list" allowBlank="1" sqref="B34" xr:uid="{00000000-0002-0000-0000-000003000000}">
      <formula1>"Low,Medium,High,Critical"</formula1>
    </dataValidation>
    <dataValidation type="list" allowBlank="1" sqref="B39 B75:B76 B56 B43" xr:uid="{00000000-0002-0000-0000-000004000000}">
      <formula1>"Yes,No"</formula1>
    </dataValidation>
    <dataValidation type="list" allowBlank="1" sqref="B67" xr:uid="{00000000-0002-0000-0000-000009000000}">
      <formula1>"High,Medium,Low,Not Feasible"</formula1>
    </dataValidation>
    <dataValidation type="list" allowBlank="1" sqref="B70:B72" xr:uid="{00000000-0002-0000-0000-00000A000000}">
      <formula1>"Pass,Fail,N/A"</formula1>
    </dataValidation>
    <dataValidation type="list" allowBlank="1" sqref="B73" xr:uid="{00000000-0002-0000-0000-00000D000000}">
      <formula1>"Good,Fair,Poor,N/A"</formula1>
    </dataValidation>
    <dataValidation type="list" allowBlank="1" sqref="B74" xr:uid="{00000000-0002-0000-0000-00000E000000}">
      <formula1>"Functional,Partially Functional,Non-Functional"</formula1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4"/>
  <sheetViews>
    <sheetView showGridLines="0" workbookViewId="0">
      <pane ySplit="2" topLeftCell="A3" activePane="bottomLeft" state="frozen"/>
      <selection pane="bottomLeft" activeCell="E71" sqref="E71"/>
    </sheetView>
  </sheetViews>
  <sheetFormatPr baseColWidth="10" defaultColWidth="9.140625" defaultRowHeight="15" x14ac:dyDescent="0.25"/>
  <cols>
    <col min="1" max="1" width="38" customWidth="1"/>
    <col min="2" max="2" width="28" customWidth="1"/>
    <col min="3" max="3" width="52" customWidth="1"/>
  </cols>
  <sheetData>
    <row r="1" spans="1:3" ht="27.95" customHeight="1" x14ac:dyDescent="0.25">
      <c r="A1" s="7" t="s">
        <v>94</v>
      </c>
      <c r="B1" s="6"/>
      <c r="C1" s="6"/>
    </row>
    <row r="3" spans="1:3" x14ac:dyDescent="0.25">
      <c r="A3" s="5" t="s">
        <v>1</v>
      </c>
      <c r="B3" s="6"/>
      <c r="C3" s="6"/>
    </row>
    <row r="4" spans="1:3" x14ac:dyDescent="0.25">
      <c r="A4" s="1" t="s">
        <v>2</v>
      </c>
      <c r="B4" s="2"/>
      <c r="C4" s="3" t="s">
        <v>3</v>
      </c>
    </row>
    <row r="5" spans="1:3" x14ac:dyDescent="0.25">
      <c r="A5" s="1" t="s">
        <v>163</v>
      </c>
      <c r="B5" s="2"/>
      <c r="C5" s="3" t="s">
        <v>3</v>
      </c>
    </row>
    <row r="6" spans="1:3" x14ac:dyDescent="0.25">
      <c r="A6" s="1" t="s">
        <v>5</v>
      </c>
      <c r="B6" s="2"/>
      <c r="C6" s="3" t="s">
        <v>3</v>
      </c>
    </row>
    <row r="7" spans="1:3" x14ac:dyDescent="0.25">
      <c r="A7" s="1" t="s">
        <v>6</v>
      </c>
      <c r="B7" s="2"/>
      <c r="C7" s="3" t="s">
        <v>3</v>
      </c>
    </row>
    <row r="8" spans="1:3" x14ac:dyDescent="0.25">
      <c r="A8" s="1" t="s">
        <v>7</v>
      </c>
      <c r="B8" s="2"/>
      <c r="C8" s="3" t="s">
        <v>3</v>
      </c>
    </row>
    <row r="9" spans="1:3" x14ac:dyDescent="0.25">
      <c r="A9" s="1" t="s">
        <v>8</v>
      </c>
      <c r="B9" s="2"/>
      <c r="C9" s="3" t="s">
        <v>3</v>
      </c>
    </row>
    <row r="10" spans="1:3" x14ac:dyDescent="0.25">
      <c r="A10" s="5" t="s">
        <v>95</v>
      </c>
      <c r="B10" s="6"/>
      <c r="C10" s="6"/>
    </row>
    <row r="11" spans="1:3" x14ac:dyDescent="0.25">
      <c r="A11" s="1" t="s">
        <v>96</v>
      </c>
      <c r="B11" s="2"/>
      <c r="C11" s="3" t="s">
        <v>3</v>
      </c>
    </row>
    <row r="12" spans="1:3" x14ac:dyDescent="0.25">
      <c r="A12" s="1" t="s">
        <v>97</v>
      </c>
      <c r="B12" s="2"/>
      <c r="C12" s="3" t="s">
        <v>3</v>
      </c>
    </row>
    <row r="13" spans="1:3" x14ac:dyDescent="0.25">
      <c r="A13" s="1" t="s">
        <v>98</v>
      </c>
      <c r="B13" s="2"/>
      <c r="C13" s="3" t="s">
        <v>20</v>
      </c>
    </row>
    <row r="14" spans="1:3" x14ac:dyDescent="0.25">
      <c r="A14" s="1" t="s">
        <v>99</v>
      </c>
      <c r="B14" s="2"/>
      <c r="C14" s="3" t="s">
        <v>3</v>
      </c>
    </row>
    <row r="15" spans="1:3" x14ac:dyDescent="0.25">
      <c r="A15" s="1" t="s">
        <v>100</v>
      </c>
      <c r="B15" s="2"/>
      <c r="C15" s="3" t="s">
        <v>101</v>
      </c>
    </row>
    <row r="16" spans="1:3" x14ac:dyDescent="0.25">
      <c r="A16" s="1" t="s">
        <v>102</v>
      </c>
      <c r="B16" s="2"/>
      <c r="C16" s="3" t="s">
        <v>3</v>
      </c>
    </row>
    <row r="17" spans="1:3" x14ac:dyDescent="0.25">
      <c r="A17" s="1" t="s">
        <v>103</v>
      </c>
      <c r="B17" s="2"/>
      <c r="C17" s="3" t="s">
        <v>3</v>
      </c>
    </row>
    <row r="18" spans="1:3" x14ac:dyDescent="0.25">
      <c r="A18" s="1" t="s">
        <v>104</v>
      </c>
      <c r="B18" s="2"/>
      <c r="C18" s="3" t="s">
        <v>20</v>
      </c>
    </row>
    <row r="19" spans="1:3" x14ac:dyDescent="0.25">
      <c r="A19" s="1" t="s">
        <v>105</v>
      </c>
      <c r="B19" s="2"/>
      <c r="C19" s="3" t="s">
        <v>106</v>
      </c>
    </row>
    <row r="20" spans="1:3" x14ac:dyDescent="0.25">
      <c r="A20" s="1" t="s">
        <v>107</v>
      </c>
      <c r="B20" s="2"/>
      <c r="C20" s="3" t="s">
        <v>52</v>
      </c>
    </row>
    <row r="21" spans="1:3" x14ac:dyDescent="0.25">
      <c r="A21" s="1" t="s">
        <v>108</v>
      </c>
      <c r="B21" s="2"/>
      <c r="C21" s="3" t="s">
        <v>3</v>
      </c>
    </row>
    <row r="22" spans="1:3" x14ac:dyDescent="0.25">
      <c r="A22" s="5" t="s">
        <v>109</v>
      </c>
      <c r="B22" s="6"/>
      <c r="C22" s="6"/>
    </row>
    <row r="23" spans="1:3" x14ac:dyDescent="0.25">
      <c r="A23" s="1" t="s">
        <v>110</v>
      </c>
      <c r="B23" s="2"/>
      <c r="C23" s="3" t="s">
        <v>52</v>
      </c>
    </row>
    <row r="24" spans="1:3" x14ac:dyDescent="0.25">
      <c r="A24" s="1" t="s">
        <v>111</v>
      </c>
      <c r="B24" s="2"/>
      <c r="C24" s="3" t="s">
        <v>3</v>
      </c>
    </row>
    <row r="25" spans="1:3" x14ac:dyDescent="0.25">
      <c r="A25" s="1" t="s">
        <v>112</v>
      </c>
      <c r="B25" s="2"/>
      <c r="C25" s="3" t="s">
        <v>3</v>
      </c>
    </row>
    <row r="26" spans="1:3" x14ac:dyDescent="0.25">
      <c r="A26" s="1" t="s">
        <v>113</v>
      </c>
      <c r="B26" s="2"/>
      <c r="C26" s="3" t="s">
        <v>20</v>
      </c>
    </row>
    <row r="27" spans="1:3" x14ac:dyDescent="0.25">
      <c r="A27" s="1" t="s">
        <v>114</v>
      </c>
      <c r="B27" s="2"/>
      <c r="C27" s="3" t="s">
        <v>115</v>
      </c>
    </row>
    <row r="28" spans="1:3" x14ac:dyDescent="0.25">
      <c r="A28" s="1" t="s">
        <v>116</v>
      </c>
      <c r="B28" s="2"/>
      <c r="C28" s="3" t="s">
        <v>3</v>
      </c>
    </row>
    <row r="29" spans="1:3" x14ac:dyDescent="0.25">
      <c r="A29" s="1" t="s">
        <v>117</v>
      </c>
      <c r="B29" s="2"/>
      <c r="C29" s="3" t="s">
        <v>3</v>
      </c>
    </row>
    <row r="30" spans="1:3" x14ac:dyDescent="0.25">
      <c r="A30" s="1" t="s">
        <v>118</v>
      </c>
      <c r="B30" s="2"/>
      <c r="C30" s="3" t="s">
        <v>20</v>
      </c>
    </row>
    <row r="31" spans="1:3" x14ac:dyDescent="0.25">
      <c r="A31" s="1" t="s">
        <v>119</v>
      </c>
      <c r="B31" s="2"/>
      <c r="C31" s="3" t="s">
        <v>52</v>
      </c>
    </row>
    <row r="32" spans="1:3" x14ac:dyDescent="0.25">
      <c r="A32" s="1" t="s">
        <v>120</v>
      </c>
      <c r="B32" s="2"/>
      <c r="C32" s="3" t="s">
        <v>20</v>
      </c>
    </row>
    <row r="33" spans="1:3" x14ac:dyDescent="0.25">
      <c r="A33" s="5" t="s">
        <v>121</v>
      </c>
      <c r="B33" s="6"/>
      <c r="C33" s="6"/>
    </row>
    <row r="34" spans="1:3" x14ac:dyDescent="0.25">
      <c r="A34" s="1" t="s">
        <v>122</v>
      </c>
      <c r="B34" s="2"/>
      <c r="C34" s="3" t="s">
        <v>52</v>
      </c>
    </row>
    <row r="35" spans="1:3" x14ac:dyDescent="0.25">
      <c r="A35" s="1" t="s">
        <v>123</v>
      </c>
      <c r="B35" s="2"/>
      <c r="C35" s="3" t="s">
        <v>3</v>
      </c>
    </row>
    <row r="36" spans="1:3" x14ac:dyDescent="0.25">
      <c r="A36" s="1" t="s">
        <v>124</v>
      </c>
      <c r="B36" s="2"/>
      <c r="C36" s="3" t="s">
        <v>3</v>
      </c>
    </row>
    <row r="37" spans="1:3" x14ac:dyDescent="0.25">
      <c r="A37" s="1" t="s">
        <v>125</v>
      </c>
      <c r="B37" s="2"/>
      <c r="C37" s="3" t="s">
        <v>126</v>
      </c>
    </row>
    <row r="38" spans="1:3" x14ac:dyDescent="0.25">
      <c r="A38" s="1" t="s">
        <v>127</v>
      </c>
      <c r="B38" s="2"/>
      <c r="C38" s="3" t="s">
        <v>52</v>
      </c>
    </row>
    <row r="39" spans="1:3" x14ac:dyDescent="0.25">
      <c r="A39" s="1" t="s">
        <v>128</v>
      </c>
      <c r="B39" s="2"/>
      <c r="C39" s="3" t="s">
        <v>3</v>
      </c>
    </row>
    <row r="40" spans="1:3" x14ac:dyDescent="0.25">
      <c r="A40" s="1" t="s">
        <v>129</v>
      </c>
      <c r="B40" s="2"/>
      <c r="C40" s="3" t="s">
        <v>3</v>
      </c>
    </row>
    <row r="41" spans="1:3" x14ac:dyDescent="0.25">
      <c r="A41" s="1" t="s">
        <v>130</v>
      </c>
      <c r="B41" s="2"/>
      <c r="C41" s="3" t="s">
        <v>14</v>
      </c>
    </row>
    <row r="42" spans="1:3" x14ac:dyDescent="0.25">
      <c r="A42" s="1" t="s">
        <v>131</v>
      </c>
      <c r="B42" s="2"/>
      <c r="C42" s="3" t="s">
        <v>52</v>
      </c>
    </row>
    <row r="43" spans="1:3" x14ac:dyDescent="0.25">
      <c r="A43" s="1" t="s">
        <v>132</v>
      </c>
      <c r="B43" s="2"/>
      <c r="C43" s="3" t="s">
        <v>3</v>
      </c>
    </row>
    <row r="44" spans="1:3" x14ac:dyDescent="0.25">
      <c r="A44" s="1" t="s">
        <v>133</v>
      </c>
      <c r="B44" s="2"/>
      <c r="C44" s="3" t="s">
        <v>3</v>
      </c>
    </row>
    <row r="45" spans="1:3" x14ac:dyDescent="0.25">
      <c r="A45" s="1" t="s">
        <v>134</v>
      </c>
      <c r="B45" s="2"/>
      <c r="C45" s="3" t="s">
        <v>3</v>
      </c>
    </row>
    <row r="46" spans="1:3" x14ac:dyDescent="0.25">
      <c r="A46" s="1" t="s">
        <v>135</v>
      </c>
      <c r="B46" s="2"/>
      <c r="C46" s="3" t="s">
        <v>3</v>
      </c>
    </row>
    <row r="47" spans="1:3" x14ac:dyDescent="0.25">
      <c r="A47" s="1" t="s">
        <v>136</v>
      </c>
      <c r="B47" s="2"/>
      <c r="C47" s="3" t="s">
        <v>3</v>
      </c>
    </row>
    <row r="48" spans="1:3" x14ac:dyDescent="0.25">
      <c r="A48" s="5" t="s">
        <v>137</v>
      </c>
      <c r="B48" s="6"/>
      <c r="C48" s="6"/>
    </row>
    <row r="49" spans="1:3" x14ac:dyDescent="0.25">
      <c r="A49" s="1" t="s">
        <v>138</v>
      </c>
      <c r="B49" s="2"/>
      <c r="C49" s="3" t="s">
        <v>52</v>
      </c>
    </row>
    <row r="50" spans="1:3" x14ac:dyDescent="0.25">
      <c r="A50" s="1" t="s">
        <v>139</v>
      </c>
      <c r="B50" s="2"/>
      <c r="C50" s="3" t="s">
        <v>140</v>
      </c>
    </row>
    <row r="51" spans="1:3" x14ac:dyDescent="0.25">
      <c r="A51" s="1" t="s">
        <v>141</v>
      </c>
      <c r="B51" s="2"/>
      <c r="C51" s="3" t="s">
        <v>142</v>
      </c>
    </row>
    <row r="52" spans="1:3" x14ac:dyDescent="0.25">
      <c r="A52" s="1" t="s">
        <v>143</v>
      </c>
      <c r="B52" s="2"/>
      <c r="C52" s="3" t="s">
        <v>144</v>
      </c>
    </row>
    <row r="53" spans="1:3" x14ac:dyDescent="0.25">
      <c r="A53" s="1" t="s">
        <v>145</v>
      </c>
      <c r="B53" s="2"/>
      <c r="C53" s="3" t="s">
        <v>52</v>
      </c>
    </row>
    <row r="54" spans="1:3" x14ac:dyDescent="0.25">
      <c r="A54" s="1" t="s">
        <v>77</v>
      </c>
      <c r="B54" s="2"/>
      <c r="C54" s="3" t="s">
        <v>71</v>
      </c>
    </row>
    <row r="55" spans="1:3" x14ac:dyDescent="0.25">
      <c r="A55" s="1" t="s">
        <v>78</v>
      </c>
      <c r="B55" s="2"/>
      <c r="C55" s="3" t="s">
        <v>79</v>
      </c>
    </row>
    <row r="56" spans="1:3" x14ac:dyDescent="0.25">
      <c r="A56" s="1" t="s">
        <v>146</v>
      </c>
      <c r="B56" s="2"/>
      <c r="C56" s="3" t="s">
        <v>39</v>
      </c>
    </row>
    <row r="57" spans="1:3" x14ac:dyDescent="0.25">
      <c r="A57" s="1" t="s">
        <v>147</v>
      </c>
      <c r="B57" s="2"/>
      <c r="C57" s="3" t="s">
        <v>81</v>
      </c>
    </row>
    <row r="58" spans="1:3" x14ac:dyDescent="0.25">
      <c r="A58" s="1" t="s">
        <v>82</v>
      </c>
      <c r="B58" s="2"/>
      <c r="C58" s="3" t="s">
        <v>3</v>
      </c>
    </row>
    <row r="59" spans="1:3" x14ac:dyDescent="0.25">
      <c r="A59" s="5" t="s">
        <v>148</v>
      </c>
      <c r="B59" s="6"/>
      <c r="C59" s="6"/>
    </row>
    <row r="60" spans="1:3" x14ac:dyDescent="0.25">
      <c r="A60" s="1" t="s">
        <v>149</v>
      </c>
      <c r="B60" s="2"/>
      <c r="C60" s="3" t="s">
        <v>52</v>
      </c>
    </row>
    <row r="61" spans="1:3" x14ac:dyDescent="0.25">
      <c r="A61" s="1" t="s">
        <v>150</v>
      </c>
      <c r="B61" s="2"/>
      <c r="C61" s="3" t="s">
        <v>52</v>
      </c>
    </row>
    <row r="62" spans="1:3" x14ac:dyDescent="0.25">
      <c r="A62" s="1" t="s">
        <v>151</v>
      </c>
      <c r="B62" s="2"/>
      <c r="C62" s="3" t="s">
        <v>52</v>
      </c>
    </row>
    <row r="63" spans="1:3" x14ac:dyDescent="0.25">
      <c r="A63" s="1" t="s">
        <v>152</v>
      </c>
      <c r="B63" s="2"/>
      <c r="C63" s="3" t="s">
        <v>52</v>
      </c>
    </row>
    <row r="64" spans="1:3" x14ac:dyDescent="0.25">
      <c r="A64" s="1" t="s">
        <v>153</v>
      </c>
      <c r="B64" s="2"/>
      <c r="C64" s="3" t="s">
        <v>52</v>
      </c>
    </row>
    <row r="65" spans="1:3" x14ac:dyDescent="0.25">
      <c r="A65" s="1" t="s">
        <v>154</v>
      </c>
      <c r="B65" s="2"/>
      <c r="C65" s="3" t="s">
        <v>52</v>
      </c>
    </row>
    <row r="66" spans="1:3" x14ac:dyDescent="0.25">
      <c r="A66" s="1" t="s">
        <v>155</v>
      </c>
      <c r="B66" s="2"/>
      <c r="C66" s="3" t="s">
        <v>52</v>
      </c>
    </row>
    <row r="67" spans="1:3" x14ac:dyDescent="0.25">
      <c r="A67" s="1" t="s">
        <v>156</v>
      </c>
      <c r="B67" s="2"/>
      <c r="C67" s="3" t="s">
        <v>52</v>
      </c>
    </row>
    <row r="68" spans="1:3" x14ac:dyDescent="0.25">
      <c r="A68" s="1" t="s">
        <v>157</v>
      </c>
      <c r="B68" s="2"/>
      <c r="C68" s="3" t="s">
        <v>3</v>
      </c>
    </row>
    <row r="69" spans="1:3" x14ac:dyDescent="0.25">
      <c r="A69" s="1" t="s">
        <v>158</v>
      </c>
      <c r="B69" s="2"/>
      <c r="C69" s="3" t="s">
        <v>52</v>
      </c>
    </row>
    <row r="70" spans="1:3" x14ac:dyDescent="0.25">
      <c r="A70" s="1" t="s">
        <v>159</v>
      </c>
      <c r="B70" s="2"/>
      <c r="C70" s="3" t="s">
        <v>52</v>
      </c>
    </row>
    <row r="71" spans="1:3" x14ac:dyDescent="0.25">
      <c r="A71" s="1" t="s">
        <v>160</v>
      </c>
      <c r="B71" s="2"/>
      <c r="C71" s="3" t="s">
        <v>3</v>
      </c>
    </row>
    <row r="72" spans="1:3" x14ac:dyDescent="0.25">
      <c r="A72" s="1" t="s">
        <v>161</v>
      </c>
      <c r="B72" s="2"/>
      <c r="C72" s="3" t="s">
        <v>52</v>
      </c>
    </row>
    <row r="73" spans="1:3" x14ac:dyDescent="0.25">
      <c r="A73" s="1" t="s">
        <v>162</v>
      </c>
      <c r="B73" s="2"/>
      <c r="C73" s="3" t="s">
        <v>52</v>
      </c>
    </row>
    <row r="74" spans="1:3" x14ac:dyDescent="0.25">
      <c r="A74" s="1" t="s">
        <v>93</v>
      </c>
      <c r="B74" s="2"/>
      <c r="C74" s="3" t="s">
        <v>3</v>
      </c>
    </row>
  </sheetData>
  <autoFilter ref="A1:C74" xr:uid="{00000000-0009-0000-0000-000001000000}"/>
  <mergeCells count="7">
    <mergeCell ref="A48:C48"/>
    <mergeCell ref="A1:C1"/>
    <mergeCell ref="A33:C33"/>
    <mergeCell ref="A59:C59"/>
    <mergeCell ref="A10:C10"/>
    <mergeCell ref="A3:C3"/>
    <mergeCell ref="A22:C22"/>
  </mergeCells>
  <dataValidations count="7">
    <dataValidation type="list" allowBlank="1" sqref="B13 B32 B30 B26 B18" xr:uid="{00000000-0002-0000-0100-000000000000}">
      <formula1>"Good,Fair,Poor,Not Available"</formula1>
    </dataValidation>
    <dataValidation type="list" allowBlank="1" sqref="B20 B72:B73 B69:B70 B60:B67 B53 B49 B42 B38 B34 B31 B23" xr:uid="{00000000-0002-0000-0100-000002000000}">
      <formula1>"Yes,No"</formula1>
    </dataValidation>
    <dataValidation type="list" allowBlank="1" sqref="B37" xr:uid="{00000000-0002-0000-0100-000009000000}">
      <formula1>"Accessible,Not Accessible,Unknown"</formula1>
    </dataValidation>
    <dataValidation type="list" allowBlank="1" sqref="B46 B57" xr:uid="{00000000-0002-0000-0100-00000C000000}">
      <formula1>"High,Medium,Low,Not Feasible"</formula1>
    </dataValidation>
    <dataValidation type="list" allowBlank="1" sqref="B50" xr:uid="{00000000-0002-0000-0100-00000E000000}">
      <formula1>"Roof,Ground,Tower Compound"</formula1>
    </dataValidation>
    <dataValidation type="list" allowBlank="1" sqref="B51" xr:uid="{00000000-0002-0000-0100-00000F000000}">
      <formula1>"None,Partial,Significant"</formula1>
    </dataValidation>
    <dataValidation type="list" allowBlank="1" sqref="B52" xr:uid="{00000000-0002-0000-0100-000010000000}">
      <formula1>"Suitable,Review Required,Not Suitable"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01_Power_Audit</vt:lpstr>
      <vt:lpstr>02_Site_Infra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Ndongson Ivan</cp:lastModifiedBy>
  <cp:lastPrinted>2026-08-24T08:43:52Z</cp:lastPrinted>
  <dcterms:created xsi:type="dcterms:W3CDTF">2026-08-21T17:27:32Z</dcterms:created>
  <dcterms:modified xsi:type="dcterms:W3CDTF">2026-08-24T08:46:50Z</dcterms:modified>
</cp:coreProperties>
</file>