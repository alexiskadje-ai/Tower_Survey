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595da8aafb06c/TELEINFRA COMPANIES/CAMEROON/CUSTOMER FILES/IHS BOQ/IHS SITE AUDIT 2026/"/>
    </mc:Choice>
  </mc:AlternateContent>
  <xr:revisionPtr revIDLastSave="1258" documentId="13_ncr:1_{B2D5EAEA-1902-4354-A620-C6DDC4BC2F64}" xr6:coauthVersionLast="47" xr6:coauthVersionMax="47" xr10:uidLastSave="{3ED4267D-EA3A-476C-A459-3B164E204542}"/>
  <bookViews>
    <workbookView xWindow="-120" yWindow="-120" windowWidth="29040" windowHeight="15840" activeTab="3" xr2:uid="{543C790C-7AFA-4B2D-A17A-EDF3ED6BA51C}"/>
  </bookViews>
  <sheets>
    <sheet name="Raw data - Sites list" sheetId="1" r:id="rId1"/>
    <sheet name="Red Zone Sites " sheetId="3" r:id="rId2"/>
    <sheet name="Sites Audit Plan  " sheetId="4" r:id="rId3"/>
    <sheet name="PIP" sheetId="5" r:id="rId4"/>
    <sheet name="Sites Audit Plan Region 1" sheetId="6" r:id="rId5"/>
    <sheet name="Sites Audit Plan Region 2" sheetId="7" r:id="rId6"/>
  </sheets>
  <definedNames>
    <definedName name="_xlnm._FilterDatabase" localSheetId="3" hidden="1">PIP!$A$3:$AZ$17</definedName>
    <definedName name="_xlnm._FilterDatabase" localSheetId="0" hidden="1">'Raw data - Sites list'!$A$2:$O$2443</definedName>
    <definedName name="_xlchart.v1.0" hidden="1">'Red Zone Sites '!$Q$11:$Q$14</definedName>
    <definedName name="_xlchart.v1.1" hidden="1">'Red Zone Sites '!$R$11:$R$14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5" i="5" l="1"/>
  <c r="AY15" i="5"/>
  <c r="AX15" i="5"/>
  <c r="AW15" i="5"/>
  <c r="AV15" i="5"/>
  <c r="AU15" i="5"/>
  <c r="AT15" i="5"/>
  <c r="AS15" i="5"/>
  <c r="AR15" i="5"/>
  <c r="AQ15" i="5"/>
  <c r="AP15" i="5"/>
  <c r="AN15" i="5"/>
  <c r="AM15" i="5"/>
  <c r="AL15" i="5"/>
  <c r="AK15" i="5"/>
  <c r="AJ15" i="5"/>
  <c r="AI15" i="5"/>
  <c r="AG15" i="5"/>
  <c r="AF15" i="5"/>
  <c r="AE15" i="5"/>
  <c r="AD15" i="5"/>
  <c r="AC15" i="5"/>
  <c r="AB15" i="5"/>
  <c r="Z15" i="5"/>
  <c r="Y15" i="5"/>
  <c r="X15" i="5"/>
  <c r="W15" i="5"/>
  <c r="V15" i="5"/>
  <c r="U15" i="5"/>
  <c r="S15" i="5"/>
  <c r="R15" i="5"/>
  <c r="Q15" i="5"/>
  <c r="P15" i="5"/>
  <c r="O15" i="5"/>
  <c r="N15" i="5"/>
  <c r="L15" i="5"/>
  <c r="K15" i="5"/>
  <c r="J15" i="5"/>
  <c r="I15" i="5"/>
  <c r="H15" i="5"/>
  <c r="G15" i="5"/>
  <c r="E15" i="5"/>
  <c r="D15" i="5"/>
  <c r="L1" i="7"/>
  <c r="G1" i="7"/>
  <c r="F1" i="7"/>
  <c r="L1" i="6"/>
  <c r="G1" i="6"/>
  <c r="F1" i="6"/>
  <c r="AQ14" i="5"/>
  <c r="AP14" i="5"/>
  <c r="AN14" i="5"/>
  <c r="AM14" i="5"/>
  <c r="AL14" i="5"/>
  <c r="AK14" i="5"/>
  <c r="AJ14" i="5"/>
  <c r="AI14" i="5"/>
  <c r="AK12" i="5"/>
  <c r="AJ12" i="5"/>
  <c r="AI12" i="5"/>
  <c r="AG14" i="5"/>
  <c r="AF14" i="5"/>
  <c r="AE14" i="5"/>
  <c r="AD14" i="5"/>
  <c r="AC14" i="5"/>
  <c r="AB14" i="5"/>
  <c r="AF13" i="5"/>
  <c r="AE13" i="5"/>
  <c r="AD13" i="5"/>
  <c r="AC13" i="5"/>
  <c r="AB13" i="5"/>
  <c r="AG12" i="5"/>
  <c r="AF12" i="5"/>
  <c r="AE12" i="5"/>
  <c r="AD12" i="5"/>
  <c r="AC12" i="5"/>
  <c r="AB12" i="5"/>
  <c r="Z14" i="5"/>
  <c r="Y14" i="5"/>
  <c r="X14" i="5"/>
  <c r="W14" i="5"/>
  <c r="V14" i="5"/>
  <c r="U14" i="5"/>
  <c r="Z13" i="5"/>
  <c r="Y13" i="5"/>
  <c r="X13" i="5"/>
  <c r="W13" i="5"/>
  <c r="V13" i="5"/>
  <c r="U13" i="5"/>
  <c r="Z12" i="5"/>
  <c r="Y12" i="5"/>
  <c r="X12" i="5"/>
  <c r="W12" i="5"/>
  <c r="V12" i="5"/>
  <c r="U12" i="5"/>
  <c r="S14" i="5"/>
  <c r="R14" i="5"/>
  <c r="Q14" i="5"/>
  <c r="P14" i="5"/>
  <c r="O14" i="5"/>
  <c r="N14" i="5"/>
  <c r="S13" i="5"/>
  <c r="R13" i="5"/>
  <c r="Q13" i="5"/>
  <c r="P13" i="5"/>
  <c r="O13" i="5"/>
  <c r="N13" i="5"/>
  <c r="S12" i="5"/>
  <c r="R12" i="5"/>
  <c r="Q12" i="5"/>
  <c r="P12" i="5"/>
  <c r="O12" i="5"/>
  <c r="N12" i="5"/>
  <c r="L14" i="5"/>
  <c r="K14" i="5"/>
  <c r="J14" i="5"/>
  <c r="I14" i="5"/>
  <c r="H14" i="5"/>
  <c r="L13" i="5"/>
  <c r="K13" i="5"/>
  <c r="J13" i="5"/>
  <c r="I13" i="5"/>
  <c r="H13" i="5"/>
  <c r="L12" i="5"/>
  <c r="K12" i="5"/>
  <c r="J12" i="5"/>
  <c r="I12" i="5"/>
  <c r="H12" i="5"/>
  <c r="G14" i="5"/>
  <c r="G13" i="5"/>
  <c r="G12" i="5"/>
  <c r="J13" i="4"/>
  <c r="J12" i="4"/>
  <c r="J11" i="4"/>
  <c r="J6" i="4"/>
  <c r="AW11" i="5"/>
  <c r="AV11" i="5"/>
  <c r="AU11" i="5"/>
  <c r="AT11" i="5"/>
  <c r="AS11" i="5"/>
  <c r="AR11" i="5"/>
  <c r="AQ11" i="5"/>
  <c r="AP11" i="5"/>
  <c r="AN11" i="5"/>
  <c r="AM11" i="5"/>
  <c r="AL11" i="5"/>
  <c r="AK11" i="5"/>
  <c r="AJ11" i="5"/>
  <c r="AI11" i="5"/>
  <c r="AG11" i="5"/>
  <c r="AF11" i="5"/>
  <c r="AE11" i="5"/>
  <c r="AD11" i="5"/>
  <c r="AC11" i="5"/>
  <c r="AB11" i="5"/>
  <c r="Z11" i="5"/>
  <c r="Y11" i="5"/>
  <c r="X11" i="5"/>
  <c r="W11" i="5"/>
  <c r="V11" i="5"/>
  <c r="U11" i="5"/>
  <c r="S11" i="5"/>
  <c r="R11" i="5"/>
  <c r="Q11" i="5"/>
  <c r="P11" i="5"/>
  <c r="O11" i="5"/>
  <c r="N11" i="5"/>
  <c r="L11" i="5"/>
  <c r="K11" i="5"/>
  <c r="J11" i="5"/>
  <c r="I11" i="5"/>
  <c r="H11" i="5"/>
  <c r="G11" i="5"/>
  <c r="AT10" i="5"/>
  <c r="AS10" i="5"/>
  <c r="AR10" i="5"/>
  <c r="AQ10" i="5"/>
  <c r="AP10" i="5"/>
  <c r="AN10" i="5"/>
  <c r="AM10" i="5"/>
  <c r="AL10" i="5"/>
  <c r="AK10" i="5"/>
  <c r="AJ10" i="5"/>
  <c r="AI10" i="5"/>
  <c r="AG10" i="5"/>
  <c r="AF10" i="5"/>
  <c r="AE10" i="5"/>
  <c r="AD10" i="5"/>
  <c r="AC10" i="5"/>
  <c r="AB10" i="5"/>
  <c r="Z10" i="5"/>
  <c r="Y10" i="5"/>
  <c r="X10" i="5"/>
  <c r="W10" i="5"/>
  <c r="V10" i="5"/>
  <c r="U10" i="5"/>
  <c r="S10" i="5"/>
  <c r="R10" i="5"/>
  <c r="Q10" i="5"/>
  <c r="P10" i="5"/>
  <c r="O10" i="5"/>
  <c r="N10" i="5"/>
  <c r="L10" i="5"/>
  <c r="K10" i="5"/>
  <c r="J10" i="5"/>
  <c r="I10" i="5"/>
  <c r="AR9" i="5"/>
  <c r="AQ9" i="5"/>
  <c r="AP9" i="5"/>
  <c r="AN9" i="5"/>
  <c r="AM9" i="5"/>
  <c r="AL9" i="5"/>
  <c r="AK9" i="5"/>
  <c r="AJ9" i="5"/>
  <c r="AI9" i="5"/>
  <c r="AG9" i="5"/>
  <c r="AF9" i="5"/>
  <c r="AE9" i="5"/>
  <c r="AD9" i="5"/>
  <c r="AC9" i="5"/>
  <c r="AB9" i="5"/>
  <c r="Z9" i="5"/>
  <c r="Y9" i="5"/>
  <c r="X9" i="5"/>
  <c r="W9" i="5"/>
  <c r="V9" i="5"/>
  <c r="U9" i="5"/>
  <c r="S9" i="5"/>
  <c r="R9" i="5"/>
  <c r="Q9" i="5"/>
  <c r="P9" i="5"/>
  <c r="O9" i="5"/>
  <c r="N9" i="5"/>
  <c r="L9" i="5"/>
  <c r="K9" i="5"/>
  <c r="J9" i="5"/>
  <c r="I9" i="5"/>
  <c r="H9" i="5"/>
  <c r="G9" i="5"/>
  <c r="E9" i="5"/>
  <c r="AU8" i="5"/>
  <c r="AT8" i="5"/>
  <c r="AS8" i="5"/>
  <c r="AR8" i="5"/>
  <c r="AQ8" i="5"/>
  <c r="AP8" i="5"/>
  <c r="AN8" i="5"/>
  <c r="AM8" i="5"/>
  <c r="AL8" i="5"/>
  <c r="AK8" i="5"/>
  <c r="AJ8" i="5"/>
  <c r="AI8" i="5"/>
  <c r="AG8" i="5"/>
  <c r="AF8" i="5"/>
  <c r="AE8" i="5"/>
  <c r="AD8" i="5"/>
  <c r="AC8" i="5"/>
  <c r="AB8" i="5"/>
  <c r="Z8" i="5"/>
  <c r="Y8" i="5"/>
  <c r="X8" i="5"/>
  <c r="W8" i="5"/>
  <c r="V8" i="5"/>
  <c r="U8" i="5"/>
  <c r="S8" i="5"/>
  <c r="R8" i="5"/>
  <c r="Q8" i="5"/>
  <c r="P8" i="5"/>
  <c r="O8" i="5"/>
  <c r="N8" i="5"/>
  <c r="L8" i="5"/>
  <c r="K8" i="5"/>
  <c r="J8" i="5"/>
  <c r="AN7" i="5"/>
  <c r="AM7" i="5"/>
  <c r="AL7" i="5"/>
  <c r="AK7" i="5"/>
  <c r="AJ7" i="5"/>
  <c r="AI7" i="5"/>
  <c r="AG7" i="5"/>
  <c r="AF7" i="5"/>
  <c r="AE7" i="5"/>
  <c r="AD7" i="5"/>
  <c r="AC7" i="5"/>
  <c r="AB7" i="5"/>
  <c r="Z7" i="5"/>
  <c r="Y7" i="5"/>
  <c r="X7" i="5"/>
  <c r="W7" i="5"/>
  <c r="V7" i="5"/>
  <c r="U7" i="5"/>
  <c r="S7" i="5"/>
  <c r="R7" i="5"/>
  <c r="Q7" i="5"/>
  <c r="P7" i="5"/>
  <c r="O7" i="5"/>
  <c r="N7" i="5"/>
  <c r="L7" i="5"/>
  <c r="K7" i="5"/>
  <c r="J7" i="5"/>
  <c r="I7" i="5"/>
  <c r="H7" i="5"/>
  <c r="G7" i="5"/>
  <c r="AR6" i="5"/>
  <c r="AQ6" i="5"/>
  <c r="AP6" i="5"/>
  <c r="AN6" i="5"/>
  <c r="AM6" i="5"/>
  <c r="AL6" i="5"/>
  <c r="AK6" i="5"/>
  <c r="AJ6" i="5"/>
  <c r="AI6" i="5"/>
  <c r="AG6" i="5"/>
  <c r="AF6" i="5"/>
  <c r="AE6" i="5"/>
  <c r="AD6" i="5"/>
  <c r="AC6" i="5"/>
  <c r="AB6" i="5"/>
  <c r="Z6" i="5"/>
  <c r="Y6" i="5"/>
  <c r="X6" i="5"/>
  <c r="W6" i="5"/>
  <c r="V6" i="5"/>
  <c r="U6" i="5"/>
  <c r="S6" i="5"/>
  <c r="R6" i="5"/>
  <c r="Q6" i="5"/>
  <c r="P6" i="5"/>
  <c r="O6" i="5"/>
  <c r="N6" i="5"/>
  <c r="L6" i="5"/>
  <c r="K6" i="5"/>
  <c r="J6" i="5"/>
  <c r="I6" i="5"/>
  <c r="H6" i="5"/>
  <c r="G6" i="5"/>
  <c r="E6" i="5"/>
  <c r="AP5" i="5"/>
  <c r="AQ5" i="5"/>
  <c r="AR5" i="5"/>
  <c r="AS5" i="5"/>
  <c r="AT5" i="5"/>
  <c r="AK5" i="5"/>
  <c r="AL5" i="5"/>
  <c r="AE5" i="5"/>
  <c r="Y5" i="5"/>
  <c r="S5" i="5"/>
  <c r="AI5" i="5"/>
  <c r="AJ5" i="5"/>
  <c r="AM5" i="5"/>
  <c r="AN5" i="5"/>
  <c r="AC5" i="5"/>
  <c r="AD5" i="5"/>
  <c r="AF5" i="5"/>
  <c r="AG5" i="5"/>
  <c r="W5" i="5"/>
  <c r="X5" i="5"/>
  <c r="Z5" i="5"/>
  <c r="AB5" i="5"/>
  <c r="Q5" i="5"/>
  <c r="R5" i="5"/>
  <c r="U5" i="5"/>
  <c r="V5" i="5"/>
  <c r="K5" i="5"/>
  <c r="L5" i="5"/>
  <c r="N5" i="5"/>
  <c r="O5" i="5"/>
  <c r="P5" i="5"/>
  <c r="H5" i="5"/>
  <c r="I5" i="5"/>
  <c r="J5" i="5"/>
  <c r="D6" i="5"/>
  <c r="D7" i="5"/>
  <c r="D8" i="5"/>
  <c r="D9" i="5"/>
  <c r="D10" i="5"/>
  <c r="D11" i="5"/>
  <c r="D12" i="5"/>
  <c r="D13" i="5"/>
  <c r="D14" i="5"/>
  <c r="D5" i="5"/>
  <c r="C6" i="5"/>
  <c r="C7" i="5"/>
  <c r="C8" i="5"/>
  <c r="C10" i="5"/>
  <c r="C11" i="5"/>
  <c r="C12" i="5"/>
  <c r="C13" i="5"/>
  <c r="C14" i="5"/>
  <c r="C5" i="5"/>
  <c r="B6" i="5"/>
  <c r="B7" i="5"/>
  <c r="B8" i="5"/>
  <c r="B9" i="5"/>
  <c r="B10" i="5"/>
  <c r="B11" i="5"/>
  <c r="B12" i="5"/>
  <c r="B13" i="5"/>
  <c r="B14" i="5"/>
  <c r="B5" i="5"/>
  <c r="B21" i="4" l="1"/>
  <c r="F14" i="4"/>
  <c r="B18" i="4" s="1"/>
  <c r="D14" i="4"/>
  <c r="B16" i="4" s="1"/>
  <c r="C14" i="4"/>
  <c r="B14" i="4"/>
  <c r="G14" i="4"/>
  <c r="B17" i="4" s="1"/>
  <c r="B20" i="4"/>
  <c r="J10" i="4"/>
  <c r="J7" i="4"/>
  <c r="J9" i="4"/>
  <c r="J4" i="4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4" i="4"/>
  <c r="I4" i="4" s="1"/>
  <c r="F1" i="1"/>
  <c r="G1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L1" i="1"/>
  <c r="G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J580" i="1"/>
  <c r="H14" i="4" l="1"/>
  <c r="I14" i="4"/>
  <c r="K11" i="4"/>
  <c r="B19" i="4"/>
</calcChain>
</file>

<file path=xl/sharedStrings.xml><?xml version="1.0" encoding="utf-8"?>
<sst xmlns="http://schemas.openxmlformats.org/spreadsheetml/2006/main" count="64105" uniqueCount="7795">
  <si>
    <t>No</t>
  </si>
  <si>
    <t xml:space="preserve"> Operator Site ID</t>
  </si>
  <si>
    <t>IHS  ID</t>
  </si>
  <si>
    <t>State</t>
  </si>
  <si>
    <t>Site Name</t>
  </si>
  <si>
    <t>Access Status</t>
  </si>
  <si>
    <t>Site Configuration</t>
  </si>
  <si>
    <t>Clusters</t>
  </si>
  <si>
    <t>Division</t>
  </si>
  <si>
    <t>Sub-Division</t>
  </si>
  <si>
    <t>Town</t>
  </si>
  <si>
    <t>Latitude</t>
  </si>
  <si>
    <t>Longitude</t>
  </si>
  <si>
    <t>Site Type</t>
  </si>
  <si>
    <t>T0353</t>
  </si>
  <si>
    <t>IHS_KSR_014</t>
  </si>
  <si>
    <t>Far North</t>
  </si>
  <si>
    <t>Zigague</t>
  </si>
  <si>
    <t>Red Zone</t>
  </si>
  <si>
    <t>Indoor</t>
  </si>
  <si>
    <t>Kousseri</t>
  </si>
  <si>
    <t>LOGONE ET CHARI</t>
  </si>
  <si>
    <t>WAZA</t>
  </si>
  <si>
    <t>Greenfield</t>
  </si>
  <si>
    <t>NRO_030</t>
  </si>
  <si>
    <t>IHS_BMD_206</t>
  </si>
  <si>
    <t>North West</t>
  </si>
  <si>
    <t>Zhoa</t>
  </si>
  <si>
    <t>Outdoor</t>
  </si>
  <si>
    <t>Bafut</t>
  </si>
  <si>
    <t>MENCHUM</t>
  </si>
  <si>
    <t>Bamenda</t>
  </si>
  <si>
    <t>SUO_070</t>
  </si>
  <si>
    <t>IHS_BUA_047</t>
  </si>
  <si>
    <t>South West</t>
  </si>
  <si>
    <t>Yoke</t>
  </si>
  <si>
    <t>Red Zone - No Access</t>
  </si>
  <si>
    <t>Buea</t>
  </si>
  <si>
    <t>FAKO</t>
  </si>
  <si>
    <t>Muyuka</t>
  </si>
  <si>
    <t>T1663</t>
  </si>
  <si>
    <t>IHS_NGD_217</t>
  </si>
  <si>
    <t>Adamawa</t>
  </si>
  <si>
    <t xml:space="preserve">YARBANG GAZIYA        </t>
  </si>
  <si>
    <t>Ngaoundere</t>
  </si>
  <si>
    <t>MBERE</t>
  </si>
  <si>
    <t>DJOHONG</t>
  </si>
  <si>
    <t>Meiganga</t>
  </si>
  <si>
    <t>T1707</t>
  </si>
  <si>
    <t>IHS_DLA_417</t>
  </si>
  <si>
    <t>Littoral</t>
  </si>
  <si>
    <t>Yansoki</t>
  </si>
  <si>
    <t>Yassa</t>
  </si>
  <si>
    <t>WOURI</t>
  </si>
  <si>
    <t>Douala 3</t>
  </si>
  <si>
    <t>Douala</t>
  </si>
  <si>
    <t>EXN_127</t>
  </si>
  <si>
    <t>IHS_MAR_307</t>
  </si>
  <si>
    <t>Wina</t>
  </si>
  <si>
    <t>Yagoua</t>
  </si>
  <si>
    <t>Mayo-DANAY</t>
  </si>
  <si>
    <t>Maroua</t>
  </si>
  <si>
    <t>T1839</t>
  </si>
  <si>
    <t>IHS_LMB_010</t>
  </si>
  <si>
    <t>Upper Mawo</t>
  </si>
  <si>
    <t>Limbe</t>
  </si>
  <si>
    <t>LIMBE I</t>
  </si>
  <si>
    <t>T2148</t>
  </si>
  <si>
    <t>IHS_MAR_216</t>
  </si>
  <si>
    <t>TOULOUM</t>
  </si>
  <si>
    <t>Mayo-kani</t>
  </si>
  <si>
    <t>Touloum</t>
  </si>
  <si>
    <t>EST_116</t>
  </si>
  <si>
    <t>IHS_BER_160</t>
  </si>
  <si>
    <t>East</t>
  </si>
  <si>
    <t>Tongo Ngandinma</t>
  </si>
  <si>
    <t>Garoua Boulai</t>
  </si>
  <si>
    <t>LOM-ET-DJEREM</t>
  </si>
  <si>
    <t>Goura</t>
  </si>
  <si>
    <t>Bertoua</t>
  </si>
  <si>
    <t>T1780</t>
  </si>
  <si>
    <t>IHS_BUA_167</t>
  </si>
  <si>
    <t>Tole Tea</t>
  </si>
  <si>
    <t>T1693</t>
  </si>
  <si>
    <t>IHS_BUA_011</t>
  </si>
  <si>
    <t>Tole 2</t>
  </si>
  <si>
    <t>SUO_040</t>
  </si>
  <si>
    <t>IHS_KMB_054</t>
  </si>
  <si>
    <t>Tinto</t>
  </si>
  <si>
    <t>Red Zone-No Access</t>
  </si>
  <si>
    <t>Mamfé</t>
  </si>
  <si>
    <t>MANYU</t>
  </si>
  <si>
    <t>Mamfe</t>
  </si>
  <si>
    <t>T2885</t>
  </si>
  <si>
    <t>IHS_KSR_107</t>
  </si>
  <si>
    <t>TIKA</t>
  </si>
  <si>
    <t>Vandalized</t>
  </si>
  <si>
    <t>HILE ALIFA</t>
  </si>
  <si>
    <t>Off Air</t>
  </si>
  <si>
    <t>T1412</t>
  </si>
  <si>
    <t>IHS_NGD_209</t>
  </si>
  <si>
    <t>TEKEL</t>
  </si>
  <si>
    <t>Tibati</t>
  </si>
  <si>
    <t>TIBATI</t>
  </si>
  <si>
    <t>NGAOUNDAL</t>
  </si>
  <si>
    <t>T1312</t>
  </si>
  <si>
    <t>IHS_KMB_020</t>
  </si>
  <si>
    <t>Teke</t>
  </si>
  <si>
    <t>Kumba</t>
  </si>
  <si>
    <t>Meme</t>
  </si>
  <si>
    <t>Kumba 3</t>
  </si>
  <si>
    <t>T1668</t>
  </si>
  <si>
    <t>IHS_BMD_2217</t>
  </si>
  <si>
    <t xml:space="preserve">TATUM </t>
  </si>
  <si>
    <t>Nkambe</t>
  </si>
  <si>
    <t>BUI</t>
  </si>
  <si>
    <t>Nkum</t>
  </si>
  <si>
    <t>OST_092</t>
  </si>
  <si>
    <t>IHS_NGD_096</t>
  </si>
  <si>
    <t>Taram-FH</t>
  </si>
  <si>
    <t>BANYO</t>
  </si>
  <si>
    <t>Banyo</t>
  </si>
  <si>
    <t>T2894</t>
  </si>
  <si>
    <t>IHS_KSR_101</t>
  </si>
  <si>
    <t xml:space="preserve">TANNE </t>
  </si>
  <si>
    <t>GOULFEY</t>
  </si>
  <si>
    <t>T2146</t>
  </si>
  <si>
    <t>IHS_KMB_105</t>
  </si>
  <si>
    <t>TALI</t>
  </si>
  <si>
    <t>CTR_206</t>
  </si>
  <si>
    <t>IHS_YND_550</t>
  </si>
  <si>
    <t>West</t>
  </si>
  <si>
    <t>TALBA</t>
  </si>
  <si>
    <t>Bafia</t>
  </si>
  <si>
    <t>MBAM ET KIM</t>
  </si>
  <si>
    <t>Mbangassina</t>
  </si>
  <si>
    <t>Yaounde</t>
  </si>
  <si>
    <t>T1475</t>
  </si>
  <si>
    <t>IHS_BMD_078</t>
  </si>
  <si>
    <t>TADU</t>
  </si>
  <si>
    <t>Kumbo</t>
  </si>
  <si>
    <t>Tadu</t>
  </si>
  <si>
    <t>T1518</t>
  </si>
  <si>
    <t>IHS_BMD_2223</t>
  </si>
  <si>
    <t xml:space="preserve">SONGKOLONG </t>
  </si>
  <si>
    <t>Foumban</t>
  </si>
  <si>
    <t>Mayo Banyo</t>
  </si>
  <si>
    <t>Bankim</t>
  </si>
  <si>
    <t>LIT_212</t>
  </si>
  <si>
    <t>IHS_MBG_030</t>
  </si>
  <si>
    <t>Sole</t>
  </si>
  <si>
    <t>Loum</t>
  </si>
  <si>
    <t>MOUNGO</t>
  </si>
  <si>
    <t>yabassi</t>
  </si>
  <si>
    <t>Nkongsamba</t>
  </si>
  <si>
    <t>LIT_506</t>
  </si>
  <si>
    <t>IHS_EDA_064</t>
  </si>
  <si>
    <t>Sokelle</t>
  </si>
  <si>
    <t>Pouma 2</t>
  </si>
  <si>
    <t>SANAGA-MARITIME</t>
  </si>
  <si>
    <t>POUMA</t>
  </si>
  <si>
    <t>Edea</t>
  </si>
  <si>
    <t>T1666</t>
  </si>
  <si>
    <t>IHS_EDA_058</t>
  </si>
  <si>
    <t>SOHOCK</t>
  </si>
  <si>
    <t>Bafang</t>
  </si>
  <si>
    <t>Nkam</t>
  </si>
  <si>
    <t>Nkondjock</t>
  </si>
  <si>
    <t>NRD_125</t>
  </si>
  <si>
    <t>IHS_GAR_325</t>
  </si>
  <si>
    <t>North</t>
  </si>
  <si>
    <t>So-Djay</t>
  </si>
  <si>
    <t>Garoua 2</t>
  </si>
  <si>
    <t>MAYO- LOUTI</t>
  </si>
  <si>
    <t>Guider</t>
  </si>
  <si>
    <t>Garoua</t>
  </si>
  <si>
    <t>LIT_515</t>
  </si>
  <si>
    <t>IHS_EDA_069</t>
  </si>
  <si>
    <t>Sodibanga</t>
  </si>
  <si>
    <t>Pouma 1</t>
  </si>
  <si>
    <t>T1615</t>
  </si>
  <si>
    <t>IHS_YND_323</t>
  </si>
  <si>
    <t>Center</t>
  </si>
  <si>
    <t>SOA VILLAGE</t>
  </si>
  <si>
    <t>OMNISPORT</t>
  </si>
  <si>
    <t>MFOUNDI</t>
  </si>
  <si>
    <t>SOA</t>
  </si>
  <si>
    <t>T1767</t>
  </si>
  <si>
    <t>IHS_KMB_019</t>
  </si>
  <si>
    <t>Small Ekombe</t>
  </si>
  <si>
    <t>Mbonge</t>
  </si>
  <si>
    <t>T2816</t>
  </si>
  <si>
    <t>IHS_BMD_0065</t>
  </si>
  <si>
    <t>Small Babanki</t>
  </si>
  <si>
    <t>Bamenda 1</t>
  </si>
  <si>
    <t>MEZAM</t>
  </si>
  <si>
    <t>Tubah</t>
  </si>
  <si>
    <t>LIT_388</t>
  </si>
  <si>
    <t>IHS_EDA_024</t>
  </si>
  <si>
    <t>Sikoum-II</t>
  </si>
  <si>
    <t>Dibamba</t>
  </si>
  <si>
    <t>T0762</t>
  </si>
  <si>
    <t>IHS_EDA_025</t>
  </si>
  <si>
    <t>Sikom Mtn</t>
  </si>
  <si>
    <t>Edea 1</t>
  </si>
  <si>
    <t>LIT_507</t>
  </si>
  <si>
    <t>IHS_YND_700</t>
  </si>
  <si>
    <t>Sibongo</t>
  </si>
  <si>
    <t xml:space="preserve">NYONG-ET-KELLE </t>
  </si>
  <si>
    <t>Dibang</t>
  </si>
  <si>
    <t>T1808</t>
  </si>
  <si>
    <t>IHS_BER_105</t>
  </si>
  <si>
    <t>SFID NDENG</t>
  </si>
  <si>
    <t>Yokadouma</t>
  </si>
  <si>
    <t>Yokadouma (Mboumba et Ngoko) </t>
  </si>
  <si>
    <t>Sfdi deng </t>
  </si>
  <si>
    <t>T2143</t>
  </si>
  <si>
    <t>IHS_BER_106</t>
  </si>
  <si>
    <t>SALAPOUMBE VILLE</t>
  </si>
  <si>
    <t>Salapoumbe </t>
  </si>
  <si>
    <t>NRO_048</t>
  </si>
  <si>
    <t>IHS_BMD_321</t>
  </si>
  <si>
    <t>Sabga</t>
  </si>
  <si>
    <t>T2013</t>
  </si>
  <si>
    <t>IHS_MAR_209</t>
  </si>
  <si>
    <t>ROUA</t>
  </si>
  <si>
    <t>Mayo-Tsanaga</t>
  </si>
  <si>
    <t>Soulédé-Roua</t>
  </si>
  <si>
    <t>LIT_513</t>
  </si>
  <si>
    <t>IHS_EDA_068</t>
  </si>
  <si>
    <t>Poutkak</t>
  </si>
  <si>
    <t>NRD_119</t>
  </si>
  <si>
    <t>IHS_GAR_330</t>
  </si>
  <si>
    <t>Poli ville</t>
  </si>
  <si>
    <t>Garoua 1</t>
  </si>
  <si>
    <t>VINA</t>
  </si>
  <si>
    <t>Poli</t>
  </si>
  <si>
    <t>T2836</t>
  </si>
  <si>
    <t>IHS_BMD_2214</t>
  </si>
  <si>
    <t>Pinyin Ngali</t>
  </si>
  <si>
    <t>OutDoor</t>
  </si>
  <si>
    <t>Bamenda 2</t>
  </si>
  <si>
    <t>T2781</t>
  </si>
  <si>
    <t>IHS_BAF_105</t>
  </si>
  <si>
    <t>PENKA MICHEL</t>
  </si>
  <si>
    <t>Bafoussam1</t>
  </si>
  <si>
    <t>MENOUA</t>
  </si>
  <si>
    <t>Bafoussam</t>
  </si>
  <si>
    <t>T2142</t>
  </si>
  <si>
    <t>IHS_SGM_100</t>
  </si>
  <si>
    <t>South</t>
  </si>
  <si>
    <t>OVENG</t>
  </si>
  <si>
    <t>Djoum</t>
  </si>
  <si>
    <t>DJA-ET-LOBO</t>
  </si>
  <si>
    <t>COMMUNE DE OVENG</t>
  </si>
  <si>
    <t>NRD_124</t>
  </si>
  <si>
    <t>IHS_GAR_333</t>
  </si>
  <si>
    <t xml:space="preserve">Ouro Be </t>
  </si>
  <si>
    <t>BENOUE</t>
  </si>
  <si>
    <t>Pitoa</t>
  </si>
  <si>
    <t>EST_114</t>
  </si>
  <si>
    <t>IHS_BER_159</t>
  </si>
  <si>
    <t>Ouli</t>
  </si>
  <si>
    <t>Batouri</t>
  </si>
  <si>
    <t>Batouri (Kadey) </t>
  </si>
  <si>
    <t>Kette </t>
  </si>
  <si>
    <t>SUD_038</t>
  </si>
  <si>
    <t>IHS_EBO_102</t>
  </si>
  <si>
    <t>Olamze-IHS</t>
  </si>
  <si>
    <t>AMBAM</t>
  </si>
  <si>
    <t>NTEM</t>
  </si>
  <si>
    <t>Olamze</t>
  </si>
  <si>
    <t>CTR_441</t>
  </si>
  <si>
    <t>IHS_YND_687</t>
  </si>
  <si>
    <t>OLAMA</t>
  </si>
  <si>
    <t>BARRIERE 1</t>
  </si>
  <si>
    <t xml:space="preserve">MEFOU-ET-AKONO </t>
  </si>
  <si>
    <t>AKONO</t>
  </si>
  <si>
    <t>T1765</t>
  </si>
  <si>
    <t>IHS_KMB_078</t>
  </si>
  <si>
    <t>Okoroba</t>
  </si>
  <si>
    <t>Manyu</t>
  </si>
  <si>
    <t>Eyumodjock</t>
  </si>
  <si>
    <t>T1626</t>
  </si>
  <si>
    <t>IHS_YND_354</t>
  </si>
  <si>
    <t>OBALA CARREFOUR</t>
  </si>
  <si>
    <t>Obala</t>
  </si>
  <si>
    <t xml:space="preserve">LEKIE </t>
  </si>
  <si>
    <t>OBALA</t>
  </si>
  <si>
    <t>T1289</t>
  </si>
  <si>
    <t>IHS_KRI_006</t>
  </si>
  <si>
    <t>Nziou Kribi</t>
  </si>
  <si>
    <t>Kribi 1</t>
  </si>
  <si>
    <t>OCEAN</t>
  </si>
  <si>
    <t>LIT_349</t>
  </si>
  <si>
    <t>IHS_EDA_051</t>
  </si>
  <si>
    <t>Nyanon</t>
  </si>
  <si>
    <t>NKOLBISSON</t>
  </si>
  <si>
    <t xml:space="preserve">HAUTE-SANAGA </t>
  </si>
  <si>
    <t>NYANON</t>
  </si>
  <si>
    <t>T1588</t>
  </si>
  <si>
    <t>IHS_EBO_026</t>
  </si>
  <si>
    <t>Ntoumou centre Maan</t>
  </si>
  <si>
    <t>Ma'an</t>
  </si>
  <si>
    <t>NRO_056</t>
  </si>
  <si>
    <t>IHS_BMD_320</t>
  </si>
  <si>
    <t>Donga Mantoum</t>
  </si>
  <si>
    <t>Nwa</t>
  </si>
  <si>
    <t>T2022</t>
  </si>
  <si>
    <t>IHS_EBO_100</t>
  </si>
  <si>
    <t>NSELANG</t>
  </si>
  <si>
    <t>Ebolowa</t>
  </si>
  <si>
    <t>MVILLA</t>
  </si>
  <si>
    <t>biwong boulou</t>
  </si>
  <si>
    <t>CTR_297</t>
  </si>
  <si>
    <t>IHS_YND_463</t>
  </si>
  <si>
    <t>Nomale</t>
  </si>
  <si>
    <t>Mbam et inoubou</t>
  </si>
  <si>
    <t>Ndikinimeki</t>
  </si>
  <si>
    <t>SUD_050</t>
  </si>
  <si>
    <t>IHS_SGM_108</t>
  </si>
  <si>
    <t>NKOUMADJAP II</t>
  </si>
  <si>
    <t>Sangmelima</t>
  </si>
  <si>
    <t>NYON-ET-SO'O</t>
  </si>
  <si>
    <t>COMMUNE DE SANGMELIMA</t>
  </si>
  <si>
    <t>T2766</t>
  </si>
  <si>
    <t>IHS_BMD_2216</t>
  </si>
  <si>
    <t>NKOR</t>
  </si>
  <si>
    <t>Bui</t>
  </si>
  <si>
    <t>Nkor</t>
  </si>
  <si>
    <t>LIT_169</t>
  </si>
  <si>
    <t>IHS_NKS_100</t>
  </si>
  <si>
    <t>Nkong-Q3 CIM</t>
  </si>
  <si>
    <t>nkongsamba 2</t>
  </si>
  <si>
    <t>CTR_531</t>
  </si>
  <si>
    <t>IHS_YND_705</t>
  </si>
  <si>
    <t>Nkolve</t>
  </si>
  <si>
    <t>MONATELE</t>
  </si>
  <si>
    <t>CTR_442</t>
  </si>
  <si>
    <t>IHS_YND_554</t>
  </si>
  <si>
    <t>NKOLMEYANG</t>
  </si>
  <si>
    <t>Mbalmayo</t>
  </si>
  <si>
    <t>ngomedzap</t>
  </si>
  <si>
    <t>CTR_440</t>
  </si>
  <si>
    <t>IHS_YND_553</t>
  </si>
  <si>
    <t>Nkolbewae</t>
  </si>
  <si>
    <t>T1473</t>
  </si>
  <si>
    <t>IHS_BMD_066</t>
  </si>
  <si>
    <t>Nkar</t>
  </si>
  <si>
    <t>Jakiri</t>
  </si>
  <si>
    <t>LIT_514</t>
  </si>
  <si>
    <t>IHS_YND_701</t>
  </si>
  <si>
    <t>NKAN</t>
  </si>
  <si>
    <t>T0245</t>
  </si>
  <si>
    <t>IHS_MBG_008</t>
  </si>
  <si>
    <t>Njombe SDH</t>
  </si>
  <si>
    <t>Mbanga</t>
  </si>
  <si>
    <t>njombe penja</t>
  </si>
  <si>
    <t>T1298</t>
  </si>
  <si>
    <t>IHS_MBG_028</t>
  </si>
  <si>
    <t>Njombe Kompita</t>
  </si>
  <si>
    <t>njombe  penja</t>
  </si>
  <si>
    <t>T1503</t>
  </si>
  <si>
    <t>IHS_BMD_061</t>
  </si>
  <si>
    <t>Njikwa town</t>
  </si>
  <si>
    <t>Momo</t>
  </si>
  <si>
    <t>Njikwa</t>
  </si>
  <si>
    <t>T1948</t>
  </si>
  <si>
    <t>IHS_KMB_104</t>
  </si>
  <si>
    <t>NGUSI</t>
  </si>
  <si>
    <t>Tombel</t>
  </si>
  <si>
    <t>CTR_299</t>
  </si>
  <si>
    <t>IHS_YND_433</t>
  </si>
  <si>
    <t>Nguila</t>
  </si>
  <si>
    <t>N'TUI</t>
  </si>
  <si>
    <t>NTUI</t>
  </si>
  <si>
    <t>T0575</t>
  </si>
  <si>
    <t>IHS_EDA_019</t>
  </si>
  <si>
    <t>Ngoulmepa</t>
  </si>
  <si>
    <t>Edea 2</t>
  </si>
  <si>
    <t>CTR_300</t>
  </si>
  <si>
    <t>IHS_YND_454</t>
  </si>
  <si>
    <t>Ngouetou</t>
  </si>
  <si>
    <t>YOKO</t>
  </si>
  <si>
    <t>T1598</t>
  </si>
  <si>
    <t>IHS_YND_593</t>
  </si>
  <si>
    <t xml:space="preserve">Ngonga Water Tower </t>
  </si>
  <si>
    <t>T2136</t>
  </si>
  <si>
    <t>IHS_YND_678</t>
  </si>
  <si>
    <t>NGOMEDZAP</t>
  </si>
  <si>
    <t>LIT_121</t>
  </si>
  <si>
    <t>IHS_EDA_101</t>
  </si>
  <si>
    <t xml:space="preserve">NGOG MBOG </t>
  </si>
  <si>
    <t>OST_219</t>
  </si>
  <si>
    <t>IHS_FBN_055</t>
  </si>
  <si>
    <t>Ngbetnsouen</t>
  </si>
  <si>
    <t>Foumbot</t>
  </si>
  <si>
    <t>Noun</t>
  </si>
  <si>
    <t>Kouoptamo</t>
  </si>
  <si>
    <t>T0892</t>
  </si>
  <si>
    <t>IHS_GAR_071</t>
  </si>
  <si>
    <t>Ngaouyanga</t>
  </si>
  <si>
    <t>mbe</t>
  </si>
  <si>
    <t>ADM_127</t>
  </si>
  <si>
    <t>IHS_NGD_226</t>
  </si>
  <si>
    <t xml:space="preserve">Ngaoundere University II </t>
  </si>
  <si>
    <t>NGAOUNDERE 3</t>
  </si>
  <si>
    <t>T1642</t>
  </si>
  <si>
    <t>IHS_FBN_104</t>
  </si>
  <si>
    <t>Ngambe Tikar</t>
  </si>
  <si>
    <t>Ngambe tikar</t>
  </si>
  <si>
    <t>ADM_023</t>
  </si>
  <si>
    <t>IHS_NGD_053</t>
  </si>
  <si>
    <t>Ngam</t>
  </si>
  <si>
    <t>CTR_054</t>
  </si>
  <si>
    <t>IHS_YND_445</t>
  </si>
  <si>
    <t>Ndoussan</t>
  </si>
  <si>
    <t>Kon-yambetta</t>
  </si>
  <si>
    <t>OST_207</t>
  </si>
  <si>
    <t>IHS_FBN_046</t>
  </si>
  <si>
    <t>Ndoumken</t>
  </si>
  <si>
    <t>T2025</t>
  </si>
  <si>
    <t>IHS_MBG_026</t>
  </si>
  <si>
    <t>NDOULOU(Abo SOUTH / Mukulang)</t>
  </si>
  <si>
    <t>bonalea</t>
  </si>
  <si>
    <t>EXN_073</t>
  </si>
  <si>
    <t>IHS_MAR_049</t>
  </si>
  <si>
    <t>Ndoukoula</t>
  </si>
  <si>
    <t>T1654</t>
  </si>
  <si>
    <t>IHS_EDA_055</t>
  </si>
  <si>
    <t>NDJOKLOUMBE</t>
  </si>
  <si>
    <t>T2823</t>
  </si>
  <si>
    <t>IHS_BMD_2224</t>
  </si>
  <si>
    <t xml:space="preserve">Nchum </t>
  </si>
  <si>
    <t>T2761</t>
  </si>
  <si>
    <t>IHS_EBO_109</t>
  </si>
  <si>
    <t>Mvangan</t>
  </si>
  <si>
    <t>COMMUNE DE MVANGAN</t>
  </si>
  <si>
    <t>T1321</t>
  </si>
  <si>
    <t>IHS_BUA_126</t>
  </si>
  <si>
    <t>MUTENGUENE Q12</t>
  </si>
  <si>
    <t>Mutenguene</t>
  </si>
  <si>
    <t>TIKO</t>
  </si>
  <si>
    <t>SUO_064</t>
  </si>
  <si>
    <t>IHS_BUA_032</t>
  </si>
  <si>
    <t>Mutengene-Qter8</t>
  </si>
  <si>
    <t>T0783</t>
  </si>
  <si>
    <t>IHS_LMB_028</t>
  </si>
  <si>
    <t>Mutengene OMBE</t>
  </si>
  <si>
    <t>T1800</t>
  </si>
  <si>
    <t>IHS_BUA_054</t>
  </si>
  <si>
    <t>Munyenge Trouble</t>
  </si>
  <si>
    <t>T1887</t>
  </si>
  <si>
    <t>IHS_BUA_101</t>
  </si>
  <si>
    <t>Munyenge Bafia</t>
  </si>
  <si>
    <t>SUO_020</t>
  </si>
  <si>
    <t>IHS_KMB_049</t>
  </si>
  <si>
    <t>Mundemba</t>
  </si>
  <si>
    <t>Ekondo Titi</t>
  </si>
  <si>
    <t>NDIAN</t>
  </si>
  <si>
    <t>EXN_136</t>
  </si>
  <si>
    <t>IHS_MAR_351</t>
  </si>
  <si>
    <t xml:space="preserve">Mousgoy </t>
  </si>
  <si>
    <t>EXN_175</t>
  </si>
  <si>
    <t>IHS_MAR_368</t>
  </si>
  <si>
    <t>Moude</t>
  </si>
  <si>
    <t>Mogode</t>
  </si>
  <si>
    <t>EXN_186</t>
  </si>
  <si>
    <t>IHS_MAR_342</t>
  </si>
  <si>
    <t>Mouda</t>
  </si>
  <si>
    <t>Moutourwa</t>
  </si>
  <si>
    <t>T1403</t>
  </si>
  <si>
    <t>IHS_MAR_044</t>
  </si>
  <si>
    <t>Mokong</t>
  </si>
  <si>
    <t>Mokolo</t>
  </si>
  <si>
    <t>LIT_227</t>
  </si>
  <si>
    <t>IHS_DLA_296</t>
  </si>
  <si>
    <t>Missole</t>
  </si>
  <si>
    <t>T0591</t>
  </si>
  <si>
    <t>IHS_YND_458</t>
  </si>
  <si>
    <t>Minta</t>
  </si>
  <si>
    <t>Nanga Eboko</t>
  </si>
  <si>
    <t>T0917</t>
  </si>
  <si>
    <t>IHS_YND_371</t>
  </si>
  <si>
    <t>Minka</t>
  </si>
  <si>
    <t>MAKAK</t>
  </si>
  <si>
    <t>T2133</t>
  </si>
  <si>
    <t>IHS_BER_104</t>
  </si>
  <si>
    <t>MINDOUROU  GRUMCAM</t>
  </si>
  <si>
    <t>Mindourou Grumcam </t>
  </si>
  <si>
    <t>T1515</t>
  </si>
  <si>
    <t>IHS_BUA_168</t>
  </si>
  <si>
    <t>MILE 4 Q10</t>
  </si>
  <si>
    <t>LIMBE 1</t>
  </si>
  <si>
    <t>T1692</t>
  </si>
  <si>
    <t>IHS_BUA_020</t>
  </si>
  <si>
    <t>MILE 16 BUEA</t>
  </si>
  <si>
    <t>BUEA</t>
  </si>
  <si>
    <t>T0916</t>
  </si>
  <si>
    <t>IHS_SGM_024</t>
  </si>
  <si>
    <t>Meveme</t>
  </si>
  <si>
    <t>COMMUNE DE MINTOM</t>
  </si>
  <si>
    <t>T0880</t>
  </si>
  <si>
    <t>IHS_MAR_032</t>
  </si>
  <si>
    <t>Meskin</t>
  </si>
  <si>
    <t>Diamare</t>
  </si>
  <si>
    <t>Maroua1</t>
  </si>
  <si>
    <t>T2021</t>
  </si>
  <si>
    <t>IHS_EBO_106</t>
  </si>
  <si>
    <t>MEMVELE</t>
  </si>
  <si>
    <t>EXN_169</t>
  </si>
  <si>
    <t>IHS_MAR_341</t>
  </si>
  <si>
    <t>MEME II</t>
  </si>
  <si>
    <t>Mayo-Sava</t>
  </si>
  <si>
    <t>Mora</t>
  </si>
  <si>
    <t>SUD_256</t>
  </si>
  <si>
    <t>IHS_EBO_016</t>
  </si>
  <si>
    <t>Melane</t>
  </si>
  <si>
    <t>MENGONG</t>
  </si>
  <si>
    <t>OST_029</t>
  </si>
  <si>
    <t>IHS_KMB_075</t>
  </si>
  <si>
    <t>Meguia</t>
  </si>
  <si>
    <t>Dschang</t>
  </si>
  <si>
    <t>DSCHANG</t>
  </si>
  <si>
    <t>T1650</t>
  </si>
  <si>
    <t>IHS_EBO_1032</t>
  </si>
  <si>
    <t>MBPIKILIKI</t>
  </si>
  <si>
    <t>LOLODORF</t>
  </si>
  <si>
    <t>NRO_057</t>
  </si>
  <si>
    <t>IHS_BMD_312</t>
  </si>
  <si>
    <t>Mbonso</t>
  </si>
  <si>
    <t>mbiame</t>
  </si>
  <si>
    <t>SUO_134</t>
  </si>
  <si>
    <t>IHS_KMB_109</t>
  </si>
  <si>
    <t>T1465</t>
  </si>
  <si>
    <t>IHS_BMD_087</t>
  </si>
  <si>
    <t>MBIYEH</t>
  </si>
  <si>
    <t>Ndu</t>
  </si>
  <si>
    <t>SUD_069</t>
  </si>
  <si>
    <t>IHS_SGM_109</t>
  </si>
  <si>
    <t>Mbile</t>
  </si>
  <si>
    <t>NRO_236</t>
  </si>
  <si>
    <t>IHS_BMD_091</t>
  </si>
  <si>
    <t>Mbiame</t>
  </si>
  <si>
    <t>T1831</t>
  </si>
  <si>
    <t>IHS_BMD_2250</t>
  </si>
  <si>
    <t xml:space="preserve">Mbengwi Water Tank </t>
  </si>
  <si>
    <t>Mbengwi</t>
  </si>
  <si>
    <t>T1488</t>
  </si>
  <si>
    <t>IHS_BMD_034</t>
  </si>
  <si>
    <t>Mbengwi Mile 17</t>
  </si>
  <si>
    <t>T1167</t>
  </si>
  <si>
    <t>IHS_BMD_016</t>
  </si>
  <si>
    <t>MBATU</t>
  </si>
  <si>
    <t>CTR_528</t>
  </si>
  <si>
    <t>IHS_YND_695</t>
  </si>
  <si>
    <t>Mbankomo IHS</t>
  </si>
  <si>
    <t>MBANKOMO</t>
  </si>
  <si>
    <t>T1339</t>
  </si>
  <si>
    <t>IHS_DLA_473</t>
  </si>
  <si>
    <t>MBANGA PONGO 2</t>
  </si>
  <si>
    <t>CTR_303</t>
  </si>
  <si>
    <t>IHS_YND_477</t>
  </si>
  <si>
    <t>Mbam</t>
  </si>
  <si>
    <t>EST_074</t>
  </si>
  <si>
    <t>IHS_BER_050</t>
  </si>
  <si>
    <t>Mazabe</t>
  </si>
  <si>
    <t>Abong Mbang</t>
  </si>
  <si>
    <t>HAUT-NYONG</t>
  </si>
  <si>
    <t>ABONGMBANG</t>
  </si>
  <si>
    <t>EXN_162</t>
  </si>
  <si>
    <t>IHS_MAR_361</t>
  </si>
  <si>
    <t>Mayo Kaba</t>
  </si>
  <si>
    <t>Hina</t>
  </si>
  <si>
    <t>T1821</t>
  </si>
  <si>
    <t>IHS_NGD_102</t>
  </si>
  <si>
    <t>Mayo Baleo Ville</t>
  </si>
  <si>
    <t>MAYO BALEO</t>
  </si>
  <si>
    <t>CTR_301</t>
  </si>
  <si>
    <t>IHS_YND_460</t>
  </si>
  <si>
    <t>Matsari</t>
  </si>
  <si>
    <t>EXN_066</t>
  </si>
  <si>
    <t>IHS_MAR_011</t>
  </si>
  <si>
    <t>Maroua-Stade</t>
  </si>
  <si>
    <t>OST_201</t>
  </si>
  <si>
    <t>IHS_FBN_053</t>
  </si>
  <si>
    <t>Mantoum Ville</t>
  </si>
  <si>
    <t>Malantouen</t>
  </si>
  <si>
    <t>LIT_519</t>
  </si>
  <si>
    <t>IHS_EDA_070</t>
  </si>
  <si>
    <t>Mandjap</t>
  </si>
  <si>
    <t>T1643</t>
  </si>
  <si>
    <t>IHS_MAR_312</t>
  </si>
  <si>
    <t xml:space="preserve">Mandama </t>
  </si>
  <si>
    <t>CTR_097</t>
  </si>
  <si>
    <t>IHS_YND_350</t>
  </si>
  <si>
    <t>Mambine</t>
  </si>
  <si>
    <t>CTR_356</t>
  </si>
  <si>
    <t>IHS_YND_376</t>
  </si>
  <si>
    <t>Mamb</t>
  </si>
  <si>
    <t>BARRIERE 2</t>
  </si>
  <si>
    <t>T0355</t>
  </si>
  <si>
    <t>IHS_GAR_052</t>
  </si>
  <si>
    <t>Maltam</t>
  </si>
  <si>
    <t>MAKARY</t>
  </si>
  <si>
    <t>T0236</t>
  </si>
  <si>
    <t>IHS_YND_373</t>
  </si>
  <si>
    <t>Maloun</t>
  </si>
  <si>
    <t>LIT_167</t>
  </si>
  <si>
    <t>IHS_DLA_411</t>
  </si>
  <si>
    <t>Makepe-Ecole-Sira</t>
  </si>
  <si>
    <t>Beedi</t>
  </si>
  <si>
    <t>Douala 5</t>
  </si>
  <si>
    <t>Rooftop</t>
  </si>
  <si>
    <t>LIT_397</t>
  </si>
  <si>
    <t>IHS_DLA_222</t>
  </si>
  <si>
    <t>Makepe-Chefferie</t>
  </si>
  <si>
    <t>EXN_128</t>
  </si>
  <si>
    <t>IHS_GAR_342</t>
  </si>
  <si>
    <t>MAGADA</t>
  </si>
  <si>
    <t>Kaele</t>
  </si>
  <si>
    <t>T2893</t>
  </si>
  <si>
    <t>IHS_KSR_102</t>
  </si>
  <si>
    <t xml:space="preserve">MADA </t>
  </si>
  <si>
    <t>T1359</t>
  </si>
  <si>
    <t>IHS_DLA_468</t>
  </si>
  <si>
    <t>MABANDA 3</t>
  </si>
  <si>
    <t>Bonaberi 1</t>
  </si>
  <si>
    <t>Douala 4</t>
  </si>
  <si>
    <t>SUD_037</t>
  </si>
  <si>
    <t>IHS_EBO_105</t>
  </si>
  <si>
    <t>Maan-IHS</t>
  </si>
  <si>
    <t>T1894</t>
  </si>
  <si>
    <t>IHS_MBG_027</t>
  </si>
  <si>
    <t>Loum Bonkeng</t>
  </si>
  <si>
    <t xml:space="preserve">loum   </t>
  </si>
  <si>
    <t>EST_072</t>
  </si>
  <si>
    <t>IHS_BER_015</t>
  </si>
  <si>
    <t>Longtimbi</t>
  </si>
  <si>
    <t>Bertoua 1</t>
  </si>
  <si>
    <t>LIT_508</t>
  </si>
  <si>
    <t>IHS_EDA_060</t>
  </si>
  <si>
    <t>Logbong</t>
  </si>
  <si>
    <t>T1606</t>
  </si>
  <si>
    <t>IHS_YND_342</t>
  </si>
  <si>
    <t>LOBO</t>
  </si>
  <si>
    <t>T1175</t>
  </si>
  <si>
    <t>IHS_LMB_114</t>
  </si>
  <si>
    <t>Limbe College Excellence</t>
  </si>
  <si>
    <t>LIMBE 2</t>
  </si>
  <si>
    <t>T0207</t>
  </si>
  <si>
    <t>IHS_NGD_031</t>
  </si>
  <si>
    <t>Lere</t>
  </si>
  <si>
    <t>CTR_533</t>
  </si>
  <si>
    <t>IHS_YND_703</t>
  </si>
  <si>
    <t>Lengom</t>
  </si>
  <si>
    <t>NRO_044</t>
  </si>
  <si>
    <t>IHS_BMD_316</t>
  </si>
  <si>
    <t>Lassin</t>
  </si>
  <si>
    <t>EXN_102</t>
  </si>
  <si>
    <t>IHS_MAR_211</t>
  </si>
  <si>
    <t>Lara</t>
  </si>
  <si>
    <t>lara</t>
  </si>
  <si>
    <t>T1680</t>
  </si>
  <si>
    <t>IHS_EBO_104</t>
  </si>
  <si>
    <t>KYEOSSI AKOMBANG</t>
  </si>
  <si>
    <t>Kyeossi</t>
  </si>
  <si>
    <t>T1769</t>
  </si>
  <si>
    <t>IHS_KMB_016</t>
  </si>
  <si>
    <t>Kumba Barombi Kan</t>
  </si>
  <si>
    <t>MEME</t>
  </si>
  <si>
    <t>SUD_053</t>
  </si>
  <si>
    <t>IHS_KRI_102</t>
  </si>
  <si>
    <t>Kribi Mpalla  (Bitolno)</t>
  </si>
  <si>
    <t>Kribi 2</t>
  </si>
  <si>
    <t>T2803</t>
  </si>
  <si>
    <t>IHS_KSR_118</t>
  </si>
  <si>
    <t>Kousseri Parpar</t>
  </si>
  <si>
    <t>KOUSSERI</t>
  </si>
  <si>
    <t>T1640</t>
  </si>
  <si>
    <t>IHS_FBN_028</t>
  </si>
  <si>
    <t>Koupa Matapit</t>
  </si>
  <si>
    <t>EST_071</t>
  </si>
  <si>
    <t>IHS_BER_023</t>
  </si>
  <si>
    <t>Kouen</t>
  </si>
  <si>
    <t>DIMAKO</t>
  </si>
  <si>
    <t>T1639</t>
  </si>
  <si>
    <t>IHS_EDA_054</t>
  </si>
  <si>
    <t>KOUEDJOU</t>
  </si>
  <si>
    <t>T1222</t>
  </si>
  <si>
    <t>IHS_BER_014</t>
  </si>
  <si>
    <t>KOUBA</t>
  </si>
  <si>
    <t>Mandjou</t>
  </si>
  <si>
    <t>LIT_509</t>
  </si>
  <si>
    <t>IHS_EDA_065</t>
  </si>
  <si>
    <t>Kopongo</t>
  </si>
  <si>
    <t>SUO_032</t>
  </si>
  <si>
    <t>IHS_KMB_037</t>
  </si>
  <si>
    <t>Konye</t>
  </si>
  <si>
    <t>EXN_168</t>
  </si>
  <si>
    <t>IHS_MAR_327</t>
  </si>
  <si>
    <t>Kinguin OCM</t>
  </si>
  <si>
    <t>CTR_190</t>
  </si>
  <si>
    <t>IHS_YND_549</t>
  </si>
  <si>
    <t>KIKI</t>
  </si>
  <si>
    <t>Mbam et Inoubou</t>
  </si>
  <si>
    <t>Kiki</t>
  </si>
  <si>
    <t>EST_115</t>
  </si>
  <si>
    <t>IHS_BER_152</t>
  </si>
  <si>
    <t>Kika</t>
  </si>
  <si>
    <t> Yokadouma (Mboumba et Ngoko)</t>
  </si>
  <si>
    <t>Moloundou </t>
  </si>
  <si>
    <t>OST_103</t>
  </si>
  <si>
    <t>IHS_BFG_012</t>
  </si>
  <si>
    <t>Kekem</t>
  </si>
  <si>
    <t>HAUT-NKAM</t>
  </si>
  <si>
    <t>EXN_058</t>
  </si>
  <si>
    <t>IHS_MAR_072</t>
  </si>
  <si>
    <t>Kalfou</t>
  </si>
  <si>
    <t>NRO_071</t>
  </si>
  <si>
    <t>IHS_BMD_2212</t>
  </si>
  <si>
    <t>Jikejem</t>
  </si>
  <si>
    <t>Elak Oku</t>
  </si>
  <si>
    <t>T0928</t>
  </si>
  <si>
    <t>IHS_KMB_045</t>
  </si>
  <si>
    <t>ILLOR BALONDO</t>
  </si>
  <si>
    <t>Ekondo titi</t>
  </si>
  <si>
    <t>T2867</t>
  </si>
  <si>
    <t>IHS_KSR_104</t>
  </si>
  <si>
    <t>NRD_111</t>
  </si>
  <si>
    <t>IHS_GAR_319</t>
  </si>
  <si>
    <t>Hamalade</t>
  </si>
  <si>
    <t>MAYO REY</t>
  </si>
  <si>
    <t>madingring</t>
  </si>
  <si>
    <t>EXN_173</t>
  </si>
  <si>
    <t>IHS_MAR_324</t>
  </si>
  <si>
    <t xml:space="preserve">Guili Centre </t>
  </si>
  <si>
    <t>BOURRHA</t>
  </si>
  <si>
    <t>T2747</t>
  </si>
  <si>
    <t>IHS_MAR_360</t>
  </si>
  <si>
    <t xml:space="preserve">GUERE </t>
  </si>
  <si>
    <t>Guere</t>
  </si>
  <si>
    <t>EXN_126</t>
  </si>
  <si>
    <t>IHS_MAR_359</t>
  </si>
  <si>
    <t>T1664</t>
  </si>
  <si>
    <t>IHS_BER_051</t>
  </si>
  <si>
    <t>T1820</t>
  </si>
  <si>
    <t>IHS_GAR_076</t>
  </si>
  <si>
    <t>Gor</t>
  </si>
  <si>
    <t>EST_101</t>
  </si>
  <si>
    <t>IHS_BER_157</t>
  </si>
  <si>
    <t>GBITI</t>
  </si>
  <si>
    <t>SUO_097</t>
  </si>
  <si>
    <t>IHS_KMB_102</t>
  </si>
  <si>
    <t>Gamoko-Hill-C1</t>
  </si>
  <si>
    <t>EXN_163</t>
  </si>
  <si>
    <t>IHS_MAR_362</t>
  </si>
  <si>
    <t>Gamdougoum</t>
  </si>
  <si>
    <t>T2028</t>
  </si>
  <si>
    <t>IHS_MBD_014</t>
  </si>
  <si>
    <t>GALIM EEC</t>
  </si>
  <si>
    <t>BAMBOUTOUS</t>
  </si>
  <si>
    <t>Galim</t>
  </si>
  <si>
    <t>T1814</t>
  </si>
  <si>
    <t>IHS_BMD_2222</t>
  </si>
  <si>
    <t>Fundong FM</t>
  </si>
  <si>
    <t>Boyo</t>
  </si>
  <si>
    <t>Fundong</t>
  </si>
  <si>
    <t>OST_156</t>
  </si>
  <si>
    <t>IHS_BFG_016</t>
  </si>
  <si>
    <t>FOYEMTCHA</t>
  </si>
  <si>
    <t>OST_178</t>
  </si>
  <si>
    <t>IHS_FBN_030</t>
  </si>
  <si>
    <t>Founban Njintout II</t>
  </si>
  <si>
    <t>OST_136</t>
  </si>
  <si>
    <t>IHS_FBN_101</t>
  </si>
  <si>
    <t>Foumbot-Mangoum</t>
  </si>
  <si>
    <t>T1609</t>
  </si>
  <si>
    <t>IHS_GAR_125</t>
  </si>
  <si>
    <t xml:space="preserve">Foulday </t>
  </si>
  <si>
    <t>T1530</t>
  </si>
  <si>
    <t>IHS_BAF_103</t>
  </si>
  <si>
    <t>FOTOUNI</t>
  </si>
  <si>
    <t>Bafoussam 2</t>
  </si>
  <si>
    <t>BANDJA</t>
  </si>
  <si>
    <t>T2899</t>
  </si>
  <si>
    <t>IHS_KSR_103</t>
  </si>
  <si>
    <t>FOTOKOL TOWN</t>
  </si>
  <si>
    <t>FOTOKOL</t>
  </si>
  <si>
    <t>T1309</t>
  </si>
  <si>
    <t>IHS_KMB_120</t>
  </si>
  <si>
    <t xml:space="preserve">Fontem New1 </t>
  </si>
  <si>
    <t>LEBIALEM</t>
  </si>
  <si>
    <t>MENDJI</t>
  </si>
  <si>
    <t>NRO_043</t>
  </si>
  <si>
    <t>IHS_BMD_325</t>
  </si>
  <si>
    <t>Fonfuka</t>
  </si>
  <si>
    <t>OST_158</t>
  </si>
  <si>
    <t>IHS_BFG_017</t>
  </si>
  <si>
    <t>FONDJANTI</t>
  </si>
  <si>
    <t>Bakou</t>
  </si>
  <si>
    <t>T0157</t>
  </si>
  <si>
    <t>IHS_GAR_048</t>
  </si>
  <si>
    <t>Figuil</t>
  </si>
  <si>
    <t>T1437</t>
  </si>
  <si>
    <t>IHS_YND_694</t>
  </si>
  <si>
    <t>ETOUDI CHAPELLE</t>
  </si>
  <si>
    <t>MANGUIER 1</t>
  </si>
  <si>
    <t>YAOUNDE 1</t>
  </si>
  <si>
    <t>NRO_234</t>
  </si>
  <si>
    <t>IHS_BMD_092</t>
  </si>
  <si>
    <t>Essu</t>
  </si>
  <si>
    <t>Menchum</t>
  </si>
  <si>
    <t xml:space="preserve">Zhoa </t>
  </si>
  <si>
    <t>CTR_348</t>
  </si>
  <si>
    <t>IHS_YND_356</t>
  </si>
  <si>
    <t>Essiezik</t>
  </si>
  <si>
    <t>Akonolinga</t>
  </si>
  <si>
    <t xml:space="preserve">NYONG-ET-MFOUMOU </t>
  </si>
  <si>
    <t>NKOLAFAMBA</t>
  </si>
  <si>
    <t>T0911</t>
  </si>
  <si>
    <t>IHS_SGM_010</t>
  </si>
  <si>
    <t>ESSANGMVOUT911</t>
  </si>
  <si>
    <t>T0903</t>
  </si>
  <si>
    <t>IHS_YND_340</t>
  </si>
  <si>
    <t>Essa Mintsang</t>
  </si>
  <si>
    <t xml:space="preserve">MEFOU-ET-AFAMBA </t>
  </si>
  <si>
    <t>ESSE</t>
  </si>
  <si>
    <t>T2015</t>
  </si>
  <si>
    <t>IHS_KRI_100</t>
  </si>
  <si>
    <t>Elog Batindi/ Mombo Ville</t>
  </si>
  <si>
    <t>Fifinda</t>
  </si>
  <si>
    <t>T1798</t>
  </si>
  <si>
    <t>IHS_BUA_050</t>
  </si>
  <si>
    <t>Ekata</t>
  </si>
  <si>
    <t>LIT_456</t>
  </si>
  <si>
    <t>IHS_DLA_456</t>
  </si>
  <si>
    <t>Edea Mbondanjick</t>
  </si>
  <si>
    <t>T0770</t>
  </si>
  <si>
    <t>IHS_EDA_028</t>
  </si>
  <si>
    <t>Ebombe2</t>
  </si>
  <si>
    <t>T1485</t>
  </si>
  <si>
    <t>IHS_BMD_059</t>
  </si>
  <si>
    <t>Ebal</t>
  </si>
  <si>
    <t>T2871</t>
  </si>
  <si>
    <t>IHS_MAR_219</t>
  </si>
  <si>
    <t>Dziguilao</t>
  </si>
  <si>
    <t>NRO_046</t>
  </si>
  <si>
    <t>IHS_BMD_318</t>
  </si>
  <si>
    <t>DUMBU</t>
  </si>
  <si>
    <t>misaje</t>
  </si>
  <si>
    <t>NRD_122</t>
  </si>
  <si>
    <t>IHS_GAR_332</t>
  </si>
  <si>
    <t>Douroum</t>
  </si>
  <si>
    <t>NRD_057</t>
  </si>
  <si>
    <t>IHS_GAR_068</t>
  </si>
  <si>
    <t>Dourbeye</t>
  </si>
  <si>
    <t>T1402</t>
  </si>
  <si>
    <t>IHS_GAR_069</t>
  </si>
  <si>
    <t>Doumo</t>
  </si>
  <si>
    <t>T2119</t>
  </si>
  <si>
    <t>IHS_BER_102</t>
  </si>
  <si>
    <t>DOUMETAING VILLE</t>
  </si>
  <si>
    <t>Nguelemedouka</t>
  </si>
  <si>
    <t>CTR_302</t>
  </si>
  <si>
    <t>IHS_YND_476</t>
  </si>
  <si>
    <t>Doume-Centre</t>
  </si>
  <si>
    <t>EXN_118</t>
  </si>
  <si>
    <t>IHS_MAR_157</t>
  </si>
  <si>
    <t>Doreissou</t>
  </si>
  <si>
    <t>Vele</t>
  </si>
  <si>
    <t>ADM_128</t>
  </si>
  <si>
    <t>IHS_NGD_228</t>
  </si>
  <si>
    <t>Dogba-Ngd</t>
  </si>
  <si>
    <t>EXN_171</t>
  </si>
  <si>
    <t>IHS_MAR_365</t>
  </si>
  <si>
    <t>Dogba</t>
  </si>
  <si>
    <t>Maroua2</t>
  </si>
  <si>
    <t>SUD_252</t>
  </si>
  <si>
    <t>IHS_SGM_020</t>
  </si>
  <si>
    <t>Djoum-CAMINEX</t>
  </si>
  <si>
    <t>COMMUNE DE DJOUM</t>
  </si>
  <si>
    <t>NRD_030</t>
  </si>
  <si>
    <t>IHS_GAR_046</t>
  </si>
  <si>
    <t>Djarako</t>
  </si>
  <si>
    <t>lagdo</t>
  </si>
  <si>
    <t>T0296</t>
  </si>
  <si>
    <t>IHS_GAR_034</t>
  </si>
  <si>
    <t>Djalingo</t>
  </si>
  <si>
    <t>T2742</t>
  </si>
  <si>
    <t>IHS_EDA_053</t>
  </si>
  <si>
    <t>DIZANGUE KM14</t>
  </si>
  <si>
    <t>Dizangue</t>
  </si>
  <si>
    <t>T1757</t>
  </si>
  <si>
    <t>IHS_KMB_057</t>
  </si>
  <si>
    <t>Dikome Balue Town</t>
  </si>
  <si>
    <t>Red Zone -Vandalized</t>
  </si>
  <si>
    <t>Dikome Balue</t>
  </si>
  <si>
    <t>T1822</t>
  </si>
  <si>
    <t>IHS_NGD_208</t>
  </si>
  <si>
    <t>DEONE</t>
  </si>
  <si>
    <t>T2002</t>
  </si>
  <si>
    <t>IHS_BER_103</t>
  </si>
  <si>
    <t>DENG DENG</t>
  </si>
  <si>
    <t>Lom et Djerem </t>
  </si>
  <si>
    <t>BELABO</t>
  </si>
  <si>
    <t>T2898</t>
  </si>
  <si>
    <t>IHS_KSR_108</t>
  </si>
  <si>
    <t>DARRACK AN2000</t>
  </si>
  <si>
    <t>DARRACK</t>
  </si>
  <si>
    <t>T0812</t>
  </si>
  <si>
    <t>IHS_NGD_092</t>
  </si>
  <si>
    <t>Darasalam</t>
  </si>
  <si>
    <t>T0354</t>
  </si>
  <si>
    <t>IHS_KSR_012</t>
  </si>
  <si>
    <t>Dabanga</t>
  </si>
  <si>
    <t>LOGONE BIRNI</t>
  </si>
  <si>
    <t>T1177</t>
  </si>
  <si>
    <t>IHS_BUA_163</t>
  </si>
  <si>
    <t xml:space="preserve">Buea Hospital         </t>
  </si>
  <si>
    <t>T1694</t>
  </si>
  <si>
    <t>IHS_BUA_026</t>
  </si>
  <si>
    <t>BOVA2</t>
  </si>
  <si>
    <t>SUO_025</t>
  </si>
  <si>
    <t>IHS_BUA_102</t>
  </si>
  <si>
    <t>Bova- Bokombo _IHS</t>
  </si>
  <si>
    <t>NRD_129</t>
  </si>
  <si>
    <t>IHS_GAR_337</t>
  </si>
  <si>
    <t>Boussa</t>
  </si>
  <si>
    <t>bibemi</t>
  </si>
  <si>
    <t>NRD_105</t>
  </si>
  <si>
    <t>IHS_GAR_313</t>
  </si>
  <si>
    <t xml:space="preserve">Boula Ibi </t>
  </si>
  <si>
    <t>EXN_135</t>
  </si>
  <si>
    <t>IHS_MAR_316</t>
  </si>
  <si>
    <t>BOUGOUDOUM</t>
  </si>
  <si>
    <t>Gobo</t>
  </si>
  <si>
    <t>NRD_092</t>
  </si>
  <si>
    <t>IHS_GAR_89</t>
  </si>
  <si>
    <t>BOUDVA</t>
  </si>
  <si>
    <t>EST_096</t>
  </si>
  <si>
    <t>IHS_BER_156</t>
  </si>
  <si>
    <t>BOUBARA</t>
  </si>
  <si>
    <t>Batouri ( Kadey) </t>
  </si>
  <si>
    <t>Kette</t>
  </si>
  <si>
    <t>EST_073</t>
  </si>
  <si>
    <t>IHS_BER_078</t>
  </si>
  <si>
    <t>Bonga</t>
  </si>
  <si>
    <t>SUO_131</t>
  </si>
  <si>
    <t>IHS_BUA_158</t>
  </si>
  <si>
    <t>Bondjongo</t>
  </si>
  <si>
    <t>T1173</t>
  </si>
  <si>
    <t>IHS_BUA_166</t>
  </si>
  <si>
    <t>BONAKOH</t>
  </si>
  <si>
    <t>SUO_132</t>
  </si>
  <si>
    <t>IHS_BUA_154</t>
  </si>
  <si>
    <t>bonakanda</t>
  </si>
  <si>
    <t>T1732</t>
  </si>
  <si>
    <t>IHS_DLA_423</t>
  </si>
  <si>
    <t>Bonaberi Isenbeck</t>
  </si>
  <si>
    <t>Bonaberi 2</t>
  </si>
  <si>
    <t>T1596</t>
  </si>
  <si>
    <t>IHS_YND_669</t>
  </si>
  <si>
    <t xml:space="preserve">Biwong Boulou </t>
  </si>
  <si>
    <t>T2113</t>
  </si>
  <si>
    <t>IHS_YND_668</t>
  </si>
  <si>
    <t xml:space="preserve">Biwong Bane </t>
  </si>
  <si>
    <t>biwong bane</t>
  </si>
  <si>
    <t>LIT_505</t>
  </si>
  <si>
    <t>IHS_KRI_119</t>
  </si>
  <si>
    <t>Bissiang</t>
  </si>
  <si>
    <t>T1457</t>
  </si>
  <si>
    <t>IHS_BAF_104</t>
  </si>
  <si>
    <t>Binka/Bana</t>
  </si>
  <si>
    <t>LIT_517</t>
  </si>
  <si>
    <t>IHS_EDA_063</t>
  </si>
  <si>
    <t>Bihaing</t>
  </si>
  <si>
    <t>T2112</t>
  </si>
  <si>
    <t>IHS_KMB_103</t>
  </si>
  <si>
    <t>BIG NGBANDI</t>
  </si>
  <si>
    <t>T1476</t>
  </si>
  <si>
    <t>IHS_KMB_030</t>
  </si>
  <si>
    <t>Big Babanki</t>
  </si>
  <si>
    <t>T0258</t>
  </si>
  <si>
    <t>IHS_GAR_057</t>
  </si>
  <si>
    <t>Bidzar</t>
  </si>
  <si>
    <t>T2111</t>
  </si>
  <si>
    <t>IHS_YND_534</t>
  </si>
  <si>
    <t>BIBEY ( MENGUE -BIBEY)</t>
  </si>
  <si>
    <t>Bibey</t>
  </si>
  <si>
    <t>T1116</t>
  </si>
  <si>
    <t>IHS_BER_108</t>
  </si>
  <si>
    <t xml:space="preserve">Betare oya 2 </t>
  </si>
  <si>
    <t>BETARE OYA</t>
  </si>
  <si>
    <t>T1812</t>
  </si>
  <si>
    <t>IHS_KMB_066</t>
  </si>
  <si>
    <t>Bessenye</t>
  </si>
  <si>
    <t>T1251</t>
  </si>
  <si>
    <t>IHS_KMB_110</t>
  </si>
  <si>
    <t>Berore</t>
  </si>
  <si>
    <t>NRO_233</t>
  </si>
  <si>
    <t>IHS_BMD_079</t>
  </si>
  <si>
    <t>Benakuma</t>
  </si>
  <si>
    <t>T1413</t>
  </si>
  <si>
    <t>IHS_GAR_121</t>
  </si>
  <si>
    <t>BEMBOYO</t>
  </si>
  <si>
    <t>touboro</t>
  </si>
  <si>
    <t>NRO_243</t>
  </si>
  <si>
    <t>IHS_BMD_021</t>
  </si>
  <si>
    <t>Bda-Mulang</t>
  </si>
  <si>
    <t>Bamenda 3</t>
  </si>
  <si>
    <t>T2733</t>
  </si>
  <si>
    <t>IHS_NGD_219</t>
  </si>
  <si>
    <t>BAWA</t>
  </si>
  <si>
    <t>MARTAP</t>
  </si>
  <si>
    <t>T2879</t>
  </si>
  <si>
    <t>IHS_NGD_212</t>
  </si>
  <si>
    <t>Batoua Godole</t>
  </si>
  <si>
    <t>MEIGANGA</t>
  </si>
  <si>
    <t>OST_215</t>
  </si>
  <si>
    <t>IHS_MBD_019</t>
  </si>
  <si>
    <t>Bati</t>
  </si>
  <si>
    <t>T1474</t>
  </si>
  <si>
    <t>IHS_DCG_022</t>
  </si>
  <si>
    <t>BASSESSA</t>
  </si>
  <si>
    <t>NKONGNI</t>
  </si>
  <si>
    <t>T0389</t>
  </si>
  <si>
    <t>IHS_GAR_047</t>
  </si>
  <si>
    <t>Bascheo</t>
  </si>
  <si>
    <t>T1398</t>
  </si>
  <si>
    <t>IHS_GAR_114</t>
  </si>
  <si>
    <t>BARNDAKE</t>
  </si>
  <si>
    <t>Barndake</t>
  </si>
  <si>
    <t>EXN_167</t>
  </si>
  <si>
    <t>IHS_MAR_315</t>
  </si>
  <si>
    <t>Bariki-II</t>
  </si>
  <si>
    <t>T2884</t>
  </si>
  <si>
    <t>IHS_KSR_106</t>
  </si>
  <si>
    <t>Bargaram</t>
  </si>
  <si>
    <t>T1478</t>
  </si>
  <si>
    <t>IHS_BAF_063</t>
  </si>
  <si>
    <t>BANTOUM Lycee</t>
  </si>
  <si>
    <t>Bangangte</t>
  </si>
  <si>
    <t>Nde</t>
  </si>
  <si>
    <t>T1753</t>
  </si>
  <si>
    <t>IHS_KMB_079</t>
  </si>
  <si>
    <t>Banteng</t>
  </si>
  <si>
    <t>Wabane</t>
  </si>
  <si>
    <t>T1487</t>
  </si>
  <si>
    <t>IHS_BFG_007</t>
  </si>
  <si>
    <t>Banka</t>
  </si>
  <si>
    <t>NRO_050</t>
  </si>
  <si>
    <t>IHS_BMD_310</t>
  </si>
  <si>
    <t>BANGOLAN</t>
  </si>
  <si>
    <t>NGO-KETUNJIA</t>
  </si>
  <si>
    <t>Bangourain</t>
  </si>
  <si>
    <t>T1580</t>
  </si>
  <si>
    <t>IHS_FBN_027</t>
  </si>
  <si>
    <t>BANGANG FOKAM</t>
  </si>
  <si>
    <t>Ndé</t>
  </si>
  <si>
    <t>T2901</t>
  </si>
  <si>
    <t>IHS_MAR_224</t>
  </si>
  <si>
    <t>BANGANA</t>
  </si>
  <si>
    <t>T1589</t>
  </si>
  <si>
    <t>IHS_FBN_026</t>
  </si>
  <si>
    <t xml:space="preserve">BANGAMBI </t>
  </si>
  <si>
    <t>OST_193</t>
  </si>
  <si>
    <t>IHS_BAF_314</t>
  </si>
  <si>
    <t xml:space="preserve">Banefo Baleng </t>
  </si>
  <si>
    <t>Bafoussam 3</t>
  </si>
  <si>
    <t>MIFI</t>
  </si>
  <si>
    <t>BAFOUSSAM</t>
  </si>
  <si>
    <t>OST_186</t>
  </si>
  <si>
    <t>IHS_BAF_322</t>
  </si>
  <si>
    <t>Bamenyam</t>
  </si>
  <si>
    <t>OST_155</t>
  </si>
  <si>
    <t>IHS_MBD_018</t>
  </si>
  <si>
    <t>BAMENKOMBO</t>
  </si>
  <si>
    <t>MBOUDA</t>
  </si>
  <si>
    <t>T1584</t>
  </si>
  <si>
    <t>IHS_BFG_18</t>
  </si>
  <si>
    <t xml:space="preserve">BAMENGWI </t>
  </si>
  <si>
    <t>OST_030</t>
  </si>
  <si>
    <t>IHS_MBD_016</t>
  </si>
  <si>
    <t>Bamendjing</t>
  </si>
  <si>
    <t>T1528</t>
  </si>
  <si>
    <t>IHS_BMD_314</t>
  </si>
  <si>
    <t>Bamenda Old Town</t>
  </si>
  <si>
    <t>T1525</t>
  </si>
  <si>
    <t>IHS_BMD_202</t>
  </si>
  <si>
    <t>Bamenda Ntasen</t>
  </si>
  <si>
    <t>T1823</t>
  </si>
  <si>
    <t>IHS_BMD_315</t>
  </si>
  <si>
    <t>Bamenda Mile 8</t>
  </si>
  <si>
    <t>T1460</t>
  </si>
  <si>
    <t>IHS_BMD_018</t>
  </si>
  <si>
    <t>Bamenda Kwe Pastoral Center</t>
  </si>
  <si>
    <t>T1279</t>
  </si>
  <si>
    <t>IHS_BMD_313</t>
  </si>
  <si>
    <t>Bamenda Bujong</t>
  </si>
  <si>
    <t>T1509</t>
  </si>
  <si>
    <t>IHS_BMD_142</t>
  </si>
  <si>
    <t>Bamenda ATTIAH</t>
  </si>
  <si>
    <t>T1526</t>
  </si>
  <si>
    <t>IHS_YND_503</t>
  </si>
  <si>
    <t>BAMENDA ABANGOH</t>
  </si>
  <si>
    <t>Red zone</t>
  </si>
  <si>
    <t>T1498</t>
  </si>
  <si>
    <t>IHS_BAF_042</t>
  </si>
  <si>
    <t>BAMEKA</t>
  </si>
  <si>
    <t>Hauts-plateaux</t>
  </si>
  <si>
    <t>Baham</t>
  </si>
  <si>
    <t>T2026</t>
  </si>
  <si>
    <t>IHS_BAF_102</t>
  </si>
  <si>
    <t>BALOUM</t>
  </si>
  <si>
    <t>T1511</t>
  </si>
  <si>
    <t>IHS_BMD_094</t>
  </si>
  <si>
    <t>Balatchi</t>
  </si>
  <si>
    <t>BATCHAM</t>
  </si>
  <si>
    <t>T1469</t>
  </si>
  <si>
    <t>IHS_BAF_066</t>
  </si>
  <si>
    <t>BAKONG</t>
  </si>
  <si>
    <t>Bazou</t>
  </si>
  <si>
    <t>T1581</t>
  </si>
  <si>
    <t>IHS_BUA_160</t>
  </si>
  <si>
    <t>Bai Kuke</t>
  </si>
  <si>
    <t>T1483</t>
  </si>
  <si>
    <t>IHS_BAF_047</t>
  </si>
  <si>
    <t>Bahouan</t>
  </si>
  <si>
    <t>ADM_052</t>
  </si>
  <si>
    <t>IHS_NGD_079</t>
  </si>
  <si>
    <t>Bagodo</t>
  </si>
  <si>
    <t>DIR</t>
  </si>
  <si>
    <t>T1759</t>
  </si>
  <si>
    <t>IHS_BMD_143</t>
  </si>
  <si>
    <t>Bafut Swie Hill</t>
  </si>
  <si>
    <t>OST_108</t>
  </si>
  <si>
    <t>IHS_DCG_018</t>
  </si>
  <si>
    <t>Bafou-Badzifeng</t>
  </si>
  <si>
    <t>NKONGHNI</t>
  </si>
  <si>
    <t>NRO_047</t>
  </si>
  <si>
    <t>IHS_BMD_319</t>
  </si>
  <si>
    <t>BAFMENG</t>
  </si>
  <si>
    <t>CTR_362</t>
  </si>
  <si>
    <t>IHS_YND_437</t>
  </si>
  <si>
    <t>Bafia-Lable</t>
  </si>
  <si>
    <t>T1754</t>
  </si>
  <si>
    <t>IHS_YND_481</t>
  </si>
  <si>
    <t>BAFIA BEGNIAN</t>
  </si>
  <si>
    <t>NRO_051</t>
  </si>
  <si>
    <t>IHS_BMD_2251</t>
  </si>
  <si>
    <t>Bafanji</t>
  </si>
  <si>
    <t>Balikumbat</t>
  </si>
  <si>
    <t>EXN_152</t>
  </si>
  <si>
    <t>IHS_MAR_357</t>
  </si>
  <si>
    <t>Badjonré</t>
  </si>
  <si>
    <t>Moulvouday</t>
  </si>
  <si>
    <t>T2779</t>
  </si>
  <si>
    <t>IHS_BMD_2220</t>
  </si>
  <si>
    <t xml:space="preserve">Baba Babungo </t>
  </si>
  <si>
    <t>Ngo-Ketunjia</t>
  </si>
  <si>
    <t>Babessi</t>
  </si>
  <si>
    <t>SUD_244</t>
  </si>
  <si>
    <t>IHS_SGM_021</t>
  </si>
  <si>
    <t>Avobengon</t>
  </si>
  <si>
    <t>LIT_512</t>
  </si>
  <si>
    <t>IHS_EDA_067</t>
  </si>
  <si>
    <t>Apouh</t>
  </si>
  <si>
    <t>CTR_358</t>
  </si>
  <si>
    <t>IHS_YND_335</t>
  </si>
  <si>
    <t>Angongo</t>
  </si>
  <si>
    <t>T2900</t>
  </si>
  <si>
    <t>IHS_MAR_217</t>
  </si>
  <si>
    <t>AMCHIDEE TOWN</t>
  </si>
  <si>
    <t>Mayo Sava</t>
  </si>
  <si>
    <t>T2103</t>
  </si>
  <si>
    <t>IHS_KMB_106</t>
  </si>
  <si>
    <t>AKWAYA</t>
  </si>
  <si>
    <t>akwaya</t>
  </si>
  <si>
    <t>T2778</t>
  </si>
  <si>
    <t>IHS_BMD_2213</t>
  </si>
  <si>
    <t>AKUM</t>
  </si>
  <si>
    <t>Santa</t>
  </si>
  <si>
    <t>CTR_436</t>
  </si>
  <si>
    <t>IHS_YND_551</t>
  </si>
  <si>
    <t>AKONGO</t>
  </si>
  <si>
    <t>T2102</t>
  </si>
  <si>
    <t>IHS_KRI_101</t>
  </si>
  <si>
    <t>AKOM 2</t>
  </si>
  <si>
    <t>Akom 2</t>
  </si>
  <si>
    <t>NRO_231</t>
  </si>
  <si>
    <t>IHS_BMD_098</t>
  </si>
  <si>
    <t>Ako</t>
  </si>
  <si>
    <t>NRD_126</t>
  </si>
  <si>
    <t>IHS_GAR_331</t>
  </si>
  <si>
    <t>Adoumri  Houla</t>
  </si>
  <si>
    <t>adoumre</t>
  </si>
  <si>
    <t>SUD_070</t>
  </si>
  <si>
    <t>IHS_KRI_118</t>
  </si>
  <si>
    <t>Adjap</t>
  </si>
  <si>
    <t>Effoulane</t>
  </si>
  <si>
    <t>T2774</t>
  </si>
  <si>
    <t>IHS_BMD_2225</t>
  </si>
  <si>
    <t xml:space="preserve">Acha </t>
  </si>
  <si>
    <t>T1563</t>
  </si>
  <si>
    <t>IHS_BMD_2215</t>
  </si>
  <si>
    <t xml:space="preserve">ABUH </t>
  </si>
  <si>
    <t>NRO_045</t>
  </si>
  <si>
    <t>IHS_BMD_317</t>
  </si>
  <si>
    <t>ABUENSHIE</t>
  </si>
  <si>
    <t>EXN_172</t>
  </si>
  <si>
    <t>IHS_MAR_349</t>
  </si>
  <si>
    <t>Zouvoul-IHS</t>
  </si>
  <si>
    <t>EXN_174</t>
  </si>
  <si>
    <t>IHS_MAR_367</t>
  </si>
  <si>
    <t>Zileng</t>
  </si>
  <si>
    <t>EXN_154</t>
  </si>
  <si>
    <t>IHS_MAR_348</t>
  </si>
  <si>
    <t>Zidim IHS</t>
  </si>
  <si>
    <t>EXN_178</t>
  </si>
  <si>
    <t>IHS_MAR_346</t>
  </si>
  <si>
    <t>Torock-IHS</t>
  </si>
  <si>
    <t>NRD_112</t>
  </si>
  <si>
    <t>IHS_GAR_326</t>
  </si>
  <si>
    <t xml:space="preserve">Tongo </t>
  </si>
  <si>
    <t>CTR_527</t>
  </si>
  <si>
    <t>IHS_YND_697</t>
  </si>
  <si>
    <t>Nomayos-IHS</t>
  </si>
  <si>
    <t>NRO_081</t>
  </si>
  <si>
    <t>IHS_BMD_2229</t>
  </si>
  <si>
    <t>Njinikom</t>
  </si>
  <si>
    <t>OST_220</t>
  </si>
  <si>
    <t>IHS_FBN_056</t>
  </si>
  <si>
    <t>Ngambouo</t>
  </si>
  <si>
    <t>EXN_155</t>
  </si>
  <si>
    <t>IHS_MAR_323</t>
  </si>
  <si>
    <t>Minawao IHS</t>
  </si>
  <si>
    <t>OST_189</t>
  </si>
  <si>
    <t>IHS_FBN_044</t>
  </si>
  <si>
    <t>Mfessang</t>
  </si>
  <si>
    <t>CTR_493</t>
  </si>
  <si>
    <t>IHS_YND_585</t>
  </si>
  <si>
    <t>Mbalmayo Oyak</t>
  </si>
  <si>
    <t>MBALMAYO</t>
  </si>
  <si>
    <t>NRD_106</t>
  </si>
  <si>
    <t>IHS_GAR_310</t>
  </si>
  <si>
    <t>Mayo Nonde</t>
  </si>
  <si>
    <t>EXN_145</t>
  </si>
  <si>
    <t>IHS_MAR_336</t>
  </si>
  <si>
    <t>maroua Pitouare</t>
  </si>
  <si>
    <t>EXN_184</t>
  </si>
  <si>
    <t>IHS_MAR_366</t>
  </si>
  <si>
    <t>Maroua ouro Bah II</t>
  </si>
  <si>
    <t>Maroua3</t>
  </si>
  <si>
    <t>EXN_143</t>
  </si>
  <si>
    <t>IHS_MAR_334</t>
  </si>
  <si>
    <t>Maroua Djarengol</t>
  </si>
  <si>
    <t>OST_200</t>
  </si>
  <si>
    <t>IHS_FBN_041</t>
  </si>
  <si>
    <t xml:space="preserve">MantoumVillage </t>
  </si>
  <si>
    <t>NRO_096</t>
  </si>
  <si>
    <t>IHS_BMD_2238</t>
  </si>
  <si>
    <t>Kwaja</t>
  </si>
  <si>
    <t>NRD_109</t>
  </si>
  <si>
    <t>IHS_GAR_320</t>
  </si>
  <si>
    <t>Kapanaye</t>
  </si>
  <si>
    <t>NRD_115</t>
  </si>
  <si>
    <t>IHS_GAR_338</t>
  </si>
  <si>
    <t xml:space="preserve">Gara Guider </t>
  </si>
  <si>
    <t>EXN_165</t>
  </si>
  <si>
    <t>IHS_MAR_364</t>
  </si>
  <si>
    <t>Doumo-IHS</t>
  </si>
  <si>
    <t>SUD_064</t>
  </si>
  <si>
    <t>IHS_SGM_105</t>
  </si>
  <si>
    <t>Djoum Ville IHS</t>
  </si>
  <si>
    <t>NRO_098</t>
  </si>
  <si>
    <t>IHS_BMD_2252</t>
  </si>
  <si>
    <t>Djottin</t>
  </si>
  <si>
    <t>NRD_128</t>
  </si>
  <si>
    <t>IHS_GAR_335</t>
  </si>
  <si>
    <t>Djaba</t>
  </si>
  <si>
    <t>CTR_526</t>
  </si>
  <si>
    <t>IHS_YND_696</t>
  </si>
  <si>
    <t>Barriere IHS</t>
  </si>
  <si>
    <t>MENDONG 1</t>
  </si>
  <si>
    <t>NRO_100</t>
  </si>
  <si>
    <t>IHS_BMD_2226</t>
  </si>
  <si>
    <t>Bambalang</t>
  </si>
  <si>
    <t>OST_182</t>
  </si>
  <si>
    <t>IHS_BFG_020</t>
  </si>
  <si>
    <t>NRD_107</t>
  </si>
  <si>
    <t>IHS_GAR_312</t>
  </si>
  <si>
    <t>Badankali</t>
  </si>
  <si>
    <t>LIT_201</t>
  </si>
  <si>
    <t>IHS_EDA_114</t>
  </si>
  <si>
    <t>Pouma Makop</t>
  </si>
  <si>
    <t>EXN_147</t>
  </si>
  <si>
    <t>IHS_MAR_337</t>
  </si>
  <si>
    <t>Maroua Zikirou</t>
  </si>
  <si>
    <t>T1405</t>
  </si>
  <si>
    <t>IHS_BER_286</t>
  </si>
  <si>
    <t>Bertoua Mokolo</t>
  </si>
  <si>
    <t>Bertoua 2</t>
  </si>
  <si>
    <t>T0882</t>
  </si>
  <si>
    <t>IHS_KSR_005</t>
  </si>
  <si>
    <t>KOUSSERI MTN</t>
  </si>
  <si>
    <t>T1745</t>
  </si>
  <si>
    <t>IHS_NKS_012</t>
  </si>
  <si>
    <t>Melong Market</t>
  </si>
  <si>
    <t>Moungo</t>
  </si>
  <si>
    <t>Melong</t>
  </si>
  <si>
    <t>T1305</t>
  </si>
  <si>
    <t>IHS_KMB_118</t>
  </si>
  <si>
    <t>BANGUEM STREET II</t>
  </si>
  <si>
    <t>Koupe-Manengouba</t>
  </si>
  <si>
    <t>Banguem</t>
  </si>
  <si>
    <t>LIT_321</t>
  </si>
  <si>
    <t>IHS_EDA_013</t>
  </si>
  <si>
    <t>Edea-Lom</t>
  </si>
  <si>
    <t>T1399</t>
  </si>
  <si>
    <t>IHS_YND_515</t>
  </si>
  <si>
    <t>Etoug ebe Meweulo</t>
  </si>
  <si>
    <t>YAOUNDE 6</t>
  </si>
  <si>
    <t>SUD_057</t>
  </si>
  <si>
    <t>IHS_KRI_112</t>
  </si>
  <si>
    <t>Kribi lycée Technique (Tramonto)</t>
  </si>
  <si>
    <t>LIT_450</t>
  </si>
  <si>
    <t>IHS_DLA_452</t>
  </si>
  <si>
    <t xml:space="preserve">Quartier Gentil </t>
  </si>
  <si>
    <t>Ndogbong</t>
  </si>
  <si>
    <t>T1781-1</t>
  </si>
  <si>
    <t>IHS_BUA_034</t>
  </si>
  <si>
    <t xml:space="preserve">Ekona II </t>
  </si>
  <si>
    <t>Ekona</t>
  </si>
  <si>
    <t>T1411</t>
  </si>
  <si>
    <t>IHS_YND_543</t>
  </si>
  <si>
    <t>Entrée Cite Verte</t>
  </si>
  <si>
    <t>ESSOS 2</t>
  </si>
  <si>
    <t>EST_025</t>
  </si>
  <si>
    <t>IHS_BER_100</t>
  </si>
  <si>
    <t>Bertoua-Camp-SIC_IHS</t>
  </si>
  <si>
    <t>Bertoua (Lom et djerem) </t>
  </si>
  <si>
    <t>T1149</t>
  </si>
  <si>
    <t>IHS_NGD_213</t>
  </si>
  <si>
    <t>Ngaoundal 3</t>
  </si>
  <si>
    <t>T1725</t>
  </si>
  <si>
    <t>IHS_BUA_131</t>
  </si>
  <si>
    <t>MILE16 BOLIFAMBA</t>
  </si>
  <si>
    <t>EXN_064</t>
  </si>
  <si>
    <t>IHS_KSR_002</t>
  </si>
  <si>
    <t>Kousseri-Ville</t>
  </si>
  <si>
    <t>T1431</t>
  </si>
  <si>
    <t>IHS_YND_561</t>
  </si>
  <si>
    <t>FOUGEROLE</t>
  </si>
  <si>
    <t>OST_176</t>
  </si>
  <si>
    <t>IHS_FBN_031</t>
  </si>
  <si>
    <t>Foumban Njintout</t>
  </si>
  <si>
    <t>T1449</t>
  </si>
  <si>
    <t>IHS_YND_692</t>
  </si>
  <si>
    <t>Mendong vallee</t>
  </si>
  <si>
    <t>T1715</t>
  </si>
  <si>
    <t>IHS_LMB_015</t>
  </si>
  <si>
    <t>BOBENDE NEW LAYOUT</t>
  </si>
  <si>
    <t>CTR_478</t>
  </si>
  <si>
    <t>IHS_YND_568</t>
  </si>
  <si>
    <t>Anguissa New</t>
  </si>
  <si>
    <t>ESSOS 1</t>
  </si>
  <si>
    <t>YAOUNDE 4</t>
  </si>
  <si>
    <t>OST_177</t>
  </si>
  <si>
    <t>IHS_FBN_032</t>
  </si>
  <si>
    <t>Fouban Njibam</t>
  </si>
  <si>
    <t>CTR_474</t>
  </si>
  <si>
    <t>IHS_YND_563</t>
  </si>
  <si>
    <t>Bastos Bethesda</t>
  </si>
  <si>
    <t>TSINGA</t>
  </si>
  <si>
    <t>YAOUNDE 2</t>
  </si>
  <si>
    <t>T1776</t>
  </si>
  <si>
    <t>IHS_LMB_014</t>
  </si>
  <si>
    <t>Bondjo Hill</t>
  </si>
  <si>
    <t>NRD_095</t>
  </si>
  <si>
    <t>IHS_GAR_124</t>
  </si>
  <si>
    <t>Garoua Djalingo</t>
  </si>
  <si>
    <t>CTR_479</t>
  </si>
  <si>
    <t>IHS_YND_580</t>
  </si>
  <si>
    <t>Marche Odza</t>
  </si>
  <si>
    <t>TROPICANA 1</t>
  </si>
  <si>
    <t>T1810</t>
  </si>
  <si>
    <t>IHS_KMB_012</t>
  </si>
  <si>
    <t>Kumba Makata</t>
  </si>
  <si>
    <t>Kumba 1</t>
  </si>
  <si>
    <t>T1494</t>
  </si>
  <si>
    <t>IHS_YND_686</t>
  </si>
  <si>
    <t>Oyomabang Ecole</t>
  </si>
  <si>
    <t>YAOUNDE 7</t>
  </si>
  <si>
    <t>T1763</t>
  </si>
  <si>
    <t>IHS_KMB_052</t>
  </si>
  <si>
    <t>Bakebe</t>
  </si>
  <si>
    <t>T1811</t>
  </si>
  <si>
    <t>IHS_BAF_134</t>
  </si>
  <si>
    <t xml:space="preserve">Bafoussam Akwa </t>
  </si>
  <si>
    <t>LIT_410</t>
  </si>
  <si>
    <t>IHS_DLA_427</t>
  </si>
  <si>
    <t xml:space="preserve">Bonapriso Vanitex New </t>
  </si>
  <si>
    <t>BONAPRISO</t>
  </si>
  <si>
    <t>Douala 1</t>
  </si>
  <si>
    <t>T0572</t>
  </si>
  <si>
    <t>IHS_NKS_017</t>
  </si>
  <si>
    <t>Manjo2</t>
  </si>
  <si>
    <t>MANJO</t>
  </si>
  <si>
    <t>T0148</t>
  </si>
  <si>
    <t>IHS_YND_469</t>
  </si>
  <si>
    <t>Ndokohok</t>
  </si>
  <si>
    <t>EST_032</t>
  </si>
  <si>
    <t>IHS_BER_009</t>
  </si>
  <si>
    <t>Bertoua-Kano</t>
  </si>
  <si>
    <t>MANDJOU</t>
  </si>
  <si>
    <t>T1631</t>
  </si>
  <si>
    <t>IHS_BER_070</t>
  </si>
  <si>
    <t>GAROUA BOULAI 2</t>
  </si>
  <si>
    <t>T1624</t>
  </si>
  <si>
    <t>IHS_BER_040</t>
  </si>
  <si>
    <t>ABONG MBANG TOWN</t>
  </si>
  <si>
    <t>T1741</t>
  </si>
  <si>
    <t>IHS_NKS_016</t>
  </si>
  <si>
    <t>Mbouroukou</t>
  </si>
  <si>
    <t>T1497</t>
  </si>
  <si>
    <t>IHS_YND_545</t>
  </si>
  <si>
    <t>Nkolbisson usine des eaux</t>
  </si>
  <si>
    <t>ADM_073</t>
  </si>
  <si>
    <t>IHS_NGD_003</t>
  </si>
  <si>
    <t>Ngd-Yarban</t>
  </si>
  <si>
    <t>NGAOUNDERE 1</t>
  </si>
  <si>
    <t>CTR_272</t>
  </si>
  <si>
    <t>IHS_YND_245</t>
  </si>
  <si>
    <t>Ngousso-Savana</t>
  </si>
  <si>
    <t>YAOUNDE 5</t>
  </si>
  <si>
    <t>T1187</t>
  </si>
  <si>
    <t>IHS_DLA_469</t>
  </si>
  <si>
    <t>MABANDA 4</t>
  </si>
  <si>
    <t>T1323</t>
  </si>
  <si>
    <t>IHS_YND_288</t>
  </si>
  <si>
    <t>Meyong Plateau</t>
  </si>
  <si>
    <t>T1634</t>
  </si>
  <si>
    <t>IHS_BER_008</t>
  </si>
  <si>
    <t>BERTOUA KOUME</t>
  </si>
  <si>
    <t>T1577</t>
  </si>
  <si>
    <t>IHS_YND_086</t>
  </si>
  <si>
    <t>POLYCLINIQUE TSINGA</t>
  </si>
  <si>
    <t>T1682</t>
  </si>
  <si>
    <t>IHS_YND_532</t>
  </si>
  <si>
    <t>NKOLOSSAN OKOK</t>
  </si>
  <si>
    <t>T2735</t>
  </si>
  <si>
    <t>IHS_BMD_0048</t>
  </si>
  <si>
    <t>Ndop Catholic Church</t>
  </si>
  <si>
    <t>Ndop</t>
  </si>
  <si>
    <t>T3560</t>
  </si>
  <si>
    <t>IHS_YND_704</t>
  </si>
  <si>
    <t>Bastos Bir</t>
  </si>
  <si>
    <t>CTR_488</t>
  </si>
  <si>
    <t>IHS_YND_583</t>
  </si>
  <si>
    <t>Nsam Sofavinc T0</t>
  </si>
  <si>
    <t>TROPICANA 2</t>
  </si>
  <si>
    <t>YAOUNDE 3</t>
  </si>
  <si>
    <t>OST_026</t>
  </si>
  <si>
    <t>IHS_MBD_015</t>
  </si>
  <si>
    <t>LIT_445</t>
  </si>
  <si>
    <t>IHS_DLA_449</t>
  </si>
  <si>
    <t>Nyalla crf Mpome</t>
  </si>
  <si>
    <t>T1365</t>
  </si>
  <si>
    <t>IHS_DLA_470</t>
  </si>
  <si>
    <t xml:space="preserve">Makepe Decharge 2 </t>
  </si>
  <si>
    <t>BEPENDA</t>
  </si>
  <si>
    <t>T2828</t>
  </si>
  <si>
    <t>IHS_BMD_0054</t>
  </si>
  <si>
    <t>NKAMBE ENTRANCE</t>
  </si>
  <si>
    <t>LIT_454</t>
  </si>
  <si>
    <t>IHS_DLA_450</t>
  </si>
  <si>
    <t>Kotto Eglise EPC</t>
  </si>
  <si>
    <t>Kotto</t>
  </si>
  <si>
    <t>T1880</t>
  </si>
  <si>
    <t>IHS_KMB_100</t>
  </si>
  <si>
    <t>Kumba Nkamlikum</t>
  </si>
  <si>
    <t>T1310</t>
  </si>
  <si>
    <t>IHS_BUA_164</t>
  </si>
  <si>
    <t>Malende</t>
  </si>
  <si>
    <t>T2767</t>
  </si>
  <si>
    <t>IHS_EBO_1034</t>
  </si>
  <si>
    <t xml:space="preserve">NYETE V15 </t>
  </si>
  <si>
    <t>T1537</t>
  </si>
  <si>
    <t>IHS_BMD_207</t>
  </si>
  <si>
    <t>NDU COUNCIL</t>
  </si>
  <si>
    <t>T1268</t>
  </si>
  <si>
    <t>IHS_KMB_031</t>
  </si>
  <si>
    <t>Big Gandjo</t>
  </si>
  <si>
    <t>T2876</t>
  </si>
  <si>
    <t>IHS_GAR_116</t>
  </si>
  <si>
    <t>SORAWEL</t>
  </si>
  <si>
    <t>T1397</t>
  </si>
  <si>
    <t>IHS_MAR_086</t>
  </si>
  <si>
    <t>Boukoula</t>
  </si>
  <si>
    <t>NRO_248</t>
  </si>
  <si>
    <t>IHS_BMD_047</t>
  </si>
  <si>
    <t>Awing</t>
  </si>
  <si>
    <t>SUO_019</t>
  </si>
  <si>
    <t>IHS_KMB_033</t>
  </si>
  <si>
    <t>Ekondo-Titi</t>
  </si>
  <si>
    <t>EKONDO TITI</t>
  </si>
  <si>
    <t>T1739</t>
  </si>
  <si>
    <t>IHS_YND_691</t>
  </si>
  <si>
    <t>Mballa 2 REGIE</t>
  </si>
  <si>
    <t>LIT_323</t>
  </si>
  <si>
    <t>IHS_EDA_016</t>
  </si>
  <si>
    <t>Okoth</t>
  </si>
  <si>
    <t>LIT_447</t>
  </si>
  <si>
    <t>IHS_DLA_440</t>
  </si>
  <si>
    <t>PK10 II Genie Militare</t>
  </si>
  <si>
    <t>PK12</t>
  </si>
  <si>
    <t>T1335</t>
  </si>
  <si>
    <t>IHS_KRI_116</t>
  </si>
  <si>
    <t>Kribi Ngoe</t>
  </si>
  <si>
    <t>T0303</t>
  </si>
  <si>
    <t>IHS_FBN_014</t>
  </si>
  <si>
    <t>Magba</t>
  </si>
  <si>
    <t>OST_058</t>
  </si>
  <si>
    <t>IHS_FBN_023</t>
  </si>
  <si>
    <t>T0039</t>
  </si>
  <si>
    <t>IHS_MAR_035</t>
  </si>
  <si>
    <t>Godola</t>
  </si>
  <si>
    <t>T1394</t>
  </si>
  <si>
    <t>IHS_YND_511</t>
  </si>
  <si>
    <t>Etoug ebe Carrefour</t>
  </si>
  <si>
    <t>SUO_078</t>
  </si>
  <si>
    <t>IHS_LMB_016</t>
  </si>
  <si>
    <t>Limbe-Fini-Hotel</t>
  </si>
  <si>
    <t>T0379</t>
  </si>
  <si>
    <t>IHS_YND_473</t>
  </si>
  <si>
    <t>Yoko</t>
  </si>
  <si>
    <t>T0049</t>
  </si>
  <si>
    <t>IHS_YND_440</t>
  </si>
  <si>
    <t>Ayos</t>
  </si>
  <si>
    <t>AYOS</t>
  </si>
  <si>
    <t>T1098</t>
  </si>
  <si>
    <t>IHS_DLA_289</t>
  </si>
  <si>
    <t>PK17 University</t>
  </si>
  <si>
    <t>T1734</t>
  </si>
  <si>
    <t>IHS_EDA_026</t>
  </si>
  <si>
    <t>Logbadjeck</t>
  </si>
  <si>
    <t>LIT_128</t>
  </si>
  <si>
    <t>IHS_DLA_246</t>
  </si>
  <si>
    <t>G-Militaire</t>
  </si>
  <si>
    <t>CTR_042</t>
  </si>
  <si>
    <t>IHS_YND_175</t>
  </si>
  <si>
    <t>Nkomo</t>
  </si>
  <si>
    <t>NKOMO</t>
  </si>
  <si>
    <t>LIT_448</t>
  </si>
  <si>
    <t>IHS_DLA_451</t>
  </si>
  <si>
    <t>PK13-II-TO</t>
  </si>
  <si>
    <t>T0723</t>
  </si>
  <si>
    <t>IHS_NGD_091</t>
  </si>
  <si>
    <t>Mbakaou</t>
  </si>
  <si>
    <t>T1354</t>
  </si>
  <si>
    <t>IHS_NGD_020</t>
  </si>
  <si>
    <t>Bamyaga</t>
  </si>
  <si>
    <t>T0525</t>
  </si>
  <si>
    <t>IHS_YND_199</t>
  </si>
  <si>
    <t>Flamenco</t>
  </si>
  <si>
    <t>CTR_078</t>
  </si>
  <si>
    <t>IHS_YND_213</t>
  </si>
  <si>
    <t>Nkolmesseng</t>
  </si>
  <si>
    <t>CTR_196</t>
  </si>
  <si>
    <t>IHS_YND_159</t>
  </si>
  <si>
    <t>Complexe-BEAC</t>
  </si>
  <si>
    <t>LIT_222</t>
  </si>
  <si>
    <t>IHS_DLA_175</t>
  </si>
  <si>
    <t>Oyak</t>
  </si>
  <si>
    <t>Bilongue</t>
  </si>
  <si>
    <t>T0214</t>
  </si>
  <si>
    <t>IHS_DLA_167</t>
  </si>
  <si>
    <t>Soboum</t>
  </si>
  <si>
    <t>T1351</t>
  </si>
  <si>
    <t>IHS_NGD_002</t>
  </si>
  <si>
    <t>Haoussa area</t>
  </si>
  <si>
    <t>SUD_016</t>
  </si>
  <si>
    <t>IHS_YND_332</t>
  </si>
  <si>
    <t>Nkomekui</t>
  </si>
  <si>
    <t>T0333</t>
  </si>
  <si>
    <t>IHS_DLA_279</t>
  </si>
  <si>
    <t>Ndoghem PK12</t>
  </si>
  <si>
    <t>LIT_275</t>
  </si>
  <si>
    <t>IHS_DLA_276</t>
  </si>
  <si>
    <t>Logpom-Sodikombo</t>
  </si>
  <si>
    <t>T0497</t>
  </si>
  <si>
    <t>IHS_DLA_171</t>
  </si>
  <si>
    <t>Bassa Zone Industrielle</t>
  </si>
  <si>
    <t>T2140</t>
  </si>
  <si>
    <t>IHS_EDA_102</t>
  </si>
  <si>
    <t>NYANON/DEMBO</t>
  </si>
  <si>
    <t>CTR_393</t>
  </si>
  <si>
    <t>IHS_YND_359</t>
  </si>
  <si>
    <t>Mbalmayo-Haoussa</t>
  </si>
  <si>
    <t>T0141</t>
  </si>
  <si>
    <t>IHS_KRI_014</t>
  </si>
  <si>
    <t>Nyete V11</t>
  </si>
  <si>
    <t>CTR_053</t>
  </si>
  <si>
    <t>IHS_YND_384</t>
  </si>
  <si>
    <t>Metet</t>
  </si>
  <si>
    <t>COMMUNE DE MBALMAYO</t>
  </si>
  <si>
    <t>T0088</t>
  </si>
  <si>
    <t>IHS_MAR_021</t>
  </si>
  <si>
    <t>Misseguileo</t>
  </si>
  <si>
    <t>T0219</t>
  </si>
  <si>
    <t>IHS_YND_024</t>
  </si>
  <si>
    <t>Garbati building</t>
  </si>
  <si>
    <t>T0053</t>
  </si>
  <si>
    <t>IHS_YND_407</t>
  </si>
  <si>
    <t>Monatele</t>
  </si>
  <si>
    <t>LIT_280</t>
  </si>
  <si>
    <t>IHS_DLA_268</t>
  </si>
  <si>
    <t>Songa-Boko</t>
  </si>
  <si>
    <t>T1316</t>
  </si>
  <si>
    <t>IHS_YND_111</t>
  </si>
  <si>
    <t>Essos Marche</t>
  </si>
  <si>
    <t>SUD_001</t>
  </si>
  <si>
    <t>IHS_KRI_012</t>
  </si>
  <si>
    <t>Bipaga</t>
  </si>
  <si>
    <t>T1152</t>
  </si>
  <si>
    <t>IHS_NGD_218</t>
  </si>
  <si>
    <t xml:space="preserve">Meiganga 4 </t>
  </si>
  <si>
    <t>ADM_005</t>
  </si>
  <si>
    <t>IHS_GAR_078</t>
  </si>
  <si>
    <t>Touboro</t>
  </si>
  <si>
    <t>CTR_025</t>
  </si>
  <si>
    <t>IHS_YND_238</t>
  </si>
  <si>
    <t>Mendong</t>
  </si>
  <si>
    <t>CTR_339</t>
  </si>
  <si>
    <t>IHS_YND_073</t>
  </si>
  <si>
    <t>Chapelle-Obili</t>
  </si>
  <si>
    <t>MENDONG 2</t>
  </si>
  <si>
    <t>T1213</t>
  </si>
  <si>
    <t>IHS_MAR_026</t>
  </si>
  <si>
    <t>Djarengol Delegue</t>
  </si>
  <si>
    <t>CTR_276</t>
  </si>
  <si>
    <t>IHS_YND_172</t>
  </si>
  <si>
    <t>Tradex-Nkomo</t>
  </si>
  <si>
    <t>CTR_265</t>
  </si>
  <si>
    <t>IHS_YND_229</t>
  </si>
  <si>
    <t>CRH-Etoug-Ebe</t>
  </si>
  <si>
    <t>NRD_012</t>
  </si>
  <si>
    <t>IHS_GAR_042</t>
  </si>
  <si>
    <t>Lagdo</t>
  </si>
  <si>
    <t>CTR_320</t>
  </si>
  <si>
    <t>IHS_YND_282</t>
  </si>
  <si>
    <t>Meyo</t>
  </si>
  <si>
    <t>T0352</t>
  </si>
  <si>
    <t>IHS_BMD_020</t>
  </si>
  <si>
    <t>Bamenda Upstation DCS</t>
  </si>
  <si>
    <t>T0300</t>
  </si>
  <si>
    <t>IHS_BUA_017</t>
  </si>
  <si>
    <t>Bomaka Mile 17</t>
  </si>
  <si>
    <t>T0396</t>
  </si>
  <si>
    <t>IHS_DLA_182</t>
  </si>
  <si>
    <t>Bonamouang</t>
  </si>
  <si>
    <t>T0866</t>
  </si>
  <si>
    <t>IHS_DLA_159</t>
  </si>
  <si>
    <t>Yongyong Makepe</t>
  </si>
  <si>
    <t>T1046</t>
  </si>
  <si>
    <t>IHS_YND_467</t>
  </si>
  <si>
    <t>Nguen Mimbang</t>
  </si>
  <si>
    <t>T1717</t>
  </si>
  <si>
    <t>IHS_NKS_002</t>
  </si>
  <si>
    <t>NKONGSAMBA Q3 CATHEDRALE</t>
  </si>
  <si>
    <t>T1552</t>
  </si>
  <si>
    <t>IHS_YND_281</t>
  </si>
  <si>
    <t>Odza II</t>
  </si>
  <si>
    <t>T0294</t>
  </si>
  <si>
    <t>IHS_YND_016</t>
  </si>
  <si>
    <t>Maetur</t>
  </si>
  <si>
    <t>CTR_110</t>
  </si>
  <si>
    <t>IHS_YND_028</t>
  </si>
  <si>
    <t>H-Central</t>
  </si>
  <si>
    <t>NRD_010</t>
  </si>
  <si>
    <t>IHS_GAR_067</t>
  </si>
  <si>
    <t>Mayo-Oulo</t>
  </si>
  <si>
    <t>T0480</t>
  </si>
  <si>
    <t>IHS_MBD_003</t>
  </si>
  <si>
    <t>Mbouda Town</t>
  </si>
  <si>
    <t>T0458</t>
  </si>
  <si>
    <t>IHS_YND_103</t>
  </si>
  <si>
    <t>Fouda Quarter</t>
  </si>
  <si>
    <t>T0599</t>
  </si>
  <si>
    <t>IHS_DLA_064</t>
  </si>
  <si>
    <t>Bonadoumbe</t>
  </si>
  <si>
    <t>CTR_059</t>
  </si>
  <si>
    <t>IHS_EDA_020</t>
  </si>
  <si>
    <t>Ndokok</t>
  </si>
  <si>
    <t>T0477</t>
  </si>
  <si>
    <t>IHS_GAR_032</t>
  </si>
  <si>
    <t>Gashiga</t>
  </si>
  <si>
    <t>T0543</t>
  </si>
  <si>
    <t>IHS_YND_135</t>
  </si>
  <si>
    <t>Nlongkak</t>
  </si>
  <si>
    <t>T0035</t>
  </si>
  <si>
    <t>IHS_YND_051</t>
  </si>
  <si>
    <t>Mamch Building</t>
  </si>
  <si>
    <t>T0433</t>
  </si>
  <si>
    <t>IHS_MAR_013</t>
  </si>
  <si>
    <t>Maroua Comice</t>
  </si>
  <si>
    <t>COMMUNE MAROUA 1</t>
  </si>
  <si>
    <t>OST_022</t>
  </si>
  <si>
    <t>IHS_BAF_054</t>
  </si>
  <si>
    <t>Bandja</t>
  </si>
  <si>
    <t>CTR_046</t>
  </si>
  <si>
    <t>IHS_YND_008</t>
  </si>
  <si>
    <t>CNDH</t>
  </si>
  <si>
    <t>T0662</t>
  </si>
  <si>
    <t>IHS_NKS_006</t>
  </si>
  <si>
    <t>Nkongsamba Q5 Aviation</t>
  </si>
  <si>
    <t>nkongsamba3</t>
  </si>
  <si>
    <t>LIT_187</t>
  </si>
  <si>
    <t>IHS_BNB_041</t>
  </si>
  <si>
    <t>Dibombari</t>
  </si>
  <si>
    <t>DIBOMBARI</t>
  </si>
  <si>
    <t>LIT_135</t>
  </si>
  <si>
    <t>IHS_EDA_040</t>
  </si>
  <si>
    <t>Ngonga</t>
  </si>
  <si>
    <t>T0419</t>
  </si>
  <si>
    <t>IHS_BUA_001</t>
  </si>
  <si>
    <t>Buea University</t>
  </si>
  <si>
    <t>EXN_001</t>
  </si>
  <si>
    <t>IHS_MAR_020</t>
  </si>
  <si>
    <t>Sodecoton</t>
  </si>
  <si>
    <t>LIT_023</t>
  </si>
  <si>
    <t>IHS_DLA_088</t>
  </si>
  <si>
    <t>Minoterie</t>
  </si>
  <si>
    <t>T1946</t>
  </si>
  <si>
    <t>IHS_DLA_282</t>
  </si>
  <si>
    <t>Mbanga bakoko</t>
  </si>
  <si>
    <t>T0643</t>
  </si>
  <si>
    <t>IHS_BMD_006</t>
  </si>
  <si>
    <t>Bamenda Catholic Church</t>
  </si>
  <si>
    <t>T0235</t>
  </si>
  <si>
    <t>IHS_EDA_035</t>
  </si>
  <si>
    <t>Pouma Hospital</t>
  </si>
  <si>
    <t>T0494</t>
  </si>
  <si>
    <t>IHS_YND_431</t>
  </si>
  <si>
    <t>Nkoteng</t>
  </si>
  <si>
    <t>NKOTENG</t>
  </si>
  <si>
    <t>T0482</t>
  </si>
  <si>
    <t>IHS_DLA_305</t>
  </si>
  <si>
    <t>T1071</t>
  </si>
  <si>
    <t>IHS_YND_343</t>
  </si>
  <si>
    <t>Mbedoumou - Ekali</t>
  </si>
  <si>
    <t>NYONG-ET-SO'O</t>
  </si>
  <si>
    <t>T0358</t>
  </si>
  <si>
    <t>IHS_FBN_019</t>
  </si>
  <si>
    <t>Fosset</t>
  </si>
  <si>
    <t>T1287</t>
  </si>
  <si>
    <t>IHS_YND_223</t>
  </si>
  <si>
    <t>Febe Village</t>
  </si>
  <si>
    <t>T1573</t>
  </si>
  <si>
    <t>IHS_YND_378</t>
  </si>
  <si>
    <t>Eseka Town</t>
  </si>
  <si>
    <t>ESEKA</t>
  </si>
  <si>
    <t>T0814</t>
  </si>
  <si>
    <t>IHS_YND_274</t>
  </si>
  <si>
    <t>Emana Lycee</t>
  </si>
  <si>
    <t>MANGUIER 2</t>
  </si>
  <si>
    <t>T0559</t>
  </si>
  <si>
    <t>IHS_BUA_033</t>
  </si>
  <si>
    <t>T1389</t>
  </si>
  <si>
    <t>IHS_MAR_031</t>
  </si>
  <si>
    <t>ZOKOK LADDEO</t>
  </si>
  <si>
    <t>T2870</t>
  </si>
  <si>
    <t>IHS_MAR_210</t>
  </si>
  <si>
    <t>Zamay</t>
  </si>
  <si>
    <t>T1632</t>
  </si>
  <si>
    <t>IHS_BER_074</t>
  </si>
  <si>
    <t>Yokadouma 2</t>
  </si>
  <si>
    <t>BOUMBA-ET-NGOKO</t>
  </si>
  <si>
    <t>YOKADOUMA</t>
  </si>
  <si>
    <t>T1120</t>
  </si>
  <si>
    <t>IHS_YND_542</t>
  </si>
  <si>
    <t xml:space="preserve">SAA Entrance </t>
  </si>
  <si>
    <t>SA'A</t>
  </si>
  <si>
    <t>EXN_108</t>
  </si>
  <si>
    <t>IHS_MAR_208</t>
  </si>
  <si>
    <t>Roua-C1</t>
  </si>
  <si>
    <t>T2874</t>
  </si>
  <si>
    <t>IHS_MAR_220</t>
  </si>
  <si>
    <t>POUSS</t>
  </si>
  <si>
    <t>Mayo-Danay</t>
  </si>
  <si>
    <t>Maga</t>
  </si>
  <si>
    <t>T1393</t>
  </si>
  <si>
    <t>IHS_GAR_122</t>
  </si>
  <si>
    <t>FARO</t>
  </si>
  <si>
    <t>poli</t>
  </si>
  <si>
    <t>T1259</t>
  </si>
  <si>
    <t>IHS_YND_424</t>
  </si>
  <si>
    <t>Ossombe</t>
  </si>
  <si>
    <t>T1851</t>
  </si>
  <si>
    <t>IHS_YND_330</t>
  </si>
  <si>
    <t>OKOA Peage</t>
  </si>
  <si>
    <t>Mbankomo</t>
  </si>
  <si>
    <t>T0632</t>
  </si>
  <si>
    <t>IHS_YND_101</t>
  </si>
  <si>
    <t>Nsimeyong Shell</t>
  </si>
  <si>
    <t>Tropicana 2</t>
  </si>
  <si>
    <t>T0557</t>
  </si>
  <si>
    <t>IHS_YND_362</t>
  </si>
  <si>
    <t>Nseng Nlong</t>
  </si>
  <si>
    <t>CTR_220</t>
  </si>
  <si>
    <t>IHS_YND_432</t>
  </si>
  <si>
    <t>Nkoteng-II</t>
  </si>
  <si>
    <t>T2138</t>
  </si>
  <si>
    <t>IHS_YND_530</t>
  </si>
  <si>
    <t>NKOLMVEME</t>
  </si>
  <si>
    <t>LIT_039</t>
  </si>
  <si>
    <t>IHS_MBG_006</t>
  </si>
  <si>
    <t>Njombe</t>
  </si>
  <si>
    <t>T1302</t>
  </si>
  <si>
    <t>IHS_YND_472</t>
  </si>
  <si>
    <t>Nitoukou</t>
  </si>
  <si>
    <t>SUD_011</t>
  </si>
  <si>
    <t>IHS_KRI_018</t>
  </si>
  <si>
    <t>Niete-DG</t>
  </si>
  <si>
    <t>CTR_353</t>
  </si>
  <si>
    <t>IHS_YND_413</t>
  </si>
  <si>
    <t>Nguinda</t>
  </si>
  <si>
    <t>T1622</t>
  </si>
  <si>
    <t>IHS_YND_186</t>
  </si>
  <si>
    <t>Ngousso Carrefour</t>
  </si>
  <si>
    <t>T2666</t>
  </si>
  <si>
    <t>IHS_YND_679</t>
  </si>
  <si>
    <t>NGONGO BOLE</t>
  </si>
  <si>
    <t>ADM_084</t>
  </si>
  <si>
    <t>IHS_NGD_201</t>
  </si>
  <si>
    <t>NG'DERE MADAGASCAR-IHS</t>
  </si>
  <si>
    <t>ADM_085</t>
  </si>
  <si>
    <t>IHS_NGD_206</t>
  </si>
  <si>
    <t>Ngd-Bamyangal-II</t>
  </si>
  <si>
    <t>T1516</t>
  </si>
  <si>
    <t>IHS_NGD_223</t>
  </si>
  <si>
    <t xml:space="preserve">Ngaoundere Bini </t>
  </si>
  <si>
    <t>T0252</t>
  </si>
  <si>
    <t>IHS_NGD_227</t>
  </si>
  <si>
    <t>Ngaoundere Baladji 2</t>
  </si>
  <si>
    <t>T1280</t>
  </si>
  <si>
    <t>IHS_BMD_0049</t>
  </si>
  <si>
    <t>Ndu Mbakfu</t>
  </si>
  <si>
    <t>LIT_406</t>
  </si>
  <si>
    <t>IHS_DLA_147</t>
  </si>
  <si>
    <t>Ndokoti-Brasseries</t>
  </si>
  <si>
    <t>T0398</t>
  </si>
  <si>
    <t>IHS_DLA_125</t>
  </si>
  <si>
    <t>Ndokoti</t>
  </si>
  <si>
    <t>T2149</t>
  </si>
  <si>
    <t>IHS_EDA_056</t>
  </si>
  <si>
    <t>Ndogbessol</t>
  </si>
  <si>
    <t>EDEA</t>
  </si>
  <si>
    <t>T1119</t>
  </si>
  <si>
    <t>IHS_YND_541</t>
  </si>
  <si>
    <t>Nanga Eboko entrance</t>
  </si>
  <si>
    <t>Nanaga Eboko</t>
  </si>
  <si>
    <t>SUD_245</t>
  </si>
  <si>
    <t>IHS_EBO_017</t>
  </si>
  <si>
    <t>Mvoula</t>
  </si>
  <si>
    <t>BIWONG BOULOU</t>
  </si>
  <si>
    <t>T1651</t>
  </si>
  <si>
    <t>IHS_NKS_022</t>
  </si>
  <si>
    <t>MOUANGUEL</t>
  </si>
  <si>
    <t>Mouanguel</t>
  </si>
  <si>
    <t>T1158</t>
  </si>
  <si>
    <t>IHS_MAR_310</t>
  </si>
  <si>
    <t>Mora 4</t>
  </si>
  <si>
    <t>SUD_017</t>
  </si>
  <si>
    <t>IHS_EBO_012</t>
  </si>
  <si>
    <t>Mengong</t>
  </si>
  <si>
    <t>EXN_117</t>
  </si>
  <si>
    <t>IHS_MAR_206</t>
  </si>
  <si>
    <t>Maroua-University</t>
  </si>
  <si>
    <t>EXN_091</t>
  </si>
  <si>
    <t>IHS_MAR_009</t>
  </si>
  <si>
    <t>Maroua-Stade-Domayo(Hardé)</t>
  </si>
  <si>
    <t>EXN_083</t>
  </si>
  <si>
    <t>IHS_MAR_019</t>
  </si>
  <si>
    <t>Maroua-Ouro-Bah</t>
  </si>
  <si>
    <t>COMMUNE MAROUA 3</t>
  </si>
  <si>
    <t>EXN_111</t>
  </si>
  <si>
    <t>IHS_MAR_205</t>
  </si>
  <si>
    <t>Maroua-Doualare-II</t>
  </si>
  <si>
    <t>COMMUNE MAROUA 2</t>
  </si>
  <si>
    <t>EXN_114</t>
  </si>
  <si>
    <t>IHS_MAR_201</t>
  </si>
  <si>
    <t>Maroua-Diguirwo-IHS</t>
  </si>
  <si>
    <t>EXN_110</t>
  </si>
  <si>
    <t>IHS_MAR_218</t>
  </si>
  <si>
    <t>Maga-Ville</t>
  </si>
  <si>
    <t>T0489</t>
  </si>
  <si>
    <t>IHS_BER_081</t>
  </si>
  <si>
    <t>Lokomo</t>
  </si>
  <si>
    <t>T1382</t>
  </si>
  <si>
    <t>IHS_MAR_054</t>
  </si>
  <si>
    <t>OST_027</t>
  </si>
  <si>
    <t>IHS_FBN_102</t>
  </si>
  <si>
    <t>Lamape</t>
  </si>
  <si>
    <t>T2883</t>
  </si>
  <si>
    <t>IHS_GAR_111</t>
  </si>
  <si>
    <t>LAGDO SCHOOL</t>
  </si>
  <si>
    <t>T1179</t>
  </si>
  <si>
    <t>IHS_BUA_156</t>
  </si>
  <si>
    <t>Kumba Gare Ntam I</t>
  </si>
  <si>
    <t>EXN_094</t>
  </si>
  <si>
    <t>IHS_KSR_004</t>
  </si>
  <si>
    <t>Kousseri-Lacka</t>
  </si>
  <si>
    <t>T2895</t>
  </si>
  <si>
    <t>IHS_KSR_124</t>
  </si>
  <si>
    <t>KOUSSERI ARAZAI</t>
  </si>
  <si>
    <t>T1471</t>
  </si>
  <si>
    <t>IHS_BMD_077</t>
  </si>
  <si>
    <t>KIKAI</t>
  </si>
  <si>
    <t>kumbo</t>
  </si>
  <si>
    <t>T1419</t>
  </si>
  <si>
    <t>IHS_GAR_328</t>
  </si>
  <si>
    <t>GAROUA ROUMDE ADJA</t>
  </si>
  <si>
    <t>Garoua II</t>
  </si>
  <si>
    <t>NRD_094</t>
  </si>
  <si>
    <t>IHS_GAR_308</t>
  </si>
  <si>
    <t>Garoua Bockle</t>
  </si>
  <si>
    <t>T2041</t>
  </si>
  <si>
    <t>IHS_MAR_214</t>
  </si>
  <si>
    <t>GAREY</t>
  </si>
  <si>
    <t>OST_195</t>
  </si>
  <si>
    <t>IHS_FBN_052</t>
  </si>
  <si>
    <t>Fochieya</t>
  </si>
  <si>
    <t>T0681</t>
  </si>
  <si>
    <t>IHS_BER_018</t>
  </si>
  <si>
    <t>Fio</t>
  </si>
  <si>
    <t>KADEY</t>
  </si>
  <si>
    <t>LIT_006</t>
  </si>
  <si>
    <t>IHS_EDA_031</t>
  </si>
  <si>
    <t>Ferme-Suisse</t>
  </si>
  <si>
    <t>CTR_437</t>
  </si>
  <si>
    <t>IHS_YND_552</t>
  </si>
  <si>
    <t>EKABITA ESSELE</t>
  </si>
  <si>
    <t>CTR_116</t>
  </si>
  <si>
    <t>IHS_YND_339</t>
  </si>
  <si>
    <t>Ebeba</t>
  </si>
  <si>
    <t>EXN_074</t>
  </si>
  <si>
    <t>IHS_MAR_079</t>
  </si>
  <si>
    <t>OST_105</t>
  </si>
  <si>
    <t>IHS_DCG_015</t>
  </si>
  <si>
    <t>Dschang-Foto</t>
  </si>
  <si>
    <t>T1949</t>
  </si>
  <si>
    <t>IHS_NGD_207</t>
  </si>
  <si>
    <t>Djohong</t>
  </si>
  <si>
    <t>T0503</t>
  </si>
  <si>
    <t>IHS_DLA_134</t>
  </si>
  <si>
    <t>Deido Plage</t>
  </si>
  <si>
    <t>AKWA</t>
  </si>
  <si>
    <t>T2873</t>
  </si>
  <si>
    <t>IHS_MAR_207</t>
  </si>
  <si>
    <t>Dargala</t>
  </si>
  <si>
    <t>T1597</t>
  </si>
  <si>
    <t>IHS_YND_670</t>
  </si>
  <si>
    <t>BOBOCK</t>
  </si>
  <si>
    <t>BOT MAKAK</t>
  </si>
  <si>
    <t>NRO_031</t>
  </si>
  <si>
    <t>IHS_BMD_203</t>
  </si>
  <si>
    <t>Bingo-IHS</t>
  </si>
  <si>
    <t>Belo</t>
  </si>
  <si>
    <t>T1676</t>
  </si>
  <si>
    <t>IHS_BUA_100</t>
  </si>
  <si>
    <t>Bertoua Hopital</t>
  </si>
  <si>
    <t>LIT_151</t>
  </si>
  <si>
    <t>IHS_DLA_402</t>
  </si>
  <si>
    <t>Base-elf-new</t>
  </si>
  <si>
    <t>T1605</t>
  </si>
  <si>
    <t>IHS_BMD_141</t>
  </si>
  <si>
    <t>Bambui Roundabout</t>
  </si>
  <si>
    <t>T1016</t>
  </si>
  <si>
    <t>IHS_BER_049</t>
  </si>
  <si>
    <t>Bamako</t>
  </si>
  <si>
    <t>T1350</t>
  </si>
  <si>
    <t>IHS_NGD_009</t>
  </si>
  <si>
    <t>BALADJI</t>
  </si>
  <si>
    <t>EST_017</t>
  </si>
  <si>
    <t>IHS_BER_064</t>
  </si>
  <si>
    <t>Atok</t>
  </si>
  <si>
    <t>ATOK</t>
  </si>
  <si>
    <t>T1161</t>
  </si>
  <si>
    <t>IHS_YND_290</t>
  </si>
  <si>
    <t>Abang</t>
  </si>
  <si>
    <t>T2107</t>
  </si>
  <si>
    <t>IHS_YND_536</t>
  </si>
  <si>
    <t xml:space="preserve"> ATTA</t>
  </si>
  <si>
    <t>T0186</t>
  </si>
  <si>
    <t>IHS_SGM_012</t>
  </si>
  <si>
    <t>Zoetele</t>
  </si>
  <si>
    <t>T0184</t>
  </si>
  <si>
    <t>IHS_YND_344</t>
  </si>
  <si>
    <t>Zamakoe</t>
  </si>
  <si>
    <t>T0107</t>
  </si>
  <si>
    <t>IHS_YND_271</t>
  </si>
  <si>
    <t>Yona Hotel</t>
  </si>
  <si>
    <t>CTR_335</t>
  </si>
  <si>
    <t>IHS_YND_474</t>
  </si>
  <si>
    <t>LIT_365</t>
  </si>
  <si>
    <t>IHS_DLA_284</t>
  </si>
  <si>
    <t>Yambong</t>
  </si>
  <si>
    <t>NRO_007</t>
  </si>
  <si>
    <t>IHS_BMD_063</t>
  </si>
  <si>
    <t>Wum</t>
  </si>
  <si>
    <t>T0133</t>
  </si>
  <si>
    <t>IHS_BMD_062</t>
  </si>
  <si>
    <t>T0254</t>
  </si>
  <si>
    <t>IHS_MAR_091</t>
  </si>
  <si>
    <t>Waza</t>
  </si>
  <si>
    <t>T0232</t>
  </si>
  <si>
    <t>IHS_BER_025</t>
  </si>
  <si>
    <t>Tikondi</t>
  </si>
  <si>
    <t>BATOURI</t>
  </si>
  <si>
    <t>T0022</t>
  </si>
  <si>
    <t>IHS_DLA_109</t>
  </si>
  <si>
    <t>Tergal Quarter</t>
  </si>
  <si>
    <t>St Michel</t>
  </si>
  <si>
    <t>NRD_008</t>
  </si>
  <si>
    <t>IHS_GAR_064</t>
  </si>
  <si>
    <t>Tchollire</t>
  </si>
  <si>
    <t>tchollire</t>
  </si>
  <si>
    <t>T0382</t>
  </si>
  <si>
    <t>IHS_GAR_063</t>
  </si>
  <si>
    <t>T1442</t>
  </si>
  <si>
    <t>IHS_BMD_005</t>
  </si>
  <si>
    <t>T Junction</t>
  </si>
  <si>
    <t>T1114</t>
  </si>
  <si>
    <t>IHS_YND_153</t>
  </si>
  <si>
    <t>Rond Point Express1114</t>
  </si>
  <si>
    <t>T0774</t>
  </si>
  <si>
    <t>IHS_MBG_016</t>
  </si>
  <si>
    <t>Penja Plantations</t>
  </si>
  <si>
    <t>loum</t>
  </si>
  <si>
    <t>T0535</t>
  </si>
  <si>
    <t>IHS_YND_234</t>
  </si>
  <si>
    <t>Oyomabang</t>
  </si>
  <si>
    <t>T0191</t>
  </si>
  <si>
    <t>IHS_YND_337</t>
  </si>
  <si>
    <t>Okola</t>
  </si>
  <si>
    <t>OKOLA</t>
  </si>
  <si>
    <t>T0111</t>
  </si>
  <si>
    <t>IHS_BMD_001</t>
  </si>
  <si>
    <t>NWCA</t>
  </si>
  <si>
    <t>T0175</t>
  </si>
  <si>
    <t>IHS_SGM_007</t>
  </si>
  <si>
    <t>Nkout</t>
  </si>
  <si>
    <t>T0174</t>
  </si>
  <si>
    <t>IHS_YND_385</t>
  </si>
  <si>
    <t>Nkolya</t>
  </si>
  <si>
    <t>ADM_101</t>
  </si>
  <si>
    <t>IHS_NGD_205</t>
  </si>
  <si>
    <t>Ngd-Gambara</t>
  </si>
  <si>
    <t>T1444</t>
  </si>
  <si>
    <t>IHS_BMD_014</t>
  </si>
  <si>
    <t>Mulang</t>
  </si>
  <si>
    <t>T0023</t>
  </si>
  <si>
    <t>IHS_MAR_068</t>
  </si>
  <si>
    <t>Mora Repeater</t>
  </si>
  <si>
    <t>T0293</t>
  </si>
  <si>
    <t>IHS_YND_180</t>
  </si>
  <si>
    <t>Mimboman</t>
  </si>
  <si>
    <t>T0671</t>
  </si>
  <si>
    <t>IHS_BUA_028</t>
  </si>
  <si>
    <t>Mile 14</t>
  </si>
  <si>
    <t>T0532</t>
  </si>
  <si>
    <t>IHS_YND_239</t>
  </si>
  <si>
    <t>Mendong2</t>
  </si>
  <si>
    <t>T0677</t>
  </si>
  <si>
    <t>IHS_YND_382</t>
  </si>
  <si>
    <t>Memiam</t>
  </si>
  <si>
    <t>T0098</t>
  </si>
  <si>
    <t>IHS_YND_360</t>
  </si>
  <si>
    <t>T1352</t>
  </si>
  <si>
    <t>IHS_NGD_024</t>
  </si>
  <si>
    <t>Mawi</t>
  </si>
  <si>
    <t>T1917</t>
  </si>
  <si>
    <t>IHS_MBG_019</t>
  </si>
  <si>
    <t>Loum Nkombi II</t>
  </si>
  <si>
    <t>T1285</t>
  </si>
  <si>
    <t>IHS_EDA_002</t>
  </si>
  <si>
    <t>Logbele Edea</t>
  </si>
  <si>
    <t>T0280</t>
  </si>
  <si>
    <t>IHS_MAR_080</t>
  </si>
  <si>
    <t>Kolofata</t>
  </si>
  <si>
    <t>T0527</t>
  </si>
  <si>
    <t>IHS_YND_019</t>
  </si>
  <si>
    <t>Hotel de Ville Yde</t>
  </si>
  <si>
    <t>T1349</t>
  </si>
  <si>
    <t>IHS_MAR_002</t>
  </si>
  <si>
    <t>HARDE</t>
  </si>
  <si>
    <t>T0260</t>
  </si>
  <si>
    <t>IHS_MAR_071</t>
  </si>
  <si>
    <t>Guidiguis</t>
  </si>
  <si>
    <t>T0802</t>
  </si>
  <si>
    <t>IHS_NGD_021</t>
  </si>
  <si>
    <t>Gada Mabanga</t>
  </si>
  <si>
    <t>OST_087</t>
  </si>
  <si>
    <t>IHS_FBN_007</t>
  </si>
  <si>
    <t>Foumban-Ndjidare</t>
  </si>
  <si>
    <t>T1500</t>
  </si>
  <si>
    <t>IHS_FBN_006</t>
  </si>
  <si>
    <t>FOUMBAN MANKA</t>
  </si>
  <si>
    <t>T0242</t>
  </si>
  <si>
    <t>IHS_KMB_077</t>
  </si>
  <si>
    <t>Eyumojock</t>
  </si>
  <si>
    <t>T0755</t>
  </si>
  <si>
    <t>IHS_YND_408</t>
  </si>
  <si>
    <t>Evodoula</t>
  </si>
  <si>
    <t>EVODOULA</t>
  </si>
  <si>
    <t>T1443</t>
  </si>
  <si>
    <t>IHS_BMD_002</t>
  </si>
  <si>
    <t>Evidence Building</t>
  </si>
  <si>
    <t>T0108</t>
  </si>
  <si>
    <t>IHS_YND_235</t>
  </si>
  <si>
    <t>Etoug-Ebe 2</t>
  </si>
  <si>
    <t>T0394</t>
  </si>
  <si>
    <t>IHS_YND_241</t>
  </si>
  <si>
    <t>Etoudi</t>
  </si>
  <si>
    <t>T0027</t>
  </si>
  <si>
    <t>IHS_YND_398</t>
  </si>
  <si>
    <t>Esse</t>
  </si>
  <si>
    <t>Akonolinga Town</t>
  </si>
  <si>
    <t>T0526</t>
  </si>
  <si>
    <t>IHS_YND_088</t>
  </si>
  <si>
    <t>Elobi Mokolo</t>
  </si>
  <si>
    <t>Buea Bomaka 2 (Buea Park)</t>
  </si>
  <si>
    <t>T2120</t>
  </si>
  <si>
    <t>IHS_GAR_117</t>
  </si>
  <si>
    <t>EXN_030</t>
  </si>
  <si>
    <t>IHS_MAR_017</t>
  </si>
  <si>
    <t>Doualare</t>
  </si>
  <si>
    <t>T0316</t>
  </si>
  <si>
    <t>IHS_SGM_018</t>
  </si>
  <si>
    <t>T0464</t>
  </si>
  <si>
    <t>IHS_YND_345</t>
  </si>
  <si>
    <t>Bikok</t>
  </si>
  <si>
    <t>T0474</t>
  </si>
  <si>
    <t>IHS_BMD_056</t>
  </si>
  <si>
    <t>Bifang</t>
  </si>
  <si>
    <t>Widikum</t>
  </si>
  <si>
    <t>T0151</t>
  </si>
  <si>
    <t>IHS_BER_032</t>
  </si>
  <si>
    <t>Batouri Kako</t>
  </si>
  <si>
    <t>OST_090</t>
  </si>
  <si>
    <t>IHS_FBN_018</t>
  </si>
  <si>
    <t>T1586</t>
  </si>
  <si>
    <t>IHS_BAF_311</t>
  </si>
  <si>
    <t>BANGAM</t>
  </si>
  <si>
    <t>HAUTS-PLATEAUX</t>
  </si>
  <si>
    <t>BATIE</t>
  </si>
  <si>
    <t>T1447</t>
  </si>
  <si>
    <t>IHS_BAF_033</t>
  </si>
  <si>
    <t>Bamoungoum</t>
  </si>
  <si>
    <t>BAMOUNGOUM</t>
  </si>
  <si>
    <t>T0359</t>
  </si>
  <si>
    <t>IHS_MBD_013</t>
  </si>
  <si>
    <t>NRO_034</t>
  </si>
  <si>
    <t>IHS_BMD_044</t>
  </si>
  <si>
    <t>Balikumbat-Palais</t>
  </si>
  <si>
    <t>T0336</t>
  </si>
  <si>
    <t>IHS_BNB_038</t>
  </si>
  <si>
    <t>Babenga</t>
  </si>
  <si>
    <t>T0311</t>
  </si>
  <si>
    <t>IHS_YND_315</t>
  </si>
  <si>
    <t>Ayongoum</t>
  </si>
  <si>
    <t>T0310</t>
  </si>
  <si>
    <t>IHS_YND_170</t>
  </si>
  <si>
    <t>Awae</t>
  </si>
  <si>
    <t>T0555</t>
  </si>
  <si>
    <t>IHS_YND_410</t>
  </si>
  <si>
    <t>Avebe</t>
  </si>
  <si>
    <t>T0210</t>
  </si>
  <si>
    <t>IHS_YND_206</t>
  </si>
  <si>
    <t>ARMP</t>
  </si>
  <si>
    <t>EXN_007</t>
  </si>
  <si>
    <t>IHS_MAR_088</t>
  </si>
  <si>
    <t>Amchide</t>
  </si>
  <si>
    <t>T0153</t>
  </si>
  <si>
    <t>IHS_YND_414</t>
  </si>
  <si>
    <t>AKONOLINGA</t>
  </si>
  <si>
    <t>T0403</t>
  </si>
  <si>
    <t>IHS_YND_257</t>
  </si>
  <si>
    <t>Ahala</t>
  </si>
  <si>
    <t>T0538</t>
  </si>
  <si>
    <t>IHS_YND_036</t>
  </si>
  <si>
    <t>Acropole</t>
  </si>
  <si>
    <t>EXN_032</t>
  </si>
  <si>
    <t>IHS_MAR_067</t>
  </si>
  <si>
    <t>Mora-II</t>
  </si>
  <si>
    <t>T0016</t>
  </si>
  <si>
    <t>IHS_BNB_026</t>
  </si>
  <si>
    <t>Bonaberi Warehouse</t>
  </si>
  <si>
    <t>LIT_017</t>
  </si>
  <si>
    <t>IHS_BNB_104</t>
  </si>
  <si>
    <t>Bberi-Chateau</t>
  </si>
  <si>
    <t>T0173</t>
  </si>
  <si>
    <t>IHS_KRI_013</t>
  </si>
  <si>
    <t>Fifinda2</t>
  </si>
  <si>
    <t>OST_012</t>
  </si>
  <si>
    <t>IHS_BAF_053</t>
  </si>
  <si>
    <t>EXN_033</t>
  </si>
  <si>
    <t>IHS_MAR_090</t>
  </si>
  <si>
    <t>T0082</t>
  </si>
  <si>
    <t>IHS_DLA_000</t>
  </si>
  <si>
    <t>Chefferie Akwa</t>
  </si>
  <si>
    <t>Douala 2</t>
  </si>
  <si>
    <t>OST_007</t>
  </si>
  <si>
    <t>IHS_BAF_069</t>
  </si>
  <si>
    <t>Bana</t>
  </si>
  <si>
    <t>BANA</t>
  </si>
  <si>
    <t>T0084</t>
  </si>
  <si>
    <t>IHS_DLA_085</t>
  </si>
  <si>
    <t>Sea-port</t>
  </si>
  <si>
    <t>LIT_038</t>
  </si>
  <si>
    <t>IHS_DLA_242</t>
  </si>
  <si>
    <t>Ndogp-Lycee</t>
  </si>
  <si>
    <t>T0062</t>
  </si>
  <si>
    <t>IHS_DLA_241</t>
  </si>
  <si>
    <t>Ndogpassi</t>
  </si>
  <si>
    <t>OST_017</t>
  </si>
  <si>
    <t>IHS_DCG_021</t>
  </si>
  <si>
    <t>Bafou</t>
  </si>
  <si>
    <t>NRO_021</t>
  </si>
  <si>
    <t>IHS_BMD_083</t>
  </si>
  <si>
    <t>Ma</t>
  </si>
  <si>
    <t>CTR_122</t>
  </si>
  <si>
    <t>IHS_YND_230</t>
  </si>
  <si>
    <t>Meyong-Meyeme</t>
  </si>
  <si>
    <t>CTR_022</t>
  </si>
  <si>
    <t>IHS_YND_436</t>
  </si>
  <si>
    <t>LIT_132</t>
  </si>
  <si>
    <t>IHS_KRI_024</t>
  </si>
  <si>
    <t>Campo</t>
  </si>
  <si>
    <t>EXN_015</t>
  </si>
  <si>
    <t>IHS_MAR_047</t>
  </si>
  <si>
    <t>Tokombere</t>
  </si>
  <si>
    <t>T0290</t>
  </si>
  <si>
    <t>IHS_YND_067</t>
  </si>
  <si>
    <t>Nkoa Ayos</t>
  </si>
  <si>
    <t>T0481</t>
  </si>
  <si>
    <t>IHS_DCG_017</t>
  </si>
  <si>
    <t>Dschang Lycee Technique</t>
  </si>
  <si>
    <t>T0176</t>
  </si>
  <si>
    <t>IHS_KRI_022</t>
  </si>
  <si>
    <t>Mbongueng</t>
  </si>
  <si>
    <t>T0255</t>
  </si>
  <si>
    <t>IHS_NGD_028</t>
  </si>
  <si>
    <t>Ngaoundere University</t>
  </si>
  <si>
    <t>T0405</t>
  </si>
  <si>
    <t>IHS_NKS_003</t>
  </si>
  <si>
    <t>Nkongsamba Q8</t>
  </si>
  <si>
    <t>nkongsamba 1</t>
  </si>
  <si>
    <t>T0428</t>
  </si>
  <si>
    <t>IHS_EDA_001</t>
  </si>
  <si>
    <t>Edea Town</t>
  </si>
  <si>
    <t>T0597</t>
  </si>
  <si>
    <t>IHS_BNB_007</t>
  </si>
  <si>
    <t>Ngwelle</t>
  </si>
  <si>
    <t>OST_024</t>
  </si>
  <si>
    <t>IHS_BAF_028</t>
  </si>
  <si>
    <t>bfsam-Bamendzi</t>
  </si>
  <si>
    <t>SUO_004</t>
  </si>
  <si>
    <t>IHS_BUA_037</t>
  </si>
  <si>
    <t>Tiko</t>
  </si>
  <si>
    <t>SUD_004</t>
  </si>
  <si>
    <t>IHS_KRI_016</t>
  </si>
  <si>
    <t>Pama</t>
  </si>
  <si>
    <t>LIT_136</t>
  </si>
  <si>
    <t>IHS_EDA_050</t>
  </si>
  <si>
    <t>Omeng</t>
  </si>
  <si>
    <t>Ndom</t>
  </si>
  <si>
    <t>T0430</t>
  </si>
  <si>
    <t>IHS_BMD_074</t>
  </si>
  <si>
    <t>Kumbo Bangam</t>
  </si>
  <si>
    <t>CTR_221</t>
  </si>
  <si>
    <t>IHS_YND_386</t>
  </si>
  <si>
    <t>Efok</t>
  </si>
  <si>
    <t>OST_040</t>
  </si>
  <si>
    <t>IHS_MBD_011</t>
  </si>
  <si>
    <t>Batcham</t>
  </si>
  <si>
    <t>OST_046</t>
  </si>
  <si>
    <t>IHS_BAF_029</t>
  </si>
  <si>
    <t>bfsam-Bamengoum</t>
  </si>
  <si>
    <t>T0581</t>
  </si>
  <si>
    <t>IHS_YND_325</t>
  </si>
  <si>
    <t>Nkometou</t>
  </si>
  <si>
    <t>T0650</t>
  </si>
  <si>
    <t>IHS_BER_005</t>
  </si>
  <si>
    <t>Bertoua Hill</t>
  </si>
  <si>
    <t>CTR_005</t>
  </si>
  <si>
    <t>IHS_YND_374</t>
  </si>
  <si>
    <t>Matomb</t>
  </si>
  <si>
    <t>T0051</t>
  </si>
  <si>
    <t>IHS_YND_297</t>
  </si>
  <si>
    <t>Messassi</t>
  </si>
  <si>
    <t>LIT_079</t>
  </si>
  <si>
    <t>IHS_DLA_054</t>
  </si>
  <si>
    <t>Koloko</t>
  </si>
  <si>
    <t>LIT_432</t>
  </si>
  <si>
    <t>IHS_DLA_435</t>
  </si>
  <si>
    <t>Ndogbong Guiness</t>
  </si>
  <si>
    <t>T0203</t>
  </si>
  <si>
    <t>IHS_GAR_037</t>
  </si>
  <si>
    <t>Ngong</t>
  </si>
  <si>
    <t>ngong</t>
  </si>
  <si>
    <t>EST_082</t>
  </si>
  <si>
    <t>IHS_BER_048</t>
  </si>
  <si>
    <t>Bagofit</t>
  </si>
  <si>
    <t>LIT_009</t>
  </si>
  <si>
    <t>IHS_DLA_076</t>
  </si>
  <si>
    <t>La-Rose</t>
  </si>
  <si>
    <t>T0030</t>
  </si>
  <si>
    <t>IHS_YND_041</t>
  </si>
  <si>
    <t>Lycee Leclerc School</t>
  </si>
  <si>
    <t>T0033</t>
  </si>
  <si>
    <t>IHS_YND_167</t>
  </si>
  <si>
    <t>Touring Club International</t>
  </si>
  <si>
    <t>T0072</t>
  </si>
  <si>
    <t>IHS_MBD_004</t>
  </si>
  <si>
    <t>Mbouda</t>
  </si>
  <si>
    <t>NRO_002</t>
  </si>
  <si>
    <t>IHS_BMD_010</t>
  </si>
  <si>
    <t>Ntumansah</t>
  </si>
  <si>
    <t>T0438</t>
  </si>
  <si>
    <t>IHS_BUA_015</t>
  </si>
  <si>
    <t>Bokwango</t>
  </si>
  <si>
    <t>T0112</t>
  </si>
  <si>
    <t>IHS_BNB_010</t>
  </si>
  <si>
    <t>Sodiko</t>
  </si>
  <si>
    <t>T0172</t>
  </si>
  <si>
    <t>IHS_DCG_019</t>
  </si>
  <si>
    <t>Makong II</t>
  </si>
  <si>
    <t>T0090</t>
  </si>
  <si>
    <t>IHS_KRI_003</t>
  </si>
  <si>
    <t>Talla-Kribi</t>
  </si>
  <si>
    <t>T0069</t>
  </si>
  <si>
    <t>IHS_BUA_006</t>
  </si>
  <si>
    <t>Great Soppo</t>
  </si>
  <si>
    <t>T0020</t>
  </si>
  <si>
    <t>IHS_DLA_124</t>
  </si>
  <si>
    <t>Cite Bassa</t>
  </si>
  <si>
    <t>T0046</t>
  </si>
  <si>
    <t>IHS_YND_191</t>
  </si>
  <si>
    <t>Mballa II</t>
  </si>
  <si>
    <t>T0103</t>
  </si>
  <si>
    <t>IHS_YND_110</t>
  </si>
  <si>
    <t>Camp-Sonel</t>
  </si>
  <si>
    <t>CTR_063</t>
  </si>
  <si>
    <t>IHS_YND_365</t>
  </si>
  <si>
    <t>Akono</t>
  </si>
  <si>
    <t>SUO_007</t>
  </si>
  <si>
    <t>IHS_BUA_002</t>
  </si>
  <si>
    <t>Buea-Orange</t>
  </si>
  <si>
    <t>T0012</t>
  </si>
  <si>
    <t>IHS_BAF_068</t>
  </si>
  <si>
    <t>Bana Camtel</t>
  </si>
  <si>
    <t>T0166</t>
  </si>
  <si>
    <t>IHS_BMD_013</t>
  </si>
  <si>
    <t>Ndamukong street</t>
  </si>
  <si>
    <t>T0143</t>
  </si>
  <si>
    <t>IHS_YND_392</t>
  </si>
  <si>
    <t>Batchenga</t>
  </si>
  <si>
    <t>BATCHENGA</t>
  </si>
  <si>
    <t>T0029</t>
  </si>
  <si>
    <t>IHS_YND_357</t>
  </si>
  <si>
    <t>Sacre Coeur Catholic Church</t>
  </si>
  <si>
    <t>T0624</t>
  </si>
  <si>
    <t>IHS_DLA_093</t>
  </si>
  <si>
    <t>Babylone</t>
  </si>
  <si>
    <t>T0078</t>
  </si>
  <si>
    <t>IHS_GAR_001</t>
  </si>
  <si>
    <t>Garoua Service Centre</t>
  </si>
  <si>
    <t>Garoua I</t>
  </si>
  <si>
    <t>LIT_076</t>
  </si>
  <si>
    <t>IHS_DLA_128</t>
  </si>
  <si>
    <t>Nylon</t>
  </si>
  <si>
    <t>T1362</t>
  </si>
  <si>
    <t>T0052</t>
  </si>
  <si>
    <t>IHS_DLA_189</t>
  </si>
  <si>
    <t>Makepe Decharge</t>
  </si>
  <si>
    <t>LIT_071</t>
  </si>
  <si>
    <t>IHS_NKS_001</t>
  </si>
  <si>
    <t>Nkong-Marche</t>
  </si>
  <si>
    <t>T0421</t>
  </si>
  <si>
    <t>IHS_DLA_132</t>
  </si>
  <si>
    <t>COAF</t>
  </si>
  <si>
    <t>T0446</t>
  </si>
  <si>
    <t>IHS_DLA_243</t>
  </si>
  <si>
    <t>Boko Plage</t>
  </si>
  <si>
    <t>T0453</t>
  </si>
  <si>
    <t>IHS_DLA_129</t>
  </si>
  <si>
    <t>T0463</t>
  </si>
  <si>
    <t>IHS_YND_215</t>
  </si>
  <si>
    <t>Eleveurs</t>
  </si>
  <si>
    <t>T0443</t>
  </si>
  <si>
    <t>IHS_DLA_162</t>
  </si>
  <si>
    <t>Socaver Ndongbong</t>
  </si>
  <si>
    <t>T0451</t>
  </si>
  <si>
    <t>IHS_DLA_099</t>
  </si>
  <si>
    <t>AGIP</t>
  </si>
  <si>
    <t>T0418</t>
  </si>
  <si>
    <t>IHS_DLA_144</t>
  </si>
  <si>
    <t>ESSEC</t>
  </si>
  <si>
    <t>T0778</t>
  </si>
  <si>
    <t>IHS_BAF_012</t>
  </si>
  <si>
    <t>Didango Building</t>
  </si>
  <si>
    <t>T0436</t>
  </si>
  <si>
    <t>IHS_BMD_023</t>
  </si>
  <si>
    <t>Bamenda St Louis</t>
  </si>
  <si>
    <t>T0452</t>
  </si>
  <si>
    <t>IHS_BNB_012</t>
  </si>
  <si>
    <t>Sodiko Gare Routiere</t>
  </si>
  <si>
    <t>LIT_094</t>
  </si>
  <si>
    <t>IHS_BNB_017</t>
  </si>
  <si>
    <t>Mabanda</t>
  </si>
  <si>
    <t>T0550</t>
  </si>
  <si>
    <t>IHS_GAR_022</t>
  </si>
  <si>
    <t>Marouare</t>
  </si>
  <si>
    <t>CTR_069</t>
  </si>
  <si>
    <t>IHS_YND_264</t>
  </si>
  <si>
    <t>Simbock</t>
  </si>
  <si>
    <t>T0417</t>
  </si>
  <si>
    <t>IHS_YND_220</t>
  </si>
  <si>
    <t>Golf Quater</t>
  </si>
  <si>
    <t>T0372</t>
  </si>
  <si>
    <t>IHS_DLA_160</t>
  </si>
  <si>
    <t>Bonamoussongo</t>
  </si>
  <si>
    <t>LIT_078</t>
  </si>
  <si>
    <t>IHS_EDA_005</t>
  </si>
  <si>
    <t>Edea-Ville</t>
  </si>
  <si>
    <t>LIT_113</t>
  </si>
  <si>
    <t>IHS_EDA_022</t>
  </si>
  <si>
    <t>DIZANGUE</t>
  </si>
  <si>
    <t>T0292</t>
  </si>
  <si>
    <t>IHS_YND_231</t>
  </si>
  <si>
    <t>Nkolso</t>
  </si>
  <si>
    <t>T0275</t>
  </si>
  <si>
    <t>IHS_BNB_030</t>
  </si>
  <si>
    <t>CTR_080</t>
  </si>
  <si>
    <t>IHS_YND_298</t>
  </si>
  <si>
    <t>Olembe</t>
  </si>
  <si>
    <t>T0238</t>
  </si>
  <si>
    <t>IHS_YND_351</t>
  </si>
  <si>
    <t>Afambassi</t>
  </si>
  <si>
    <t>T0306</t>
  </si>
  <si>
    <t>IHS_BAF_049</t>
  </si>
  <si>
    <t>Bayangam</t>
  </si>
  <si>
    <t>EXN_053</t>
  </si>
  <si>
    <t>IHS_MAR_029</t>
  </si>
  <si>
    <t>Kodek-Djarengol</t>
  </si>
  <si>
    <t>T0361</t>
  </si>
  <si>
    <t>IHS_BAF_041</t>
  </si>
  <si>
    <t>Balessing</t>
  </si>
  <si>
    <t>Menoua</t>
  </si>
  <si>
    <t>OST_175</t>
  </si>
  <si>
    <t>IHS_FBN_029</t>
  </si>
  <si>
    <t>Foumban Ndjidare II</t>
  </si>
  <si>
    <t>T0346</t>
  </si>
  <si>
    <t>IHS_KMB_072</t>
  </si>
  <si>
    <t>Alou</t>
  </si>
  <si>
    <t>ALOU</t>
  </si>
  <si>
    <t>T0347</t>
  </si>
  <si>
    <t>IHS_KMB_067</t>
  </si>
  <si>
    <t>Fontem</t>
  </si>
  <si>
    <t>T0302</t>
  </si>
  <si>
    <t>IHS_MBG_009</t>
  </si>
  <si>
    <t>Kombe</t>
  </si>
  <si>
    <t>MBANGA</t>
  </si>
  <si>
    <t>T0342</t>
  </si>
  <si>
    <t>IHS_BAF_011</t>
  </si>
  <si>
    <t>Bafoussam Water Tower</t>
  </si>
  <si>
    <t>T0110</t>
  </si>
  <si>
    <t>IHS_BAF_040</t>
  </si>
  <si>
    <t>Ha</t>
  </si>
  <si>
    <t>Koung-khi</t>
  </si>
  <si>
    <t>Bandjoun</t>
  </si>
  <si>
    <t>OST_112</t>
  </si>
  <si>
    <t>IHS_DCG_008</t>
  </si>
  <si>
    <t>Dschang-Q-Admin</t>
  </si>
  <si>
    <t>LIT_294</t>
  </si>
  <si>
    <t>IHS_DLA_033</t>
  </si>
  <si>
    <t>Ngodi</t>
  </si>
  <si>
    <t>T1272</t>
  </si>
  <si>
    <t>IHS_DLA_030</t>
  </si>
  <si>
    <t>NEW BELL CASINO</t>
  </si>
  <si>
    <t>T0373</t>
  </si>
  <si>
    <t>IHS_YND_097</t>
  </si>
  <si>
    <t>Kondengui</t>
  </si>
  <si>
    <t>CTR_315</t>
  </si>
  <si>
    <t>IHS_YND_292</t>
  </si>
  <si>
    <t>Bitoto</t>
  </si>
  <si>
    <t>MFOU</t>
  </si>
  <si>
    <t>T1260</t>
  </si>
  <si>
    <t>IHS_DLA_248</t>
  </si>
  <si>
    <t>MBENGUE CITY</t>
  </si>
  <si>
    <t>OST_106</t>
  </si>
  <si>
    <t>IHS_DCG_005</t>
  </si>
  <si>
    <t>Dschang-Universite</t>
  </si>
  <si>
    <t>NRD_054</t>
  </si>
  <si>
    <t>IHS_GAR_029</t>
  </si>
  <si>
    <t>Garoua-Ouro-Lawan</t>
  </si>
  <si>
    <t>COMMUNE Garoua 2</t>
  </si>
  <si>
    <t>T1343</t>
  </si>
  <si>
    <t>IHS_GAR_021</t>
  </si>
  <si>
    <t>OURO LABO</t>
  </si>
  <si>
    <t>OST_082</t>
  </si>
  <si>
    <t>IHS_FBN_003</t>
  </si>
  <si>
    <t>Foumban-Nkoungougnet</t>
  </si>
  <si>
    <t>LIT_403</t>
  </si>
  <si>
    <t>IHS_DLA_247</t>
  </si>
  <si>
    <t>PK10-Soeurs-Dominicaines</t>
  </si>
  <si>
    <t>CTR_395</t>
  </si>
  <si>
    <t>IHS_YND_249</t>
  </si>
  <si>
    <t>Biteng-Maetur</t>
  </si>
  <si>
    <t>T1273</t>
  </si>
  <si>
    <t>IHS_DLA_079</t>
  </si>
  <si>
    <t>ARMEE DE L'AIR</t>
  </si>
  <si>
    <t>T0283</t>
  </si>
  <si>
    <t>IHS_MAR_069</t>
  </si>
  <si>
    <t>LIT_362</t>
  </si>
  <si>
    <t>IHS_BNB_031</t>
  </si>
  <si>
    <t>Bonabappe-II</t>
  </si>
  <si>
    <t>T1441</t>
  </si>
  <si>
    <t>IHS_BMD_003</t>
  </si>
  <si>
    <t>GOSPEL RADIO</t>
  </si>
  <si>
    <t>T0104</t>
  </si>
  <si>
    <t>IHS_YND_113</t>
  </si>
  <si>
    <t>Emombo</t>
  </si>
  <si>
    <t>T0881</t>
  </si>
  <si>
    <t>IHS_MAR_074</t>
  </si>
  <si>
    <t>Yagoua Lycee</t>
  </si>
  <si>
    <t>SUO_065</t>
  </si>
  <si>
    <t>IHS_LMB_001</t>
  </si>
  <si>
    <t>Limbe-Federal-Qter</t>
  </si>
  <si>
    <t>SUO_077</t>
  </si>
  <si>
    <t>IHS_BUA_021</t>
  </si>
  <si>
    <t>Buea-David-Square</t>
  </si>
  <si>
    <t>T0864</t>
  </si>
  <si>
    <t>IHS_DLA_227</t>
  </si>
  <si>
    <t>Bonamoussadi Careffour</t>
  </si>
  <si>
    <t>SUO_062</t>
  </si>
  <si>
    <t>IHS_BUA_005</t>
  </si>
  <si>
    <t>Buea-Universite</t>
  </si>
  <si>
    <t>CTR_387</t>
  </si>
  <si>
    <t>IHS_YND_276</t>
  </si>
  <si>
    <t>Ekombitie</t>
  </si>
  <si>
    <t>SUO_063</t>
  </si>
  <si>
    <t>IHS_BUA_009</t>
  </si>
  <si>
    <t>Buea-Centre-Ville</t>
  </si>
  <si>
    <t>CTR_379</t>
  </si>
  <si>
    <t>IHS_YND_277</t>
  </si>
  <si>
    <t>Ngoulmekong-Nord</t>
  </si>
  <si>
    <t>ADM_048</t>
  </si>
  <si>
    <t>IHS_NGD_006</t>
  </si>
  <si>
    <t>Ngd-Q-Haoussa</t>
  </si>
  <si>
    <t>NRD_037</t>
  </si>
  <si>
    <t>IHS_GAR_030</t>
  </si>
  <si>
    <t>Nassarao</t>
  </si>
  <si>
    <t>ADM_011</t>
  </si>
  <si>
    <t>IHS_NGD_062</t>
  </si>
  <si>
    <t>Tignere</t>
  </si>
  <si>
    <t>TIGNERE</t>
  </si>
  <si>
    <t>T1877</t>
  </si>
  <si>
    <t>IHS_YND_500</t>
  </si>
  <si>
    <t>Buea Soppo University</t>
  </si>
  <si>
    <t>CTR_378</t>
  </si>
  <si>
    <t>IHS_YND_254</t>
  </si>
  <si>
    <t>Mvog-Manga</t>
  </si>
  <si>
    <t>EST_080</t>
  </si>
  <si>
    <t>IHS_BER_069</t>
  </si>
  <si>
    <t>Garoua-Boulai-Frontiere</t>
  </si>
  <si>
    <t>T1762</t>
  </si>
  <si>
    <t>IHS_KMB_063</t>
  </si>
  <si>
    <t>Mamfe Centre</t>
  </si>
  <si>
    <t>T0817</t>
  </si>
  <si>
    <t>IHS_YND_061</t>
  </si>
  <si>
    <t>Yde University</t>
  </si>
  <si>
    <t>T1101</t>
  </si>
  <si>
    <t>IHS_YND_193</t>
  </si>
  <si>
    <t>Bastos Ekoudou</t>
  </si>
  <si>
    <t>T0865</t>
  </si>
  <si>
    <t>IHS_DLA_186</t>
  </si>
  <si>
    <t>Bonamoussadi Sable</t>
  </si>
  <si>
    <t>SUD_217</t>
  </si>
  <si>
    <t>IHS_EBO_006</t>
  </si>
  <si>
    <t>Ebolowa-Elat</t>
  </si>
  <si>
    <t>Ebolowa 2</t>
  </si>
  <si>
    <t>CTR_383</t>
  </si>
  <si>
    <t>IHS_YND_300</t>
  </si>
  <si>
    <t>Olembe-Terminus</t>
  </si>
  <si>
    <t>T1103</t>
  </si>
  <si>
    <t>IHS_YND_242</t>
  </si>
  <si>
    <t>Mballa 4</t>
  </si>
  <si>
    <t>T1129</t>
  </si>
  <si>
    <t>IHS_BNB_027</t>
  </si>
  <si>
    <t>Bonadale 2</t>
  </si>
  <si>
    <t>LIT_358</t>
  </si>
  <si>
    <t>IHS_DLA_273</t>
  </si>
  <si>
    <t>Bonangang</t>
  </si>
  <si>
    <t>T1499</t>
  </si>
  <si>
    <t>IHS_MBD_006</t>
  </si>
  <si>
    <t>Mbouda Batang</t>
  </si>
  <si>
    <t>T1453</t>
  </si>
  <si>
    <t>IHS_BFG_005</t>
  </si>
  <si>
    <t>BAFANG OCM</t>
  </si>
  <si>
    <t>T1387</t>
  </si>
  <si>
    <t>IHS_DLA_252</t>
  </si>
  <si>
    <t>Makepe2</t>
  </si>
  <si>
    <t>T1524</t>
  </si>
  <si>
    <t>IHS_BMD_009</t>
  </si>
  <si>
    <t>Bamenda Meta Quater</t>
  </si>
  <si>
    <t>T1344</t>
  </si>
  <si>
    <t>IHS_GAR_016</t>
  </si>
  <si>
    <t>PETIT PARIS OCM</t>
  </si>
  <si>
    <t>T1347</t>
  </si>
  <si>
    <t>IHS_MAR_025</t>
  </si>
  <si>
    <t>Maroua palar</t>
  </si>
  <si>
    <t>T1345</t>
  </si>
  <si>
    <t>IHS_GAR_006</t>
  </si>
  <si>
    <t>YELWA</t>
  </si>
  <si>
    <t>Yelwa</t>
  </si>
  <si>
    <t>T1342</t>
  </si>
  <si>
    <t>IHS_GAR_025</t>
  </si>
  <si>
    <t>NGALBIDJE</t>
  </si>
  <si>
    <t>T1348</t>
  </si>
  <si>
    <t>IHS_MAR_010</t>
  </si>
  <si>
    <t>DOMAYO</t>
  </si>
  <si>
    <t>CTR_381</t>
  </si>
  <si>
    <t>IHS_YND_303</t>
  </si>
  <si>
    <t>Nyom</t>
  </si>
  <si>
    <t>T1544</t>
  </si>
  <si>
    <t>IHS_YND_149</t>
  </si>
  <si>
    <t>Nsimeyong Terre Rouge</t>
  </si>
  <si>
    <t>T1723</t>
  </si>
  <si>
    <t>IHS_DLA_155</t>
  </si>
  <si>
    <t>Makepe Maturite</t>
  </si>
  <si>
    <t>T1097</t>
  </si>
  <si>
    <t>IHS_DLA_205</t>
  </si>
  <si>
    <t>PK9 VALLEE</t>
  </si>
  <si>
    <t>CTR_397</t>
  </si>
  <si>
    <t>IHS_YND_435</t>
  </si>
  <si>
    <t>Bafia-Dang</t>
  </si>
  <si>
    <t>T1706</t>
  </si>
  <si>
    <t>IHS_MBG_015</t>
  </si>
  <si>
    <t>Marche deido</t>
  </si>
  <si>
    <t>LIT_377</t>
  </si>
  <si>
    <t>IHS_BNB_022</t>
  </si>
  <si>
    <t>Ngwelle-II</t>
  </si>
  <si>
    <t>LIT_340</t>
  </si>
  <si>
    <t>IHS_DLA_110</t>
  </si>
  <si>
    <t>Brazz-Tergal</t>
  </si>
  <si>
    <t>LIT_361</t>
  </si>
  <si>
    <t>IHS_BNB_029</t>
  </si>
  <si>
    <t>Grand-Hangar-II</t>
  </si>
  <si>
    <t>T1835</t>
  </si>
  <si>
    <t>IHS_YND_160</t>
  </si>
  <si>
    <t>Complex Beac II</t>
  </si>
  <si>
    <t>SUD_262</t>
  </si>
  <si>
    <t>IHS_EBO_005</t>
  </si>
  <si>
    <t>Ebolowa-Newb</t>
  </si>
  <si>
    <t>EBOLOWA 1</t>
  </si>
  <si>
    <t>T1553</t>
  </si>
  <si>
    <t>IHS_YND_108</t>
  </si>
  <si>
    <t>RUE FOE</t>
  </si>
  <si>
    <t>T1545</t>
  </si>
  <si>
    <t>IHS_YND_237</t>
  </si>
  <si>
    <t>Carrefour Simbock</t>
  </si>
  <si>
    <t>T1551</t>
  </si>
  <si>
    <t>IHS_YND_316</t>
  </si>
  <si>
    <t>Nkozoa</t>
  </si>
  <si>
    <t>OST_009</t>
  </si>
  <si>
    <t>IHS_BAF_038</t>
  </si>
  <si>
    <t>OST_076</t>
  </si>
  <si>
    <t>IHS_BAF_032</t>
  </si>
  <si>
    <t>bfsam-Njinkwo</t>
  </si>
  <si>
    <t>T1050</t>
  </si>
  <si>
    <t>IHS_YND_402</t>
  </si>
  <si>
    <t>Ndjore</t>
  </si>
  <si>
    <t>MBANBJOCK</t>
  </si>
  <si>
    <t>T0787</t>
  </si>
  <si>
    <t>IHS_KMB_018</t>
  </si>
  <si>
    <t>Mabonji Buea Road</t>
  </si>
  <si>
    <t>T0830</t>
  </si>
  <si>
    <t>IHS_BMD_041</t>
  </si>
  <si>
    <t>Bamessing</t>
  </si>
  <si>
    <t>T0483</t>
  </si>
  <si>
    <t>IHS_KMB_021</t>
  </si>
  <si>
    <t>Ekombe Bondji</t>
  </si>
  <si>
    <t>T0915</t>
  </si>
  <si>
    <t>IHS_YND_412</t>
  </si>
  <si>
    <t>Mekodo</t>
  </si>
  <si>
    <t>T0228</t>
  </si>
  <si>
    <t>IHS_KMB_071</t>
  </si>
  <si>
    <t>Alou Repeater</t>
  </si>
  <si>
    <t>FONGO-TONGO</t>
  </si>
  <si>
    <t>SUO_017</t>
  </si>
  <si>
    <t>IHS_KMB_068</t>
  </si>
  <si>
    <t>SUO_012</t>
  </si>
  <si>
    <t>IHS_BUA_043</t>
  </si>
  <si>
    <t>LIT_271</t>
  </si>
  <si>
    <t>IHS_DLA_288</t>
  </si>
  <si>
    <t>PK15</t>
  </si>
  <si>
    <t>T0308</t>
  </si>
  <si>
    <t>IHS_YND_462</t>
  </si>
  <si>
    <t>Kiboum</t>
  </si>
  <si>
    <t>OST_034</t>
  </si>
  <si>
    <t>IHS_BAF_050</t>
  </si>
  <si>
    <t>Batie</t>
  </si>
  <si>
    <t>NRO_017</t>
  </si>
  <si>
    <t>IHS_BMD_038</t>
  </si>
  <si>
    <t>Bali</t>
  </si>
  <si>
    <t>T0344</t>
  </si>
  <si>
    <t>IHS_KRI_008</t>
  </si>
  <si>
    <t>Ebouyie Kribi</t>
  </si>
  <si>
    <t>T0189</t>
  </si>
  <si>
    <t>IHS_NGD_055</t>
  </si>
  <si>
    <t>Gale</t>
  </si>
  <si>
    <t>T1374</t>
  </si>
  <si>
    <t>IHS_NGD_023</t>
  </si>
  <si>
    <t>BEKA HOSSERE</t>
  </si>
  <si>
    <t>T1848</t>
  </si>
  <si>
    <t>IHS_NKS_007</t>
  </si>
  <si>
    <t>Nkongsamba Q5 Village</t>
  </si>
  <si>
    <t>T0962</t>
  </si>
  <si>
    <t>IHS_BMD_058</t>
  </si>
  <si>
    <t>Baba</t>
  </si>
  <si>
    <t>NRO_019</t>
  </si>
  <si>
    <t>IHS_BMD_065</t>
  </si>
  <si>
    <t>NRD_086</t>
  </si>
  <si>
    <t>IHS_GAR_107</t>
  </si>
  <si>
    <t>Garoua-Djamboutou-Village-II</t>
  </si>
  <si>
    <t>NRO_024</t>
  </si>
  <si>
    <t>IHS_BMD_205</t>
  </si>
  <si>
    <t>Babessi-T0</t>
  </si>
  <si>
    <t>T1150</t>
  </si>
  <si>
    <t>IHS_YND_363</t>
  </si>
  <si>
    <t>Onangondi (melen bikop)</t>
  </si>
  <si>
    <t>BIKOK</t>
  </si>
  <si>
    <t>T0149</t>
  </si>
  <si>
    <t>IHS_BMD_064</t>
  </si>
  <si>
    <t>OST_056</t>
  </si>
  <si>
    <t>IHS_DCG_023</t>
  </si>
  <si>
    <t>Bamendou</t>
  </si>
  <si>
    <t>T0223</t>
  </si>
  <si>
    <t>IHS_LMB_025</t>
  </si>
  <si>
    <t>Debunscha</t>
  </si>
  <si>
    <t>T0545</t>
  </si>
  <si>
    <t>IHS_BUA_014</t>
  </si>
  <si>
    <t>Buea Town</t>
  </si>
  <si>
    <t>T0279</t>
  </si>
  <si>
    <t>IHS_MAR_048</t>
  </si>
  <si>
    <t>CTR_192</t>
  </si>
  <si>
    <t>IHS_YND_405</t>
  </si>
  <si>
    <t>Saa</t>
  </si>
  <si>
    <t>T1601</t>
  </si>
  <si>
    <t>IHS_BER_140</t>
  </si>
  <si>
    <t>Bertoua Bindia</t>
  </si>
  <si>
    <t>T0685</t>
  </si>
  <si>
    <t>IHS_KMB_053</t>
  </si>
  <si>
    <t>T1637</t>
  </si>
  <si>
    <t>IHS_YND_324</t>
  </si>
  <si>
    <t xml:space="preserve">AKAK Nkozoa </t>
  </si>
  <si>
    <t>T0192</t>
  </si>
  <si>
    <t>IHS_NGD_047</t>
  </si>
  <si>
    <t>Mboulai</t>
  </si>
  <si>
    <t>ADM_028</t>
  </si>
  <si>
    <t>IHS_NGD_054</t>
  </si>
  <si>
    <t>Galle</t>
  </si>
  <si>
    <t>T0199</t>
  </si>
  <si>
    <t>IHS_BMD_082</t>
  </si>
  <si>
    <t>Mah BTS</t>
  </si>
  <si>
    <t>T0902</t>
  </si>
  <si>
    <t>IHS_BER_036</t>
  </si>
  <si>
    <t>Paki</t>
  </si>
  <si>
    <t>DOUME</t>
  </si>
  <si>
    <t>NRO_011</t>
  </si>
  <si>
    <t>IHS_BMD_035</t>
  </si>
  <si>
    <t>T1817</t>
  </si>
  <si>
    <t>IHS_BMD_144</t>
  </si>
  <si>
    <t>Jakiri Church</t>
  </si>
  <si>
    <t>T1755</t>
  </si>
  <si>
    <t>IHS_YND_558</t>
  </si>
  <si>
    <t>OBALA LYCEE</t>
  </si>
  <si>
    <t>CTR_202</t>
  </si>
  <si>
    <t>IHS_YND_370</t>
  </si>
  <si>
    <t>Mom</t>
  </si>
  <si>
    <t>T0301</t>
  </si>
  <si>
    <t>IHS_BMD_033</t>
  </si>
  <si>
    <t>T2110</t>
  </si>
  <si>
    <t>IHS_SGM_101</t>
  </si>
  <si>
    <t>BENGBIS</t>
  </si>
  <si>
    <t>MEFOU-ET-AKONO</t>
  </si>
  <si>
    <t>COMMUNE DE BENGBIS</t>
  </si>
  <si>
    <t>T1388</t>
  </si>
  <si>
    <t>IHS_GAR_109</t>
  </si>
  <si>
    <t>SANGUERE PAUL</t>
  </si>
  <si>
    <t>garoua III</t>
  </si>
  <si>
    <t>T0370</t>
  </si>
  <si>
    <t>IHS_YND_227</t>
  </si>
  <si>
    <t>Mvog Betsi</t>
  </si>
  <si>
    <t>T0259</t>
  </si>
  <si>
    <t>IHS_MAR_061</t>
  </si>
  <si>
    <t>Mokola</t>
  </si>
  <si>
    <t>EST_008</t>
  </si>
  <si>
    <t>IHS_BER_033</t>
  </si>
  <si>
    <t>Djangane</t>
  </si>
  <si>
    <t>EST_003</t>
  </si>
  <si>
    <t>IHS_BER_021</t>
  </si>
  <si>
    <t>Bouam</t>
  </si>
  <si>
    <t>Diang</t>
  </si>
  <si>
    <t>T0348</t>
  </si>
  <si>
    <t>IHS_KMB_060</t>
  </si>
  <si>
    <t>Bachuo Ntai</t>
  </si>
  <si>
    <t>OST_052</t>
  </si>
  <si>
    <t>IHS_BAF_058</t>
  </si>
  <si>
    <t>Banekane</t>
  </si>
  <si>
    <t>T1112</t>
  </si>
  <si>
    <t>IHS_YND_074</t>
  </si>
  <si>
    <t>Obili Chapelle</t>
  </si>
  <si>
    <t>EXN_071</t>
  </si>
  <si>
    <t>IHS_MAR_014</t>
  </si>
  <si>
    <t>Maroua-Camp-SIC</t>
  </si>
  <si>
    <t>NRO_227</t>
  </si>
  <si>
    <t>IHS_BMD_015</t>
  </si>
  <si>
    <t>Bda-Chinde</t>
  </si>
  <si>
    <t>NRO_229</t>
  </si>
  <si>
    <t>IHS_BMD_024</t>
  </si>
  <si>
    <t>Mendankwe</t>
  </si>
  <si>
    <t>LIT_270</t>
  </si>
  <si>
    <t>IHS_DLA_286</t>
  </si>
  <si>
    <t>Zone-Papass</t>
  </si>
  <si>
    <t>LIT_274</t>
  </si>
  <si>
    <t>IHS_DLA_275</t>
  </si>
  <si>
    <t>Logpom-II</t>
  </si>
  <si>
    <t>OST_101</t>
  </si>
  <si>
    <t>IHS_FBN_004</t>
  </si>
  <si>
    <t>Foumban-Njinka</t>
  </si>
  <si>
    <t>T1202</t>
  </si>
  <si>
    <t>IHS_NGD_008</t>
  </si>
  <si>
    <t>NGAOUNDERE MADAGASCAR</t>
  </si>
  <si>
    <t>T0273</t>
  </si>
  <si>
    <t>IHS_MAR_034</t>
  </si>
  <si>
    <t>Katoual 2</t>
  </si>
  <si>
    <t>T2003</t>
  </si>
  <si>
    <t>IHS_DLA_047</t>
  </si>
  <si>
    <t>Akwa Camtel new</t>
  </si>
  <si>
    <t>T1209</t>
  </si>
  <si>
    <t>IHS_NGD_016</t>
  </si>
  <si>
    <t>NGAOUNDERE NORVEGIEN</t>
  </si>
  <si>
    <t>COMMUNE NGAOUNDERE 1</t>
  </si>
  <si>
    <t>CTR_336</t>
  </si>
  <si>
    <t>IHS_YND_212</t>
  </si>
  <si>
    <t>H-General-Yde</t>
  </si>
  <si>
    <t>EXN_069</t>
  </si>
  <si>
    <t>IHS_MAR_075</t>
  </si>
  <si>
    <t>Yagoua-Quinf</t>
  </si>
  <si>
    <t>COMMUNE DE YAGOUA</t>
  </si>
  <si>
    <t>EXN_008</t>
  </si>
  <si>
    <t>IHS_MAR_037</t>
  </si>
  <si>
    <t>Salack</t>
  </si>
  <si>
    <t>LIT_051</t>
  </si>
  <si>
    <t>IHS_BNB_040</t>
  </si>
  <si>
    <t>Nkapa</t>
  </si>
  <si>
    <t>T0282</t>
  </si>
  <si>
    <t>IHS_MAR_065</t>
  </si>
  <si>
    <t>Koza</t>
  </si>
  <si>
    <t>T0266</t>
  </si>
  <si>
    <t>IHS_BUA_038</t>
  </si>
  <si>
    <t>Tiko Stadium</t>
  </si>
  <si>
    <t>T0063</t>
  </si>
  <si>
    <t>IHS_DLA_008</t>
  </si>
  <si>
    <t>Galerie Tayou</t>
  </si>
  <si>
    <t>OST_016</t>
  </si>
  <si>
    <t>IHS_BAF_003</t>
  </si>
  <si>
    <t>bfsam-Djeleng</t>
  </si>
  <si>
    <t>NRO_006</t>
  </si>
  <si>
    <t>IHS_BMD_043</t>
  </si>
  <si>
    <t>T0216</t>
  </si>
  <si>
    <t>IHS_YND_032</t>
  </si>
  <si>
    <t>Kamajou Building</t>
  </si>
  <si>
    <t>LIT_054</t>
  </si>
  <si>
    <t>IHS_DLA_136</t>
  </si>
  <si>
    <t>Gd-Moulin</t>
  </si>
  <si>
    <t>LIT_060</t>
  </si>
  <si>
    <t>IHS_DLA_090</t>
  </si>
  <si>
    <t>Bpriso-ASECNA</t>
  </si>
  <si>
    <t>LIT_085</t>
  </si>
  <si>
    <t>IHS_DLA_096</t>
  </si>
  <si>
    <t>Bonantone</t>
  </si>
  <si>
    <t>T0513</t>
  </si>
  <si>
    <t>IHS_DLA_269</t>
  </si>
  <si>
    <t>Kambo</t>
  </si>
  <si>
    <t>EXN_006</t>
  </si>
  <si>
    <t>IHS_MAR_041</t>
  </si>
  <si>
    <t>Bogo</t>
  </si>
  <si>
    <t>ADM_003</t>
  </si>
  <si>
    <t>IHS_NGD_027</t>
  </si>
  <si>
    <t>Ngd-Universite</t>
  </si>
  <si>
    <t>COMMUNE NGAOUNDERE3</t>
  </si>
  <si>
    <t>T0243</t>
  </si>
  <si>
    <t>IHS_NKS_005</t>
  </si>
  <si>
    <t>Nkongsamba SDH</t>
  </si>
  <si>
    <t>nkongsamba 3</t>
  </si>
  <si>
    <t>T0431</t>
  </si>
  <si>
    <t>IHS_NGD_094</t>
  </si>
  <si>
    <t>Banyo Town</t>
  </si>
  <si>
    <t>T0054</t>
  </si>
  <si>
    <t>IHS_BER_027</t>
  </si>
  <si>
    <t>Doume</t>
  </si>
  <si>
    <t>T0324</t>
  </si>
  <si>
    <t>IHS_NGD_095</t>
  </si>
  <si>
    <t>LIT_025</t>
  </si>
  <si>
    <t>IHS_DLA_058</t>
  </si>
  <si>
    <t>Tsekenis</t>
  </si>
  <si>
    <t>NRD_022</t>
  </si>
  <si>
    <t>IHS_GAR_033</t>
  </si>
  <si>
    <t>ADM_012</t>
  </si>
  <si>
    <t>IHS_NGD_101</t>
  </si>
  <si>
    <t>T1210</t>
  </si>
  <si>
    <t>IHS_GAR_059</t>
  </si>
  <si>
    <t>SAGAMLA</t>
  </si>
  <si>
    <t>T1582</t>
  </si>
  <si>
    <t>IHS_YND_138</t>
  </si>
  <si>
    <t>Nkomkana</t>
  </si>
  <si>
    <t>T1788</t>
  </si>
  <si>
    <t>IHS_BUA_036</t>
  </si>
  <si>
    <t>Tiko Long Street</t>
  </si>
  <si>
    <t>T1556</t>
  </si>
  <si>
    <t>IHS_YND_182</t>
  </si>
  <si>
    <t>Titi Garage</t>
  </si>
  <si>
    <t>NRD_073</t>
  </si>
  <si>
    <t>IHS_GAR_105</t>
  </si>
  <si>
    <t>Garoua-Camp-Chinois-IHS</t>
  </si>
  <si>
    <t>LIT_291</t>
  </si>
  <si>
    <t>IHS_BNB_004</t>
  </si>
  <si>
    <t>Grand-Hangar</t>
  </si>
  <si>
    <t>T1702</t>
  </si>
  <si>
    <t>IHS_DLA_168</t>
  </si>
  <si>
    <t>NEW TOWN  AEROPORT</t>
  </si>
  <si>
    <t>T1380</t>
  </si>
  <si>
    <t>IHS_GAR_039</t>
  </si>
  <si>
    <t>NGONG TOWN</t>
  </si>
  <si>
    <t>T1496</t>
  </si>
  <si>
    <t>IHS_DCG_009</t>
  </si>
  <si>
    <t>Dschang FOREKE</t>
  </si>
  <si>
    <t>T1547</t>
  </si>
  <si>
    <t>IHS_YND_064</t>
  </si>
  <si>
    <t>HOPITAL DE LA CAISSE</t>
  </si>
  <si>
    <t>EXN_087</t>
  </si>
  <si>
    <t>IHS_MAR_008</t>
  </si>
  <si>
    <t>Maroua-Douggoy-Masalare</t>
  </si>
  <si>
    <t>T1703</t>
  </si>
  <si>
    <t>IHS_DLA_239</t>
  </si>
  <si>
    <t>BOKO</t>
  </si>
  <si>
    <t>T1795</t>
  </si>
  <si>
    <t>IHS_DLA_041</t>
  </si>
  <si>
    <t>Nkolmondo</t>
  </si>
  <si>
    <t>EST_108</t>
  </si>
  <si>
    <t>IHS_BER_151</t>
  </si>
  <si>
    <t>Bertoua Q Admin</t>
  </si>
  <si>
    <t>Bertoua (Lom et Djerem) </t>
  </si>
  <si>
    <t>LIT_276</t>
  </si>
  <si>
    <t>IHS_DLA_260</t>
  </si>
  <si>
    <t>Logpom-Kosovo</t>
  </si>
  <si>
    <t>T1550</t>
  </si>
  <si>
    <t>IHS_YND_537</t>
  </si>
  <si>
    <t>MEFOU ASSI</t>
  </si>
  <si>
    <t>LIT_292</t>
  </si>
  <si>
    <t>IHS_DLA_237</t>
  </si>
  <si>
    <t>Ndogp-Bloc-13</t>
  </si>
  <si>
    <t>NRD_101</t>
  </si>
  <si>
    <t>IHS_GAR_317</t>
  </si>
  <si>
    <t>Gra Foulbere Moussa Yaya</t>
  </si>
  <si>
    <t>T1274</t>
  </si>
  <si>
    <t>IHS_DLA_166</t>
  </si>
  <si>
    <t>Oyack</t>
  </si>
  <si>
    <t>LIT_069</t>
  </si>
  <si>
    <t>IHS_EDA_036</t>
  </si>
  <si>
    <t>Pouma</t>
  </si>
  <si>
    <t>T1294</t>
  </si>
  <si>
    <t>IHS_DLA_011</t>
  </si>
  <si>
    <t>Marche Congo</t>
  </si>
  <si>
    <t>T1135</t>
  </si>
  <si>
    <t>IHS_BUA_003</t>
  </si>
  <si>
    <t>Buea Boduma</t>
  </si>
  <si>
    <t>T1572</t>
  </si>
  <si>
    <t>IHS_YND_117</t>
  </si>
  <si>
    <t>Nkomo stade</t>
  </si>
  <si>
    <t>T1543</t>
  </si>
  <si>
    <t>IHS_YND_336</t>
  </si>
  <si>
    <t>EKIE</t>
  </si>
  <si>
    <t>CTR_036</t>
  </si>
  <si>
    <t>IHS_YND_334</t>
  </si>
  <si>
    <t>Mfou</t>
  </si>
  <si>
    <t>T1700</t>
  </si>
  <si>
    <t>IHS_BNB_024</t>
  </si>
  <si>
    <t>NKOMBA 2</t>
  </si>
  <si>
    <t>LIT_370</t>
  </si>
  <si>
    <t>IHS_DLA_204</t>
  </si>
  <si>
    <t>PK9</t>
  </si>
  <si>
    <t>CTR_313</t>
  </si>
  <si>
    <t>IHS_YND_307</t>
  </si>
  <si>
    <t>Ebogo</t>
  </si>
  <si>
    <t>T1838</t>
  </si>
  <si>
    <t>IHS_LMB_006</t>
  </si>
  <si>
    <t>Limbe Bota</t>
  </si>
  <si>
    <t>T0144</t>
  </si>
  <si>
    <t>IHS_YND_333</t>
  </si>
  <si>
    <t>OST_088</t>
  </si>
  <si>
    <t>IHS_BAF_045</t>
  </si>
  <si>
    <t>Demdeng</t>
  </si>
  <si>
    <t>T1695</t>
  </si>
  <si>
    <t>IHS_BUA_008</t>
  </si>
  <si>
    <t>Moliko (Buea SC 2)</t>
  </si>
  <si>
    <t>ADM_017</t>
  </si>
  <si>
    <t>IHS_NGD_029</t>
  </si>
  <si>
    <t>Ngd-Dang</t>
  </si>
  <si>
    <t>T1215</t>
  </si>
  <si>
    <t>IHS_NGD_056</t>
  </si>
  <si>
    <t>Meiganga EELC</t>
  </si>
  <si>
    <t>T1416</t>
  </si>
  <si>
    <t>IHS_KSR_006</t>
  </si>
  <si>
    <t>NGUELI</t>
  </si>
  <si>
    <t>T0297</t>
  </si>
  <si>
    <t>IHS_BER_006</t>
  </si>
  <si>
    <t>Enia Bertoua</t>
  </si>
  <si>
    <t>LIT_311</t>
  </si>
  <si>
    <t>IHS_DLA_116</t>
  </si>
  <si>
    <t>Camatrans-New</t>
  </si>
  <si>
    <t>T1698</t>
  </si>
  <si>
    <t>IHS_BNB_036</t>
  </si>
  <si>
    <t>Minkwele</t>
  </si>
  <si>
    <t>EXN_092</t>
  </si>
  <si>
    <t>IHS_MAR_028</t>
  </si>
  <si>
    <t>Maroua-Titouare(Ouro Tchédé)</t>
  </si>
  <si>
    <t>LIT_297</t>
  </si>
  <si>
    <t>IHS_DLA_290</t>
  </si>
  <si>
    <t>Lendi-Entree</t>
  </si>
  <si>
    <t>T2647</t>
  </si>
  <si>
    <t>IHS_GAR_327</t>
  </si>
  <si>
    <t xml:space="preserve">Garoua Katasko   </t>
  </si>
  <si>
    <t>T1627</t>
  </si>
  <si>
    <t>IHS_YND_443</t>
  </si>
  <si>
    <t>Nanga Eboko TOWN T1621</t>
  </si>
  <si>
    <t>NRD_067</t>
  </si>
  <si>
    <t>IHS_GAR_007</t>
  </si>
  <si>
    <t>Garoua-Foulbere-IV</t>
  </si>
  <si>
    <t>EXN_086</t>
  </si>
  <si>
    <t>IHS_MAR_024</t>
  </si>
  <si>
    <t>Maroua-Titouare-II</t>
  </si>
  <si>
    <t>T1370</t>
  </si>
  <si>
    <t>IHS_GAR_028</t>
  </si>
  <si>
    <t>GRANDE MOSQUEE DJAMBOUTOU</t>
  </si>
  <si>
    <t>EXN_089</t>
  </si>
  <si>
    <t>IHS_MAR_004</t>
  </si>
  <si>
    <t>Maroua-Boussaore(barmare)</t>
  </si>
  <si>
    <t>T1930</t>
  </si>
  <si>
    <t>IHS_DLA_412</t>
  </si>
  <si>
    <t>Dibom 2</t>
  </si>
  <si>
    <t>T0312</t>
  </si>
  <si>
    <t>IHS_GAR_015</t>
  </si>
  <si>
    <t>Garoua plateau</t>
  </si>
  <si>
    <t>T1618</t>
  </si>
  <si>
    <t>IHS_YND_305</t>
  </si>
  <si>
    <t>NYOM</t>
  </si>
  <si>
    <t>T1392</t>
  </si>
  <si>
    <t>IHS_MAR_057</t>
  </si>
  <si>
    <t>GOUZOUGOUI</t>
  </si>
  <si>
    <t>NRD_007</t>
  </si>
  <si>
    <t>IHS_GAR_003</t>
  </si>
  <si>
    <t>EXN_016</t>
  </si>
  <si>
    <t>IHS_MAR_023</t>
  </si>
  <si>
    <t>Maroua-Douggoy</t>
  </si>
  <si>
    <t>EST_087</t>
  </si>
  <si>
    <t>IHS_BER_007</t>
  </si>
  <si>
    <t>Bertoua-Dabadi</t>
  </si>
  <si>
    <t>T0179</t>
  </si>
  <si>
    <t>IHS_DLA_271</t>
  </si>
  <si>
    <t>Mbangue</t>
  </si>
  <si>
    <t>T0439</t>
  </si>
  <si>
    <t>IHS_DLA_220</t>
  </si>
  <si>
    <t>Malangue</t>
  </si>
  <si>
    <t>T1391</t>
  </si>
  <si>
    <t>IHS_MAR_059</t>
  </si>
  <si>
    <t>Mora technical school</t>
  </si>
  <si>
    <t>NRO_010</t>
  </si>
  <si>
    <t>IHS_BMD_050</t>
  </si>
  <si>
    <t>Batibo</t>
  </si>
  <si>
    <t>NRD_013</t>
  </si>
  <si>
    <t>IHS_GAR_031</t>
  </si>
  <si>
    <t>T1353</t>
  </si>
  <si>
    <t>IHS_NGD_018</t>
  </si>
  <si>
    <t>Mbideng</t>
  </si>
  <si>
    <t>NGAOUNEDERE 1</t>
  </si>
  <si>
    <t>ADM_035</t>
  </si>
  <si>
    <t>IHS_NGD_010</t>
  </si>
  <si>
    <t>Ngd-Baladji</t>
  </si>
  <si>
    <t>T1847</t>
  </si>
  <si>
    <t>IHS_EDA_010</t>
  </si>
  <si>
    <t>New Malimba</t>
  </si>
  <si>
    <t>T1772</t>
  </si>
  <si>
    <t>IHS_EDA_007</t>
  </si>
  <si>
    <t>Edea Beon</t>
  </si>
  <si>
    <t>T1735</t>
  </si>
  <si>
    <t>IHS_BNB_037</t>
  </si>
  <si>
    <t>BEKOKO</t>
  </si>
  <si>
    <t>NRD_003</t>
  </si>
  <si>
    <t>IHS_GAR_026</t>
  </si>
  <si>
    <t>Djamboutou</t>
  </si>
  <si>
    <t>NRD_075</t>
  </si>
  <si>
    <t>IHS_GAR_100</t>
  </si>
  <si>
    <t>Garoua-Lidire</t>
  </si>
  <si>
    <t>T0162</t>
  </si>
  <si>
    <t>IHS_BAF_004</t>
  </si>
  <si>
    <t>Evangelic church Bafoussam</t>
  </si>
  <si>
    <t>T1950</t>
  </si>
  <si>
    <t>IHS_MAR_200</t>
  </si>
  <si>
    <t>MAROUA LOPERE</t>
  </si>
  <si>
    <t>LIT_308</t>
  </si>
  <si>
    <t>IHS_EDA_037</t>
  </si>
  <si>
    <t>Ndokoma</t>
  </si>
  <si>
    <t>LIT_299</t>
  </si>
  <si>
    <t>IHS_DLA_165</t>
  </si>
  <si>
    <t>Oyack-Lycee</t>
  </si>
  <si>
    <t>T1422</t>
  </si>
  <si>
    <t>IHS_NGD_211</t>
  </si>
  <si>
    <t>MEIGANGA MARKET</t>
  </si>
  <si>
    <t>T1613</t>
  </si>
  <si>
    <t>IHS_YND_301</t>
  </si>
  <si>
    <t>Tsinga village</t>
  </si>
  <si>
    <t>T1777</t>
  </si>
  <si>
    <t>IHS_BUA_024</t>
  </si>
  <si>
    <t>Bokwaï</t>
  </si>
  <si>
    <t>T1778</t>
  </si>
  <si>
    <t>IHS_BUA_013</t>
  </si>
  <si>
    <t>Buea G.R.A.</t>
  </si>
  <si>
    <t>T0080</t>
  </si>
  <si>
    <t>IHS_GAR_011</t>
  </si>
  <si>
    <t>Cetic School</t>
  </si>
  <si>
    <t> Garoua</t>
  </si>
  <si>
    <t>T0448</t>
  </si>
  <si>
    <t>IHS_DLA_115</t>
  </si>
  <si>
    <t>Essengue</t>
  </si>
  <si>
    <t>EXN_096</t>
  </si>
  <si>
    <t>IHS_MAR_223</t>
  </si>
  <si>
    <t>Yagoua-Ville</t>
  </si>
  <si>
    <t>T1716</t>
  </si>
  <si>
    <t>IHS_LMB_002</t>
  </si>
  <si>
    <t>GRA LIMBE</t>
  </si>
  <si>
    <t>T0171</t>
  </si>
  <si>
    <t>IHS_BAF_043</t>
  </si>
  <si>
    <t>Bamendjou</t>
  </si>
  <si>
    <t>T1849</t>
  </si>
  <si>
    <t>IHS_MBG_011</t>
  </si>
  <si>
    <t>Penja Shell</t>
  </si>
  <si>
    <t>SUO_073</t>
  </si>
  <si>
    <t>IHS_KMB_062</t>
  </si>
  <si>
    <t>Mamfe-Brasserie</t>
  </si>
  <si>
    <t>T0450</t>
  </si>
  <si>
    <t>IHS_DLA_198</t>
  </si>
  <si>
    <t>Logbaba</t>
  </si>
  <si>
    <t>EXN_116</t>
  </si>
  <si>
    <t>IHS_MAR_204</t>
  </si>
  <si>
    <t>Maroua-Zokok-Palar-IHS</t>
  </si>
  <si>
    <t>T1819</t>
  </si>
  <si>
    <t>IHS_MAR_039</t>
  </si>
  <si>
    <t>GAZAWA</t>
  </si>
  <si>
    <t>Gazawa</t>
  </si>
  <si>
    <t>LIT_400</t>
  </si>
  <si>
    <t>IHS_DLA_229</t>
  </si>
  <si>
    <t>Bonawon</t>
  </si>
  <si>
    <t>EXN_095</t>
  </si>
  <si>
    <t>IHS_MAR_212</t>
  </si>
  <si>
    <t>Kaele-Guiedame</t>
  </si>
  <si>
    <t>T1113</t>
  </si>
  <si>
    <t>IHS_YND_105</t>
  </si>
  <si>
    <t>Omnisport 3</t>
  </si>
  <si>
    <t>NRD_083</t>
  </si>
  <si>
    <t>IHS_GAR_108</t>
  </si>
  <si>
    <t>Garoua-Sabongari-Lainde-IHS</t>
  </si>
  <si>
    <t>T1726</t>
  </si>
  <si>
    <t>IHS_MBG_002</t>
  </si>
  <si>
    <t>Mbanga Q8</t>
  </si>
  <si>
    <t>T1307</t>
  </si>
  <si>
    <t>IHS_BUA_048</t>
  </si>
  <si>
    <t>Penda boko</t>
  </si>
  <si>
    <t>OST_004</t>
  </si>
  <si>
    <t>IHS_FBN_001</t>
  </si>
  <si>
    <t>OST_125</t>
  </si>
  <si>
    <t>IHS_FBN_021</t>
  </si>
  <si>
    <t>Foumbot-Centre-Ville</t>
  </si>
  <si>
    <t>T1576</t>
  </si>
  <si>
    <t>IHS_BMD_030</t>
  </si>
  <si>
    <t>Bambili University</t>
  </si>
  <si>
    <t>tubah</t>
  </si>
  <si>
    <t>SUO_015</t>
  </si>
  <si>
    <t>IHS_KMB_081</t>
  </si>
  <si>
    <t>Ekok</t>
  </si>
  <si>
    <t>T0262</t>
  </si>
  <si>
    <t>IHS_EDA_009</t>
  </si>
  <si>
    <t>Ntoumba SDH</t>
  </si>
  <si>
    <t>NRD_077</t>
  </si>
  <si>
    <t>IHS_GAR_112</t>
  </si>
  <si>
    <t>Lagdo-Marche</t>
  </si>
  <si>
    <t>LIT_384</t>
  </si>
  <si>
    <t>IHS_DLA_261</t>
  </si>
  <si>
    <t>Emene-City</t>
  </si>
  <si>
    <t>CTR_198</t>
  </si>
  <si>
    <t>IHS_YND_126</t>
  </si>
  <si>
    <t>Bastos-Nylon</t>
  </si>
  <si>
    <t>T0341</t>
  </si>
  <si>
    <t>IHS_YND_270</t>
  </si>
  <si>
    <t>Santa Barbara Yde</t>
  </si>
  <si>
    <t>T0816</t>
  </si>
  <si>
    <t>IHS_YND_260</t>
  </si>
  <si>
    <t>Simbock Maetur</t>
  </si>
  <si>
    <t>T1834</t>
  </si>
  <si>
    <t>IHS_YND_132</t>
  </si>
  <si>
    <t>Manguiers Dispensaire</t>
  </si>
  <si>
    <t>T0638</t>
  </si>
  <si>
    <t>IHS_YND_318</t>
  </si>
  <si>
    <t>SOA University</t>
  </si>
  <si>
    <t>T1719</t>
  </si>
  <si>
    <t>IHS_MBG_018</t>
  </si>
  <si>
    <t>Loum Joli</t>
  </si>
  <si>
    <t>T1495</t>
  </si>
  <si>
    <t>IHS_BMD_036</t>
  </si>
  <si>
    <t>Bali Njenka</t>
  </si>
  <si>
    <t>T1862</t>
  </si>
  <si>
    <t>IHS_YND_510</t>
  </si>
  <si>
    <t>MVAN SACEL</t>
  </si>
  <si>
    <t>T1874</t>
  </si>
  <si>
    <t>IHS_YND_520</t>
  </si>
  <si>
    <t>SIMBOCK BONAMBAPE</t>
  </si>
  <si>
    <t>T1541</t>
  </si>
  <si>
    <t>IHS_BER_010</t>
  </si>
  <si>
    <t>T1617</t>
  </si>
  <si>
    <t>IHS_BER_107</t>
  </si>
  <si>
    <t>bertoua Birpondo</t>
  </si>
  <si>
    <t>LIT_347</t>
  </si>
  <si>
    <t>IHS_DLA_117</t>
  </si>
  <si>
    <t>Base-Navale</t>
  </si>
  <si>
    <t>T0456</t>
  </si>
  <si>
    <t>IHS_YND_224</t>
  </si>
  <si>
    <t>Messa Carriere</t>
  </si>
  <si>
    <t>CTR_327</t>
  </si>
  <si>
    <t>IHS_YND_092</t>
  </si>
  <si>
    <t>Fouda-New</t>
  </si>
  <si>
    <t>T1797</t>
  </si>
  <si>
    <t>IHS_BNB_020</t>
  </si>
  <si>
    <t>Sodiko 2</t>
  </si>
  <si>
    <t>T0629</t>
  </si>
  <si>
    <t>IHS_YND_058</t>
  </si>
  <si>
    <t>Mvolye</t>
  </si>
  <si>
    <t>T0351</t>
  </si>
  <si>
    <t>IHS_YND_146</t>
  </si>
  <si>
    <t>Nsimeyong</t>
  </si>
  <si>
    <t>T1111</t>
  </si>
  <si>
    <t>IHS_YND_118</t>
  </si>
  <si>
    <t>ESSOS OASIS 1111</t>
  </si>
  <si>
    <t>T0034</t>
  </si>
  <si>
    <t>IHS_MAR_076</t>
  </si>
  <si>
    <t>SUD_264</t>
  </si>
  <si>
    <t>IHS_EBO_002</t>
  </si>
  <si>
    <t>Ebolowa-Angale</t>
  </si>
  <si>
    <t>CTR_425</t>
  </si>
  <si>
    <t>IHS_YND_141</t>
  </si>
  <si>
    <t>New-Marche-Melen</t>
  </si>
  <si>
    <t>T1426</t>
  </si>
  <si>
    <t>IHS_NGD_203</t>
  </si>
  <si>
    <t>NGAOUNDERE SABONGARI</t>
  </si>
  <si>
    <t>SUO_014</t>
  </si>
  <si>
    <t>IHS_LMB_007</t>
  </si>
  <si>
    <t>Down-Beach</t>
  </si>
  <si>
    <t>T1385</t>
  </si>
  <si>
    <t>IHS_MAR_051</t>
  </si>
  <si>
    <t>Guirvidig</t>
  </si>
  <si>
    <t>T1421</t>
  </si>
  <si>
    <t>IHS_MAR_399</t>
  </si>
  <si>
    <t>MAROUA TOTAL DOMAYO</t>
  </si>
  <si>
    <t>T1170</t>
  </si>
  <si>
    <t>IHS_BAF_030</t>
  </si>
  <si>
    <t>Bafoussam leproserie</t>
  </si>
  <si>
    <t>T0732</t>
  </si>
  <si>
    <t>IHS_BAF_064</t>
  </si>
  <si>
    <t>CTR_333</t>
  </si>
  <si>
    <t>IHS_YND_273</t>
  </si>
  <si>
    <t>Nkolbi-Boss</t>
  </si>
  <si>
    <t>LIT_364</t>
  </si>
  <si>
    <t>IHS_BNB_023</t>
  </si>
  <si>
    <t>Bonamatoumbe-II</t>
  </si>
  <si>
    <t>T1910</t>
  </si>
  <si>
    <t>IHS_BMD_012</t>
  </si>
  <si>
    <t>Bamenda sisia quarter</t>
  </si>
  <si>
    <t>T1909</t>
  </si>
  <si>
    <t>IHS_BMD_004</t>
  </si>
  <si>
    <t>Bamenda hospital round about</t>
  </si>
  <si>
    <t>T1690</t>
  </si>
  <si>
    <t>IHS_YND_516</t>
  </si>
  <si>
    <t>ETOUDI Entrée du palais</t>
  </si>
  <si>
    <t>CTR_337</t>
  </si>
  <si>
    <t>IHS_YND_280</t>
  </si>
  <si>
    <t>LIT_249</t>
  </si>
  <si>
    <t>IHS_DLA_250</t>
  </si>
  <si>
    <t>PK12-Marche</t>
  </si>
  <si>
    <t>T1571</t>
  </si>
  <si>
    <t>IHS_YND_535</t>
  </si>
  <si>
    <t>Awae Ewonkan</t>
  </si>
  <si>
    <t>NRD_074</t>
  </si>
  <si>
    <t>IHS_GAR_118</t>
  </si>
  <si>
    <t>Crf-Figuil</t>
  </si>
  <si>
    <t>T1674</t>
  </si>
  <si>
    <t>IHS_YND_533</t>
  </si>
  <si>
    <t>T2805</t>
  </si>
  <si>
    <t>IHS_KMB_108</t>
  </si>
  <si>
    <t>Kumba Preventive</t>
  </si>
  <si>
    <t>T0646</t>
  </si>
  <si>
    <t>IHS_BFG_009</t>
  </si>
  <si>
    <t>Bafang2</t>
  </si>
  <si>
    <t>CTR_061</t>
  </si>
  <si>
    <t>IHS_YND_326</t>
  </si>
  <si>
    <t>T0912</t>
  </si>
  <si>
    <t>IHS_YND_397</t>
  </si>
  <si>
    <t>Essouba</t>
  </si>
  <si>
    <t>T1932</t>
  </si>
  <si>
    <t>IHS_DLA_409</t>
  </si>
  <si>
    <t>Mabanda 2</t>
  </si>
  <si>
    <t>CTR_095</t>
  </si>
  <si>
    <t>IHS_YND_429</t>
  </si>
  <si>
    <t>Ombessa</t>
  </si>
  <si>
    <t>OST_020</t>
  </si>
  <si>
    <t>IHS_DCG_011</t>
  </si>
  <si>
    <t>Dschang-II</t>
  </si>
  <si>
    <t>CTR_084</t>
  </si>
  <si>
    <t>IHS_YND_294</t>
  </si>
  <si>
    <t>Nkoabang</t>
  </si>
  <si>
    <t>T1614</t>
  </si>
  <si>
    <t>IHS_YND_403</t>
  </si>
  <si>
    <t>NTUI TOWN</t>
  </si>
  <si>
    <t>T0154</t>
  </si>
  <si>
    <t>IHS_BER_034</t>
  </si>
  <si>
    <t>Belabo</t>
  </si>
  <si>
    <t>T0479</t>
  </si>
  <si>
    <t>IHS_MBG_003</t>
  </si>
  <si>
    <t>Mbanga Town</t>
  </si>
  <si>
    <t>T1174</t>
  </si>
  <si>
    <t>IHS_BUA_155</t>
  </si>
  <si>
    <t>Tiko LIKOMBA Q6</t>
  </si>
  <si>
    <t>CTR_271</t>
  </si>
  <si>
    <t>IHS_YND_275</t>
  </si>
  <si>
    <t>Nkolbong</t>
  </si>
  <si>
    <t>T1630</t>
  </si>
  <si>
    <t>IHS_YND_187</t>
  </si>
  <si>
    <t>NTEMASSI</t>
  </si>
  <si>
    <t>CTR_430</t>
  </si>
  <si>
    <t>IHS_YND_317</t>
  </si>
  <si>
    <t>Soa-Sofamac</t>
  </si>
  <si>
    <t>T1420</t>
  </si>
  <si>
    <t>IHS_KSR_109</t>
  </si>
  <si>
    <t>KOUSSERI MARKET</t>
  </si>
  <si>
    <t>ADM_105</t>
  </si>
  <si>
    <t>IHS_NGD_084</t>
  </si>
  <si>
    <t>Tibati Market</t>
  </si>
  <si>
    <t>T2829</t>
  </si>
  <si>
    <t>IHS_YND_526</t>
  </si>
  <si>
    <t>Nkoabang2</t>
  </si>
  <si>
    <t>T1424</t>
  </si>
  <si>
    <t>IHS_NGD_210</t>
  </si>
  <si>
    <t>NGAOUNDAL SDO</t>
  </si>
  <si>
    <t>T0323</t>
  </si>
  <si>
    <t>IHS_FBN_008</t>
  </si>
  <si>
    <t>Foumban GBHS</t>
  </si>
  <si>
    <t>T0142</t>
  </si>
  <si>
    <t>IHS_YND_404</t>
  </si>
  <si>
    <t>SAA</t>
  </si>
  <si>
    <t>NRD_082</t>
  </si>
  <si>
    <t>IHS_GAR_101</t>
  </si>
  <si>
    <t>Garoua-Yelwa-Orange</t>
  </si>
  <si>
    <t>T1868</t>
  </si>
  <si>
    <t>IHS_YND_524</t>
  </si>
  <si>
    <t>ODZA BORNE 10</t>
  </si>
  <si>
    <t>T1701</t>
  </si>
  <si>
    <t>IHS_BNB_011</t>
  </si>
  <si>
    <t>FORET BAR MABANDA</t>
  </si>
  <si>
    <t>T1687</t>
  </si>
  <si>
    <t>IHS_YND_509</t>
  </si>
  <si>
    <t>MANGUIERS CHAPELLE</t>
  </si>
  <si>
    <t>T0549</t>
  </si>
  <si>
    <t>IHS_GAR_019</t>
  </si>
  <si>
    <t>NRD_039</t>
  </si>
  <si>
    <t>IHS_GAR_008</t>
  </si>
  <si>
    <t>Bibemire</t>
  </si>
  <si>
    <t>NRD_047</t>
  </si>
  <si>
    <t>IHS_GAR_020</t>
  </si>
  <si>
    <t>Garoua-Djamboutou-CICAM</t>
  </si>
  <si>
    <t>EST_051</t>
  </si>
  <si>
    <t>IHS_BER_004</t>
  </si>
  <si>
    <t>Bertoua-Ngaikada</t>
  </si>
  <si>
    <t>CTR_477</t>
  </si>
  <si>
    <t>IHS_YND_566</t>
  </si>
  <si>
    <t>Crf Cornier</t>
  </si>
  <si>
    <t>NRD_072</t>
  </si>
  <si>
    <t>IHS_GAR_104</t>
  </si>
  <si>
    <t>Gra-Yelwa-II</t>
  </si>
  <si>
    <t>T0876</t>
  </si>
  <si>
    <t>IHS_NGD_013</t>
  </si>
  <si>
    <t>Ngaoundere EPC</t>
  </si>
  <si>
    <t>SUD_223</t>
  </si>
  <si>
    <t>IHS_EBO_007</t>
  </si>
  <si>
    <t>Ebolowa-Mekalat</t>
  </si>
  <si>
    <t>T0637</t>
  </si>
  <si>
    <t>IHS_BAF_035</t>
  </si>
  <si>
    <t>Kamkop</t>
  </si>
  <si>
    <t>SUO_071</t>
  </si>
  <si>
    <t>IHS_KMB_002</t>
  </si>
  <si>
    <t>Kumba-Centre</t>
  </si>
  <si>
    <t>T0447</t>
  </si>
  <si>
    <t>IHS_DLA_009</t>
  </si>
  <si>
    <t>Ngodi Akwa Sapeur</t>
  </si>
  <si>
    <t>T1409</t>
  </si>
  <si>
    <t>IHS_MAR_213</t>
  </si>
  <si>
    <t>MOKOLO DJIMETA</t>
  </si>
  <si>
    <t>T1326</t>
  </si>
  <si>
    <t>IHS_BMD_011</t>
  </si>
  <si>
    <t>Bamenda Ntarikon</t>
  </si>
  <si>
    <t>T1782</t>
  </si>
  <si>
    <t>IHS_BUA_029</t>
  </si>
  <si>
    <t>Mutengene Maternity</t>
  </si>
  <si>
    <t>LIT_409</t>
  </si>
  <si>
    <t>IHS_DLA_238</t>
  </si>
  <si>
    <t>Ndogpassi-Lycee-II</t>
  </si>
  <si>
    <t>T1172</t>
  </si>
  <si>
    <t>IHS_DCG_001</t>
  </si>
  <si>
    <t>Dschang town (Emeraude Hotel)</t>
  </si>
  <si>
    <t>LIT_441</t>
  </si>
  <si>
    <t>IHS_DLA_436</t>
  </si>
  <si>
    <t>Ngo njo (PK11-II)</t>
  </si>
  <si>
    <t>T0147</t>
  </si>
  <si>
    <t>IHS_YND_464</t>
  </si>
  <si>
    <t>T1696</t>
  </si>
  <si>
    <t>IHS_BUA_004</t>
  </si>
  <si>
    <t>Molyko</t>
  </si>
  <si>
    <t>T1122</t>
  </si>
  <si>
    <t>IHS_NKS_020</t>
  </si>
  <si>
    <t>Douala Bogongo</t>
  </si>
  <si>
    <t>T1527</t>
  </si>
  <si>
    <t>IHS_DLA_403</t>
  </si>
  <si>
    <t>Bamenda Foncha Street</t>
  </si>
  <si>
    <t>T1452</t>
  </si>
  <si>
    <t>IHS_BFG_003</t>
  </si>
  <si>
    <t>Bafang hotel</t>
  </si>
  <si>
    <t>T1477</t>
  </si>
  <si>
    <t>IHS_YND_674</t>
  </si>
  <si>
    <t>Mfou EPC</t>
  </si>
  <si>
    <t>T1625</t>
  </si>
  <si>
    <t>IHS_YND_204</t>
  </si>
  <si>
    <t>TONGOLO SNEC</t>
  </si>
  <si>
    <t>LIT_401</t>
  </si>
  <si>
    <t>IHS_DLA_156</t>
  </si>
  <si>
    <t>Makepe-Maturite</t>
  </si>
  <si>
    <t>EST_020</t>
  </si>
  <si>
    <t>IHS_BER_028</t>
  </si>
  <si>
    <t>T1922</t>
  </si>
  <si>
    <t>IHS_DLA_410</t>
  </si>
  <si>
    <t>Bobongo ITBA</t>
  </si>
  <si>
    <t>T1689</t>
  </si>
  <si>
    <t>IHS_YND_523</t>
  </si>
  <si>
    <t>EMANA BILICK CITY</t>
  </si>
  <si>
    <t>T0427</t>
  </si>
  <si>
    <t>IHS_BER_001</t>
  </si>
  <si>
    <t>Bertoua DC</t>
  </si>
  <si>
    <t>LIT_346</t>
  </si>
  <si>
    <t>IHS_BNB_028</t>
  </si>
  <si>
    <t>Bberi-Abattoir</t>
  </si>
  <si>
    <t>T1796</t>
  </si>
  <si>
    <t>IHS_BUA_027</t>
  </si>
  <si>
    <t>Bokova</t>
  </si>
  <si>
    <t>T0462</t>
  </si>
  <si>
    <t>IHS_YND_123</t>
  </si>
  <si>
    <t>Nkomo II</t>
  </si>
  <si>
    <t>LIT_433</t>
  </si>
  <si>
    <t>IHS_DLA_441</t>
  </si>
  <si>
    <t xml:space="preserve">Bonaloka Entrée     </t>
  </si>
  <si>
    <t>ADM_074</t>
  </si>
  <si>
    <t>IHS_NGD_007</t>
  </si>
  <si>
    <t>Ngd-Troua-Mala-II</t>
  </si>
  <si>
    <t>T1882</t>
  </si>
  <si>
    <t>IHS_LMB_115</t>
  </si>
  <si>
    <t>Limbe Alpha Club Towe</t>
  </si>
  <si>
    <t>T1587</t>
  </si>
  <si>
    <t>IHS_YND_291</t>
  </si>
  <si>
    <t>Ekoumdoum OCM</t>
  </si>
  <si>
    <t>T1935</t>
  </si>
  <si>
    <t>IHS_BNB_101</t>
  </si>
  <si>
    <t>Ndobo</t>
  </si>
  <si>
    <t>T2825</t>
  </si>
  <si>
    <t>IHS_NGD_220</t>
  </si>
  <si>
    <t>Ngaoundere Bideng 2</t>
  </si>
  <si>
    <t>ADM_087</t>
  </si>
  <si>
    <t>IHS_NGD_204</t>
  </si>
  <si>
    <t>T0031</t>
  </si>
  <si>
    <t>IHS_MAR_055</t>
  </si>
  <si>
    <t>CTR_161</t>
  </si>
  <si>
    <t>IHS_YND_506</t>
  </si>
  <si>
    <t>Omnisport-Rail</t>
  </si>
  <si>
    <t>T0136</t>
  </si>
  <si>
    <t>IHS_EDA_021</t>
  </si>
  <si>
    <t>T1176</t>
  </si>
  <si>
    <t>IHS_BUA_162</t>
  </si>
  <si>
    <t>T1603</t>
  </si>
  <si>
    <t>IHS_YND_667</t>
  </si>
  <si>
    <t xml:space="preserve">Bafia Donenkeng </t>
  </si>
  <si>
    <t>T1105</t>
  </si>
  <si>
    <t>IHS_YND_266</t>
  </si>
  <si>
    <t>Mimboman4</t>
  </si>
  <si>
    <t>LIT_439</t>
  </si>
  <si>
    <t>IHS_DLA_437</t>
  </si>
  <si>
    <t>Nkololoun II</t>
  </si>
  <si>
    <t>T1645</t>
  </si>
  <si>
    <t>IHS_LMB_133</t>
  </si>
  <si>
    <t>LIMBE ISSOKOLO</t>
  </si>
  <si>
    <t>T0782</t>
  </si>
  <si>
    <t>IHS_BUA_007</t>
  </si>
  <si>
    <t>Buea Service Center</t>
  </si>
  <si>
    <t>T1764</t>
  </si>
  <si>
    <t>IHS_KMB_023</t>
  </si>
  <si>
    <t>Nake Bakundu</t>
  </si>
  <si>
    <t>T1779</t>
  </si>
  <si>
    <t>IHS_BUA_012</t>
  </si>
  <si>
    <t>GSS BUEA TOWN</t>
  </si>
  <si>
    <t>LIT_451</t>
  </si>
  <si>
    <t>IHS_DLA_439</t>
  </si>
  <si>
    <t xml:space="preserve">Bilongue II </t>
  </si>
  <si>
    <t>T1396</t>
  </si>
  <si>
    <t>IHS_YND_514</t>
  </si>
  <si>
    <t>Etoudi2</t>
  </si>
  <si>
    <t>T2121</t>
  </si>
  <si>
    <t>IHS_DLA_029</t>
  </si>
  <si>
    <t>Auberge PK5</t>
  </si>
  <si>
    <t>LIT_205</t>
  </si>
  <si>
    <t>IHS_DLA_208</t>
  </si>
  <si>
    <t>Ndogp-St-Nicolas</t>
  </si>
  <si>
    <t>T1154</t>
  </si>
  <si>
    <t>IHS_MAR_309</t>
  </si>
  <si>
    <t>Mokolo 3</t>
  </si>
  <si>
    <t>T1608</t>
  </si>
  <si>
    <t>IHS_BAF_312</t>
  </si>
  <si>
    <t xml:space="preserve">FONDJOMEKWET </t>
  </si>
  <si>
    <t>NRD_096</t>
  </si>
  <si>
    <t>IHS_GAR_110</t>
  </si>
  <si>
    <t>Pitoa-Ville</t>
  </si>
  <si>
    <t>T0601</t>
  </si>
  <si>
    <t>IHS_YND_098</t>
  </si>
  <si>
    <t>Ekounou</t>
  </si>
  <si>
    <t>OST_045</t>
  </si>
  <si>
    <t>IHS_BAF_023</t>
  </si>
  <si>
    <t>Bfsam-Toket</t>
  </si>
  <si>
    <t>T2068</t>
  </si>
  <si>
    <t>IHS_BMD_019</t>
  </si>
  <si>
    <t>Bamenda Bus Station</t>
  </si>
  <si>
    <t>LIT_449</t>
  </si>
  <si>
    <t>IHS_DLA_431</t>
  </si>
  <si>
    <t>Malangue IHS</t>
  </si>
  <si>
    <t>NRD_085</t>
  </si>
  <si>
    <t>IHS_GAR_106</t>
  </si>
  <si>
    <t>Garoua-Galbidje</t>
  </si>
  <si>
    <t>LIT_440</t>
  </si>
  <si>
    <t>IHS_DLA_430</t>
  </si>
  <si>
    <t>Logpom Denver City</t>
  </si>
  <si>
    <t>T1373</t>
  </si>
  <si>
    <t>IHS_NGD_030</t>
  </si>
  <si>
    <t>DANG</t>
  </si>
  <si>
    <t>NGAOUNEDERE 3</t>
  </si>
  <si>
    <t>T0604</t>
  </si>
  <si>
    <t>IHS_YND_171</t>
  </si>
  <si>
    <t>Awae Escalier</t>
  </si>
  <si>
    <t>CTR_040</t>
  </si>
  <si>
    <t>IHS_YND_114</t>
  </si>
  <si>
    <t>T0058</t>
  </si>
  <si>
    <t>IHS_YND_293</t>
  </si>
  <si>
    <t>T0094</t>
  </si>
  <si>
    <t>IHS_BFG_002</t>
  </si>
  <si>
    <t>T1333</t>
  </si>
  <si>
    <t>IHS_YND_174</t>
  </si>
  <si>
    <t>Carrefourt Nkomo</t>
  </si>
  <si>
    <t>T0498</t>
  </si>
  <si>
    <t>IHS_YND_049</t>
  </si>
  <si>
    <t>Etoa-Meki</t>
  </si>
  <si>
    <t>T1548</t>
  </si>
  <si>
    <t>IHS_YND_308</t>
  </si>
  <si>
    <t>Melen Ba'aba</t>
  </si>
  <si>
    <t>T0818</t>
  </si>
  <si>
    <t>IHS_YND_122</t>
  </si>
  <si>
    <t>Emombo Esssomba</t>
  </si>
  <si>
    <t>T0547</t>
  </si>
  <si>
    <t>IHS_LMB_009</t>
  </si>
  <si>
    <t>Towe South</t>
  </si>
  <si>
    <t>LIT_392</t>
  </si>
  <si>
    <t>IHS_DLA_287</t>
  </si>
  <si>
    <t>Bomkoul</t>
  </si>
  <si>
    <t>LIT_059</t>
  </si>
  <si>
    <t>IHS_DLA_263</t>
  </si>
  <si>
    <t>Nyalla</t>
  </si>
  <si>
    <t>T1288</t>
  </si>
  <si>
    <t>IHS_LMB_109</t>
  </si>
  <si>
    <t>Tiko Junction</t>
  </si>
  <si>
    <t>T1771</t>
  </si>
  <si>
    <t>IHS_KMB_008</t>
  </si>
  <si>
    <t>Kumba Pulletin</t>
  </si>
  <si>
    <t>Kumba 2</t>
  </si>
  <si>
    <t>T0407</t>
  </si>
  <si>
    <t>IHS_KMB_006</t>
  </si>
  <si>
    <t>Kumba Market</t>
  </si>
  <si>
    <t>SUO_052</t>
  </si>
  <si>
    <t>IHS_KMB_014</t>
  </si>
  <si>
    <t>Kumba-Kake</t>
  </si>
  <si>
    <t>T1786</t>
  </si>
  <si>
    <t>IHS_BUA_044</t>
  </si>
  <si>
    <t>Muyuka Beach Bush</t>
  </si>
  <si>
    <t>T0781</t>
  </si>
  <si>
    <t>IHS_KMB_013</t>
  </si>
  <si>
    <t>Kumba Station</t>
  </si>
  <si>
    <t>T1713</t>
  </si>
  <si>
    <t>IHS_KMB_010</t>
  </si>
  <si>
    <t>CCAS KUMBA</t>
  </si>
  <si>
    <t>T0849</t>
  </si>
  <si>
    <t>IHS_KMB_011</t>
  </si>
  <si>
    <t>Kumba Kossala</t>
  </si>
  <si>
    <t>T1770</t>
  </si>
  <si>
    <t>IHS_KMB_003</t>
  </si>
  <si>
    <t>Kumba Kossala 2</t>
  </si>
  <si>
    <t>T1712</t>
  </si>
  <si>
    <t>IHS_KMB_001</t>
  </si>
  <si>
    <t>MBO STREET</t>
  </si>
  <si>
    <t>T1714</t>
  </si>
  <si>
    <t>IHS_KMB_009</t>
  </si>
  <si>
    <t>FIANGO TREE CORNERS</t>
  </si>
  <si>
    <t>T1239</t>
  </si>
  <si>
    <t>IHS_BUA_157</t>
  </si>
  <si>
    <t>Buea Sandpitt</t>
  </si>
  <si>
    <t>T1300</t>
  </si>
  <si>
    <t>IHS_NKS_101</t>
  </si>
  <si>
    <t>NKONGSAMBA Q8 CIMETIERE</t>
  </si>
  <si>
    <t>T1789</t>
  </si>
  <si>
    <t>IHS_BUA_039</t>
  </si>
  <si>
    <t>Tiko Market</t>
  </si>
  <si>
    <t>T0237</t>
  </si>
  <si>
    <t>IHS_YND_302</t>
  </si>
  <si>
    <t>Nkolndom</t>
  </si>
  <si>
    <t>T0093</t>
  </si>
  <si>
    <t>IHS_YND_353</t>
  </si>
  <si>
    <t>CTR_254</t>
  </si>
  <si>
    <t>IHS_YND_216</t>
  </si>
  <si>
    <t>Eleveur</t>
  </si>
  <si>
    <t>T1861</t>
  </si>
  <si>
    <t>IHS_YND_682</t>
  </si>
  <si>
    <t>MONTEE NKONDENGUI</t>
  </si>
  <si>
    <t>T1699</t>
  </si>
  <si>
    <t>IHS_DLA_191</t>
  </si>
  <si>
    <t>Ndogbong 2</t>
  </si>
  <si>
    <t>T0183</t>
  </si>
  <si>
    <t>IHS_YND_184</t>
  </si>
  <si>
    <t>T0056</t>
  </si>
  <si>
    <t>IHS_YND_189</t>
  </si>
  <si>
    <t>Paradis Hotel</t>
  </si>
  <si>
    <t>T1728</t>
  </si>
  <si>
    <t>IHS_DLA_179</t>
  </si>
  <si>
    <t>Bepanda Casmando</t>
  </si>
  <si>
    <t>T1346</t>
  </si>
  <si>
    <t>IHS_KSR_003</t>
  </si>
  <si>
    <t>KOUSSERI MICHEDIRE</t>
  </si>
  <si>
    <t>T1775</t>
  </si>
  <si>
    <t>IHS_LMB_013</t>
  </si>
  <si>
    <t>Mokindi</t>
  </si>
  <si>
    <t>LIMBE II</t>
  </si>
  <si>
    <t>NRD_062</t>
  </si>
  <si>
    <t>IHS_GAR_005</t>
  </si>
  <si>
    <t>Garoua-Ray-Re</t>
  </si>
  <si>
    <t>T1708</t>
  </si>
  <si>
    <t>IHS_DLA_244</t>
  </si>
  <si>
    <t>NDOGPASSI PAYS BAS</t>
  </si>
  <si>
    <t>T0332</t>
  </si>
  <si>
    <t>IHS_DLA_301</t>
  </si>
  <si>
    <t>Ndogpassi II</t>
  </si>
  <si>
    <t>T0784</t>
  </si>
  <si>
    <t>IHS_KMB_022</t>
  </si>
  <si>
    <t>Ekiliwindi</t>
  </si>
  <si>
    <t>T1846</t>
  </si>
  <si>
    <t>IHS_BUA_046</t>
  </si>
  <si>
    <t>Muyuka-Yoke</t>
  </si>
  <si>
    <t>T1132</t>
  </si>
  <si>
    <t>IHS_KMB_005</t>
  </si>
  <si>
    <t>Kumba Gare</t>
  </si>
  <si>
    <t>T0657</t>
  </si>
  <si>
    <t>IHS_KMB_035</t>
  </si>
  <si>
    <t>Ekondo Titi Town</t>
  </si>
  <si>
    <t>T0548</t>
  </si>
  <si>
    <t>IHS_KMB_015</t>
  </si>
  <si>
    <t>Kumba Lutherian Church</t>
  </si>
  <si>
    <t>T1133</t>
  </si>
  <si>
    <t>IHS_KMB_007</t>
  </si>
  <si>
    <t>Kumba krama</t>
  </si>
  <si>
    <t>T1785</t>
  </si>
  <si>
    <t>IHS_MBG_021</t>
  </si>
  <si>
    <t>Souza Market</t>
  </si>
  <si>
    <t>T0531</t>
  </si>
  <si>
    <t>IHS_YND_309</t>
  </si>
  <si>
    <t>Leboudi</t>
  </si>
  <si>
    <t>T0432</t>
  </si>
  <si>
    <t>IHS_NGD_012</t>
  </si>
  <si>
    <t>Ngaoundere CIFAN</t>
  </si>
  <si>
    <t>T2096</t>
  </si>
  <si>
    <t>IHS_NGD_215</t>
  </si>
  <si>
    <t>Ngaoundere SC2</t>
  </si>
  <si>
    <t>T0068</t>
  </si>
  <si>
    <t>IHS_BUA_031</t>
  </si>
  <si>
    <t>T1440</t>
  </si>
  <si>
    <t>IHS_YND_698</t>
  </si>
  <si>
    <t>EBOM</t>
  </si>
  <si>
    <t>T1665</t>
  </si>
  <si>
    <t>IHS_YND_014</t>
  </si>
  <si>
    <t>Elig-Essono Mahima</t>
  </si>
  <si>
    <t>T1774</t>
  </si>
  <si>
    <t>IHS_LMB_020</t>
  </si>
  <si>
    <t>Limbe Mile IV</t>
  </si>
  <si>
    <t>T0867</t>
  </si>
  <si>
    <t>IHS_BNB_005</t>
  </si>
  <si>
    <t>BONABERI MICHELIN 867</t>
  </si>
  <si>
    <t>T1128</t>
  </si>
  <si>
    <t>IHS_DLA_274</t>
  </si>
  <si>
    <t>Kotto Village</t>
  </si>
  <si>
    <t>LIT_109</t>
  </si>
  <si>
    <t>IHS_NKS_010</t>
  </si>
  <si>
    <t>Ndoungue</t>
  </si>
  <si>
    <t>EBONE</t>
  </si>
  <si>
    <t>T0044</t>
  </si>
  <si>
    <t>IHS_KMB_048</t>
  </si>
  <si>
    <t>T0395</t>
  </si>
  <si>
    <t>IHS_YND_065</t>
  </si>
  <si>
    <t>Essos DCS</t>
  </si>
  <si>
    <t>CTR_506</t>
  </si>
  <si>
    <t>IHS_YND_592</t>
  </si>
  <si>
    <t xml:space="preserve">Nkoteng Ville </t>
  </si>
  <si>
    <t>T1502</t>
  </si>
  <si>
    <t>IHS_YND_685</t>
  </si>
  <si>
    <t>Emana lycee 2</t>
  </si>
  <si>
    <t>T1784</t>
  </si>
  <si>
    <t>IHS_BUA_016</t>
  </si>
  <si>
    <t>Buea Kouma</t>
  </si>
  <si>
    <t>NRD_078</t>
  </si>
  <si>
    <t>IHS_GAR_113</t>
  </si>
  <si>
    <t>Adoumre-IHS</t>
  </si>
  <si>
    <t>T0025</t>
  </si>
  <si>
    <t>IHS_DLA_232</t>
  </si>
  <si>
    <t>Makepe Evangelic Church</t>
  </si>
  <si>
    <t>LIT_055</t>
  </si>
  <si>
    <t>IHS_DLA_092</t>
  </si>
  <si>
    <t>Ancien-Aeroport</t>
  </si>
  <si>
    <t>T0061</t>
  </si>
  <si>
    <t>IHS_DLA_016</t>
  </si>
  <si>
    <t>Aristha Hotel</t>
  </si>
  <si>
    <t>T0598</t>
  </si>
  <si>
    <t>IHS_DLA_146</t>
  </si>
  <si>
    <t>Total Ndokotti</t>
  </si>
  <si>
    <t>LIT_127</t>
  </si>
  <si>
    <t>IHS_DLA_234</t>
  </si>
  <si>
    <t>LIT_256</t>
  </si>
  <si>
    <t>IHS_DLA_219</t>
  </si>
  <si>
    <t>Beedi-Hte-Tension</t>
  </si>
  <si>
    <t>T1168</t>
  </si>
  <si>
    <t>IHS_BAF_016</t>
  </si>
  <si>
    <t>Bafoussam Tyo</t>
  </si>
  <si>
    <t>LIT_459</t>
  </si>
  <si>
    <t>IHS_DLA_476</t>
  </si>
  <si>
    <t>Bep An 2000 (Gd Moulin II)</t>
  </si>
  <si>
    <t>T1450</t>
  </si>
  <si>
    <t>IHS_DCG_003</t>
  </si>
  <si>
    <t>Dschang town</t>
  </si>
  <si>
    <t>T1461</t>
  </si>
  <si>
    <t>IHS_BAF_019</t>
  </si>
  <si>
    <t>BAFOUSSAM GOUACHE</t>
  </si>
  <si>
    <t>LIT_425</t>
  </si>
  <si>
    <t>IHS_DLA_173</t>
  </si>
  <si>
    <t>OST_015</t>
  </si>
  <si>
    <t>IHS_BFG_004</t>
  </si>
  <si>
    <t>T1869</t>
  </si>
  <si>
    <t>IHS_YND_528</t>
  </si>
  <si>
    <t>MEHANDAN</t>
  </si>
  <si>
    <t>T1455</t>
  </si>
  <si>
    <t>IHS_BMD_027</t>
  </si>
  <si>
    <t>MANKON PALACE</t>
  </si>
  <si>
    <t>LIT_096</t>
  </si>
  <si>
    <t>IHS_DLA_015</t>
  </si>
  <si>
    <t>NR-PK5</t>
  </si>
  <si>
    <t>LIT_411</t>
  </si>
  <si>
    <t>IHS_DLA_034</t>
  </si>
  <si>
    <t>Ngodi-Cimetiere</t>
  </si>
  <si>
    <t>CTR_195</t>
  </si>
  <si>
    <t>IHS_YND_165</t>
  </si>
  <si>
    <t>CTR_245</t>
  </si>
  <si>
    <t>IHS_YND_267</t>
  </si>
  <si>
    <t>Mimboman-Village</t>
  </si>
  <si>
    <t>CTR_086</t>
  </si>
  <si>
    <t>IHS_YND_211</t>
  </si>
  <si>
    <t>T0856</t>
  </si>
  <si>
    <t>IHS_DLA_426</t>
  </si>
  <si>
    <t>Logbaba Plateau</t>
  </si>
  <si>
    <t>T1121</t>
  </si>
  <si>
    <t>IHS_YND_690</t>
  </si>
  <si>
    <t>Ntui administration</t>
  </si>
  <si>
    <t>T1928</t>
  </si>
  <si>
    <t>IHS_DLA_308</t>
  </si>
  <si>
    <t>Carrefour BASSONG</t>
  </si>
  <si>
    <t>T0742</t>
  </si>
  <si>
    <t>IHS_NGD_061</t>
  </si>
  <si>
    <t>T1729</t>
  </si>
  <si>
    <t>IHS_DLA_149</t>
  </si>
  <si>
    <t>Bonabassem</t>
  </si>
  <si>
    <t>T0665</t>
  </si>
  <si>
    <t>IHS_BUA_010</t>
  </si>
  <si>
    <t>Tole</t>
  </si>
  <si>
    <t>T1166</t>
  </si>
  <si>
    <t>IHS_BAF_026</t>
  </si>
  <si>
    <t>BALENG</t>
  </si>
  <si>
    <t>T1406</t>
  </si>
  <si>
    <t>IHS_YND_684</t>
  </si>
  <si>
    <t>Ekie sud</t>
  </si>
  <si>
    <t>NRD_009</t>
  </si>
  <si>
    <t>IHS_GAR_023</t>
  </si>
  <si>
    <t>Garoua-Lainde</t>
  </si>
  <si>
    <t>T1376</t>
  </si>
  <si>
    <t>IHS_NGD_057</t>
  </si>
  <si>
    <t>NGAOUNDERE BAMYANGA2</t>
  </si>
  <si>
    <t>CTR_263</t>
  </si>
  <si>
    <t>IHS_YND_217</t>
  </si>
  <si>
    <t>Abom</t>
  </si>
  <si>
    <t>T0533</t>
  </si>
  <si>
    <t>IHS_YND_181</t>
  </si>
  <si>
    <t>Mimboman3</t>
  </si>
  <si>
    <t>LIT_221</t>
  </si>
  <si>
    <t>IHS_DLA_161</t>
  </si>
  <si>
    <t>Ndogbong-IUT</t>
  </si>
  <si>
    <t>EST_079</t>
  </si>
  <si>
    <t>IHS_BER_002</t>
  </si>
  <si>
    <t>Bertoua-Tigaza</t>
  </si>
  <si>
    <t xml:space="preserve">BERTOUA </t>
  </si>
  <si>
    <t>T1940</t>
  </si>
  <si>
    <t>IHS_BNB_100</t>
  </si>
  <si>
    <t>ngwelle 2</t>
  </si>
  <si>
    <t>T2519</t>
  </si>
  <si>
    <t>IHS_DLA_213</t>
  </si>
  <si>
    <t>Ndogbong plateau</t>
  </si>
  <si>
    <t>T0374</t>
  </si>
  <si>
    <t>IHS_DLA_200</t>
  </si>
  <si>
    <t>Cite des Palmiers</t>
  </si>
  <si>
    <t>T2728</t>
  </si>
  <si>
    <t>IHS_YND_672</t>
  </si>
  <si>
    <t xml:space="preserve">DZENG </t>
  </si>
  <si>
    <t>DZENG</t>
  </si>
  <si>
    <t>CTR_247</t>
  </si>
  <si>
    <t>IHS_YND_289</t>
  </si>
  <si>
    <t>Nkolangaa</t>
  </si>
  <si>
    <t>CTR_211</t>
  </si>
  <si>
    <t>IHS_YND_248</t>
  </si>
  <si>
    <t>Biteng</t>
  </si>
  <si>
    <t>CTR_341</t>
  </si>
  <si>
    <t>IHS_YND_269</t>
  </si>
  <si>
    <t>Mvog-Ebanda</t>
  </si>
  <si>
    <t>T0197</t>
  </si>
  <si>
    <t>IHS_YND_263</t>
  </si>
  <si>
    <t>Mendong Plateau</t>
  </si>
  <si>
    <t>LIT_058</t>
  </si>
  <si>
    <t>IHS_DLA_203</t>
  </si>
  <si>
    <t>T0516</t>
  </si>
  <si>
    <t>IHS_DLA_121</t>
  </si>
  <si>
    <t>Bepanda Stade</t>
  </si>
  <si>
    <t>LIT_117</t>
  </si>
  <si>
    <t>IHS_DLA_295</t>
  </si>
  <si>
    <t>Ndogkeng</t>
  </si>
  <si>
    <t>T0376</t>
  </si>
  <si>
    <t>IHS_DLA_251</t>
  </si>
  <si>
    <t>Logpom</t>
  </si>
  <si>
    <t>LIT_106</t>
  </si>
  <si>
    <t>IHS_DLA_223</t>
  </si>
  <si>
    <t>Denver</t>
  </si>
  <si>
    <t>T1292</t>
  </si>
  <si>
    <t>IHS_FBN_103</t>
  </si>
  <si>
    <t>Malentouen</t>
  </si>
  <si>
    <t>T0392</t>
  </si>
  <si>
    <t>IHS_DLA_211</t>
  </si>
  <si>
    <t>Cite Berge</t>
  </si>
  <si>
    <t>T1130</t>
  </si>
  <si>
    <t>IHS_DLA_196</t>
  </si>
  <si>
    <t>PK8 OCM</t>
  </si>
  <si>
    <t>CTR_273</t>
  </si>
  <si>
    <t>IHS_YND_214</t>
  </si>
  <si>
    <t>Nkolmesseng-II</t>
  </si>
  <si>
    <t>T1872</t>
  </si>
  <si>
    <t>IHS_YND_519</t>
  </si>
  <si>
    <t>AFEME NORD</t>
  </si>
  <si>
    <t>CTR_099</t>
  </si>
  <si>
    <t>IHS_YND_168</t>
  </si>
  <si>
    <t>Odza</t>
  </si>
  <si>
    <t>T1486</t>
  </si>
  <si>
    <t>IHS_YND_683</t>
  </si>
  <si>
    <t>BONAS YDE</t>
  </si>
  <si>
    <t>T1720</t>
  </si>
  <si>
    <t>IHS_KRI_004</t>
  </si>
  <si>
    <t>Ndombe Kribi</t>
  </si>
  <si>
    <t>T1758</t>
  </si>
  <si>
    <t>IHS_BER_146</t>
  </si>
  <si>
    <t>Bertoua Enia 2</t>
  </si>
  <si>
    <t>OST_053</t>
  </si>
  <si>
    <t>IHS_BAF_072</t>
  </si>
  <si>
    <t>Tonga</t>
  </si>
  <si>
    <t>T1536</t>
  </si>
  <si>
    <t>IHS_BMD_204</t>
  </si>
  <si>
    <t>NDOP KAKE</t>
  </si>
  <si>
    <t>T0075</t>
  </si>
  <si>
    <t>IHS_BAF_014</t>
  </si>
  <si>
    <t>Procure Building</t>
  </si>
  <si>
    <t>T0569</t>
  </si>
  <si>
    <t>IHS_SGM_009</t>
  </si>
  <si>
    <t>Tekmo</t>
  </si>
  <si>
    <t>CTR_255</t>
  </si>
  <si>
    <t>IHS_YND_286</t>
  </si>
  <si>
    <t>Dagobert</t>
  </si>
  <si>
    <t>LIT_260</t>
  </si>
  <si>
    <t>IHS_BNB_021</t>
  </si>
  <si>
    <t>Ndobo-Rail</t>
  </si>
  <si>
    <t>T0369</t>
  </si>
  <si>
    <t>IHS_YND_127</t>
  </si>
  <si>
    <t>Tsinga</t>
  </si>
  <si>
    <t>CTR_158</t>
  </si>
  <si>
    <t>IHS_YND_527</t>
  </si>
  <si>
    <t>Odza-II</t>
  </si>
  <si>
    <t>LIT_283</t>
  </si>
  <si>
    <t>IHS_DLA_210</t>
  </si>
  <si>
    <t>Ndogpassi-III</t>
  </si>
  <si>
    <t>CTR_049</t>
  </si>
  <si>
    <t>IHS_YND_209</t>
  </si>
  <si>
    <t>Manguier</t>
  </si>
  <si>
    <t>T1085</t>
  </si>
  <si>
    <t>IHS_YND_130</t>
  </si>
  <si>
    <t>Bastos usine</t>
  </si>
  <si>
    <t>T0322</t>
  </si>
  <si>
    <t>IHS_YND_312</t>
  </si>
  <si>
    <t>Nkolnda</t>
  </si>
  <si>
    <t>T0289</t>
  </si>
  <si>
    <t>IHS_YND_106</t>
  </si>
  <si>
    <t>Mfandena</t>
  </si>
  <si>
    <t>CTR_262</t>
  </si>
  <si>
    <t>IHS_YND_150</t>
  </si>
  <si>
    <t>Nkol-Mbanda</t>
  </si>
  <si>
    <t>LIT_080</t>
  </si>
  <si>
    <t>IHS_DLA_188</t>
  </si>
  <si>
    <t>Mak-Missoke</t>
  </si>
  <si>
    <t>T0018</t>
  </si>
  <si>
    <t>IHS_DLA_192</t>
  </si>
  <si>
    <t>LIT_264</t>
  </si>
  <si>
    <t>IHS_DLA_194</t>
  </si>
  <si>
    <t>Ndogbong-Vallee</t>
  </si>
  <si>
    <t>T0857</t>
  </si>
  <si>
    <t>IHS_DLA_184</t>
  </si>
  <si>
    <t>BEPANDA SAFARI 857 1800</t>
  </si>
  <si>
    <t>T0517</t>
  </si>
  <si>
    <t>IHS_DLA_206</t>
  </si>
  <si>
    <t>Song Kot</t>
  </si>
  <si>
    <t>T0469</t>
  </si>
  <si>
    <t>IHS_YND_157</t>
  </si>
  <si>
    <t>MVAN</t>
  </si>
  <si>
    <t>LIT_198</t>
  </si>
  <si>
    <t>IHS_DLA_267</t>
  </si>
  <si>
    <t>Cogefar</t>
  </si>
  <si>
    <t>T0406</t>
  </si>
  <si>
    <t>IHS_LMB_008</t>
  </si>
  <si>
    <t>Limbe New Town</t>
  </si>
  <si>
    <t>T1505</t>
  </si>
  <si>
    <t>IHS_YND_681</t>
  </si>
  <si>
    <t>NKOLMEKONG YDE</t>
  </si>
  <si>
    <t>T2295</t>
  </si>
  <si>
    <t>IHS_DLA_225</t>
  </si>
  <si>
    <t>New Bonamoussadi</t>
  </si>
  <si>
    <t>T0060</t>
  </si>
  <si>
    <t>IHS_DLA_035</t>
  </si>
  <si>
    <t>Tout Pour Moto</t>
  </si>
  <si>
    <t>NRD_076</t>
  </si>
  <si>
    <t>IHS_GAR_119</t>
  </si>
  <si>
    <t>Guider-Ville</t>
  </si>
  <si>
    <t>CTR_112</t>
  </si>
  <si>
    <t>IHS_YND_355</t>
  </si>
  <si>
    <t>LIT_233</t>
  </si>
  <si>
    <t>IHS_MBG_005</t>
  </si>
  <si>
    <t>Tangui</t>
  </si>
  <si>
    <t>mombo</t>
  </si>
  <si>
    <t>SUD_060</t>
  </si>
  <si>
    <t>IHS_EBO_1035</t>
  </si>
  <si>
    <t>AZEM</t>
  </si>
  <si>
    <t>Ebolowa 1</t>
  </si>
  <si>
    <t>T0066</t>
  </si>
  <si>
    <t>IHS_LMB_003</t>
  </si>
  <si>
    <t>Mbende</t>
  </si>
  <si>
    <t>T0045</t>
  </si>
  <si>
    <t>IHS_KMB_032</t>
  </si>
  <si>
    <t>Bogongo I</t>
  </si>
  <si>
    <t>T1451</t>
  </si>
  <si>
    <t>IHS_MBD_007</t>
  </si>
  <si>
    <t>Bagam</t>
  </si>
  <si>
    <t>T1275</t>
  </si>
  <si>
    <t>IHS_BAF_060</t>
  </si>
  <si>
    <t>Batchingou</t>
  </si>
  <si>
    <t>T1117</t>
  </si>
  <si>
    <t>IHS_YND_540</t>
  </si>
  <si>
    <t>Nkoteng Baptist</t>
  </si>
  <si>
    <t>T0416</t>
  </si>
  <si>
    <t>IHS_NGD_036</t>
  </si>
  <si>
    <t>Dibi</t>
  </si>
  <si>
    <t>LIT_112</t>
  </si>
  <si>
    <t>IHS_NKS_011</t>
  </si>
  <si>
    <t>Bare</t>
  </si>
  <si>
    <t>BARE</t>
  </si>
  <si>
    <t>T0128</t>
  </si>
  <si>
    <t>IHS_LMB_026</t>
  </si>
  <si>
    <t>Idenau</t>
  </si>
  <si>
    <t>T0131</t>
  </si>
  <si>
    <t>IHS_BMD_075</t>
  </si>
  <si>
    <t>T0193</t>
  </si>
  <si>
    <t>IHS_NGD_041</t>
  </si>
  <si>
    <t>Soukounga</t>
  </si>
  <si>
    <t>NYAMBAKA</t>
  </si>
  <si>
    <t>OST_010</t>
  </si>
  <si>
    <t>IHS_BAF_071</t>
  </si>
  <si>
    <t>Bantoum</t>
  </si>
  <si>
    <t>CTR_073</t>
  </si>
  <si>
    <t>IHS_YND_406</t>
  </si>
  <si>
    <t>T2868</t>
  </si>
  <si>
    <t>IHS_MAR_222</t>
  </si>
  <si>
    <t>TCHEVI</t>
  </si>
  <si>
    <t>T0660</t>
  </si>
  <si>
    <t>IHS_BUA_022</t>
  </si>
  <si>
    <t>Muea</t>
  </si>
  <si>
    <t>T0672</t>
  </si>
  <si>
    <t>IHS_BER_011</t>
  </si>
  <si>
    <t>Bonis</t>
  </si>
  <si>
    <t>T0512</t>
  </si>
  <si>
    <t>IHS_DLA_285</t>
  </si>
  <si>
    <t>PK 14 Market</t>
  </si>
  <si>
    <t>T0826</t>
  </si>
  <si>
    <t>IHS_BMD_080</t>
  </si>
  <si>
    <t>T1035</t>
  </si>
  <si>
    <t>IHS_BFG_013</t>
  </si>
  <si>
    <t>T1454</t>
  </si>
  <si>
    <t>IHS_BAF_057</t>
  </si>
  <si>
    <t>BANGANGTE LYCEE CLASSIQUE</t>
  </si>
  <si>
    <t>EXN_018</t>
  </si>
  <si>
    <t>IHS_MAR_070</t>
  </si>
  <si>
    <t>EXN_017</t>
  </si>
  <si>
    <t>IHS_MAR_077</t>
  </si>
  <si>
    <t>Tchatibali</t>
  </si>
  <si>
    <t>OST_077</t>
  </si>
  <si>
    <t>IHS_BAF_015</t>
  </si>
  <si>
    <t>Bfsam-Tougang-EEC</t>
  </si>
  <si>
    <t>T0185</t>
  </si>
  <si>
    <t>IHS_LMB_022</t>
  </si>
  <si>
    <t>Moliwe</t>
  </si>
  <si>
    <t>OST_036</t>
  </si>
  <si>
    <t>IHS_BFG_014</t>
  </si>
  <si>
    <t>Bana-Centre</t>
  </si>
  <si>
    <t>T1604</t>
  </si>
  <si>
    <t>IHS_BER_127</t>
  </si>
  <si>
    <t>Batouri 2</t>
  </si>
  <si>
    <t>Batouri </t>
  </si>
  <si>
    <t>EST_075</t>
  </si>
  <si>
    <t>IHS_BER_013</t>
  </si>
  <si>
    <t>Ndemba</t>
  </si>
  <si>
    <t>CTR_226</t>
  </si>
  <si>
    <t>IHS_YND_426</t>
  </si>
  <si>
    <t>SUO_002</t>
  </si>
  <si>
    <t>IHS_LMB_011</t>
  </si>
  <si>
    <t>Limbe-Kie</t>
  </si>
  <si>
    <t>T1490</t>
  </si>
  <si>
    <t>IHS_BAF_036</t>
  </si>
  <si>
    <t>Bansoa</t>
  </si>
  <si>
    <t>OST_013</t>
  </si>
  <si>
    <t>IHS_BAF_048</t>
  </si>
  <si>
    <t>Yenon</t>
  </si>
  <si>
    <t>SUO_029</t>
  </si>
  <si>
    <t>IHS_EDA_042</t>
  </si>
  <si>
    <t>Ngambe</t>
  </si>
  <si>
    <t>LIT_138</t>
  </si>
  <si>
    <t>IHS_EDA_044</t>
  </si>
  <si>
    <t>Sackbayeme</t>
  </si>
  <si>
    <t>LIT_356</t>
  </si>
  <si>
    <t>IHS_NKS_015</t>
  </si>
  <si>
    <t>Manengole</t>
  </si>
  <si>
    <t>SUO_021</t>
  </si>
  <si>
    <t>IHS_LMB_021</t>
  </si>
  <si>
    <t>Mile4</t>
  </si>
  <si>
    <t>NRO_020</t>
  </si>
  <si>
    <t>IHS_BMD_076</t>
  </si>
  <si>
    <t>Kumbo-II</t>
  </si>
  <si>
    <t>T1623</t>
  </si>
  <si>
    <t>IHS_YND_320</t>
  </si>
  <si>
    <t>SOA TOWN</t>
  </si>
  <si>
    <t>T0229</t>
  </si>
  <si>
    <t>IHS_BER_037</t>
  </si>
  <si>
    <t>Nkoum</t>
  </si>
  <si>
    <t>T0794</t>
  </si>
  <si>
    <t>IHS_BUA_049</t>
  </si>
  <si>
    <t>CDC Mondoni</t>
  </si>
  <si>
    <t>LIT_178</t>
  </si>
  <si>
    <t>IHS_BUA_041</t>
  </si>
  <si>
    <t>Missellele</t>
  </si>
  <si>
    <t>SUO_011</t>
  </si>
  <si>
    <t>IHS_LMB_018</t>
  </si>
  <si>
    <t>Monkey-Hill</t>
  </si>
  <si>
    <t>T1281</t>
  </si>
  <si>
    <t>IHS_YND_283</t>
  </si>
  <si>
    <t>Abome</t>
  </si>
  <si>
    <t>T0909</t>
  </si>
  <si>
    <t>IHS_BER_039</t>
  </si>
  <si>
    <t>Djende</t>
  </si>
  <si>
    <t>OST_074</t>
  </si>
  <si>
    <t>IHS_DCG_016</t>
  </si>
  <si>
    <t>Dschang-Meka</t>
  </si>
  <si>
    <t>SUO_006</t>
  </si>
  <si>
    <t>IHS_KMB_004</t>
  </si>
  <si>
    <t>SUO_038</t>
  </si>
  <si>
    <t>IHS_BUA_023</t>
  </si>
  <si>
    <t>T0119</t>
  </si>
  <si>
    <t>IHS_BUA_045</t>
  </si>
  <si>
    <t>G.B.H.S-Muyuka</t>
  </si>
  <si>
    <t>T1448</t>
  </si>
  <si>
    <t>IHS_DCG_014</t>
  </si>
  <si>
    <t>Dschang Campus</t>
  </si>
  <si>
    <t>T2751</t>
  </si>
  <si>
    <t>IHS_BFG_172</t>
  </si>
  <si>
    <t xml:space="preserve">KOUPA NKAGNAM        </t>
  </si>
  <si>
    <t>Koutaba</t>
  </si>
  <si>
    <t>EST_018</t>
  </si>
  <si>
    <t>IHS_YND_441</t>
  </si>
  <si>
    <t>ADM_031</t>
  </si>
  <si>
    <t>IHS_NGD_039</t>
  </si>
  <si>
    <t>Galdi</t>
  </si>
  <si>
    <t>SUO_027</t>
  </si>
  <si>
    <t>IHS_KMB_017</t>
  </si>
  <si>
    <t>Kumba-Mabanda</t>
  </si>
  <si>
    <t>T2141</t>
  </si>
  <si>
    <t>IHS_YND_531</t>
  </si>
  <si>
    <t>OTELE</t>
  </si>
  <si>
    <t>NGOUMOU</t>
  </si>
  <si>
    <t>T0241</t>
  </si>
  <si>
    <t>IHS_YND_446</t>
  </si>
  <si>
    <t>Kalong</t>
  </si>
  <si>
    <t>T1711</t>
  </si>
  <si>
    <t>IHS_KRI_001</t>
  </si>
  <si>
    <t>KIENKE BRIDGE KRIBI</t>
  </si>
  <si>
    <t>T0771</t>
  </si>
  <si>
    <t>IHS_YND_428</t>
  </si>
  <si>
    <t>Ombessa2</t>
  </si>
  <si>
    <t>T1730</t>
  </si>
  <si>
    <t>IHS_BUA_019</t>
  </si>
  <si>
    <t>WONYA MAVIO</t>
  </si>
  <si>
    <t>CTR_113</t>
  </si>
  <si>
    <t>IHS_YND_352</t>
  </si>
  <si>
    <t>Obala-Mairie</t>
  </si>
  <si>
    <t>EST_019</t>
  </si>
  <si>
    <t>IHS_BER_020</t>
  </si>
  <si>
    <t>Dimako</t>
  </si>
  <si>
    <t>T0833</t>
  </si>
  <si>
    <t>IHS_YND_470</t>
  </si>
  <si>
    <t>Nyokon</t>
  </si>
  <si>
    <t>Makenene</t>
  </si>
  <si>
    <t>SUO_030</t>
  </si>
  <si>
    <t>IHS_KMB_061</t>
  </si>
  <si>
    <t>Bachuo-Ntai</t>
  </si>
  <si>
    <t>T0047</t>
  </si>
  <si>
    <t>IHS_DCG_025</t>
  </si>
  <si>
    <t>Santchou</t>
  </si>
  <si>
    <t>SANTCHOU</t>
  </si>
  <si>
    <t>OST_069</t>
  </si>
  <si>
    <t>IHS_DCG_020</t>
  </si>
  <si>
    <t>Bafou-Zinkop</t>
  </si>
  <si>
    <t>T0618</t>
  </si>
  <si>
    <t>IHS_DLA_169</t>
  </si>
  <si>
    <t>Bonaloka</t>
  </si>
  <si>
    <t>T0367</t>
  </si>
  <si>
    <t>IHS_DLA_013</t>
  </si>
  <si>
    <t>Mboppi Market</t>
  </si>
  <si>
    <t>T0511</t>
  </si>
  <si>
    <t>IHS_BNB_034</t>
  </si>
  <si>
    <t>Bonandalle</t>
  </si>
  <si>
    <t>T0625</t>
  </si>
  <si>
    <t>IHS_DLA_230</t>
  </si>
  <si>
    <t>Bonamoussadi3</t>
  </si>
  <si>
    <t>T0445</t>
  </si>
  <si>
    <t>IHS_DLA_174</t>
  </si>
  <si>
    <t>T0476</t>
  </si>
  <si>
    <t>IHS_YND_163</t>
  </si>
  <si>
    <t>Nsam Sofavinc</t>
  </si>
  <si>
    <t>LIT_217</t>
  </si>
  <si>
    <t>IHS_DLA_126</t>
  </si>
  <si>
    <t>Ndokoti-New</t>
  </si>
  <si>
    <t>LIT_210</t>
  </si>
  <si>
    <t>IHS_DLA_415</t>
  </si>
  <si>
    <t>Logpom-H-Soeurs</t>
  </si>
  <si>
    <t>LIT_255</t>
  </si>
  <si>
    <t>IHS_DLA_195</t>
  </si>
  <si>
    <t>PK8</t>
  </si>
  <si>
    <t>LIT_243</t>
  </si>
  <si>
    <t>IHS_BNB_006</t>
  </si>
  <si>
    <t>Bberi-Centre</t>
  </si>
  <si>
    <t>T0626</t>
  </si>
  <si>
    <t>IHS_DLA_151</t>
  </si>
  <si>
    <t>Bonamouti</t>
  </si>
  <si>
    <t>LIT_250</t>
  </si>
  <si>
    <t>IHS_DLA_212</t>
  </si>
  <si>
    <t>Bobongo</t>
  </si>
  <si>
    <t>CTR_213</t>
  </si>
  <si>
    <t>IHS_YND_247</t>
  </si>
  <si>
    <t>Okolo</t>
  </si>
  <si>
    <t>OST_084</t>
  </si>
  <si>
    <t>IHS_DCG_002</t>
  </si>
  <si>
    <t>Dschang-St-Augustin</t>
  </si>
  <si>
    <t>T1549</t>
  </si>
  <si>
    <t>IHS_YND_295</t>
  </si>
  <si>
    <t>NGONA</t>
  </si>
  <si>
    <t>SUO_033</t>
  </si>
  <si>
    <t>IHS_BUA_018</t>
  </si>
  <si>
    <t>Buea-Entree</t>
  </si>
  <si>
    <t>OST_037</t>
  </si>
  <si>
    <t>IHS_BAF_070</t>
  </si>
  <si>
    <t>NRO_013</t>
  </si>
  <si>
    <t>IHS_BMD_081</t>
  </si>
  <si>
    <t>Oku</t>
  </si>
  <si>
    <t>T0828</t>
  </si>
  <si>
    <t>IHS_DCG_027</t>
  </si>
  <si>
    <t>Fokoue</t>
  </si>
  <si>
    <t>FOKOUE</t>
  </si>
  <si>
    <t>T0614</t>
  </si>
  <si>
    <t>IHS_BMD_051</t>
  </si>
  <si>
    <t>Pinyin</t>
  </si>
  <si>
    <t>OST_033</t>
  </si>
  <si>
    <t>IHS_BAF_061</t>
  </si>
  <si>
    <t>T0760</t>
  </si>
  <si>
    <t>IHS_YND_419</t>
  </si>
  <si>
    <t>Ngog Mapubi</t>
  </si>
  <si>
    <t>NRO_029</t>
  </si>
  <si>
    <t>IHS_BMD_017</t>
  </si>
  <si>
    <t>Mankon</t>
  </si>
  <si>
    <t>T1068</t>
  </si>
  <si>
    <t>IHS_MBD_009</t>
  </si>
  <si>
    <t>Bafounda</t>
  </si>
  <si>
    <t>CTR_205</t>
  </si>
  <si>
    <t>IHS_YND_372</t>
  </si>
  <si>
    <t>Bondjock</t>
  </si>
  <si>
    <t>T0829</t>
  </si>
  <si>
    <t>IHS_DCG_026</t>
  </si>
  <si>
    <t>Fondonera</t>
  </si>
  <si>
    <t>T0554</t>
  </si>
  <si>
    <t>IHS_BAF_031</t>
  </si>
  <si>
    <t>Bafoussam Tayim</t>
  </si>
  <si>
    <t>NRO_033</t>
  </si>
  <si>
    <t>IHS_BMD_045</t>
  </si>
  <si>
    <t>Balikumbat-Ville</t>
  </si>
  <si>
    <t>T0609</t>
  </si>
  <si>
    <t>IHS_MBD_010</t>
  </si>
  <si>
    <t>Babadjou</t>
  </si>
  <si>
    <t>BABADJOU</t>
  </si>
  <si>
    <t>LIT_195</t>
  </si>
  <si>
    <t>IHS_KRI_011</t>
  </si>
  <si>
    <t>Kienke</t>
  </si>
  <si>
    <t>NRO_032</t>
  </si>
  <si>
    <t>IHS_BMD_069</t>
  </si>
  <si>
    <t>belo</t>
  </si>
  <si>
    <t>SUD_021</t>
  </si>
  <si>
    <t>IHS_KRI_009</t>
  </si>
  <si>
    <t>Mpoloungoue</t>
  </si>
  <si>
    <t>LIT_319</t>
  </si>
  <si>
    <t>IHS_EDA_043</t>
  </si>
  <si>
    <t>Botko</t>
  </si>
  <si>
    <t>OST_064</t>
  </si>
  <si>
    <t>IHS_BAF_021</t>
  </si>
  <si>
    <t>Bfsam-Tougang</t>
  </si>
  <si>
    <t>T0678</t>
  </si>
  <si>
    <t>IHS_SGM_011</t>
  </si>
  <si>
    <t>Mvoutessi</t>
  </si>
  <si>
    <t>OST_059</t>
  </si>
  <si>
    <t>IHS_DCG_028</t>
  </si>
  <si>
    <t>OST_073</t>
  </si>
  <si>
    <t>IHS_DCG_100</t>
  </si>
  <si>
    <t>Nkong-Zem</t>
  </si>
  <si>
    <t>OST_060</t>
  </si>
  <si>
    <t>IHS_MBD_008</t>
  </si>
  <si>
    <t>T1053</t>
  </si>
  <si>
    <t>IHS_BMD_068</t>
  </si>
  <si>
    <t>Vikovi</t>
  </si>
  <si>
    <t>OST_006</t>
  </si>
  <si>
    <t>IHS_FBN_012</t>
  </si>
  <si>
    <t>Nkoundja</t>
  </si>
  <si>
    <t>T0642</t>
  </si>
  <si>
    <t>IHS_BMD_029</t>
  </si>
  <si>
    <t>T1040</t>
  </si>
  <si>
    <t>IHS_MBD_012</t>
  </si>
  <si>
    <t>Kombou</t>
  </si>
  <si>
    <t>T1066</t>
  </si>
  <si>
    <t>IHS_BMD_067</t>
  </si>
  <si>
    <t>Sop</t>
  </si>
  <si>
    <t>CTR_058</t>
  </si>
  <si>
    <t>IHS_YND_380</t>
  </si>
  <si>
    <t>Boumnyebel</t>
  </si>
  <si>
    <t>OST_063</t>
  </si>
  <si>
    <t>IHS_BAF_027</t>
  </si>
  <si>
    <t>Bfsam-Baleng</t>
  </si>
  <si>
    <t>OST_065</t>
  </si>
  <si>
    <t>IHS_BAF_006</t>
  </si>
  <si>
    <t>bfsam-Kouogouo</t>
  </si>
  <si>
    <t>T0582</t>
  </si>
  <si>
    <t>IHS_YND_388</t>
  </si>
  <si>
    <t>Nkolbiyem</t>
  </si>
  <si>
    <t>OST_051</t>
  </si>
  <si>
    <t>IHS_BAF_046</t>
  </si>
  <si>
    <t>T0754</t>
  </si>
  <si>
    <t>IHS_KMB_073</t>
  </si>
  <si>
    <t>Kembong</t>
  </si>
  <si>
    <t>T0679</t>
  </si>
  <si>
    <t>IHS_SGM_004</t>
  </si>
  <si>
    <t>Nkpwang</t>
  </si>
  <si>
    <t>T0658</t>
  </si>
  <si>
    <t>IHS_LMB_017</t>
  </si>
  <si>
    <t>Mokudange</t>
  </si>
  <si>
    <t>T0669</t>
  </si>
  <si>
    <t>IHS_LMB_024</t>
  </si>
  <si>
    <t>Bakinguili</t>
  </si>
  <si>
    <t>LIT_230</t>
  </si>
  <si>
    <t>IHS_EDA_017</t>
  </si>
  <si>
    <t>Edea-Ndokok</t>
  </si>
  <si>
    <t>T0102</t>
  </si>
  <si>
    <t>IHS_LMB_012</t>
  </si>
  <si>
    <t>Kie village</t>
  </si>
  <si>
    <t>NRO_222</t>
  </si>
  <si>
    <t>IHS_BMD_026</t>
  </si>
  <si>
    <t>Nkwein-Ntambang</t>
  </si>
  <si>
    <t>OST_067</t>
  </si>
  <si>
    <t>IHS_BAF_039</t>
  </si>
  <si>
    <t>Bandjoun-Soung</t>
  </si>
  <si>
    <t>LIT_240</t>
  </si>
  <si>
    <t>IHS_DLA_240</t>
  </si>
  <si>
    <t>Boko-Douala</t>
  </si>
  <si>
    <t>T0368</t>
  </si>
  <si>
    <t>IHS_DLA_068</t>
  </si>
  <si>
    <t>Brazzaville</t>
  </si>
  <si>
    <t>T0622</t>
  </si>
  <si>
    <t>IHS_DLA_258</t>
  </si>
  <si>
    <t>Logpom Andem</t>
  </si>
  <si>
    <t>LIT_268</t>
  </si>
  <si>
    <t>IHS_DLA_114</t>
  </si>
  <si>
    <t>Youpwe</t>
  </si>
  <si>
    <t>T0666</t>
  </si>
  <si>
    <t>IHS_BNB_042</t>
  </si>
  <si>
    <t>CTR_236</t>
  </si>
  <si>
    <t>IHS_YND_177</t>
  </si>
  <si>
    <t>Awae-Yde</t>
  </si>
  <si>
    <t>T0070</t>
  </si>
  <si>
    <t>IHS_NKS_013</t>
  </si>
  <si>
    <t>LIT_313</t>
  </si>
  <si>
    <t>IHS_EDA_004</t>
  </si>
  <si>
    <t>Edea-Bisseke</t>
  </si>
  <si>
    <t>T0797</t>
  </si>
  <si>
    <t>IHS_NKS_009</t>
  </si>
  <si>
    <t>T0654</t>
  </si>
  <si>
    <t>IHS_SGM_003</t>
  </si>
  <si>
    <t>Sangmelima Etounelinga</t>
  </si>
  <si>
    <t>SANGMELIMA</t>
  </si>
  <si>
    <t>LIT_083</t>
  </si>
  <si>
    <t>IHS_DLA_164</t>
  </si>
  <si>
    <t>ZI-Bassa</t>
  </si>
  <si>
    <t>Douala 7</t>
  </si>
  <si>
    <t>LIT_191</t>
  </si>
  <si>
    <t>IHS_EDA_039</t>
  </si>
  <si>
    <t>Mouanko</t>
  </si>
  <si>
    <t>T1276</t>
  </si>
  <si>
    <t>IHS_BAF_067</t>
  </si>
  <si>
    <t>Bassamba</t>
  </si>
  <si>
    <t>T0739</t>
  </si>
  <si>
    <t>IHS_BER_076</t>
  </si>
  <si>
    <t>Nguelemendouka</t>
  </si>
  <si>
    <t>T0727</t>
  </si>
  <si>
    <t>IHS_YND_538</t>
  </si>
  <si>
    <t>CTR_237</t>
  </si>
  <si>
    <t>IHS_YND_261</t>
  </si>
  <si>
    <t>Barriere</t>
  </si>
  <si>
    <t>SUO_005</t>
  </si>
  <si>
    <t>IHS_BUA_030</t>
  </si>
  <si>
    <t>Mutengene</t>
  </si>
  <si>
    <t>LIT_263</t>
  </si>
  <si>
    <t>IHS_DLA_127</t>
  </si>
  <si>
    <t>CCC</t>
  </si>
  <si>
    <t>T1036</t>
  </si>
  <si>
    <t>IHS_BAF_052</t>
  </si>
  <si>
    <t>Bangoua</t>
  </si>
  <si>
    <t>T0113</t>
  </si>
  <si>
    <t>IHS_YND_155</t>
  </si>
  <si>
    <t>Obobogo</t>
  </si>
  <si>
    <t>T0087</t>
  </si>
  <si>
    <t>IHS_EDA_011</t>
  </si>
  <si>
    <t>Edea peage</t>
  </si>
  <si>
    <t>T1704</t>
  </si>
  <si>
    <t>IHS_DLA_097</t>
  </si>
  <si>
    <t>Valle bessengue</t>
  </si>
  <si>
    <t>CTR_340</t>
  </si>
  <si>
    <t>IHS_YND_233</t>
  </si>
  <si>
    <t>OST_100</t>
  </si>
  <si>
    <t>IHS_BAF_010</t>
  </si>
  <si>
    <t>Bfsam-Q-Haoussa</t>
  </si>
  <si>
    <t>CTR_079</t>
  </si>
  <si>
    <t>IHS_YND_306</t>
  </si>
  <si>
    <t>LIT_290</t>
  </si>
  <si>
    <t>IHS_BNB_009</t>
  </si>
  <si>
    <t>Bonabappe</t>
  </si>
  <si>
    <t>T0413</t>
  </si>
  <si>
    <t>IHS_BER_067</t>
  </si>
  <si>
    <t>LIT_322</t>
  </si>
  <si>
    <t>IHS_EDA_012</t>
  </si>
  <si>
    <t>Edea-Ekite</t>
  </si>
  <si>
    <t>T0831</t>
  </si>
  <si>
    <t>IHS_BAF_051</t>
  </si>
  <si>
    <t>T0603</t>
  </si>
  <si>
    <t>IHS_YND_069</t>
  </si>
  <si>
    <t>Efoulan</t>
  </si>
  <si>
    <t>OST_066</t>
  </si>
  <si>
    <t>IHS_BAF_009</t>
  </si>
  <si>
    <t>Bfsam-Eveche-Carrefour</t>
  </si>
  <si>
    <t>CTR_248</t>
  </si>
  <si>
    <t>IHS_YND_304</t>
  </si>
  <si>
    <t>Nkolondom</t>
  </si>
  <si>
    <t>SUD_228</t>
  </si>
  <si>
    <t>IHS_SGM_001</t>
  </si>
  <si>
    <t>Sangmelima-Ville</t>
  </si>
  <si>
    <t>T0663</t>
  </si>
  <si>
    <t>IHS_MBG_013</t>
  </si>
  <si>
    <t>Penja</t>
  </si>
  <si>
    <t>T0859</t>
  </si>
  <si>
    <t>IHS_DLA_014</t>
  </si>
  <si>
    <t>Camp Yabassi</t>
  </si>
  <si>
    <t>CTR_056</t>
  </si>
  <si>
    <t>IHS_YND_100</t>
  </si>
  <si>
    <t>Shell-Nsimeyong</t>
  </si>
  <si>
    <t>T1162</t>
  </si>
  <si>
    <t>IHS_YND_256</t>
  </si>
  <si>
    <t>MESSAME NDONGO 1162</t>
  </si>
  <si>
    <t>T0858</t>
  </si>
  <si>
    <t>IHS_DLA_180</t>
  </si>
  <si>
    <t>Bonewonda</t>
  </si>
  <si>
    <t>T0116</t>
  </si>
  <si>
    <t>IHS_BFG_010</t>
  </si>
  <si>
    <t>Fonkouakem</t>
  </si>
  <si>
    <t>CTR_331</t>
  </si>
  <si>
    <t>IHS_YND_253</t>
  </si>
  <si>
    <t>Clge-Advantiste</t>
  </si>
  <si>
    <t>LIT_300</t>
  </si>
  <si>
    <t>IHS_DLA_130</t>
  </si>
  <si>
    <t>Song-Mahop</t>
  </si>
  <si>
    <t>CTR_330</t>
  </si>
  <si>
    <t>IHS_YND_255</t>
  </si>
  <si>
    <t>Odza-PK10</t>
  </si>
  <si>
    <t>CTR_249</t>
  </si>
  <si>
    <t>IHS_YND_225</t>
  </si>
  <si>
    <t>Science</t>
  </si>
  <si>
    <t>CTR_246</t>
  </si>
  <si>
    <t>IHS_YND_287</t>
  </si>
  <si>
    <t>Nkolafeme</t>
  </si>
  <si>
    <t>T0165</t>
  </si>
  <si>
    <t>IHS_BMD_049</t>
  </si>
  <si>
    <t>OST_099</t>
  </si>
  <si>
    <t>IHS_BFG_006</t>
  </si>
  <si>
    <t>Bafang-Chefferie</t>
  </si>
  <si>
    <t>T0863</t>
  </si>
  <si>
    <t>IHS_DLA_142</t>
  </si>
  <si>
    <t>MOBIL GUINNESS 863</t>
  </si>
  <si>
    <t>LIT_343</t>
  </si>
  <si>
    <t>IHS_DLA_264</t>
  </si>
  <si>
    <t>Nyalla-Kilimandjaro</t>
  </si>
  <si>
    <t>CTR_380</t>
  </si>
  <si>
    <t>IHS_YND_102</t>
  </si>
  <si>
    <t>Ntaba</t>
  </si>
  <si>
    <t>T0356</t>
  </si>
  <si>
    <t>IHS_MAR_073</t>
  </si>
  <si>
    <t>EST_010</t>
  </si>
  <si>
    <t>IHS_BER_080</t>
  </si>
  <si>
    <t>Lomie</t>
  </si>
  <si>
    <t>Lomie </t>
  </si>
  <si>
    <t>LIT_107</t>
  </si>
  <si>
    <t>IHS_KRI_010</t>
  </si>
  <si>
    <t>Kribi-gd-batanga</t>
  </si>
  <si>
    <t>T0076</t>
  </si>
  <si>
    <t>IHS_DCG_007</t>
  </si>
  <si>
    <t>CTR_031</t>
  </si>
  <si>
    <t>IHS_YND_319</t>
  </si>
  <si>
    <t>T0048</t>
  </si>
  <si>
    <t>IHS_BER_019</t>
  </si>
  <si>
    <t>CTR_225</t>
  </si>
  <si>
    <t>IHS_YND_452</t>
  </si>
  <si>
    <t>Endom</t>
  </si>
  <si>
    <t>COMMUNE DE ENDOM</t>
  </si>
  <si>
    <t>T0120</t>
  </si>
  <si>
    <t>IHS_YND_031</t>
  </si>
  <si>
    <t>Sime Building</t>
  </si>
  <si>
    <t>CTR_392</t>
  </si>
  <si>
    <t>IHS_EBO_001</t>
  </si>
  <si>
    <t>Ebolowa-Ville</t>
  </si>
  <si>
    <t>T0319</t>
  </si>
  <si>
    <t>IHS_YND_278</t>
  </si>
  <si>
    <t>Nkolfoulou</t>
  </si>
  <si>
    <t>T1446</t>
  </si>
  <si>
    <t>IHS_BAF_025</t>
  </si>
  <si>
    <t>BAFOUSSAM MARIE RURALE</t>
  </si>
  <si>
    <t>SUD_227</t>
  </si>
  <si>
    <t>IHS_EBO_009</t>
  </si>
  <si>
    <t>Ebolowa-Si</t>
  </si>
  <si>
    <t>LIT_339</t>
  </si>
  <si>
    <t>IHS_DLA_266</t>
  </si>
  <si>
    <t>Cogefar-II</t>
  </si>
  <si>
    <t>T0274</t>
  </si>
  <si>
    <t>IHS_YND_091</t>
  </si>
  <si>
    <t>Jouvence 2000</t>
  </si>
  <si>
    <t>CTR_109</t>
  </si>
  <si>
    <t>IHS_YND_037</t>
  </si>
  <si>
    <t>Nkolndongo</t>
  </si>
  <si>
    <t>T0105</t>
  </si>
  <si>
    <t>IHS_YND_321</t>
  </si>
  <si>
    <t>Soa</t>
  </si>
  <si>
    <t>OST_028</t>
  </si>
  <si>
    <t>IHS_FBN_005</t>
  </si>
  <si>
    <t>Foumban-Kounga</t>
  </si>
  <si>
    <t>T1501</t>
  </si>
  <si>
    <t>IHS_BMD_022</t>
  </si>
  <si>
    <t>Bamenda GTTC</t>
  </si>
  <si>
    <t>CTR_232</t>
  </si>
  <si>
    <t>IHS_YND_423</t>
  </si>
  <si>
    <t>Yambassa</t>
  </si>
  <si>
    <t>Bokito</t>
  </si>
  <si>
    <t>T0304</t>
  </si>
  <si>
    <t>IHS_YND_439</t>
  </si>
  <si>
    <t>OST_075</t>
  </si>
  <si>
    <t>IHS_BAF_034</t>
  </si>
  <si>
    <t>bfsam-Ndjinga</t>
  </si>
  <si>
    <t>OST_089</t>
  </si>
  <si>
    <t>IHS_BFG_015</t>
  </si>
  <si>
    <t>Banwa</t>
  </si>
  <si>
    <t>T0918</t>
  </si>
  <si>
    <t>IHS_EBO_011</t>
  </si>
  <si>
    <t>Ndengue</t>
  </si>
  <si>
    <t>SUD_240</t>
  </si>
  <si>
    <t>IHS_KRI_007</t>
  </si>
  <si>
    <t>Kribi-Bwambe</t>
  </si>
  <si>
    <t>T1034</t>
  </si>
  <si>
    <t>IHS_BFG_008</t>
  </si>
  <si>
    <t>Famkeu</t>
  </si>
  <si>
    <t>T0163</t>
  </si>
  <si>
    <t>IHS_FBN_011</t>
  </si>
  <si>
    <t>LIT_111</t>
  </si>
  <si>
    <t>IHS_MBG_010</t>
  </si>
  <si>
    <t>Kompigna</t>
  </si>
  <si>
    <t>T0478</t>
  </si>
  <si>
    <t>IHS_MBG_017</t>
  </si>
  <si>
    <t>T0127</t>
  </si>
  <si>
    <t>IHS_KMB_029</t>
  </si>
  <si>
    <t>TOMBEL</t>
  </si>
  <si>
    <t>OST_035</t>
  </si>
  <si>
    <t>IHS_BAF_044</t>
  </si>
  <si>
    <t>T0115</t>
  </si>
  <si>
    <t>IHS_NKS_019</t>
  </si>
  <si>
    <t>Manjo</t>
  </si>
  <si>
    <t>LIT_062</t>
  </si>
  <si>
    <t>IHS_NKS_018</t>
  </si>
  <si>
    <t>T0077</t>
  </si>
  <si>
    <t>IHS_BNB_039</t>
  </si>
  <si>
    <t>Bomonogare</t>
  </si>
  <si>
    <t>T0129</t>
  </si>
  <si>
    <t>IHS_YND_379</t>
  </si>
  <si>
    <t>Eseka</t>
  </si>
  <si>
    <t>T0410</t>
  </si>
  <si>
    <t>IHS_EDA_041</t>
  </si>
  <si>
    <t>Song Loulou</t>
  </si>
  <si>
    <t>T0137</t>
  </si>
  <si>
    <t>IHS_EDA_038</t>
  </si>
  <si>
    <t>Mouanko Post Office</t>
  </si>
  <si>
    <t>LIT_110</t>
  </si>
  <si>
    <t>IHS_DLA_302</t>
  </si>
  <si>
    <t>Yabassi</t>
  </si>
  <si>
    <t>NKAM</t>
  </si>
  <si>
    <t>T0305</t>
  </si>
  <si>
    <t>IHS_DLA_303</t>
  </si>
  <si>
    <t>EXN_003</t>
  </si>
  <si>
    <t>IHS_KSR_001</t>
  </si>
  <si>
    <t>EXN_010</t>
  </si>
  <si>
    <t>IHS_KSR_007</t>
  </si>
  <si>
    <t>Kousseri-Sarra</t>
  </si>
  <si>
    <t>EST_036</t>
  </si>
  <si>
    <t>IHS_BER_041</t>
  </si>
  <si>
    <t>Abong-Mbang-II</t>
  </si>
  <si>
    <t>LIT_063</t>
  </si>
  <si>
    <t>IHS_NKS_014</t>
  </si>
  <si>
    <t>OST_038</t>
  </si>
  <si>
    <t>IHS_DCG_029</t>
  </si>
  <si>
    <t>ADM_044</t>
  </si>
  <si>
    <t>IHS_NGD_083</t>
  </si>
  <si>
    <t>Tibati-II</t>
  </si>
  <si>
    <t>SUO_010</t>
  </si>
  <si>
    <t>IHS_BMD_032</t>
  </si>
  <si>
    <t>Bambili</t>
  </si>
  <si>
    <t>T0560</t>
  </si>
  <si>
    <t>IHS_BMD_071</t>
  </si>
  <si>
    <t>Babanki</t>
  </si>
  <si>
    <t>T0126</t>
  </si>
  <si>
    <t>IHS_BMD_031</t>
  </si>
  <si>
    <t>Bambili Hill</t>
  </si>
  <si>
    <t>T0562</t>
  </si>
  <si>
    <t>IHS_BMD_046</t>
  </si>
  <si>
    <t>santa</t>
  </si>
  <si>
    <t>T0161</t>
  </si>
  <si>
    <t>IHS_BMD_039</t>
  </si>
  <si>
    <t>SAR/SM Santa</t>
  </si>
  <si>
    <t>T0164</t>
  </si>
  <si>
    <t>IHS_BMD_037</t>
  </si>
  <si>
    <t>EXN_011</t>
  </si>
  <si>
    <t>IHS_MAR_056</t>
  </si>
  <si>
    <t>NRO_015</t>
  </si>
  <si>
    <t>IHS_BMD_073</t>
  </si>
  <si>
    <t>T0487</t>
  </si>
  <si>
    <t>IHS_BMD_070</t>
  </si>
  <si>
    <t>Belo-Njinikom</t>
  </si>
  <si>
    <t>T0132</t>
  </si>
  <si>
    <t>IHS_BMD_072</t>
  </si>
  <si>
    <t>Muchemni Fundong</t>
  </si>
  <si>
    <t>T0307</t>
  </si>
  <si>
    <t>IHS_BAF_062</t>
  </si>
  <si>
    <t>T0100</t>
  </si>
  <si>
    <t>IHS_BMD_042</t>
  </si>
  <si>
    <t>EST_022</t>
  </si>
  <si>
    <t>IHS_BER_038</t>
  </si>
  <si>
    <t>EST_024</t>
  </si>
  <si>
    <t>IHS_BER_077</t>
  </si>
  <si>
    <t>Nguelemendouka-FH</t>
  </si>
  <si>
    <t>T0491</t>
  </si>
  <si>
    <t>IHS_EDA_045</t>
  </si>
  <si>
    <t>Sack Bayeme</t>
  </si>
  <si>
    <t>LIT_208</t>
  </si>
  <si>
    <t>IHS_MBG_012</t>
  </si>
  <si>
    <t>T0244</t>
  </si>
  <si>
    <t>IHS_MBG_020</t>
  </si>
  <si>
    <t>Souza</t>
  </si>
  <si>
    <t>BONALEA</t>
  </si>
  <si>
    <t>T0412</t>
  </si>
  <si>
    <t>IHS_KRI_019</t>
  </si>
  <si>
    <t>Nyete V13</t>
  </si>
  <si>
    <t>LIT_193</t>
  </si>
  <si>
    <t>IHS_KRI_021</t>
  </si>
  <si>
    <t>Niete-V14</t>
  </si>
  <si>
    <t>SUO_013</t>
  </si>
  <si>
    <t>IHS_KMB_058</t>
  </si>
  <si>
    <t>T0492</t>
  </si>
  <si>
    <t>IHS_KMB_070</t>
  </si>
  <si>
    <t>T0028</t>
  </si>
  <si>
    <t>IHS_MAR_050</t>
  </si>
  <si>
    <t>T0326</t>
  </si>
  <si>
    <t>IHS_NGD_080</t>
  </si>
  <si>
    <t>Ngaoundal</t>
  </si>
  <si>
    <t>T0256</t>
  </si>
  <si>
    <t>IHS_GAR_043</t>
  </si>
  <si>
    <t>CTR_115</t>
  </si>
  <si>
    <t>IHS_YND_375</t>
  </si>
  <si>
    <t>Ngoung</t>
  </si>
  <si>
    <t>T0139</t>
  </si>
  <si>
    <t>IHS_YND_381</t>
  </si>
  <si>
    <t>T0091</t>
  </si>
  <si>
    <t>IHS_YND_314</t>
  </si>
  <si>
    <t>Sous Prefecture</t>
  </si>
  <si>
    <t>SUO_028</t>
  </si>
  <si>
    <t>IHS_EDA_049</t>
  </si>
  <si>
    <t>CTR_191</t>
  </si>
  <si>
    <t>IHS_YND_338</t>
  </si>
  <si>
    <t>T0167</t>
  </si>
  <si>
    <t>IHS_BMD_085</t>
  </si>
  <si>
    <t>NDU Baptist church</t>
  </si>
  <si>
    <t>NRO_009</t>
  </si>
  <si>
    <t>IHS_BMD_086</t>
  </si>
  <si>
    <t>ADM_018</t>
  </si>
  <si>
    <t>IHS_NGD_011</t>
  </si>
  <si>
    <t>Ngd-Ville</t>
  </si>
  <si>
    <t>T1425</t>
  </si>
  <si>
    <t>IHS_NGD_202</t>
  </si>
  <si>
    <t>NGAOUNDERE AOUDI</t>
  </si>
  <si>
    <t>LIT_074</t>
  </si>
  <si>
    <t>IHS_DLA_177</t>
  </si>
  <si>
    <t>T0424</t>
  </si>
  <si>
    <t>IHS_DLA_253</t>
  </si>
  <si>
    <t>Bonamoussadi2</t>
  </si>
  <si>
    <t>T0634</t>
  </si>
  <si>
    <t>IHS_BNB_013</t>
  </si>
  <si>
    <t>Bonaminkano</t>
  </si>
  <si>
    <t>LIT_203</t>
  </si>
  <si>
    <t>IHS_BNB_032</t>
  </si>
  <si>
    <t>Bonamatoumbe</t>
  </si>
  <si>
    <t>T0507</t>
  </si>
  <si>
    <t>IHS_DLA_157</t>
  </si>
  <si>
    <t>Douala University</t>
  </si>
  <si>
    <t>T0502-1</t>
  </si>
  <si>
    <t>IHS_DLA_256</t>
  </si>
  <si>
    <t xml:space="preserve">Off Air </t>
  </si>
  <si>
    <t>SUD_006</t>
  </si>
  <si>
    <t>IHS_KRI_002</t>
  </si>
  <si>
    <t>Kribi-Ocean</t>
  </si>
  <si>
    <t>T0381</t>
  </si>
  <si>
    <t>IHS_BAF_037</t>
  </si>
  <si>
    <t>KOUNG-KHI</t>
  </si>
  <si>
    <t>BANDJOUN</t>
  </si>
  <si>
    <t>T0499</t>
  </si>
  <si>
    <t>IHS_DLA_224</t>
  </si>
  <si>
    <t>LIT_223</t>
  </si>
  <si>
    <t>IHS_DLA_236</t>
  </si>
  <si>
    <t>PK10-Plateau</t>
  </si>
  <si>
    <t>LIT_224</t>
  </si>
  <si>
    <t>IHS_DLA_216</t>
  </si>
  <si>
    <t>Makepe-St-Tropez</t>
  </si>
  <si>
    <t>T0521</t>
  </si>
  <si>
    <t>IHS_DLA_112</t>
  </si>
  <si>
    <t>Bonadiwoto</t>
  </si>
  <si>
    <t>T0508</t>
  </si>
  <si>
    <t>IHS_DLA_139</t>
  </si>
  <si>
    <t>Cite SIC</t>
  </si>
  <si>
    <t>LIT_206</t>
  </si>
  <si>
    <t>IHS_BNB_008</t>
  </si>
  <si>
    <t>Ngwele</t>
  </si>
  <si>
    <t>LIT_181</t>
  </si>
  <si>
    <t>IHS_BNB_033</t>
  </si>
  <si>
    <t>Bonendale</t>
  </si>
  <si>
    <t>T0522</t>
  </si>
  <si>
    <t>IHS_DLA_217</t>
  </si>
  <si>
    <t>Makepe St Tropez</t>
  </si>
  <si>
    <t>CTR_209</t>
  </si>
  <si>
    <t>IHS_YND_070</t>
  </si>
  <si>
    <t>CTR_214</t>
  </si>
  <si>
    <t>IHS_YND_296</t>
  </si>
  <si>
    <t>T0518</t>
  </si>
  <si>
    <t>IHS_BNB_018</t>
  </si>
  <si>
    <t>LIT_018</t>
  </si>
  <si>
    <t>IHS_DLA_108</t>
  </si>
  <si>
    <t>Chevreuil</t>
  </si>
  <si>
    <t>T0106</t>
  </si>
  <si>
    <t>IHS_BAF_056</t>
  </si>
  <si>
    <t>T0261</t>
  </si>
  <si>
    <t>IHS_BAF_059</t>
  </si>
  <si>
    <t>Bambit SDH</t>
  </si>
  <si>
    <t>T0887</t>
  </si>
  <si>
    <t>IHS_MAR_005</t>
  </si>
  <si>
    <t>Maroua Market</t>
  </si>
  <si>
    <t>T0073</t>
  </si>
  <si>
    <t>IHS_FBN_022</t>
  </si>
  <si>
    <t>Ndoumbain</t>
  </si>
  <si>
    <t>EXN_002</t>
  </si>
  <si>
    <t>IHS_MAR_007</t>
  </si>
  <si>
    <t>Douggoy</t>
  </si>
  <si>
    <t>LIT_048</t>
  </si>
  <si>
    <t>IHS_DLA_118</t>
  </si>
  <si>
    <t>Rond-Point</t>
  </si>
  <si>
    <t>T0037</t>
  </si>
  <si>
    <t>IHS_MAR_046</t>
  </si>
  <si>
    <t>Makalingai</t>
  </si>
  <si>
    <t>T1258</t>
  </si>
  <si>
    <t>IHS_MBG_024</t>
  </si>
  <si>
    <t>BESSOUNGKANG1258</t>
  </si>
  <si>
    <t>T1557</t>
  </si>
  <si>
    <t>IHS_YND_313</t>
  </si>
  <si>
    <t>Afanoya</t>
  </si>
  <si>
    <t>T0790</t>
  </si>
  <si>
    <t>IHS_KMB_024</t>
  </si>
  <si>
    <t>Ebonji</t>
  </si>
  <si>
    <t>EST_057</t>
  </si>
  <si>
    <t>IHS_YND_449</t>
  </si>
  <si>
    <t>Kobdombo</t>
  </si>
  <si>
    <t>ENDOM</t>
  </si>
  <si>
    <t>CTR_517</t>
  </si>
  <si>
    <t>IHS_YND_595</t>
  </si>
  <si>
    <t>Akoeman</t>
  </si>
  <si>
    <t>CTR_354</t>
  </si>
  <si>
    <t>IHS_YND_411</t>
  </si>
  <si>
    <t>Mengueme</t>
  </si>
  <si>
    <t>MENGUEME</t>
  </si>
  <si>
    <t>CTR_111</t>
  </si>
  <si>
    <t>IHS_SGM_013</t>
  </si>
  <si>
    <t>CTR_201</t>
  </si>
  <si>
    <t>IHS_YND_368</t>
  </si>
  <si>
    <t>Otele</t>
  </si>
  <si>
    <t>SUD_012</t>
  </si>
  <si>
    <t>IHS_SGM_008</t>
  </si>
  <si>
    <t>CTR_062</t>
  </si>
  <si>
    <t>IHS_YND_310</t>
  </si>
  <si>
    <t>Nomayos</t>
  </si>
  <si>
    <t>NRD_023</t>
  </si>
  <si>
    <t>IHS_GAR_066</t>
  </si>
  <si>
    <t>Rey-Bouba</t>
  </si>
  <si>
    <t xml:space="preserve"> COMMUNE Rey-BOUBA</t>
  </si>
  <si>
    <t>NRD_032</t>
  </si>
  <si>
    <t>IHS_GAR_038</t>
  </si>
  <si>
    <t>Ngong-II</t>
  </si>
  <si>
    <t>EXN_019</t>
  </si>
  <si>
    <t>IHS_MAR_085</t>
  </si>
  <si>
    <t>Bourha</t>
  </si>
  <si>
    <t>T0551</t>
  </si>
  <si>
    <t>IHS_MAR_030</t>
  </si>
  <si>
    <t>Djarengol</t>
  </si>
  <si>
    <t>T0364</t>
  </si>
  <si>
    <t>IHS_MAR_040</t>
  </si>
  <si>
    <t>EXN_014</t>
  </si>
  <si>
    <t>IHS_MAR_052</t>
  </si>
  <si>
    <t>T0530</t>
  </si>
  <si>
    <t>IHS_YND_252</t>
  </si>
  <si>
    <t>Koweit City</t>
  </si>
  <si>
    <t>CTR_210</t>
  </si>
  <si>
    <t>IHS_YND_071</t>
  </si>
  <si>
    <t>Scalom</t>
  </si>
  <si>
    <t>T0645</t>
  </si>
  <si>
    <t>IHS_YND_081</t>
  </si>
  <si>
    <t>Mini Ferme</t>
  </si>
  <si>
    <t>EXN_037</t>
  </si>
  <si>
    <t>IHS_MAR_043</t>
  </si>
  <si>
    <t>Mindif</t>
  </si>
  <si>
    <t>T0360</t>
  </si>
  <si>
    <t>IHS_BMD_007</t>
  </si>
  <si>
    <t>Nitob</t>
  </si>
  <si>
    <t>T0558</t>
  </si>
  <si>
    <t>IHS_BMD_028</t>
  </si>
  <si>
    <t>Bamenda jerusalem</t>
  </si>
  <si>
    <t>CTR_146</t>
  </si>
  <si>
    <t>IHS_YND_399</t>
  </si>
  <si>
    <t>Mekouda</t>
  </si>
  <si>
    <t>T1072</t>
  </si>
  <si>
    <t>IHS_SGM_006</t>
  </si>
  <si>
    <t>OLONOU1072</t>
  </si>
  <si>
    <t>COMMUNE DE MEYOMESSI</t>
  </si>
  <si>
    <t>T0211</t>
  </si>
  <si>
    <t>IHS_YND_393</t>
  </si>
  <si>
    <t>Ezezang</t>
  </si>
  <si>
    <t>T0298</t>
  </si>
  <si>
    <t>IHS_YND_417</t>
  </si>
  <si>
    <t>Sombo</t>
  </si>
  <si>
    <t>EXN_055</t>
  </si>
  <si>
    <t>IHS_MAR_027</t>
  </si>
  <si>
    <t>Palar</t>
  </si>
  <si>
    <t>T0733</t>
  </si>
  <si>
    <t>IHS_DCG_024</t>
  </si>
  <si>
    <t>OST_113</t>
  </si>
  <si>
    <t>IHS_BMD_025</t>
  </si>
  <si>
    <t>Bda-Titam-Naka</t>
  </si>
  <si>
    <t>T0752</t>
  </si>
  <si>
    <t>IHS_MAR_082</t>
  </si>
  <si>
    <t>Rhumsiki</t>
  </si>
  <si>
    <t>T1768</t>
  </si>
  <si>
    <t>IHS_NGD_214</t>
  </si>
  <si>
    <t>Ngaoundere Sabongari America</t>
  </si>
  <si>
    <t>LIT_296</t>
  </si>
  <si>
    <t>IHS_MBG_025</t>
  </si>
  <si>
    <t>Bonalea</t>
  </si>
  <si>
    <t>T0653</t>
  </si>
  <si>
    <t>IHS_EBO_003</t>
  </si>
  <si>
    <t>Ebolowa Samba</t>
  </si>
  <si>
    <t>OST_071</t>
  </si>
  <si>
    <t>IHS_MBD_002</t>
  </si>
  <si>
    <t>Mbouda-Lepi</t>
  </si>
  <si>
    <t>OST_070</t>
  </si>
  <si>
    <t>IHS_FBN_013</t>
  </si>
  <si>
    <t>Baigon</t>
  </si>
  <si>
    <t>EXN_023</t>
  </si>
  <si>
    <t>IHS_MAR_045</t>
  </si>
  <si>
    <t>Meri</t>
  </si>
  <si>
    <t>EXN_054</t>
  </si>
  <si>
    <t>IHS_MAR_003</t>
  </si>
  <si>
    <t>Domayo</t>
  </si>
  <si>
    <t>ADM_036</t>
  </si>
  <si>
    <t>IHS_NGD_017</t>
  </si>
  <si>
    <t>Ngd-Burkina</t>
  </si>
  <si>
    <t>ADM_034</t>
  </si>
  <si>
    <t>IHS_NGD_025</t>
  </si>
  <si>
    <t>Ngd-Projet-Laitier</t>
  </si>
  <si>
    <t>COMMUNE NGAOUNDERE 3</t>
  </si>
  <si>
    <t>CTR_253</t>
  </si>
  <si>
    <t>IHS_YND_258</t>
  </si>
  <si>
    <t>Mefou-Assi</t>
  </si>
  <si>
    <t>SUD_224</t>
  </si>
  <si>
    <t>IHS_SGM_002</t>
  </si>
  <si>
    <t>Sangmelima-II</t>
  </si>
  <si>
    <t>CTR_016</t>
  </si>
  <si>
    <t>IHS_YND_226</t>
  </si>
  <si>
    <t>Mvog-Betsi</t>
  </si>
  <si>
    <t>LIT_179</t>
  </si>
  <si>
    <t>IHS_DLA_270</t>
  </si>
  <si>
    <t>Nyalla-Pariso</t>
  </si>
  <si>
    <t>T0473</t>
  </si>
  <si>
    <t>IHS_EBO_008</t>
  </si>
  <si>
    <t>Ebolowa Makalat</t>
  </si>
  <si>
    <t>NRO_226</t>
  </si>
  <si>
    <t>IHS_BMD_008</t>
  </si>
  <si>
    <t>Bda-Nitop-II</t>
  </si>
  <si>
    <t>T1212</t>
  </si>
  <si>
    <t>IHS_MAR_022</t>
  </si>
  <si>
    <t>MAROUADOUGOY1212</t>
  </si>
  <si>
    <t>LIT_303</t>
  </si>
  <si>
    <t>IHS_DLA_257</t>
  </si>
  <si>
    <t>Kotto-Antenne</t>
  </si>
  <si>
    <t>CTR_270</t>
  </si>
  <si>
    <t>IHS_YND_023</t>
  </si>
  <si>
    <t>Montesquieux</t>
  </si>
  <si>
    <t>LIT_251</t>
  </si>
  <si>
    <t>IHS_DLA_265</t>
  </si>
  <si>
    <t>Ndogpassi-ZR 2</t>
  </si>
  <si>
    <t>T0442</t>
  </si>
  <si>
    <t>IHS_DLA_294</t>
  </si>
  <si>
    <t>Logbessou PK21</t>
  </si>
  <si>
    <t>CTR_252</t>
  </si>
  <si>
    <t>IHS_YND_358</t>
  </si>
  <si>
    <t>Mbalmayo-Ngalan</t>
  </si>
  <si>
    <t>T0738</t>
  </si>
  <si>
    <t>IHS_BER_022</t>
  </si>
  <si>
    <t>T0602</t>
  </si>
  <si>
    <t>IHS_YND_259</t>
  </si>
  <si>
    <t>T0628</t>
  </si>
  <si>
    <t>IHS_DLA_280</t>
  </si>
  <si>
    <t>Lycee Japoma</t>
  </si>
  <si>
    <t>T1493</t>
  </si>
  <si>
    <t>IHS_BAF_001</t>
  </si>
  <si>
    <t>TAMBA Building</t>
  </si>
  <si>
    <t>T0620</t>
  </si>
  <si>
    <t>IHS_BNB_035</t>
  </si>
  <si>
    <t>Bodjongo</t>
  </si>
  <si>
    <t>OST_005</t>
  </si>
  <si>
    <t>IHS_FBN_020</t>
  </si>
  <si>
    <t>T0573</t>
  </si>
  <si>
    <t>IHS_YND_387</t>
  </si>
  <si>
    <t>Talla Monatele</t>
  </si>
  <si>
    <t>T0761</t>
  </si>
  <si>
    <t>IHS_YND_390</t>
  </si>
  <si>
    <t>Elig Mfomo</t>
  </si>
  <si>
    <t>ELIG-MFOMO</t>
  </si>
  <si>
    <t>CTR_578</t>
  </si>
  <si>
    <t>IHS_YND_017</t>
  </si>
  <si>
    <t>H-Deputes</t>
  </si>
  <si>
    <t>T1463</t>
  </si>
  <si>
    <t>IHS_MBD_001</t>
  </si>
  <si>
    <t>Mbouda SIK</t>
  </si>
  <si>
    <t>CTR_256</t>
  </si>
  <si>
    <t>IHS_YND_232</t>
  </si>
  <si>
    <t>Crf-Nkolbisson</t>
  </si>
  <si>
    <t>EXN_090</t>
  </si>
  <si>
    <t>IHS_MAR_016</t>
  </si>
  <si>
    <t>Maroua-Lopere-II(Djoudandé)</t>
  </si>
  <si>
    <t>T1564</t>
  </si>
  <si>
    <t>IHS_YND_361</t>
  </si>
  <si>
    <t>Mbalmayo Mbokoulo</t>
  </si>
  <si>
    <t>T1570</t>
  </si>
  <si>
    <t>IHS_YND_140</t>
  </si>
  <si>
    <t>BISCUITERIE</t>
  </si>
  <si>
    <t>CTR_002</t>
  </si>
  <si>
    <t>IHS_YND_010</t>
  </si>
  <si>
    <t>CNR</t>
  </si>
  <si>
    <t>T1841</t>
  </si>
  <si>
    <t>IHS_MBG_007</t>
  </si>
  <si>
    <t>Njombe Market</t>
  </si>
  <si>
    <t>T0233</t>
  </si>
  <si>
    <t>IHS_DLA_291</t>
  </si>
  <si>
    <t>Pont Bascule Yassa</t>
  </si>
  <si>
    <t>CTR_215</t>
  </si>
  <si>
    <t>IHS_YND_311</t>
  </si>
  <si>
    <t>Nkolda</t>
  </si>
  <si>
    <t>OST_135</t>
  </si>
  <si>
    <t>IHS_BAF_101</t>
  </si>
  <si>
    <t>Bfsam-Bamendzi-II</t>
  </si>
  <si>
    <t>LIT_031</t>
  </si>
  <si>
    <t>IHS_MBG_004</t>
  </si>
  <si>
    <t>LIT_452</t>
  </si>
  <si>
    <t>IHS_DLA_453</t>
  </si>
  <si>
    <t xml:space="preserve">PK10 Bassang  </t>
  </si>
  <si>
    <t>OST_111</t>
  </si>
  <si>
    <t>IHS_BAF_007</t>
  </si>
  <si>
    <t>Bfsam-Q-Admin</t>
  </si>
  <si>
    <t>EXN_115</t>
  </si>
  <si>
    <t>IHS_MAR_202</t>
  </si>
  <si>
    <t>Maroua-Douggoy-Lopere-IHS</t>
  </si>
  <si>
    <t>CTR_322</t>
  </si>
  <si>
    <t>IHS_YND_029</t>
  </si>
  <si>
    <t>Sapeur</t>
  </si>
  <si>
    <t>T1718</t>
  </si>
  <si>
    <t>IHS_MBG_001</t>
  </si>
  <si>
    <t>Mbanga2</t>
  </si>
  <si>
    <t>T1462</t>
  </si>
  <si>
    <t>IHS_DCG_010</t>
  </si>
  <si>
    <t>Dschang Foto</t>
  </si>
  <si>
    <t>T0565</t>
  </si>
  <si>
    <t>IHS_EDA_048</t>
  </si>
  <si>
    <t>T1510</t>
  </si>
  <si>
    <t>IHS_BMD_138</t>
  </si>
  <si>
    <t>Bambili Round About</t>
  </si>
  <si>
    <t>T0608</t>
  </si>
  <si>
    <t>IHS_BUA_053</t>
  </si>
  <si>
    <t>Bombe Bakundu</t>
  </si>
  <si>
    <t>T0913</t>
  </si>
  <si>
    <t>IHS_EBO_010</t>
  </si>
  <si>
    <t>Ke'Eke</t>
  </si>
  <si>
    <t>T0561</t>
  </si>
  <si>
    <t>IHS_KMB_034</t>
  </si>
  <si>
    <t>Nyasoso</t>
  </si>
  <si>
    <t>T1077</t>
  </si>
  <si>
    <t>IHS_SGM_015</t>
  </si>
  <si>
    <t>Fibot</t>
  </si>
  <si>
    <t>T0529</t>
  </si>
  <si>
    <t>IHS_YND_006</t>
  </si>
  <si>
    <t>Pharmacie SION</t>
  </si>
  <si>
    <t>T0178</t>
  </si>
  <si>
    <t>IHS_DLA_067</t>
  </si>
  <si>
    <t>Old-Airport</t>
  </si>
  <si>
    <t>T0475</t>
  </si>
  <si>
    <t>IHS_BNB_003</t>
  </si>
  <si>
    <t>Nkomba</t>
  </si>
  <si>
    <t>T0422</t>
  </si>
  <si>
    <t>IHS_DLA_027</t>
  </si>
  <si>
    <t>New Bell</t>
  </si>
  <si>
    <t>T0470</t>
  </si>
  <si>
    <t>IHS_YND_022</t>
  </si>
  <si>
    <t>Mvog Ada</t>
  </si>
  <si>
    <t>T0196</t>
  </si>
  <si>
    <t>IHS_DLA_050</t>
  </si>
  <si>
    <t>Lycee Kumassi</t>
  </si>
  <si>
    <t>T0036</t>
  </si>
  <si>
    <t>IHS_YND_076</t>
  </si>
  <si>
    <t>Le Flamboyant</t>
  </si>
  <si>
    <t>T0123</t>
  </si>
  <si>
    <t>IHS_YND_013</t>
  </si>
  <si>
    <t>Laboratoire T.Bella</t>
  </si>
  <si>
    <t>OST_137</t>
  </si>
  <si>
    <t>IHS_FBN_100</t>
  </si>
  <si>
    <t>Foumban-Djisse-II (Foumban-Njiyouom)</t>
  </si>
  <si>
    <t>T0291</t>
  </si>
  <si>
    <t>IHS_YND_147</t>
  </si>
  <si>
    <t>Club France</t>
  </si>
  <si>
    <t>T0465</t>
  </si>
  <si>
    <t>IHS_YND_143</t>
  </si>
  <si>
    <t>Byemassi Carrefour</t>
  </si>
  <si>
    <t>T0081</t>
  </si>
  <si>
    <t>IHS_DLA_057</t>
  </si>
  <si>
    <t>German Club</t>
  </si>
  <si>
    <t>LIT_014</t>
  </si>
  <si>
    <t>IHS_DLA_006</t>
  </si>
  <si>
    <t>Stamatiades</t>
  </si>
  <si>
    <t>CTR_093</t>
  </si>
  <si>
    <t>IHS_YND_188</t>
  </si>
  <si>
    <t>H-Paradis</t>
  </si>
  <si>
    <t>LIT_033</t>
  </si>
  <si>
    <t>IHS_DLA_094</t>
  </si>
  <si>
    <t>Aeroport</t>
  </si>
  <si>
    <t>T0050</t>
  </si>
  <si>
    <t>IHS_YND_039</t>
  </si>
  <si>
    <t>Siantou Radio TV</t>
  </si>
  <si>
    <t>T0334</t>
  </si>
  <si>
    <t>IHS_BNB_001</t>
  </si>
  <si>
    <t>Royal Hotel Dla</t>
  </si>
  <si>
    <t>LIT_037</t>
  </si>
  <si>
    <t>IHS_DLA_477</t>
  </si>
  <si>
    <t>Makepe</t>
  </si>
  <si>
    <t>LIT_045</t>
  </si>
  <si>
    <t>IHS_DLA_073</t>
  </si>
  <si>
    <t>Centenaire</t>
  </si>
  <si>
    <t>LIT_047</t>
  </si>
  <si>
    <t>IHS_DLA_043</t>
  </si>
  <si>
    <t>Kayo-Elie</t>
  </si>
  <si>
    <t>T0426</t>
  </si>
  <si>
    <t>IHS_DLA_040</t>
  </si>
  <si>
    <t>Douala Bali</t>
  </si>
  <si>
    <t>T0449</t>
  </si>
  <si>
    <t>IHS_DLA_078</t>
  </si>
  <si>
    <t>Marche des Fleurs</t>
  </si>
  <si>
    <t>T0457</t>
  </si>
  <si>
    <t>IHS_YND_246</t>
  </si>
  <si>
    <t>Emana</t>
  </si>
  <si>
    <t>T0397</t>
  </si>
  <si>
    <t>IHS_DLA_045</t>
  </si>
  <si>
    <t>Bonejang</t>
  </si>
  <si>
    <t>LIT_126</t>
  </si>
  <si>
    <t>IHS_DLA_020</t>
  </si>
  <si>
    <t>Bonadibong</t>
  </si>
  <si>
    <t>LIT_091</t>
  </si>
  <si>
    <t>IHS_DLA_042</t>
  </si>
  <si>
    <t>Nkongmondo</t>
  </si>
  <si>
    <t>LIT_097</t>
  </si>
  <si>
    <t>IHS_DLA_152</t>
  </si>
  <si>
    <t>Bep-Axe-Lrd</t>
  </si>
  <si>
    <t>CTR_096</t>
  </si>
  <si>
    <t>IHS_YND_042</t>
  </si>
  <si>
    <t>Mvog-Ada-TKC</t>
  </si>
  <si>
    <t>CTR_075</t>
  </si>
  <si>
    <t>IHS_YND_133</t>
  </si>
  <si>
    <t>Elig-Edzoa</t>
  </si>
  <si>
    <t>LIT_325</t>
  </si>
  <si>
    <t>IHS_DLA_044</t>
  </si>
  <si>
    <t>Hogmeni</t>
  </si>
  <si>
    <t>CTR_374</t>
  </si>
  <si>
    <t>IHS_YND_173</t>
  </si>
  <si>
    <t>Awae-Nkomo</t>
  </si>
  <si>
    <t>OST_109</t>
  </si>
  <si>
    <t>IHS_BMD_093</t>
  </si>
  <si>
    <t>Bfsam-Akwa</t>
  </si>
  <si>
    <t>NRD_053</t>
  </si>
  <si>
    <t>IHS_GAR_004</t>
  </si>
  <si>
    <t>Garoua-Plage</t>
  </si>
  <si>
    <t>COMMUNE Garoua 1</t>
  </si>
  <si>
    <t>EXN_082</t>
  </si>
  <si>
    <t>IHS_MAR_015</t>
  </si>
  <si>
    <t>Maroua-Loperey</t>
  </si>
  <si>
    <t>OST_110</t>
  </si>
  <si>
    <t>IHS_BAF_008</t>
  </si>
  <si>
    <t>Bfsam-Stade</t>
  </si>
  <si>
    <t>LIT_090</t>
  </si>
  <si>
    <t>IHS_DLA_024</t>
  </si>
  <si>
    <t>Newb-Mairie</t>
  </si>
  <si>
    <t>CTR_285</t>
  </si>
  <si>
    <t>IHS_YND_099</t>
  </si>
  <si>
    <t>Ekie-Elegance</t>
  </si>
  <si>
    <t>T1191</t>
  </si>
  <si>
    <t>IHS_KMB_107</t>
  </si>
  <si>
    <t>Denver 2</t>
  </si>
  <si>
    <t>LIT_373</t>
  </si>
  <si>
    <t>IHS_DLA_190</t>
  </si>
  <si>
    <t>Missoke-Universite</t>
  </si>
  <si>
    <t>T0862</t>
  </si>
  <si>
    <t>IHS_DLA_062</t>
  </si>
  <si>
    <t>Bell Bonapriso</t>
  </si>
  <si>
    <t>CTR_427</t>
  </si>
  <si>
    <t>IHS_YND_200</t>
  </si>
  <si>
    <t>Messa-Carriere</t>
  </si>
  <si>
    <t>OST_170</t>
  </si>
  <si>
    <t>IHS_BAF_310</t>
  </si>
  <si>
    <t>Bfsam Centre II</t>
  </si>
  <si>
    <t>CTR_390</t>
  </si>
  <si>
    <t>IHS_YND_203</t>
  </si>
  <si>
    <t>Tongolo</t>
  </si>
  <si>
    <t>OST_120</t>
  </si>
  <si>
    <t>IHS_BAF_024</t>
  </si>
  <si>
    <t>Bfsam-Dienso</t>
  </si>
  <si>
    <t>LIT_183</t>
  </si>
  <si>
    <t>IHS_DLA_031</t>
  </si>
  <si>
    <t>Nkololoun</t>
  </si>
  <si>
    <t>OST_122</t>
  </si>
  <si>
    <t>IHS_DCG_013</t>
  </si>
  <si>
    <t>Dschang-Foreke</t>
  </si>
  <si>
    <t>NRD_045</t>
  </si>
  <si>
    <t>IHS_GAR_002</t>
  </si>
  <si>
    <t>Garoua-Foulbere</t>
  </si>
  <si>
    <t>LIT_344</t>
  </si>
  <si>
    <t>IHS_DLA_193</t>
  </si>
  <si>
    <t>Ndogbong-Citadelle</t>
  </si>
  <si>
    <t>T3123</t>
  </si>
  <si>
    <t>IHS_DLA_012</t>
  </si>
  <si>
    <t>Camp Bertaud OCM</t>
  </si>
  <si>
    <t>EXN_067</t>
  </si>
  <si>
    <t>IHS_MAR_018</t>
  </si>
  <si>
    <t>Maroua-Doursogo</t>
  </si>
  <si>
    <t>LIT_089</t>
  </si>
  <si>
    <t>IHS_DLA_069</t>
  </si>
  <si>
    <t>Brazz-St-Bruno</t>
  </si>
  <si>
    <t>T0287</t>
  </si>
  <si>
    <t>IHS_YND_038</t>
  </si>
  <si>
    <t>Siantou Inferieur</t>
  </si>
  <si>
    <t>LIT_057</t>
  </si>
  <si>
    <t>IHS_DLA_254</t>
  </si>
  <si>
    <t>Bsadi-Terminus</t>
  </si>
  <si>
    <t>OST_018</t>
  </si>
  <si>
    <t>IHS_BAF_055</t>
  </si>
  <si>
    <t>Bangangte-Ville</t>
  </si>
  <si>
    <t>T0286</t>
  </si>
  <si>
    <t>IHS_YND_060</t>
  </si>
  <si>
    <t>Ngoa Ekelle</t>
  </si>
  <si>
    <t>LIT_102</t>
  </si>
  <si>
    <t>IHS_DLA_104</t>
  </si>
  <si>
    <t>Omnisport</t>
  </si>
  <si>
    <t>LIT_098</t>
  </si>
  <si>
    <t>IHS_DLA_138</t>
  </si>
  <si>
    <t>Cite-Sic</t>
  </si>
  <si>
    <t>ADM_069</t>
  </si>
  <si>
    <t>IHS_NGD_026</t>
  </si>
  <si>
    <t>Ngd-Bini</t>
  </si>
  <si>
    <t>NRD_065</t>
  </si>
  <si>
    <t>IHS_GAR_012</t>
  </si>
  <si>
    <t>Garoua-Roumde-Adja</t>
  </si>
  <si>
    <t>EXN_084</t>
  </si>
  <si>
    <t>IHS_MAR_001</t>
  </si>
  <si>
    <t>Maroua-Lougol</t>
  </si>
  <si>
    <t>EXN_085</t>
  </si>
  <si>
    <t>IHS_MAR_006</t>
  </si>
  <si>
    <t>Maroua-Marche-Abattoir</t>
  </si>
  <si>
    <t>LIT_357</t>
  </si>
  <si>
    <t>IHS_DLA_228</t>
  </si>
  <si>
    <t>Makepe-AES</t>
  </si>
  <si>
    <t>NRD_049</t>
  </si>
  <si>
    <t>IHS_GAR_009</t>
  </si>
  <si>
    <t>Garoua-Kolbives</t>
  </si>
  <si>
    <t>LIT_395</t>
  </si>
  <si>
    <t>IHS_DLA_028</t>
  </si>
  <si>
    <t>Newb-Q-Haoussa</t>
  </si>
  <si>
    <t>EXN_088</t>
  </si>
  <si>
    <t>IHS_MAR_012</t>
  </si>
  <si>
    <t>Maroua-Diarenga</t>
  </si>
  <si>
    <t>NRD_040</t>
  </si>
  <si>
    <t>IHS_GAR_024</t>
  </si>
  <si>
    <t>Ouro-Kessoun</t>
  </si>
  <si>
    <t>NRD_038</t>
  </si>
  <si>
    <t>IHS_GAR_018</t>
  </si>
  <si>
    <t>Poumpoumrey</t>
  </si>
  <si>
    <t>poumpoumrey</t>
  </si>
  <si>
    <t>CTR_409</t>
  </si>
  <si>
    <t>IHS_YND_090</t>
  </si>
  <si>
    <t>BATA-Mokolo</t>
  </si>
  <si>
    <t>LIT_366</t>
  </si>
  <si>
    <t>IHS_DLA_154</t>
  </si>
  <si>
    <t>Bepanda-TSF</t>
  </si>
  <si>
    <t>LIT_419</t>
  </si>
  <si>
    <t>IHS_DLA_172</t>
  </si>
  <si>
    <t>Makombe</t>
  </si>
  <si>
    <t>CTR_123</t>
  </si>
  <si>
    <t>IHS_YND_513</t>
  </si>
  <si>
    <t>Maison-Blanche-IHS</t>
  </si>
  <si>
    <t>CTR_149</t>
  </si>
  <si>
    <t>IHS_YND_517</t>
  </si>
  <si>
    <t>Montee-Des-Soeurs</t>
  </si>
  <si>
    <t>T1669</t>
  </si>
  <si>
    <t>IHS_YND_195</t>
  </si>
  <si>
    <t>china embassy yde</t>
  </si>
  <si>
    <t>LIT_460</t>
  </si>
  <si>
    <t>IHS_DLA_447</t>
  </si>
  <si>
    <t xml:space="preserve">Ngodi Akwa </t>
  </si>
  <si>
    <t>LIT_050</t>
  </si>
  <si>
    <t>IHS_DLA_178</t>
  </si>
  <si>
    <t>Bepanda</t>
  </si>
  <si>
    <t>CTR_008</t>
  </si>
  <si>
    <t>IHS_YND_068</t>
  </si>
  <si>
    <t>Ndisamba</t>
  </si>
  <si>
    <t>T1688</t>
  </si>
  <si>
    <t>IHS_YND_025</t>
  </si>
  <si>
    <t>CORNIERS</t>
  </si>
  <si>
    <t>LIT_414</t>
  </si>
  <si>
    <t>IHS_DLA_131</t>
  </si>
  <si>
    <t>Deido-Bonateki</t>
  </si>
  <si>
    <t>T0468</t>
  </si>
  <si>
    <t>IHS_YND_120</t>
  </si>
  <si>
    <t>Sapeur Mimboman</t>
  </si>
  <si>
    <t>CTR_212</t>
  </si>
  <si>
    <t>IHS_YND_178</t>
  </si>
  <si>
    <t>LIT_162</t>
  </si>
  <si>
    <t>IHS_DLA_401</t>
  </si>
  <si>
    <t>Camp-Yabassi-T0</t>
  </si>
  <si>
    <t>T1427</t>
  </si>
  <si>
    <t>IHS_NGD_200</t>
  </si>
  <si>
    <t>NGAOUNDERE TONGO</t>
  </si>
  <si>
    <t>CTR_130</t>
  </si>
  <si>
    <t>IHS_YND_539</t>
  </si>
  <si>
    <t>Ngousso</t>
  </si>
  <si>
    <t>LIT_120</t>
  </si>
  <si>
    <t>IHS_DLA_055</t>
  </si>
  <si>
    <t>LIT_381</t>
  </si>
  <si>
    <t>IHS_DLA_003</t>
  </si>
  <si>
    <t>Pain-Magique</t>
  </si>
  <si>
    <t>T1520</t>
  </si>
  <si>
    <t>IHS_DLA_429</t>
  </si>
  <si>
    <t>Makepe Container</t>
  </si>
  <si>
    <t>LIT_404</t>
  </si>
  <si>
    <t>IHS_DLA_140</t>
  </si>
  <si>
    <t>NR-Cite</t>
  </si>
  <si>
    <t>OST_002</t>
  </si>
  <si>
    <t>IHS_BAF_020</t>
  </si>
  <si>
    <t>bfsam-Kamkouop</t>
  </si>
  <si>
    <t>T0019</t>
  </si>
  <si>
    <t>IHS_DLA_059</t>
  </si>
  <si>
    <t>Tropicana Hotel Arcade</t>
  </si>
  <si>
    <t>T1738</t>
  </si>
  <si>
    <t>IHS_YND_560</t>
  </si>
  <si>
    <t>Cite des nations</t>
  </si>
  <si>
    <t>LIT_435</t>
  </si>
  <si>
    <t>IHS_DLA_443</t>
  </si>
  <si>
    <t>Bonassama IHS</t>
  </si>
  <si>
    <t>CTR_159</t>
  </si>
  <si>
    <t>IHS_YND_508</t>
  </si>
  <si>
    <t>Crf-Nsam</t>
  </si>
  <si>
    <t>NRD_060</t>
  </si>
  <si>
    <t>IHS_GAR_027</t>
  </si>
  <si>
    <t>Garoua-Djamboutou-Village</t>
  </si>
  <si>
    <t>T0454</t>
  </si>
  <si>
    <t>IHS_DLA_153</t>
  </si>
  <si>
    <t>Bepanda Mala</t>
  </si>
  <si>
    <t>LIT_442</t>
  </si>
  <si>
    <t>IHS_DLA_433</t>
  </si>
  <si>
    <t>Cite de Paix</t>
  </si>
  <si>
    <t>T0461</t>
  </si>
  <si>
    <t>IHS_YND_054</t>
  </si>
  <si>
    <t>Olezoa</t>
  </si>
  <si>
    <t>LIT_161</t>
  </si>
  <si>
    <t>IHS_DLA_405</t>
  </si>
  <si>
    <t>Cite-Sic_II-T0</t>
  </si>
  <si>
    <t>LIT_372</t>
  </si>
  <si>
    <t>IHS_DLA_105</t>
  </si>
  <si>
    <t>Ndogbat</t>
  </si>
  <si>
    <t>BP-Cite</t>
  </si>
  <si>
    <t>CTR_155</t>
  </si>
  <si>
    <t>IHS_YND_505</t>
  </si>
  <si>
    <t>Scalom-IHS</t>
  </si>
  <si>
    <t>CTR_104</t>
  </si>
  <si>
    <t>IHS_YND_244</t>
  </si>
  <si>
    <t>Abattoir</t>
  </si>
  <si>
    <t>CTR_486</t>
  </si>
  <si>
    <t>IHS_YND_569</t>
  </si>
  <si>
    <t>Mendong Maeture</t>
  </si>
  <si>
    <t>T0542</t>
  </si>
  <si>
    <t>IHS_YND_185</t>
  </si>
  <si>
    <t>LIT_087</t>
  </si>
  <si>
    <t>IHS_DLA_048</t>
  </si>
  <si>
    <t>Wouri</t>
  </si>
  <si>
    <t>T1748</t>
  </si>
  <si>
    <t>IHS_YND_559</t>
  </si>
  <si>
    <t>BATA Mokolo OCM</t>
  </si>
  <si>
    <t>CTR_483</t>
  </si>
  <si>
    <t>IHS_YND_564</t>
  </si>
  <si>
    <t xml:space="preserve">Mvog Mbi New </t>
  </si>
  <si>
    <t>LIT_246</t>
  </si>
  <si>
    <t>IHS_DLA_272</t>
  </si>
  <si>
    <t>Kotto-Bloc</t>
  </si>
  <si>
    <t>CTR_154</t>
  </si>
  <si>
    <t>IHS_YND_518</t>
  </si>
  <si>
    <t>Montee-Jouvence-II</t>
  </si>
  <si>
    <t>CTR_070</t>
  </si>
  <si>
    <t>IHS_YND_104</t>
  </si>
  <si>
    <t>Carington</t>
  </si>
  <si>
    <t>LIT_446</t>
  </si>
  <si>
    <t>IHS_DLA_432</t>
  </si>
  <si>
    <t>Bonamoussadi Hôpital</t>
  </si>
  <si>
    <t>LIT_160</t>
  </si>
  <si>
    <t>IHS_DLA_407</t>
  </si>
  <si>
    <t>Fin-Goudron-Mt-ESSEC</t>
  </si>
  <si>
    <t>ADM_057</t>
  </si>
  <si>
    <t>IHS_NGD_035</t>
  </si>
  <si>
    <t>Ngd-Stade</t>
  </si>
  <si>
    <t>OST_126</t>
  </si>
  <si>
    <t>IHS_BFG_001</t>
  </si>
  <si>
    <t>Bafang-Centre</t>
  </si>
  <si>
    <t>T1744</t>
  </si>
  <si>
    <t>IHS_YND_556</t>
  </si>
  <si>
    <t>NKOMKANA ELIZA HOTEL</t>
  </si>
  <si>
    <t>CTR_090</t>
  </si>
  <si>
    <t>IHS_YND_063</t>
  </si>
  <si>
    <t>Av-Germaine</t>
  </si>
  <si>
    <t>T1330</t>
  </si>
  <si>
    <t>IHS_YND_035</t>
  </si>
  <si>
    <t>Bastos Amb Coree</t>
  </si>
  <si>
    <t>LIT_277</t>
  </si>
  <si>
    <t>IHS_DLA_226</t>
  </si>
  <si>
    <t>Bsadi-ZoneA-New</t>
  </si>
  <si>
    <t>LIT_061</t>
  </si>
  <si>
    <t>IHS_DLA_019</t>
  </si>
  <si>
    <t>Cinema-ABC</t>
  </si>
  <si>
    <t>CTR_128</t>
  </si>
  <si>
    <t>IHS_YND_044</t>
  </si>
  <si>
    <t>Polytechnique</t>
  </si>
  <si>
    <t>OST_107</t>
  </si>
  <si>
    <t>IHS_BAF_005</t>
  </si>
  <si>
    <t>Bfsam-Nylon</t>
  </si>
  <si>
    <t>OST_134</t>
  </si>
  <si>
    <t>IHS_BAF_100</t>
  </si>
  <si>
    <t>Bfsam-Gabon-Bar (Bfsam-Brasserie)</t>
  </si>
  <si>
    <t>LIT_024</t>
  </si>
  <si>
    <t>IHS_DLA_163</t>
  </si>
  <si>
    <t>Socaver</t>
  </si>
  <si>
    <t>LIT_056</t>
  </si>
  <si>
    <t>IHS_DLA_143</t>
  </si>
  <si>
    <t>Ange-Raphael</t>
  </si>
  <si>
    <t>CTR_038</t>
  </si>
  <si>
    <t>IHS_YND_052</t>
  </si>
  <si>
    <t>NR-Bastos</t>
  </si>
  <si>
    <t>T1096</t>
  </si>
  <si>
    <t>IHS_DLA_406</t>
  </si>
  <si>
    <t>Bonadiwoto 2</t>
  </si>
  <si>
    <t>T0420</t>
  </si>
  <si>
    <t>IHS_YND_082</t>
  </si>
  <si>
    <t>Mokolo Yaounde</t>
  </si>
  <si>
    <t>LIT_396</t>
  </si>
  <si>
    <t>IHS_DLA_148</t>
  </si>
  <si>
    <t>Bonateki-MRS</t>
  </si>
  <si>
    <t>LIT_453</t>
  </si>
  <si>
    <t>IHS_DLA_454</t>
  </si>
  <si>
    <t>Avenue de Gaulle</t>
  </si>
  <si>
    <t>T1263</t>
  </si>
  <si>
    <t>IHS_DLA_422</t>
  </si>
  <si>
    <t>Camp Yabassi 2</t>
  </si>
  <si>
    <t>T1319</t>
  </si>
  <si>
    <t>IHS_DLA_474</t>
  </si>
  <si>
    <t>New Bell 2</t>
  </si>
  <si>
    <t>T1942</t>
  </si>
  <si>
    <t>IHS_KMB_101</t>
  </si>
  <si>
    <t>Terminus St Michel</t>
  </si>
  <si>
    <t>T0401</t>
  </si>
  <si>
    <t>IHS_YND_205</t>
  </si>
  <si>
    <t>CTR_125</t>
  </si>
  <si>
    <t>IHS_YND_096</t>
  </si>
  <si>
    <t>Mobil-Kondengui</t>
  </si>
  <si>
    <t>CTR_266</t>
  </si>
  <si>
    <t>IHS_YND_179</t>
  </si>
  <si>
    <t>Essomba</t>
  </si>
  <si>
    <t>T1432</t>
  </si>
  <si>
    <t>IHS_YND_544</t>
  </si>
  <si>
    <t>Jean Vespa 2</t>
  </si>
  <si>
    <t>CTR_217</t>
  </si>
  <si>
    <t>IHS_YND_139</t>
  </si>
  <si>
    <t>Madagascar-Yde-New</t>
  </si>
  <si>
    <t>CTR_132</t>
  </si>
  <si>
    <t>IHS_YND_107</t>
  </si>
  <si>
    <t>NR-Omnisport</t>
  </si>
  <si>
    <t>CTR_044</t>
  </si>
  <si>
    <t>IHS_YND_089</t>
  </si>
  <si>
    <t>H-Princes</t>
  </si>
  <si>
    <t>LIT_378</t>
  </si>
  <si>
    <t>IHS_DLA_176</t>
  </si>
  <si>
    <t>Bonewonda-II</t>
  </si>
  <si>
    <t>LIT_444</t>
  </si>
  <si>
    <t>IHS_DLA_448</t>
  </si>
  <si>
    <t>Bonaberi Q des Prince</t>
  </si>
  <si>
    <t>T1358</t>
  </si>
  <si>
    <t>IHS_DLA_475</t>
  </si>
  <si>
    <t xml:space="preserve">Douala Bali 2 </t>
  </si>
  <si>
    <t>T0455</t>
  </si>
  <si>
    <t>IHS_YND_134</t>
  </si>
  <si>
    <t>Vallee Bastos</t>
  </si>
  <si>
    <t>CTR_389</t>
  </si>
  <si>
    <t>IHS_YND_066</t>
  </si>
  <si>
    <t>GSO</t>
  </si>
  <si>
    <t>LIT_092</t>
  </si>
  <si>
    <t>IHS_DLA_158</t>
  </si>
  <si>
    <t>Bep-Yonyong</t>
  </si>
  <si>
    <t>LIT_095</t>
  </si>
  <si>
    <t>IHS_DLA_053</t>
  </si>
  <si>
    <t>Newb-Srce-Quartier</t>
  </si>
  <si>
    <t>LIT_044</t>
  </si>
  <si>
    <t>IHS_DLA_183</t>
  </si>
  <si>
    <t>Bmouang-Terminus</t>
  </si>
  <si>
    <t>LIT_046</t>
  </si>
  <si>
    <t>IHS_BNB_016</t>
  </si>
  <si>
    <t>Du-Levant</t>
  </si>
  <si>
    <t>LIT_236</t>
  </si>
  <si>
    <t>IHS_DLA_428</t>
  </si>
  <si>
    <t>Mboppi Marché</t>
  </si>
  <si>
    <t>LIT_412</t>
  </si>
  <si>
    <t>IHS_DLA_039</t>
  </si>
  <si>
    <t>Bonadibong-Crf-Tif</t>
  </si>
  <si>
    <t>T0118</t>
  </si>
  <si>
    <t>IHS_DLA_077</t>
  </si>
  <si>
    <t>Lycee Joss</t>
  </si>
  <si>
    <t>T0444</t>
  </si>
  <si>
    <t>IHS_DLA_051</t>
  </si>
  <si>
    <t>Shell New Bell</t>
  </si>
  <si>
    <t>LIT_382</t>
  </si>
  <si>
    <t>IHS_DLA_022</t>
  </si>
  <si>
    <t>Banyangui</t>
  </si>
  <si>
    <t>ADM_071</t>
  </si>
  <si>
    <t>IHS_NGD_001</t>
  </si>
  <si>
    <t>Ngd-Crf-Texaco</t>
  </si>
  <si>
    <t>CTR_422</t>
  </si>
  <si>
    <t>IHS_YND_512</t>
  </si>
  <si>
    <t>Mimboman-Ecole</t>
  </si>
  <si>
    <t>LIT_407</t>
  </si>
  <si>
    <t>IHS_DLA_052</t>
  </si>
  <si>
    <t>Shell-NewBell-Carrefour</t>
  </si>
  <si>
    <t>T0773</t>
  </si>
  <si>
    <t>IHS_YND_262</t>
  </si>
  <si>
    <t>Mendong3</t>
  </si>
  <si>
    <t>T0514</t>
  </si>
  <si>
    <t>IHS_DLA_089</t>
  </si>
  <si>
    <t>Spectrum Bonanjo</t>
  </si>
  <si>
    <t>LIT_084</t>
  </si>
  <si>
    <t>IHS_DLA_209</t>
  </si>
  <si>
    <t>C-D-Billes</t>
  </si>
  <si>
    <t>T0539</t>
  </si>
  <si>
    <t>IHS_YND_034</t>
  </si>
  <si>
    <t>EMIA</t>
  </si>
  <si>
    <t>T0664</t>
  </si>
  <si>
    <t>IHS_BUA_035</t>
  </si>
  <si>
    <t>Likomba</t>
  </si>
  <si>
    <t>T0505</t>
  </si>
  <si>
    <t>IHS_DLA_080</t>
  </si>
  <si>
    <t>Bonanjo Sitabac</t>
  </si>
  <si>
    <t>T1938</t>
  </si>
  <si>
    <t>IHS_DLA_424</t>
  </si>
  <si>
    <t>RUE KOTTO</t>
  </si>
  <si>
    <t>T0652</t>
  </si>
  <si>
    <t>IHS_YND_222</t>
  </si>
  <si>
    <t>Jean Vespa</t>
  </si>
  <si>
    <t>LIT_168</t>
  </si>
  <si>
    <t>IHS_DLA_413</t>
  </si>
  <si>
    <t>C-D-Palmiers-III-T0</t>
  </si>
  <si>
    <t>OST_078</t>
  </si>
  <si>
    <t>IHS_BAF_002</t>
  </si>
  <si>
    <t>Bfsam-Centre</t>
  </si>
  <si>
    <t>LIT_247</t>
  </si>
  <si>
    <t>IHS_DLA_255</t>
  </si>
  <si>
    <t>Bsadi-BlocJ</t>
  </si>
  <si>
    <t>LIT_278</t>
  </si>
  <si>
    <t>IHS_DLA_235</t>
  </si>
  <si>
    <t>PK10-Marche</t>
  </si>
  <si>
    <t>LIT_245</t>
  </si>
  <si>
    <t>IHS_DLA_056</t>
  </si>
  <si>
    <t>De-La-Salle</t>
  </si>
  <si>
    <t>CTR_238</t>
  </si>
  <si>
    <t>IHS_YND_148</t>
  </si>
  <si>
    <t>Chapelle-Nsimeyong</t>
  </si>
  <si>
    <t>CTR_242</t>
  </si>
  <si>
    <t>IHS_YND_059</t>
  </si>
  <si>
    <t>E-Poste</t>
  </si>
  <si>
    <t>T0636</t>
  </si>
  <si>
    <t>IHS_YND_299</t>
  </si>
  <si>
    <t>LIT_244</t>
  </si>
  <si>
    <t>IHS_DLA_002</t>
  </si>
  <si>
    <t>H-Astoria</t>
  </si>
  <si>
    <t>LIT_369</t>
  </si>
  <si>
    <t>IHS_DLA_202</t>
  </si>
  <si>
    <t>St-Thomas</t>
  </si>
  <si>
    <t>T0510</t>
  </si>
  <si>
    <t>IHS_MBG_022</t>
  </si>
  <si>
    <t>Bonanjo SNH</t>
  </si>
  <si>
    <t>CTR_261</t>
  </si>
  <si>
    <t>IHS_YND_161</t>
  </si>
  <si>
    <t>Sofavinc</t>
  </si>
  <si>
    <t>LIT_034</t>
  </si>
  <si>
    <t>IHS_DLA_123</t>
  </si>
  <si>
    <t>CTR_310</t>
  </si>
  <si>
    <t>IHS_YND_057</t>
  </si>
  <si>
    <t>Mvolye-New</t>
  </si>
  <si>
    <t>LIT_053</t>
  </si>
  <si>
    <t>IHS_DLA_065</t>
  </si>
  <si>
    <t>Shell-NewBell</t>
  </si>
  <si>
    <t>LIT_267</t>
  </si>
  <si>
    <t>IHS_DLA_187</t>
  </si>
  <si>
    <t>Sable</t>
  </si>
  <si>
    <t>SUO_050</t>
  </si>
  <si>
    <t>IHS_LMB_005</t>
  </si>
  <si>
    <t>Limbe-Down-Beach-II</t>
  </si>
  <si>
    <t>CTR_321</t>
  </si>
  <si>
    <t>IHS_YND_085</t>
  </si>
  <si>
    <t>Briqueterie</t>
  </si>
  <si>
    <t>LIT_082</t>
  </si>
  <si>
    <t>IHS_DLA_005</t>
  </si>
  <si>
    <t>Laquintinie</t>
  </si>
  <si>
    <t>CTR_323</t>
  </si>
  <si>
    <t>IHS_YND_043</t>
  </si>
  <si>
    <t>CTR_020</t>
  </si>
  <si>
    <t>IHS_YND_137</t>
  </si>
  <si>
    <t>Masque</t>
  </si>
  <si>
    <t>CTR_076</t>
  </si>
  <si>
    <t>IHS_YND_030</t>
  </si>
  <si>
    <t>E-Police</t>
  </si>
  <si>
    <t>T0459</t>
  </si>
  <si>
    <t>IHS_YND_240</t>
  </si>
  <si>
    <t>Montee Jouvence</t>
  </si>
  <si>
    <t>LIT_417</t>
  </si>
  <si>
    <t>IHS_DLA_102</t>
  </si>
  <si>
    <t>Feu-Rouge-Bessengue</t>
  </si>
  <si>
    <t>T0335</t>
  </si>
  <si>
    <t>IHS_DLA_091</t>
  </si>
  <si>
    <t>Sky Way Hotel</t>
  </si>
  <si>
    <t>T0515</t>
  </si>
  <si>
    <t>IHS_DLA_137</t>
  </si>
  <si>
    <t>Deido Grand Moulin</t>
  </si>
  <si>
    <t>LIT_049</t>
  </si>
  <si>
    <t>IHS_DLA_170</t>
  </si>
  <si>
    <t>Madagascar</t>
  </si>
  <si>
    <t>T0466</t>
  </si>
  <si>
    <t>IHS_YND_151</t>
  </si>
  <si>
    <t>Tamtam Weekend</t>
  </si>
  <si>
    <t>T0506</t>
  </si>
  <si>
    <t>IHS_DLA_021</t>
  </si>
  <si>
    <t>T0600</t>
  </si>
  <si>
    <t>IHS_DLA_113</t>
  </si>
  <si>
    <t>T0509</t>
  </si>
  <si>
    <t>IHS_DLA_101</t>
  </si>
  <si>
    <t>Rond Point Deido</t>
  </si>
  <si>
    <t>T0425</t>
  </si>
  <si>
    <t>IHS_DLA_072</t>
  </si>
  <si>
    <t>Hotel Beau Sejour</t>
  </si>
  <si>
    <t>CTR_482</t>
  </si>
  <si>
    <t>IHS_YND_562</t>
  </si>
  <si>
    <t>Accacia New</t>
  </si>
  <si>
    <t>CTR_047</t>
  </si>
  <si>
    <t>IHS_YND_012</t>
  </si>
  <si>
    <t>Elig-Essono</t>
  </si>
  <si>
    <t>T0122</t>
  </si>
  <si>
    <t>IHS_YND_131</t>
  </si>
  <si>
    <t>Laboratoire  Meka</t>
  </si>
  <si>
    <t>T1415</t>
  </si>
  <si>
    <t>IHS_YND_680</t>
  </si>
  <si>
    <t>MIMBOMAN LIBERTE</t>
  </si>
  <si>
    <t>T0540</t>
  </si>
  <si>
    <t>IHS_YND_026</t>
  </si>
  <si>
    <t>ENAM</t>
  </si>
  <si>
    <t>T0649</t>
  </si>
  <si>
    <t>IHS_YND_279</t>
  </si>
  <si>
    <t>Messassi okolo</t>
  </si>
  <si>
    <t>LIT_242</t>
  </si>
  <si>
    <t>IHS_DLA_049</t>
  </si>
  <si>
    <t>SABC-Bali</t>
  </si>
  <si>
    <t>T0524</t>
  </si>
  <si>
    <t>IHS_YND_004</t>
  </si>
  <si>
    <t>Av Kennedy</t>
  </si>
  <si>
    <t>CTR_244</t>
  </si>
  <si>
    <t>IHS_YND_002</t>
  </si>
  <si>
    <t>Yde-M-Central</t>
  </si>
  <si>
    <t>CTR_240</t>
  </si>
  <si>
    <t>IHS_YND_021</t>
  </si>
  <si>
    <t>C-Supreme</t>
  </si>
  <si>
    <t>CTR_326</t>
  </si>
  <si>
    <t>IHS_YND_236</t>
  </si>
  <si>
    <t>Montee-Jouvence</t>
  </si>
  <si>
    <t>LIT_202</t>
  </si>
  <si>
    <t>IHS_DLA_414</t>
  </si>
  <si>
    <t>Kotto-Mbangue-T0</t>
  </si>
  <si>
    <t>T0330</t>
  </si>
  <si>
    <t>IHS_DLA_023</t>
  </si>
  <si>
    <t xml:space="preserve">March Central </t>
  </si>
  <si>
    <t>CTR_012</t>
  </si>
  <si>
    <t>IHS_YND_152</t>
  </si>
  <si>
    <t>Rd-Pt-Express</t>
  </si>
  <si>
    <t>CTR_200</t>
  </si>
  <si>
    <t>IHS_YND_129</t>
  </si>
  <si>
    <t>Bastos-BAT</t>
  </si>
  <si>
    <t>LIT_041</t>
  </si>
  <si>
    <t>IHS_DLA_081</t>
  </si>
  <si>
    <t>La-Falaise</t>
  </si>
  <si>
    <t>CTR_417</t>
  </si>
  <si>
    <t>IHS_YND_121</t>
  </si>
  <si>
    <t>Emombo-Tchad</t>
  </si>
  <si>
    <t>T1685</t>
  </si>
  <si>
    <t>IHS_YND_507</t>
  </si>
  <si>
    <t>BIYEM ASSI LYCEE</t>
  </si>
  <si>
    <t>CTR_414</t>
  </si>
  <si>
    <t>IHS_YND_202</t>
  </si>
  <si>
    <t>Cite-Verte</t>
  </si>
  <si>
    <t>ADM_058</t>
  </si>
  <si>
    <t>IHS_NGD_015</t>
  </si>
  <si>
    <t>Ngd-Trouamala</t>
  </si>
  <si>
    <t>CTR_068</t>
  </si>
  <si>
    <t>IHS_YND_109</t>
  </si>
  <si>
    <t>Mobil-Essos</t>
  </si>
  <si>
    <t>OST_180</t>
  </si>
  <si>
    <t>IHS_BFG_018</t>
  </si>
  <si>
    <t>Bagangte Center</t>
  </si>
  <si>
    <t>T1504</t>
  </si>
  <si>
    <t>IHS_YND_546</t>
  </si>
  <si>
    <t>Biyemassi LAC</t>
  </si>
  <si>
    <t>LIT_413</t>
  </si>
  <si>
    <t>IHS_DLA_001</t>
  </si>
  <si>
    <t>Bali-Koumassi</t>
  </si>
  <si>
    <t>T1579</t>
  </si>
  <si>
    <t>IHS_YND_480</t>
  </si>
  <si>
    <t>Sic Cite Verte Matgenie</t>
  </si>
  <si>
    <t>T0109</t>
  </si>
  <si>
    <t>IHS_DLA_133</t>
  </si>
  <si>
    <t>Akwa Nord</t>
  </si>
  <si>
    <t>LIT_081</t>
  </si>
  <si>
    <t>IHS_DLA_111</t>
  </si>
  <si>
    <t>LIT_099</t>
  </si>
  <si>
    <t>IHS_DLA_087</t>
  </si>
  <si>
    <t>H-Sawa</t>
  </si>
  <si>
    <t>LIT_043</t>
  </si>
  <si>
    <t>IHS_DLA_060</t>
  </si>
  <si>
    <t>SNAC</t>
  </si>
  <si>
    <t>CTR_344</t>
  </si>
  <si>
    <t>IHS_YND_192</t>
  </si>
  <si>
    <t>Dragage</t>
  </si>
  <si>
    <t>CTR_065</t>
  </si>
  <si>
    <t>IHS_YND_285</t>
  </si>
  <si>
    <t>Nkolbisson</t>
  </si>
  <si>
    <t>CTR_035</t>
  </si>
  <si>
    <t>IHS_YND_055</t>
  </si>
  <si>
    <t>LIT_073</t>
  </si>
  <si>
    <t>IHS_DLA_032</t>
  </si>
  <si>
    <t>PK-5</t>
  </si>
  <si>
    <t>CTR_375</t>
  </si>
  <si>
    <t>IHS_YND_087</t>
  </si>
  <si>
    <t>Camp-Sic-Tsinga</t>
  </si>
  <si>
    <t>CTR_377</t>
  </si>
  <si>
    <t>IHS_YND_005</t>
  </si>
  <si>
    <t>Imm-Olympique</t>
  </si>
  <si>
    <t>CTR_372</t>
  </si>
  <si>
    <t>IHS_YND_078</t>
  </si>
  <si>
    <t>An-Marche-Melen</t>
  </si>
  <si>
    <t>CTR_382</t>
  </si>
  <si>
    <t>IHS_YND_265</t>
  </si>
  <si>
    <t>CTR_373</t>
  </si>
  <si>
    <t>IHS_YND_007</t>
  </si>
  <si>
    <t>Montee-Anne-Rouge</t>
  </si>
  <si>
    <t>LIT_342</t>
  </si>
  <si>
    <t>IHS_DLA_199</t>
  </si>
  <si>
    <t>Logbaba-SONEL</t>
  </si>
  <si>
    <t>CTR_011</t>
  </si>
  <si>
    <t>IHS_YND_196</t>
  </si>
  <si>
    <t>PDC</t>
  </si>
  <si>
    <t>T0399</t>
  </si>
  <si>
    <t>IHS_DLA_262</t>
  </si>
  <si>
    <t>T0528</t>
  </si>
  <si>
    <t>IHS_YND_027</t>
  </si>
  <si>
    <t>Hopital Central</t>
  </si>
  <si>
    <t>T0536</t>
  </si>
  <si>
    <t>IHS_YND_210</t>
  </si>
  <si>
    <t>Pharmacie Bleue</t>
  </si>
  <si>
    <t>T0460</t>
  </si>
  <si>
    <t>IHS_YND_201</t>
  </si>
  <si>
    <t>Cite Verte</t>
  </si>
  <si>
    <t>T0288</t>
  </si>
  <si>
    <t>IHS_YND_001</t>
  </si>
  <si>
    <t>Royal Hotel Yde</t>
  </si>
  <si>
    <t>CTR_017</t>
  </si>
  <si>
    <t>IHS_YND_083</t>
  </si>
  <si>
    <t>H-Progres</t>
  </si>
  <si>
    <t>T0471</t>
  </si>
  <si>
    <t>IHS_YND_009</t>
  </si>
  <si>
    <t>CLE Building</t>
  </si>
  <si>
    <t>CTR_197</t>
  </si>
  <si>
    <t>IHS_YND_125</t>
  </si>
  <si>
    <t>Charles-Atangana</t>
  </si>
  <si>
    <t>T0467</t>
  </si>
  <si>
    <t>IHS_YND_077</t>
  </si>
  <si>
    <t>Obili Carrefour</t>
  </si>
  <si>
    <t>CTR_199</t>
  </si>
  <si>
    <t>IHS_YND_050</t>
  </si>
  <si>
    <t>Satcom</t>
  </si>
  <si>
    <t>T0217</t>
  </si>
  <si>
    <t>IHS_YND_018</t>
  </si>
  <si>
    <t>P&amp;T Building</t>
  </si>
  <si>
    <t>LIT_443</t>
  </si>
  <si>
    <t>IHS_DLA_438</t>
  </si>
  <si>
    <t>PK8 Essiac</t>
  </si>
  <si>
    <t>CTR_010</t>
  </si>
  <si>
    <t>IHS_YND_327</t>
  </si>
  <si>
    <t>Nsimalen</t>
  </si>
  <si>
    <t>CTR_014</t>
  </si>
  <si>
    <t>IHS_YND_003</t>
  </si>
  <si>
    <t>Mercure</t>
  </si>
  <si>
    <t>LIT_398</t>
  </si>
  <si>
    <t>IHS_DLA_215</t>
  </si>
  <si>
    <t>Makepe-Missoke-Clinique</t>
  </si>
  <si>
    <t>LIT_285</t>
  </si>
  <si>
    <t>IHS_DLA_233</t>
  </si>
  <si>
    <t>Makepe-Lycee</t>
  </si>
  <si>
    <t>T0064</t>
  </si>
  <si>
    <t>IHS_BNB_043</t>
  </si>
  <si>
    <t>International Airport</t>
  </si>
  <si>
    <t>T2707</t>
  </si>
  <si>
    <t>IHS_DLA_086</t>
  </si>
  <si>
    <t>Hotel Meridien</t>
  </si>
  <si>
    <t>LIT_065</t>
  </si>
  <si>
    <t>IHS_DLA_036</t>
  </si>
  <si>
    <t>H-Lumiere</t>
  </si>
  <si>
    <t>LIT_008</t>
  </si>
  <si>
    <t>IHS_DLA_010</t>
  </si>
  <si>
    <t>Hila</t>
  </si>
  <si>
    <t>T1710</t>
  </si>
  <si>
    <t>IHS_DLA_082</t>
  </si>
  <si>
    <t>Bonanjo la falaise</t>
  </si>
  <si>
    <t>CTR_050</t>
  </si>
  <si>
    <t>IHS_YND_080</t>
  </si>
  <si>
    <t>Mini-Ferme</t>
  </si>
  <si>
    <t>T1296</t>
  </si>
  <si>
    <t>IHS_LMB_105</t>
  </si>
  <si>
    <t>LIMBE CHURCH STREET</t>
  </si>
  <si>
    <t>CTR_015</t>
  </si>
  <si>
    <t>IHS_YND_115</t>
  </si>
  <si>
    <t>Labogenie</t>
  </si>
  <si>
    <t>T0566</t>
  </si>
  <si>
    <t>IHS_YND_421</t>
  </si>
  <si>
    <t>Bot Makak</t>
  </si>
  <si>
    <t>CTR_088</t>
  </si>
  <si>
    <t>IHS_YND_221</t>
  </si>
  <si>
    <t>J-Vespa</t>
  </si>
  <si>
    <t>T0209</t>
  </si>
  <si>
    <t>IHS_YND_197</t>
  </si>
  <si>
    <t>Palais Des Congres</t>
  </si>
  <si>
    <t>T0055</t>
  </si>
  <si>
    <t>IHS_YND_328</t>
  </si>
  <si>
    <t>CTR_342</t>
  </si>
  <si>
    <t>IHS_YND_190</t>
  </si>
  <si>
    <t>Ngousso-II</t>
  </si>
  <si>
    <t>T2083</t>
  </si>
  <si>
    <t>IHS_DLA_075</t>
  </si>
  <si>
    <t>New Tchinda Building</t>
  </si>
  <si>
    <t>LIT_093</t>
  </si>
  <si>
    <t>IHS_DLA_493</t>
  </si>
  <si>
    <t>Ndogpassi Nodal</t>
  </si>
  <si>
    <t>CTR_351</t>
  </si>
  <si>
    <t>IHS_YND_734</t>
  </si>
  <si>
    <t xml:space="preserve">Mimboman Chateau </t>
  </si>
  <si>
    <t>CTR_071</t>
  </si>
  <si>
    <t>IHS_YND_112</t>
  </si>
  <si>
    <t>Madison</t>
  </si>
  <si>
    <t>CTR_131</t>
  </si>
  <si>
    <t>IHS_YND_504</t>
  </si>
  <si>
    <t xml:space="preserve">Elig Edzoa </t>
  </si>
  <si>
    <t>LIT_345</t>
  </si>
  <si>
    <t>IHS_DLA_135</t>
  </si>
  <si>
    <t>Deido-Plage</t>
  </si>
  <si>
    <t>T1568</t>
  </si>
  <si>
    <t>IHS_YND_084</t>
  </si>
  <si>
    <t xml:space="preserve">Briquetterie </t>
  </si>
  <si>
    <t>LIT_336</t>
  </si>
  <si>
    <t>IHS_DLA_038</t>
  </si>
  <si>
    <t>Bonamikengue</t>
  </si>
  <si>
    <t>LIT_405</t>
  </si>
  <si>
    <t>IHS_DLA_122</t>
  </si>
  <si>
    <t>Bepanda-Omnisport</t>
  </si>
  <si>
    <t>T0772</t>
  </si>
  <si>
    <t>IHS_YND_207</t>
  </si>
  <si>
    <t>ARMP Building</t>
  </si>
  <si>
    <t>CTR_124</t>
  </si>
  <si>
    <t>IHS_YND_208</t>
  </si>
  <si>
    <t>LIT_367</t>
  </si>
  <si>
    <t>IHS_DLA_074</t>
  </si>
  <si>
    <t>Activa-Akwa</t>
  </si>
  <si>
    <t>LIT_171</t>
  </si>
  <si>
    <t>IHS_MBG_029</t>
  </si>
  <si>
    <t>Santa Barbara New</t>
  </si>
  <si>
    <t>T0194</t>
  </si>
  <si>
    <t>IHS_NGD_033</t>
  </si>
  <si>
    <t>WAKWA194</t>
  </si>
  <si>
    <t>T0729</t>
  </si>
  <si>
    <t>IHS_EDA_052</t>
  </si>
  <si>
    <t>Nyahoo</t>
  </si>
  <si>
    <t>T1134</t>
  </si>
  <si>
    <t>IHS_LMB_023</t>
  </si>
  <si>
    <t>Wotutu</t>
  </si>
  <si>
    <t>T0409</t>
  </si>
  <si>
    <t>IHS_EDA_046</t>
  </si>
  <si>
    <t>Yo Yo</t>
  </si>
  <si>
    <t>T1009</t>
  </si>
  <si>
    <t>IHS_NGD_063</t>
  </si>
  <si>
    <t>Wadjiri</t>
  </si>
  <si>
    <t>T1056</t>
  </si>
  <si>
    <t>IHS_BMD_055</t>
  </si>
  <si>
    <t>Tiben</t>
  </si>
  <si>
    <t>T0805</t>
  </si>
  <si>
    <t>IHS_NGD_042</t>
  </si>
  <si>
    <t>Tello</t>
  </si>
  <si>
    <t>BELEL</t>
  </si>
  <si>
    <t>T1270</t>
  </si>
  <si>
    <t>IHS_GAR_051</t>
  </si>
  <si>
    <t xml:space="preserve">TCHEBOA </t>
  </si>
  <si>
    <t>TROUA</t>
  </si>
  <si>
    <t>T1311</t>
  </si>
  <si>
    <t>IHS_YND_438</t>
  </si>
  <si>
    <t>Taete</t>
  </si>
  <si>
    <t>T0879</t>
  </si>
  <si>
    <t>IHS_MAR_038</t>
  </si>
  <si>
    <t>Salak</t>
  </si>
  <si>
    <t>NRO_230</t>
  </si>
  <si>
    <t>IHS_BMD_096</t>
  </si>
  <si>
    <t>Sabongari-NRO</t>
  </si>
  <si>
    <t>T1766</t>
  </si>
  <si>
    <t>IHS_KMB_069</t>
  </si>
  <si>
    <t>Ossing</t>
  </si>
  <si>
    <t>T1025</t>
  </si>
  <si>
    <t>IHS_KMB_047</t>
  </si>
  <si>
    <t>Ofrikpabi</t>
  </si>
  <si>
    <t>Nguti</t>
  </si>
  <si>
    <t>T1010</t>
  </si>
  <si>
    <t>IHS_NGD_051</t>
  </si>
  <si>
    <t>Nyazoro</t>
  </si>
  <si>
    <t>SUD_249</t>
  </si>
  <si>
    <t>IHS_SGM_005</t>
  </si>
  <si>
    <t>Nyazanga</t>
  </si>
  <si>
    <t>T0923</t>
  </si>
  <si>
    <t>IHS_SGM_016</t>
  </si>
  <si>
    <t>Nyabibete</t>
  </si>
  <si>
    <t>T0852</t>
  </si>
  <si>
    <t>IHS_KMB_074</t>
  </si>
  <si>
    <t>Numba49</t>
  </si>
  <si>
    <t>CTR_355</t>
  </si>
  <si>
    <t>IHS_EBO_015</t>
  </si>
  <si>
    <t>Ntoumba</t>
  </si>
  <si>
    <t>Ngoulemakong</t>
  </si>
  <si>
    <t>T1303</t>
  </si>
  <si>
    <t>IHS_YND_396</t>
  </si>
  <si>
    <t>Nkolmvack</t>
  </si>
  <si>
    <t>T1902</t>
  </si>
  <si>
    <t>IHS_SGM_027</t>
  </si>
  <si>
    <t>Nkolmeyos</t>
  </si>
  <si>
    <t>T0832</t>
  </si>
  <si>
    <t>IHS_FBN_009</t>
  </si>
  <si>
    <t>Njimom</t>
  </si>
  <si>
    <t>T1019</t>
  </si>
  <si>
    <t>IHS_BER_071</t>
  </si>
  <si>
    <t>CTR_278</t>
  </si>
  <si>
    <t>IHS_YND_466</t>
  </si>
  <si>
    <t>Ngoro</t>
  </si>
  <si>
    <t>T0786</t>
  </si>
  <si>
    <t>IHS_KMB_027</t>
  </si>
  <si>
    <t>Ngongo</t>
  </si>
  <si>
    <t>T0930</t>
  </si>
  <si>
    <t>IHS_NGD_073</t>
  </si>
  <si>
    <t>Ngawi</t>
  </si>
  <si>
    <t>NGAOUI</t>
  </si>
  <si>
    <t>T1197</t>
  </si>
  <si>
    <t>IHS_NGD_038</t>
  </si>
  <si>
    <t>NGANHA</t>
  </si>
  <si>
    <t>T1299</t>
  </si>
  <si>
    <t>IHS_YND_448</t>
  </si>
  <si>
    <t>Mvoundou - Ngoke</t>
  </si>
  <si>
    <t>T1332</t>
  </si>
  <si>
    <t>IHS_BUA_051</t>
  </si>
  <si>
    <t>Muyengue 2</t>
  </si>
  <si>
    <t>T0731</t>
  </si>
  <si>
    <t>IHS_BUA_052</t>
  </si>
  <si>
    <t>Muyengue</t>
  </si>
  <si>
    <t>T0659</t>
  </si>
  <si>
    <t>IHS_KMB_050</t>
  </si>
  <si>
    <t>Mundemba Palmoil</t>
  </si>
  <si>
    <t>T1903</t>
  </si>
  <si>
    <t>IHS_SGM_028</t>
  </si>
  <si>
    <t>Mokom</t>
  </si>
  <si>
    <t>T0806</t>
  </si>
  <si>
    <t>IHS_NGD_065</t>
  </si>
  <si>
    <t>Meidougou</t>
  </si>
  <si>
    <t>T1256</t>
  </si>
  <si>
    <t>IHS_NGD_085</t>
  </si>
  <si>
    <t>Meidjamba</t>
  </si>
  <si>
    <t>T0720</t>
  </si>
  <si>
    <t>IHS_DLA_300</t>
  </si>
  <si>
    <t>Mbongo</t>
  </si>
  <si>
    <t>T1217</t>
  </si>
  <si>
    <t>IHS_SGM_023</t>
  </si>
  <si>
    <t>MBOMELA</t>
  </si>
  <si>
    <t>T0925</t>
  </si>
  <si>
    <t>IHS_KMB_055</t>
  </si>
  <si>
    <t>MBIO OCM</t>
  </si>
  <si>
    <t>T0891</t>
  </si>
  <si>
    <t>IHS_NGD_044</t>
  </si>
  <si>
    <t>T1041</t>
  </si>
  <si>
    <t>IHS_BMD_048</t>
  </si>
  <si>
    <t>MBEKONG1041</t>
  </si>
  <si>
    <t>T1139</t>
  </si>
  <si>
    <t>IHS_EDA_034</t>
  </si>
  <si>
    <t>MBambu</t>
  </si>
  <si>
    <t>T0743</t>
  </si>
  <si>
    <t>IHS_NGD_098</t>
  </si>
  <si>
    <t>Mayo Darle</t>
  </si>
  <si>
    <t>Mayo banyo</t>
  </si>
  <si>
    <t>Mayo darle</t>
  </si>
  <si>
    <t>T0926</t>
  </si>
  <si>
    <t>IHS_KMB_036</t>
  </si>
  <si>
    <t>Masore</t>
  </si>
  <si>
    <t>T0579</t>
  </si>
  <si>
    <t>IHS_YND_366</t>
  </si>
  <si>
    <t>Mandoumba</t>
  </si>
  <si>
    <t>T0875</t>
  </si>
  <si>
    <t>IHS_KMB_064</t>
  </si>
  <si>
    <t>Mamfe town</t>
  </si>
  <si>
    <t>T1904</t>
  </si>
  <si>
    <t>IHS_BER_085</t>
  </si>
  <si>
    <t>Makamekouma</t>
  </si>
  <si>
    <t>Haut-Nyong  </t>
  </si>
  <si>
    <t>  Ngoyla</t>
  </si>
  <si>
    <t>T1794</t>
  </si>
  <si>
    <t>IHS_LMB_019</t>
  </si>
  <si>
    <t>Mabeta</t>
  </si>
  <si>
    <t>LIMBE 3</t>
  </si>
  <si>
    <t>T1145</t>
  </si>
  <si>
    <t>IHS_BER_054</t>
  </si>
  <si>
    <t>Lom Pangar</t>
  </si>
  <si>
    <t>T0927</t>
  </si>
  <si>
    <t>IHS_KMB_041</t>
  </si>
  <si>
    <t>Loe</t>
  </si>
  <si>
    <t>T0934</t>
  </si>
  <si>
    <t>IHS_KMB_040</t>
  </si>
  <si>
    <t>Kumbe</t>
  </si>
  <si>
    <t>konye</t>
  </si>
  <si>
    <t>T0683</t>
  </si>
  <si>
    <t>IHS_KMB_038</t>
  </si>
  <si>
    <t>T1022</t>
  </si>
  <si>
    <t>IHS_KMB_039</t>
  </si>
  <si>
    <t>Kombone Bafaw</t>
  </si>
  <si>
    <t>T1144</t>
  </si>
  <si>
    <t>IHS_BER_052</t>
  </si>
  <si>
    <t>Kolomine</t>
  </si>
  <si>
    <t>T1008</t>
  </si>
  <si>
    <t>IHS_NGD_064</t>
  </si>
  <si>
    <t>KOBA1008</t>
  </si>
  <si>
    <t>T0590</t>
  </si>
  <si>
    <t>IHS_BUA_042</t>
  </si>
  <si>
    <t>Keme</t>
  </si>
  <si>
    <t>T1944</t>
  </si>
  <si>
    <t>IHS_KMB_043</t>
  </si>
  <si>
    <t>Illoani</t>
  </si>
  <si>
    <t>T0905</t>
  </si>
  <si>
    <t>IHS_SGM_019</t>
  </si>
  <si>
    <t>Elleng</t>
  </si>
  <si>
    <t>T0886</t>
  </si>
  <si>
    <t>IHS_MAR_089</t>
  </si>
  <si>
    <t>DOUBLE   (DJAKARAMANI)</t>
  </si>
  <si>
    <t>MORA</t>
  </si>
  <si>
    <t>T1031</t>
  </si>
  <si>
    <t>IHS_NGD_052</t>
  </si>
  <si>
    <t>DOUAYEL</t>
  </si>
  <si>
    <t>T1032</t>
  </si>
  <si>
    <t>IHS_NGD_059</t>
  </si>
  <si>
    <t>Doualayel</t>
  </si>
  <si>
    <t>T1059</t>
  </si>
  <si>
    <t>IHS_YND_434</t>
  </si>
  <si>
    <t>Donga</t>
  </si>
  <si>
    <t>T0870</t>
  </si>
  <si>
    <t>IHS_YND_444</t>
  </si>
  <si>
    <t>Dong</t>
  </si>
  <si>
    <t>T0890</t>
  </si>
  <si>
    <t>IHS_GAR_045</t>
  </si>
  <si>
    <t>T1084</t>
  </si>
  <si>
    <t>IHS_GAR_040</t>
  </si>
  <si>
    <t>DJABI</t>
  </si>
  <si>
    <t>T1252</t>
  </si>
  <si>
    <t>IHS_MAR_084</t>
  </si>
  <si>
    <t>DATCHIEKA</t>
  </si>
  <si>
    <t>Datcheka</t>
  </si>
  <si>
    <t>T1221</t>
  </si>
  <si>
    <t>IHS_BUA_040</t>
  </si>
  <si>
    <t>CDC DELMONTE Junction</t>
  </si>
  <si>
    <t>T1756</t>
  </si>
  <si>
    <t>IHS_KMB_026</t>
  </si>
  <si>
    <t>Bombanda</t>
  </si>
  <si>
    <t>T0789</t>
  </si>
  <si>
    <t>IHS_LMB_027</t>
  </si>
  <si>
    <t>Bomana</t>
  </si>
  <si>
    <t>T1012</t>
  </si>
  <si>
    <t>IHS_NGD_049</t>
  </si>
  <si>
    <t>Bobodji</t>
  </si>
  <si>
    <t>T0908-1</t>
  </si>
  <si>
    <t>IHS_SGM_014</t>
  </si>
  <si>
    <t>Bikoula</t>
  </si>
  <si>
    <t>GreenField</t>
  </si>
  <si>
    <t>T0907</t>
  </si>
  <si>
    <t>IHS_BER_062</t>
  </si>
  <si>
    <t>Bigoens</t>
  </si>
  <si>
    <t>T0929</t>
  </si>
  <si>
    <t>IHS_KMB_046</t>
  </si>
  <si>
    <t>Besingi</t>
  </si>
  <si>
    <t>T0656</t>
  </si>
  <si>
    <t>IHS_KMB_025</t>
  </si>
  <si>
    <t>Bekondo</t>
  </si>
  <si>
    <t>T0873</t>
  </si>
  <si>
    <t>IHS_BMD_054</t>
  </si>
  <si>
    <t>Befang</t>
  </si>
  <si>
    <t>T1039</t>
  </si>
  <si>
    <t>IHS_DCG_030</t>
  </si>
  <si>
    <t>Bamok</t>
  </si>
  <si>
    <t>WABANE</t>
  </si>
  <si>
    <t>T1011</t>
  </si>
  <si>
    <t>IHS_NGD_050</t>
  </si>
  <si>
    <t>Balissa</t>
  </si>
  <si>
    <t>T1905</t>
  </si>
  <si>
    <t>IHS_YND_479</t>
  </si>
  <si>
    <t>Bakwele</t>
  </si>
  <si>
    <t>T1750</t>
  </si>
  <si>
    <t>IHS_KMB_028</t>
  </si>
  <si>
    <t>Bai Panya</t>
  </si>
  <si>
    <t>T1074</t>
  </si>
  <si>
    <t>IHS_BER_026</t>
  </si>
  <si>
    <t>Badongoue</t>
  </si>
  <si>
    <t>T1023</t>
  </si>
  <si>
    <t>IHS_KMB_042</t>
  </si>
  <si>
    <t>Babensi1</t>
  </si>
  <si>
    <t>T1026</t>
  </si>
  <si>
    <t>IHS_KMB_051</t>
  </si>
  <si>
    <t>ASHUM</t>
  </si>
  <si>
    <t>T0906</t>
  </si>
  <si>
    <t>IHS_SGM_022</t>
  </si>
  <si>
    <t>Alouma</t>
  </si>
  <si>
    <t>T1901</t>
  </si>
  <si>
    <t>IHS_SGM_026</t>
  </si>
  <si>
    <t>Akom Centre Hill</t>
  </si>
  <si>
    <t>T1042</t>
  </si>
  <si>
    <t>IHS_BMD_053</t>
  </si>
  <si>
    <t>Aguli</t>
  </si>
  <si>
    <t>T0904</t>
  </si>
  <si>
    <t>IHS_EBO_018</t>
  </si>
  <si>
    <t>Afanandom</t>
  </si>
  <si>
    <t>Ambam</t>
  </si>
  <si>
    <t>T0920</t>
  </si>
  <si>
    <t>IHS_YND_416</t>
  </si>
  <si>
    <t>Ngwopi Boga</t>
  </si>
  <si>
    <t>T1055</t>
  </si>
  <si>
    <t>IHS_BMD_088</t>
  </si>
  <si>
    <t>Mbot</t>
  </si>
  <si>
    <t>LIT_314</t>
  </si>
  <si>
    <t>IHS_EDA_015</t>
  </si>
  <si>
    <t>Edea-Nkakanzock</t>
  </si>
  <si>
    <t>T0043</t>
  </si>
  <si>
    <t>IHS_KRI_023</t>
  </si>
  <si>
    <t>T0384</t>
  </si>
  <si>
    <t>IHS_BER_044</t>
  </si>
  <si>
    <t>Gomala</t>
  </si>
  <si>
    <t>KENTZOU</t>
  </si>
  <si>
    <t>T0205</t>
  </si>
  <si>
    <t>IHS_KMB_080</t>
  </si>
  <si>
    <t>T0552</t>
  </si>
  <si>
    <t>IHS_EBO_013</t>
  </si>
  <si>
    <t>Nyasanga</t>
  </si>
  <si>
    <t>T1235</t>
  </si>
  <si>
    <t>IHS_YND_383</t>
  </si>
  <si>
    <t>YOP</t>
  </si>
  <si>
    <t>CTR_311</t>
  </si>
  <si>
    <t>IHS_YND_453</t>
  </si>
  <si>
    <t>Song-bong</t>
  </si>
  <si>
    <t>T1320</t>
  </si>
  <si>
    <t>IHS_BER_012</t>
  </si>
  <si>
    <t>SANBI</t>
  </si>
  <si>
    <t>mandjou</t>
  </si>
  <si>
    <t>T0922</t>
  </si>
  <si>
    <t>IHS_YND_349</t>
  </si>
  <si>
    <t>Nkongtock</t>
  </si>
  <si>
    <t>T0780</t>
  </si>
  <si>
    <t>IHS_BER_079</t>
  </si>
  <si>
    <t>Nkamona Hill</t>
  </si>
  <si>
    <t> Lomie</t>
  </si>
  <si>
    <t>T1264</t>
  </si>
  <si>
    <t>IHS_YND_401</t>
  </si>
  <si>
    <t>NDOKOA</t>
  </si>
  <si>
    <t>MBANDJOCK</t>
  </si>
  <si>
    <t>T1020</t>
  </si>
  <si>
    <t>IHS_BER_056</t>
  </si>
  <si>
    <t>Mombal</t>
  </si>
  <si>
    <t>NRO_246</t>
  </si>
  <si>
    <t>IHS_BMD_089</t>
  </si>
  <si>
    <t>T1063</t>
  </si>
  <si>
    <t>IHS_NGD_089</t>
  </si>
  <si>
    <t>Mbantimbang</t>
  </si>
  <si>
    <t>T1253</t>
  </si>
  <si>
    <t>IHS_NGD_093</t>
  </si>
  <si>
    <t>MBAMTI</t>
  </si>
  <si>
    <t>ADM_060</t>
  </si>
  <si>
    <t>IHS_NGD_046</t>
  </si>
  <si>
    <t>Martap</t>
  </si>
  <si>
    <t>T1094</t>
  </si>
  <si>
    <t>IHS_NGD_068</t>
  </si>
  <si>
    <t>GORO</t>
  </si>
  <si>
    <t>T0366</t>
  </si>
  <si>
    <t>IHS_GAR_080</t>
  </si>
  <si>
    <t>Dompta</t>
  </si>
  <si>
    <t>ADM_021</t>
  </si>
  <si>
    <t>IHS_NGD_077</t>
  </si>
  <si>
    <t>Dir</t>
  </si>
  <si>
    <t>T1254</t>
  </si>
  <si>
    <t>IHS_NGD_097</t>
  </si>
  <si>
    <t>BON MARCHE</t>
  </si>
  <si>
    <t>EXN_034</t>
  </si>
  <si>
    <t>IHS_KSR_015</t>
  </si>
  <si>
    <t>T1231</t>
  </si>
  <si>
    <t>IHS_BER_059</t>
  </si>
  <si>
    <t>Yola</t>
  </si>
  <si>
    <t>NDELELE</t>
  </si>
  <si>
    <t>T0722</t>
  </si>
  <si>
    <t>IHS_DLA_306</t>
  </si>
  <si>
    <t>Yingui</t>
  </si>
  <si>
    <t>NRO_219</t>
  </si>
  <si>
    <t>IHS_BMD_057</t>
  </si>
  <si>
    <t>T0206</t>
  </si>
  <si>
    <t>IHS_GAR_061</t>
  </si>
  <si>
    <t>Wani Banda</t>
  </si>
  <si>
    <t>T0811</t>
  </si>
  <si>
    <t>IHS_NGD_086</t>
  </si>
  <si>
    <t>Wada</t>
  </si>
  <si>
    <t>T1081</t>
  </si>
  <si>
    <t>IHS_NGD_040</t>
  </si>
  <si>
    <t>Tourningal</t>
  </si>
  <si>
    <t>ADM_016</t>
  </si>
  <si>
    <t>IHS_NGD_032</t>
  </si>
  <si>
    <t>Tchabal</t>
  </si>
  <si>
    <t>EXN_052</t>
  </si>
  <si>
    <t>IHS_MAR_060</t>
  </si>
  <si>
    <t>Soulede</t>
  </si>
  <si>
    <t>Mayo-tsanaga</t>
  </si>
  <si>
    <t>LIT_012</t>
  </si>
  <si>
    <t>IHS_DLA_298</t>
  </si>
  <si>
    <t>Sikoum</t>
  </si>
  <si>
    <t>T1028</t>
  </si>
  <si>
    <t>IHS_GAR_036</t>
  </si>
  <si>
    <t>SANGUERE1028</t>
  </si>
  <si>
    <t>NRD_028</t>
  </si>
  <si>
    <t>IHS_GAR_049</t>
  </si>
  <si>
    <t>Ribao</t>
  </si>
  <si>
    <t>T0327</t>
  </si>
  <si>
    <t>IHS_NGD_100</t>
  </si>
  <si>
    <t>Pangari</t>
  </si>
  <si>
    <t>T0239</t>
  </si>
  <si>
    <t>IHS_YND_395</t>
  </si>
  <si>
    <t>Ondondo</t>
  </si>
  <si>
    <t>T0734</t>
  </si>
  <si>
    <t>IHS_BMD_208</t>
  </si>
  <si>
    <t xml:space="preserve">Nwa OCM </t>
  </si>
  <si>
    <t>NRO_012</t>
  </si>
  <si>
    <t>IHS_BMD_097</t>
  </si>
  <si>
    <t>NRO_245</t>
  </si>
  <si>
    <t>IHS_BMD_084</t>
  </si>
  <si>
    <t>Ntumbaw</t>
  </si>
  <si>
    <t>NRO_238</t>
  </si>
  <si>
    <t>IHS_BMD_090</t>
  </si>
  <si>
    <t>T1069</t>
  </si>
  <si>
    <t>IHS_YND_455</t>
  </si>
  <si>
    <t>Nkombong</t>
  </si>
  <si>
    <t>CTR_060</t>
  </si>
  <si>
    <t>IHS_YND_348</t>
  </si>
  <si>
    <t>Nkenglikok</t>
  </si>
  <si>
    <t>T0150</t>
  </si>
  <si>
    <t>IHS_YND_347</t>
  </si>
  <si>
    <t>Nkeng likok</t>
  </si>
  <si>
    <t>LIT_231</t>
  </si>
  <si>
    <t>IHS_EDA_030</t>
  </si>
  <si>
    <t>Nkak</t>
  </si>
  <si>
    <t>T0092</t>
  </si>
  <si>
    <t>IHS_EDA_033</t>
  </si>
  <si>
    <t>Ngwei II</t>
  </si>
  <si>
    <t>LIT_108</t>
  </si>
  <si>
    <t>IHS_EDA_032</t>
  </si>
  <si>
    <t>Ngwei</t>
  </si>
  <si>
    <t>T1062</t>
  </si>
  <si>
    <t>IHS_YND_475</t>
  </si>
  <si>
    <t>Ngoum</t>
  </si>
  <si>
    <t>T0490</t>
  </si>
  <si>
    <t>IHS_BER_075</t>
  </si>
  <si>
    <t>Ngola</t>
  </si>
  <si>
    <t>ADM_037</t>
  </si>
  <si>
    <t>IHS_NGD_072</t>
  </si>
  <si>
    <t>Ngaoui</t>
  </si>
  <si>
    <t>EST_054</t>
  </si>
  <si>
    <t>IHS_BER_046</t>
  </si>
  <si>
    <t>Ndokayo</t>
  </si>
  <si>
    <t>T0248</t>
  </si>
  <si>
    <t>IHS_BER_045</t>
  </si>
  <si>
    <t>T0385</t>
  </si>
  <si>
    <t>IHS_BER_060</t>
  </si>
  <si>
    <t>Ndelele</t>
  </si>
  <si>
    <t>T1044</t>
  </si>
  <si>
    <t>IHS_YND_457</t>
  </si>
  <si>
    <t>Ndandouck</t>
  </si>
  <si>
    <t>EXN_042</t>
  </si>
  <si>
    <t>IHS_MAR_066</t>
  </si>
  <si>
    <t>Mozogo</t>
  </si>
  <si>
    <t>EXN_038</t>
  </si>
  <si>
    <t>IHS_MAR_053</t>
  </si>
  <si>
    <t>T2011</t>
  </si>
  <si>
    <t>IHS_MAR_215</t>
  </si>
  <si>
    <t>MOSKOTA</t>
  </si>
  <si>
    <t>EST_015</t>
  </si>
  <si>
    <t>IHS_BER_082</t>
  </si>
  <si>
    <t>Moloundou</t>
  </si>
  <si>
    <t>Yokadouma (Mboumba et ngoko) </t>
  </si>
  <si>
    <t>EXN_024</t>
  </si>
  <si>
    <t>IHS_MAR_081</t>
  </si>
  <si>
    <t>LIT_306</t>
  </si>
  <si>
    <t>IHS_DLA_293</t>
  </si>
  <si>
    <t>Missole-Entree</t>
  </si>
  <si>
    <t>T0168</t>
  </si>
  <si>
    <t>IHS_DLA_297</t>
  </si>
  <si>
    <t>Missole II PK 35</t>
  </si>
  <si>
    <t>NRO_237</t>
  </si>
  <si>
    <t>IHS_BMD_095</t>
  </si>
  <si>
    <t>Misaje</t>
  </si>
  <si>
    <t>T0315</t>
  </si>
  <si>
    <t>IHS_SGM_025</t>
  </si>
  <si>
    <t>Mintom</t>
  </si>
  <si>
    <t>EST_012</t>
  </si>
  <si>
    <t>IHS_BER_073</t>
  </si>
  <si>
    <t>Mindourou</t>
  </si>
  <si>
    <t>MINDOUROU</t>
  </si>
  <si>
    <t>T0899</t>
  </si>
  <si>
    <t>IHS_KMB_065</t>
  </si>
  <si>
    <t>Mile29 Mamfe</t>
  </si>
  <si>
    <t>CTR_145</t>
  </si>
  <si>
    <t>IHS_EBO_014</t>
  </si>
  <si>
    <t>Meyo-Centre</t>
  </si>
  <si>
    <t>EST_046</t>
  </si>
  <si>
    <t>IHS_BER_072</t>
  </si>
  <si>
    <t>Messamena</t>
  </si>
  <si>
    <t>MESSAMENA</t>
  </si>
  <si>
    <t>ADM_042</t>
  </si>
  <si>
    <t>IHS_NGD_082</t>
  </si>
  <si>
    <t>Mbong</t>
  </si>
  <si>
    <t>T1234</t>
  </si>
  <si>
    <t>IHS_YND_456</t>
  </si>
  <si>
    <t>MBIMBIM</t>
  </si>
  <si>
    <t>EST_053</t>
  </si>
  <si>
    <t>IHS_BER_030</t>
  </si>
  <si>
    <t>Mbele-Mbeke</t>
  </si>
  <si>
    <t>T0201</t>
  </si>
  <si>
    <t>IHS_BER_029</t>
  </si>
  <si>
    <t>Mbele Mbeke</t>
  </si>
  <si>
    <t>T0670</t>
  </si>
  <si>
    <t>IHS_GAR_073</t>
  </si>
  <si>
    <t>Mbe Water Tank</t>
  </si>
  <si>
    <t>MBE</t>
  </si>
  <si>
    <t>ADM_055</t>
  </si>
  <si>
    <t>IHS_NGD_090</t>
  </si>
  <si>
    <t>Mbantinbang-FH</t>
  </si>
  <si>
    <t>EST_011</t>
  </si>
  <si>
    <t>IHS_BER_055</t>
  </si>
  <si>
    <t>Mbang</t>
  </si>
  <si>
    <t>MBANG</t>
  </si>
  <si>
    <t>T0610</t>
  </si>
  <si>
    <t>IHS_BER_083</t>
  </si>
  <si>
    <t>Mballam</t>
  </si>
  <si>
    <t>Haut-Nyong </t>
  </si>
  <si>
    <t> Ngoyla</t>
  </si>
  <si>
    <t>ADM_043</t>
  </si>
  <si>
    <t>IHS_NGD_088</t>
  </si>
  <si>
    <t>Mayo-Tolere-I</t>
  </si>
  <si>
    <t>T0328</t>
  </si>
  <si>
    <t>IHS_NGD_087</t>
  </si>
  <si>
    <t>Mayo-Tolere</t>
  </si>
  <si>
    <t>OST_093</t>
  </si>
  <si>
    <t>IHS_NGD_099</t>
  </si>
  <si>
    <t>Mayo-Djinga-FH</t>
  </si>
  <si>
    <t>OST_057</t>
  </si>
  <si>
    <t>IHS_FBN_024</t>
  </si>
  <si>
    <t>Massangam</t>
  </si>
  <si>
    <t>T0721</t>
  </si>
  <si>
    <t>IHS_DLA_307</t>
  </si>
  <si>
    <t>Manoka</t>
  </si>
  <si>
    <t>Douala 6</t>
  </si>
  <si>
    <t>CTR_066</t>
  </si>
  <si>
    <t>IHS_YND_367</t>
  </si>
  <si>
    <t>NRD_036</t>
  </si>
  <si>
    <t>IHS_GAR_074</t>
  </si>
  <si>
    <t>Mandingring</t>
  </si>
  <si>
    <t>COMMUNE DE REY-BOUBA</t>
  </si>
  <si>
    <t>EXN_035</t>
  </si>
  <si>
    <t>IHS_KSR_008</t>
  </si>
  <si>
    <t>EXN_020</t>
  </si>
  <si>
    <t>IHS_KSR_018</t>
  </si>
  <si>
    <t>Makary</t>
  </si>
  <si>
    <t>T1037</t>
  </si>
  <si>
    <t>IHS_KSR_017</t>
  </si>
  <si>
    <t>Makari</t>
  </si>
  <si>
    <t>T1007</t>
  </si>
  <si>
    <t>IHS_NGD_074</t>
  </si>
  <si>
    <t>MAAKOLA</t>
  </si>
  <si>
    <t>SUD_024</t>
  </si>
  <si>
    <t>IHS_KRI_026</t>
  </si>
  <si>
    <t>Lolodorf</t>
  </si>
  <si>
    <t>ADM_051</t>
  </si>
  <si>
    <t>IHS_NGD_066</t>
  </si>
  <si>
    <t>Lokoti</t>
  </si>
  <si>
    <t>EXN_051</t>
  </si>
  <si>
    <t>IHS_KSR_011</t>
  </si>
  <si>
    <t>Logone-Birni</t>
  </si>
  <si>
    <t>T1014</t>
  </si>
  <si>
    <t>IHS_NGD_037</t>
  </si>
  <si>
    <t>LIKOK1014</t>
  </si>
  <si>
    <t>T1013</t>
  </si>
  <si>
    <t>IHS_NGD_043</t>
  </si>
  <si>
    <t>Lewa</t>
  </si>
  <si>
    <t>T0846</t>
  </si>
  <si>
    <t>IHS_BER_024</t>
  </si>
  <si>
    <t>Letta Rock</t>
  </si>
  <si>
    <t>T1080</t>
  </si>
  <si>
    <t>IHS_NGD_034</t>
  </si>
  <si>
    <t>Laore</t>
  </si>
  <si>
    <t>SUD_015</t>
  </si>
  <si>
    <t>IHS_EBO_025</t>
  </si>
  <si>
    <t>Kye-Ossi</t>
  </si>
  <si>
    <t>KYEOSSI</t>
  </si>
  <si>
    <t>T0277</t>
  </si>
  <si>
    <t>IHS_EBO_024</t>
  </si>
  <si>
    <t>Kye Ossi</t>
  </si>
  <si>
    <t>T0885</t>
  </si>
  <si>
    <t>IHS_GAR_060</t>
  </si>
  <si>
    <t>Kong Kong</t>
  </si>
  <si>
    <t>T2890</t>
  </si>
  <si>
    <t>IHS_KSR_105</t>
  </si>
  <si>
    <t>KOFIA</t>
  </si>
  <si>
    <t>EST_045</t>
  </si>
  <si>
    <t>IHS_BER_053</t>
  </si>
  <si>
    <t>KETTE</t>
  </si>
  <si>
    <t>EST_016</t>
  </si>
  <si>
    <t>IHS_BER_058</t>
  </si>
  <si>
    <t>Kenzou</t>
  </si>
  <si>
    <t>T0387</t>
  </si>
  <si>
    <t>IHS_BER_057</t>
  </si>
  <si>
    <t>Kentzou</t>
  </si>
  <si>
    <t>EXN_050</t>
  </si>
  <si>
    <t>IHS_MAR_063</t>
  </si>
  <si>
    <t>Kay-Kay</t>
  </si>
  <si>
    <t>kay kay</t>
  </si>
  <si>
    <t>ADM_041</t>
  </si>
  <si>
    <t>IHS_NGD_075</t>
  </si>
  <si>
    <t>Kanje-I</t>
  </si>
  <si>
    <t>COMMUNE TIBATI</t>
  </si>
  <si>
    <t>T0156</t>
  </si>
  <si>
    <t>IHS_NGD_067</t>
  </si>
  <si>
    <t>Kaladi</t>
  </si>
  <si>
    <t>T2125</t>
  </si>
  <si>
    <t>IHS_GAR_120</t>
  </si>
  <si>
    <t>HOME</t>
  </si>
  <si>
    <t>EXN_047</t>
  </si>
  <si>
    <t>IHS_MAR_058</t>
  </si>
  <si>
    <t>T0894</t>
  </si>
  <si>
    <t>IHS_GAR_056</t>
  </si>
  <si>
    <t>GUIDJIBA894</t>
  </si>
  <si>
    <t>EXN_049</t>
  </si>
  <si>
    <t>IHS_MAR_064</t>
  </si>
  <si>
    <t>Gueme</t>
  </si>
  <si>
    <t>NRD_031</t>
  </si>
  <si>
    <t>IHS_GAR_055</t>
  </si>
  <si>
    <t>Gouna</t>
  </si>
  <si>
    <t>T0204</t>
  </si>
  <si>
    <t>IHS_GAR_054</t>
  </si>
  <si>
    <t>EXN_021</t>
  </si>
  <si>
    <t>IHS_KSR_009</t>
  </si>
  <si>
    <t>Goulfey</t>
  </si>
  <si>
    <t>COMMUNE GOULFEY</t>
  </si>
  <si>
    <t>EXN_048</t>
  </si>
  <si>
    <t>IHS_MAR_087</t>
  </si>
  <si>
    <t>EST_048</t>
  </si>
  <si>
    <t>IHS_BER_061</t>
  </si>
  <si>
    <t>Gari-Gombo</t>
  </si>
  <si>
    <t>GARIGOMBO</t>
  </si>
  <si>
    <t>T1021</t>
  </si>
  <si>
    <t>IHS_BER_042</t>
  </si>
  <si>
    <t>Garga Sarali</t>
  </si>
  <si>
    <t>T1030</t>
  </si>
  <si>
    <t>IHS_GAR_070</t>
  </si>
  <si>
    <t>GAMBA</t>
  </si>
  <si>
    <t>ADM_024</t>
  </si>
  <si>
    <t>IHS_NGD_060</t>
  </si>
  <si>
    <t>Galim-Tignere</t>
  </si>
  <si>
    <t>GALIM TIGNERE</t>
  </si>
  <si>
    <t>EST_055</t>
  </si>
  <si>
    <t>IHS_BER_066</t>
  </si>
  <si>
    <t>Gado-Badzere</t>
  </si>
  <si>
    <t>T0200</t>
  </si>
  <si>
    <t>IHS_BER_065</t>
  </si>
  <si>
    <t>Gado Badzere</t>
  </si>
  <si>
    <t>EXN_013</t>
  </si>
  <si>
    <t>IHS_KSR_016</t>
  </si>
  <si>
    <t>Fotokol</t>
  </si>
  <si>
    <t>NRD_005</t>
  </si>
  <si>
    <t>IHS_GAR_050</t>
  </si>
  <si>
    <t>T0329</t>
  </si>
  <si>
    <t>IHS_NGD_081</t>
  </si>
  <si>
    <t>Febadi</t>
  </si>
  <si>
    <t>SUO_016</t>
  </si>
  <si>
    <t>IHS_KMB_076</t>
  </si>
  <si>
    <t>LIT_229</t>
  </si>
  <si>
    <t>IHS_EDA_014</t>
  </si>
  <si>
    <t>Edea-Entree</t>
  </si>
  <si>
    <t>T1255</t>
  </si>
  <si>
    <t>IHS_FBN_010</t>
  </si>
  <si>
    <t>DOUMOUFE</t>
  </si>
  <si>
    <t>T0114</t>
  </si>
  <si>
    <t>IHS_NGD_069</t>
  </si>
  <si>
    <t>Dobiri</t>
  </si>
  <si>
    <t>ADM_022</t>
  </si>
  <si>
    <t>IHS_NGD_058</t>
  </si>
  <si>
    <t>T1220</t>
  </si>
  <si>
    <t>IHS_BER_035</t>
  </si>
  <si>
    <t>Djira</t>
  </si>
  <si>
    <t>T1079</t>
  </si>
  <si>
    <t>IHS_NGD_045</t>
  </si>
  <si>
    <t>Djerkoka</t>
  </si>
  <si>
    <t>T0803</t>
  </si>
  <si>
    <t>IHS_NGD_078</t>
  </si>
  <si>
    <t>CTR_277</t>
  </si>
  <si>
    <t>IHS_YND_468</t>
  </si>
  <si>
    <t>Deuk</t>
  </si>
  <si>
    <t>NRD_024</t>
  </si>
  <si>
    <t>IHS_GAR_044</t>
  </si>
  <si>
    <t>Dembo</t>
  </si>
  <si>
    <t>T1408</t>
  </si>
  <si>
    <t>IHS_GAR_115</t>
  </si>
  <si>
    <t>DEMBO</t>
  </si>
  <si>
    <t>T1029</t>
  </si>
  <si>
    <t>IHS_GAR_075</t>
  </si>
  <si>
    <t>DEENA</t>
  </si>
  <si>
    <t>EXN_075</t>
  </si>
  <si>
    <t>IHS_MAR_083</t>
  </si>
  <si>
    <t>COMMUNE DE DATCHEKA</t>
  </si>
  <si>
    <t>T0889</t>
  </si>
  <si>
    <t>IHS_KSR_020</t>
  </si>
  <si>
    <t>Darrack</t>
  </si>
  <si>
    <t>T0804</t>
  </si>
  <si>
    <t>IHS_NGD_076</t>
  </si>
  <si>
    <t>Danfili</t>
  </si>
  <si>
    <t>EXN_807</t>
  </si>
  <si>
    <t>IHS_KSR_013</t>
  </si>
  <si>
    <t>COMMUNE DE LOGONE BIRNI</t>
  </si>
  <si>
    <t>LIT_133</t>
  </si>
  <si>
    <t>IHS_KRI_015</t>
  </si>
  <si>
    <t>Colline-du-loup</t>
  </si>
  <si>
    <t>NRD_055</t>
  </si>
  <si>
    <t>IHS_GAR_077</t>
  </si>
  <si>
    <t>Chamber-Wangai</t>
  </si>
  <si>
    <t>POLI</t>
  </si>
  <si>
    <t>EST_056</t>
  </si>
  <si>
    <t>IHS_BER_017</t>
  </si>
  <si>
    <t>Brigaya</t>
  </si>
  <si>
    <t>T0212</t>
  </si>
  <si>
    <t>IHS_BER_016</t>
  </si>
  <si>
    <t>T0309</t>
  </si>
  <si>
    <t>IHS_YND_400</t>
  </si>
  <si>
    <t>Botatango</t>
  </si>
  <si>
    <t>Balamba</t>
  </si>
  <si>
    <t>T0383</t>
  </si>
  <si>
    <t>IHS_BER_043</t>
  </si>
  <si>
    <t>Borongoue</t>
  </si>
  <si>
    <t>T0567</t>
  </si>
  <si>
    <t>IHS_DLA_299</t>
  </si>
  <si>
    <t>Bonepoupa</t>
  </si>
  <si>
    <t>T0730</t>
  </si>
  <si>
    <t>IHS_KMB_044</t>
  </si>
  <si>
    <t>Boa CDC</t>
  </si>
  <si>
    <t>EXN_041</t>
  </si>
  <si>
    <t>IHS_KSR_019</t>
  </si>
  <si>
    <t>Blangoua</t>
  </si>
  <si>
    <t>COMMUNE BLANGOUA</t>
  </si>
  <si>
    <t>T0728</t>
  </si>
  <si>
    <t>IHS_KRI_025</t>
  </si>
  <si>
    <t>Bipindi</t>
  </si>
  <si>
    <t>NRD_021</t>
  </si>
  <si>
    <t>IHS_GAR_041</t>
  </si>
  <si>
    <t>Bibemi</t>
  </si>
  <si>
    <t>T0240</t>
  </si>
  <si>
    <t>IHS_YND_425</t>
  </si>
  <si>
    <t>Biakoa</t>
  </si>
  <si>
    <t>EST_014</t>
  </si>
  <si>
    <t>IHS_BER_047</t>
  </si>
  <si>
    <t>Betare-Oya</t>
  </si>
  <si>
    <t>EXN_046</t>
  </si>
  <si>
    <t>IHS_MAR_033</t>
  </si>
  <si>
    <t>Bellare</t>
  </si>
  <si>
    <t>T0377</t>
  </si>
  <si>
    <t>IHS_NGD_048</t>
  </si>
  <si>
    <t>Belel</t>
  </si>
  <si>
    <t>NRD_020</t>
  </si>
  <si>
    <t>IHS_GAR_053</t>
  </si>
  <si>
    <t>Beka</t>
  </si>
  <si>
    <t>T0202</t>
  </si>
  <si>
    <t>IHS_NGD_070</t>
  </si>
  <si>
    <t>Bata</t>
  </si>
  <si>
    <t>NRD_029</t>
  </si>
  <si>
    <t>IHS_GAR_062</t>
  </si>
  <si>
    <t>Banda</t>
  </si>
  <si>
    <t>CTR_091</t>
  </si>
  <si>
    <t>IHS_YND_447</t>
  </si>
  <si>
    <t>Bamoko</t>
  </si>
  <si>
    <t>EXN_036</t>
  </si>
  <si>
    <t>IHS_MAR_036</t>
  </si>
  <si>
    <t>Balaza</t>
  </si>
  <si>
    <t>SUO_018</t>
  </si>
  <si>
    <t>IHS_KMB_056</t>
  </si>
  <si>
    <t>Bakassi</t>
  </si>
  <si>
    <t>Isanguele</t>
  </si>
  <si>
    <t>NRD_056</t>
  </si>
  <si>
    <t>IHS_GAR_072</t>
  </si>
  <si>
    <t>Baikwa-Bere</t>
  </si>
  <si>
    <t>COMMUNE Rey-BOUBA</t>
  </si>
  <si>
    <t>ADM_008</t>
  </si>
  <si>
    <t>IHS_GAR_079</t>
  </si>
  <si>
    <t>Baiboum</t>
  </si>
  <si>
    <t>NRD_026</t>
  </si>
  <si>
    <t>IHS_GAR_035</t>
  </si>
  <si>
    <t>Badjouma</t>
  </si>
  <si>
    <t>T0230</t>
  </si>
  <si>
    <t>IHS_BER_063</t>
  </si>
  <si>
    <t>NRO_218</t>
  </si>
  <si>
    <t>IHS_BMD_060</t>
  </si>
  <si>
    <t>Andek</t>
  </si>
  <si>
    <t>T0553</t>
  </si>
  <si>
    <t>IHS_EBO_019</t>
  </si>
  <si>
    <t>Akom Bikak</t>
  </si>
  <si>
    <t>T1267</t>
  </si>
  <si>
    <t>IHS_YND_442</t>
  </si>
  <si>
    <t>AKAK</t>
  </si>
  <si>
    <t>NANGA EBOKO</t>
  </si>
  <si>
    <t>T1038</t>
  </si>
  <si>
    <t>IHS_KSR_010</t>
  </si>
  <si>
    <t>Afade</t>
  </si>
  <si>
    <t>T0495</t>
  </si>
  <si>
    <t>IHS_EBO_023</t>
  </si>
  <si>
    <t>Abang Minko</t>
  </si>
  <si>
    <t>EXN_022</t>
  </si>
  <si>
    <t>IHS_MAR_078</t>
  </si>
  <si>
    <t>Kar-Hay</t>
  </si>
  <si>
    <t>Kar-hay</t>
  </si>
  <si>
    <t>ADM_027</t>
  </si>
  <si>
    <t>IHS_NGD_071</t>
  </si>
  <si>
    <t>T2076</t>
  </si>
  <si>
    <t>IHS_GAR_340</t>
  </si>
  <si>
    <t>Wakassao</t>
  </si>
  <si>
    <t>T3559</t>
  </si>
  <si>
    <t>IHS_GAR_339</t>
  </si>
  <si>
    <t>MAAN Baibouum</t>
  </si>
  <si>
    <t>T2077</t>
  </si>
  <si>
    <t>IHS_GAR_341</t>
  </si>
  <si>
    <t>Benoui</t>
  </si>
  <si>
    <t>T3102</t>
  </si>
  <si>
    <t>IHS_YND_706</t>
  </si>
  <si>
    <t>Mbankomo CAF</t>
  </si>
  <si>
    <t>CTR_102</t>
  </si>
  <si>
    <t>IHS_YND_711</t>
  </si>
  <si>
    <t>H-Franco New</t>
  </si>
  <si>
    <t>T1184</t>
  </si>
  <si>
    <t>IHS_KMB_121</t>
  </si>
  <si>
    <t>Kumba Bonakama</t>
  </si>
  <si>
    <t>T3455</t>
  </si>
  <si>
    <t>IHS_KMB_122</t>
  </si>
  <si>
    <t>Kumba Bonakama 2</t>
  </si>
  <si>
    <t>T3101</t>
  </si>
  <si>
    <t>IHS_LMB_116</t>
  </si>
  <si>
    <t>Limbe Stadium</t>
  </si>
  <si>
    <t>T3781</t>
  </si>
  <si>
    <t>IHS_BUA_169</t>
  </si>
  <si>
    <t>Ekona Q3A</t>
  </si>
  <si>
    <t>T1760</t>
  </si>
  <si>
    <t>IHS_BAF_323</t>
  </si>
  <si>
    <t>Bfsam Confiance</t>
  </si>
  <si>
    <t>T1559</t>
  </si>
  <si>
    <t>IHS_YND_709</t>
  </si>
  <si>
    <t>Nkolo II New</t>
  </si>
  <si>
    <t>LIT_510</t>
  </si>
  <si>
    <t>IHS_EDA_066</t>
  </si>
  <si>
    <t>Kanga</t>
  </si>
  <si>
    <t>T3105</t>
  </si>
  <si>
    <t>IHS_BUA_171</t>
  </si>
  <si>
    <t>MOUNTAIN HOTEL</t>
  </si>
  <si>
    <t>T0896</t>
  </si>
  <si>
    <t>IHS_YND_707</t>
  </si>
  <si>
    <t>NYOM Lycee</t>
  </si>
  <si>
    <t>T1216</t>
  </si>
  <si>
    <t>IHS_NGD_234</t>
  </si>
  <si>
    <t>Tibati Market New</t>
  </si>
  <si>
    <t>T0021</t>
  </si>
  <si>
    <t>IHS_DLA_489</t>
  </si>
  <si>
    <t>NJO NJO NEW</t>
  </si>
  <si>
    <t>T3545</t>
  </si>
  <si>
    <t>IHS_NGD_233</t>
  </si>
  <si>
    <t xml:space="preserve">Kanje-I </t>
  </si>
  <si>
    <t>T0440</t>
  </si>
  <si>
    <t>IHS_DLA_479</t>
  </si>
  <si>
    <t>PINGO PK10 NEW</t>
  </si>
  <si>
    <t>T3205</t>
  </si>
  <si>
    <t>IHS_YND_758</t>
  </si>
  <si>
    <t>Nkolfoulou CSD MTN</t>
  </si>
  <si>
    <t>Mefou et Afamba</t>
  </si>
  <si>
    <t>T0908</t>
  </si>
  <si>
    <t>IHS_SGM_112</t>
  </si>
  <si>
    <t>BIKOULA NEW</t>
  </si>
  <si>
    <t>T3026</t>
  </si>
  <si>
    <t>IHS_DLA_480</t>
  </si>
  <si>
    <t>BONASSAMA NEW</t>
  </si>
  <si>
    <t>T1142</t>
  </si>
  <si>
    <t>IHS_BUA_172</t>
  </si>
  <si>
    <t>BANGA BAKUNDU</t>
  </si>
  <si>
    <t>T1954</t>
  </si>
  <si>
    <t>IHS_KMB_123</t>
  </si>
  <si>
    <t>Eyang</t>
  </si>
  <si>
    <t>T2758</t>
  </si>
  <si>
    <t>IHS_SGM_110</t>
  </si>
  <si>
    <t>Moneko'o</t>
  </si>
  <si>
    <t>T2756</t>
  </si>
  <si>
    <t>IHS_YND_723</t>
  </si>
  <si>
    <t>Obout</t>
  </si>
  <si>
    <t>T2743</t>
  </si>
  <si>
    <t>IHS_YND_721</t>
  </si>
  <si>
    <t>VOIRIE MUNICIPALE YAOUNDE</t>
  </si>
  <si>
    <t>T1971</t>
  </si>
  <si>
    <t>IHS_BMD_329</t>
  </si>
  <si>
    <t>Bambili Campus</t>
  </si>
  <si>
    <t>T1883</t>
  </si>
  <si>
    <t>IHS_BMD_332</t>
  </si>
  <si>
    <t>BAMENDA NCHUOBUH</t>
  </si>
  <si>
    <t>T1045</t>
  </si>
  <si>
    <t>IHS_DLA_486</t>
  </si>
  <si>
    <t>NDOGPASSI ENTRE BILLE</t>
  </si>
  <si>
    <t>T0924</t>
  </si>
  <si>
    <t>IHS_NKS_023</t>
  </si>
  <si>
    <t>KOLA</t>
  </si>
  <si>
    <t>manjo</t>
  </si>
  <si>
    <t>T0992</t>
  </si>
  <si>
    <t>IHS_BMD_331</t>
  </si>
  <si>
    <t>BAMENDA GRA</t>
  </si>
  <si>
    <t>T0690</t>
  </si>
  <si>
    <t>IHS_BUA_174</t>
  </si>
  <si>
    <t>MOLYKO PARAMOUNT STREET</t>
  </si>
  <si>
    <t>T0843</t>
  </si>
  <si>
    <t>IHS_YND_719</t>
  </si>
  <si>
    <t>TSINGA VILLAGE 2</t>
  </si>
  <si>
    <t>T2729</t>
  </si>
  <si>
    <t>IHS_BMD_326</t>
  </si>
  <si>
    <t>ACHA TUGI</t>
  </si>
  <si>
    <t>T3466</t>
  </si>
  <si>
    <t>IHS_SGM_111</t>
  </si>
  <si>
    <t>EMINEMVOM</t>
  </si>
  <si>
    <t>T1859</t>
  </si>
  <si>
    <t>IHS_BMD_333</t>
  </si>
  <si>
    <t>Bamenda Mile4</t>
  </si>
  <si>
    <t>T1171</t>
  </si>
  <si>
    <t>IHS_KMB_126</t>
  </si>
  <si>
    <t>Kumba Mbongue Road</t>
  </si>
  <si>
    <t>T3448</t>
  </si>
  <si>
    <t>IHS_YND_714</t>
  </si>
  <si>
    <t>Ekekam</t>
  </si>
  <si>
    <t>T1957</t>
  </si>
  <si>
    <t>IHS_MAR_369</t>
  </si>
  <si>
    <t>Kolara</t>
  </si>
  <si>
    <t>T1958</t>
  </si>
  <si>
    <t>IHS_MAR_370</t>
  </si>
  <si>
    <t>Korre</t>
  </si>
  <si>
    <t>T3446</t>
  </si>
  <si>
    <t>IHS_YND_712</t>
  </si>
  <si>
    <t>Nkolnkoumou</t>
  </si>
  <si>
    <t>T1961</t>
  </si>
  <si>
    <t>IHS_MAR_377</t>
  </si>
  <si>
    <t>Mazera</t>
  </si>
  <si>
    <t>Zina</t>
  </si>
  <si>
    <t>T1983</t>
  </si>
  <si>
    <t>IHS_BMD_328</t>
  </si>
  <si>
    <t>Nkun-Ngwo School</t>
  </si>
  <si>
    <t>T1592</t>
  </si>
  <si>
    <t>IHS_GAR_346</t>
  </si>
  <si>
    <t>Padarme</t>
  </si>
  <si>
    <t>T2902</t>
  </si>
  <si>
    <t>IHS_MAR_374</t>
  </si>
  <si>
    <t>RHUMZU</t>
  </si>
  <si>
    <t>T1671</t>
  </si>
  <si>
    <t>IHS_NGD_230</t>
  </si>
  <si>
    <t>Warrack Lemon</t>
  </si>
  <si>
    <t>T2759</t>
  </si>
  <si>
    <t>IHS_DLA_485</t>
  </si>
  <si>
    <t>Denver Total</t>
  </si>
  <si>
    <t>T1955</t>
  </si>
  <si>
    <t>IHS_KMB_124</t>
  </si>
  <si>
    <t>Mayemen</t>
  </si>
  <si>
    <t>kumba</t>
  </si>
  <si>
    <t>T3118</t>
  </si>
  <si>
    <t>IHS_BUA_170</t>
  </si>
  <si>
    <t>BUEA UB Lamp</t>
  </si>
  <si>
    <t>T1004</t>
  </si>
  <si>
    <t>IHS_DLA_488</t>
  </si>
  <si>
    <t>BOKO Hospital</t>
  </si>
  <si>
    <t>T1879</t>
  </si>
  <si>
    <t>IHS_BMD_330</t>
  </si>
  <si>
    <t>Bamenda Blue Moon</t>
  </si>
  <si>
    <t>T1192</t>
  </si>
  <si>
    <t>IHS_BUA_173</t>
  </si>
  <si>
    <t>Buea Wokoko</t>
  </si>
  <si>
    <t>T0777</t>
  </si>
  <si>
    <t>IHS_BER_164</t>
  </si>
  <si>
    <t>Garoua Boulai Sabongari</t>
  </si>
  <si>
    <t>T3454</t>
  </si>
  <si>
    <t>IHS_KMB_125</t>
  </si>
  <si>
    <t>KUMBA ALASKA STREET</t>
  </si>
  <si>
    <t>T2762</t>
  </si>
  <si>
    <t>IHS_YND_720</t>
  </si>
  <si>
    <t>SOA UNIVERSITY STADIUM</t>
  </si>
  <si>
    <t>T1653</t>
  </si>
  <si>
    <t>IHS_GAR_345</t>
  </si>
  <si>
    <t>NAKONG</t>
  </si>
  <si>
    <t>T0957</t>
  </si>
  <si>
    <t>IHS_YND_715</t>
  </si>
  <si>
    <t>Odza Minkan</t>
  </si>
  <si>
    <t>T1482</t>
  </si>
  <si>
    <t>IHS_KRI_122</t>
  </si>
  <si>
    <t>KRIBI HOTEL PARADIS</t>
  </si>
  <si>
    <t>T2801</t>
  </si>
  <si>
    <t>IHS_EBO_110</t>
  </si>
  <si>
    <t>ASSENG</t>
  </si>
  <si>
    <t>T2049</t>
  </si>
  <si>
    <t>IHS_MAR_375</t>
  </si>
  <si>
    <t>TCHERE</t>
  </si>
  <si>
    <t>T1633</t>
  </si>
  <si>
    <t>IHS_BER_161</t>
  </si>
  <si>
    <t>ANGOSAS</t>
  </si>
  <si>
    <t>Angosas</t>
  </si>
  <si>
    <t>T2047</t>
  </si>
  <si>
    <t>IHS_MAR_373</t>
  </si>
  <si>
    <t>MOGOM</t>
  </si>
  <si>
    <t>T2887</t>
  </si>
  <si>
    <t>IHS_MAR_376</t>
  </si>
  <si>
    <t>ZINA</t>
  </si>
  <si>
    <t>T1140</t>
  </si>
  <si>
    <t>IHS_DLA_482</t>
  </si>
  <si>
    <t>MALIMBA</t>
  </si>
  <si>
    <t>T2045</t>
  </si>
  <si>
    <t>IHS_MAR_371</t>
  </si>
  <si>
    <t>MAMBANG</t>
  </si>
  <si>
    <t>T1991</t>
  </si>
  <si>
    <t>IHS_KRI_121</t>
  </si>
  <si>
    <t>SOCAPALM V4</t>
  </si>
  <si>
    <t>T2019</t>
  </si>
  <si>
    <t>IHS_GAR_343</t>
  </si>
  <si>
    <t>BEKA</t>
  </si>
  <si>
    <t>T0231</t>
  </si>
  <si>
    <t>IHS_GAR_344</t>
  </si>
  <si>
    <t>DEMSA</t>
  </si>
  <si>
    <t>T3461</t>
  </si>
  <si>
    <t>IHS_KRI_120</t>
  </si>
  <si>
    <t>BIDOU</t>
  </si>
  <si>
    <t>T3464</t>
  </si>
  <si>
    <t>IHS_BMD_327</t>
  </si>
  <si>
    <t>Tugi Tugi</t>
  </si>
  <si>
    <t>T3349</t>
  </si>
  <si>
    <t>IHS_YND_726</t>
  </si>
  <si>
    <t>NATCHIGAL</t>
  </si>
  <si>
    <t>T0767</t>
  </si>
  <si>
    <t>IHS_BER_163</t>
  </si>
  <si>
    <t>NGUELEBOK</t>
  </si>
  <si>
    <t>Nguelebock</t>
  </si>
  <si>
    <t>T3354</t>
  </si>
  <si>
    <t>IHS_BER_162</t>
  </si>
  <si>
    <t>Kagnol</t>
  </si>
  <si>
    <t>T3396</t>
  </si>
  <si>
    <t>IHS_YND_725</t>
  </si>
  <si>
    <t>NKOMETOU EKOUMDOUMA</t>
  </si>
  <si>
    <t>T2039</t>
  </si>
  <si>
    <t>IHS_YND_724</t>
  </si>
  <si>
    <t>BIYEMASSI NIKI</t>
  </si>
  <si>
    <t>CTR_481</t>
  </si>
  <si>
    <t>IHS_YND_574</t>
  </si>
  <si>
    <t>Crf-Mbankolo-IHS</t>
  </si>
  <si>
    <t>T1602</t>
  </si>
  <si>
    <t>IHS_NGD_229</t>
  </si>
  <si>
    <t>DJOA</t>
  </si>
  <si>
    <t>T0222</t>
  </si>
  <si>
    <t>IHS_NGD_231</t>
  </si>
  <si>
    <t>SAMBO LABO</t>
  </si>
  <si>
    <t>EXN_211</t>
  </si>
  <si>
    <t>IHS_MAR_378</t>
  </si>
  <si>
    <t xml:space="preserve">Dakana  </t>
  </si>
  <si>
    <t>EXN_200</t>
  </si>
  <si>
    <t>IHS_MAR_380</t>
  </si>
  <si>
    <t>Goulourgou</t>
  </si>
  <si>
    <t>EXN_207</t>
  </si>
  <si>
    <t>IHS_MAR_381</t>
  </si>
  <si>
    <t xml:space="preserve">Matafal </t>
  </si>
  <si>
    <t>commune de matafal</t>
  </si>
  <si>
    <t>EXN_208</t>
  </si>
  <si>
    <t>IHS_MAR_385</t>
  </si>
  <si>
    <t xml:space="preserve">Kuruda  </t>
  </si>
  <si>
    <t>OST_252</t>
  </si>
  <si>
    <t>IHS_BAF_325</t>
  </si>
  <si>
    <t>Koundoum  (T0)</t>
  </si>
  <si>
    <t>SUO_157</t>
  </si>
  <si>
    <t>IHS_BUA_175</t>
  </si>
  <si>
    <t xml:space="preserve">New BONAKO  </t>
  </si>
  <si>
    <t>EXN_199</t>
  </si>
  <si>
    <t>IHS_MAR_379</t>
  </si>
  <si>
    <t xml:space="preserve">Ouro Zangui </t>
  </si>
  <si>
    <t>EXN_210</t>
  </si>
  <si>
    <t>IHS_MAR_383</t>
  </si>
  <si>
    <t>Gabarairou</t>
  </si>
  <si>
    <t>T3447</t>
  </si>
  <si>
    <t>IHS_YND_713</t>
  </si>
  <si>
    <t>NKONGKARAK</t>
  </si>
  <si>
    <t>T0188</t>
  </si>
  <si>
    <t>IHS_YND_727</t>
  </si>
  <si>
    <t>Nlong Mvolye New</t>
  </si>
  <si>
    <t>EXN_218</t>
  </si>
  <si>
    <t>IHS_MAR_386</t>
  </si>
  <si>
    <t>SEDEK</t>
  </si>
  <si>
    <t>T1086</t>
  </si>
  <si>
    <t>IHS_DLA_484</t>
  </si>
  <si>
    <t>BOKO 4</t>
  </si>
  <si>
    <t>T1951</t>
  </si>
  <si>
    <t>IHS_DLA_487</t>
  </si>
  <si>
    <t>Socar Akwa LP</t>
  </si>
  <si>
    <t>T1893</t>
  </si>
  <si>
    <t>IHS_KRI_028</t>
  </si>
  <si>
    <t>Kribi Port</t>
  </si>
  <si>
    <t>T0941</t>
  </si>
  <si>
    <t>IHS_DLA_492</t>
  </si>
  <si>
    <t>Bois des Singes</t>
  </si>
  <si>
    <t>T3103</t>
  </si>
  <si>
    <t>IHS_BAF_315</t>
  </si>
  <si>
    <t>BAFOUSSAM KOUEKONG</t>
  </si>
  <si>
    <t>T3021</t>
  </si>
  <si>
    <t>IHS_DLA_490</t>
  </si>
  <si>
    <t>NJONJO NEW</t>
  </si>
  <si>
    <t>ADM_010</t>
  </si>
  <si>
    <t>IHS_NGD_235</t>
  </si>
  <si>
    <t>Ngaoundal PDH</t>
  </si>
  <si>
    <t>COMMUNE DE NGAOUNDAL</t>
  </si>
  <si>
    <t>T1747</t>
  </si>
  <si>
    <t>IHS_YND_728</t>
  </si>
  <si>
    <t>TROPICANA NEW</t>
  </si>
  <si>
    <t>LIT_624</t>
  </si>
  <si>
    <t>IHS_BNB_102</t>
  </si>
  <si>
    <t>Ndobo3</t>
  </si>
  <si>
    <t>LIT_621</t>
  </si>
  <si>
    <t>IHS_BNB_103</t>
  </si>
  <si>
    <t>Minkwele2</t>
  </si>
  <si>
    <t>T0138</t>
  </si>
  <si>
    <t>IHS_EBO_021</t>
  </si>
  <si>
    <t>T2347</t>
  </si>
  <si>
    <t>IHS_YND_731</t>
  </si>
  <si>
    <t>UPAC LP</t>
  </si>
  <si>
    <t>T2346</t>
  </si>
  <si>
    <t>IHS_YND_732</t>
  </si>
  <si>
    <t>Nsam escale LP</t>
  </si>
  <si>
    <t>T0942</t>
  </si>
  <si>
    <t>IHS_DLA_491</t>
  </si>
  <si>
    <t>CUD Bonanjo</t>
  </si>
  <si>
    <t>T2132</t>
  </si>
  <si>
    <t>IHS_YND_729</t>
  </si>
  <si>
    <t>Nkolbisson IITA LP</t>
  </si>
  <si>
    <t>T2418</t>
  </si>
  <si>
    <t>IHS_YND_730</t>
  </si>
  <si>
    <t>Odza petit marche new</t>
  </si>
  <si>
    <t>T0583</t>
  </si>
  <si>
    <t>IHS_YND_733</t>
  </si>
  <si>
    <t>Nkog-Edzen</t>
  </si>
  <si>
    <t>T4584</t>
  </si>
  <si>
    <t>IHS_BFG_021</t>
  </si>
  <si>
    <t>Lelem</t>
  </si>
  <si>
    <t>N/A</t>
  </si>
  <si>
    <t>T4593</t>
  </si>
  <si>
    <t>IHS_MBG_031</t>
  </si>
  <si>
    <t>Maleke</t>
  </si>
  <si>
    <t>T0065</t>
  </si>
  <si>
    <t>IHS_YND_735</t>
  </si>
  <si>
    <t>Maison komkana New</t>
  </si>
  <si>
    <t>Yaounde 1</t>
  </si>
  <si>
    <t>T3176</t>
  </si>
  <si>
    <t>IHS_DLA_496</t>
  </si>
  <si>
    <t>Mboppi New</t>
  </si>
  <si>
    <t>T2581</t>
  </si>
  <si>
    <t>IHS_YND_750</t>
  </si>
  <si>
    <t>Nkoabang entrée carriere</t>
  </si>
  <si>
    <t>T3202</t>
  </si>
  <si>
    <t>IHS_BER_288</t>
  </si>
  <si>
    <t>Batouri Trypano</t>
  </si>
  <si>
    <t>Kadey</t>
  </si>
  <si>
    <t>T2582</t>
  </si>
  <si>
    <t>IHS_YND_737</t>
  </si>
  <si>
    <t>Eto koss Yde</t>
  </si>
  <si>
    <t>T2564</t>
  </si>
  <si>
    <t>IHS_YND_739</t>
  </si>
  <si>
    <t>NKOLMESSING rue Manguier</t>
  </si>
  <si>
    <t>T2583</t>
  </si>
  <si>
    <t>IHS_YND_740</t>
  </si>
  <si>
    <t>Santa Barbara Gottam</t>
  </si>
  <si>
    <t>T2584</t>
  </si>
  <si>
    <t>IHS_YND_741</t>
  </si>
  <si>
    <t>Mvog Betsi Hospital</t>
  </si>
  <si>
    <t>T2588</t>
  </si>
  <si>
    <t>IHS_YND_742</t>
  </si>
  <si>
    <t>Mendong NB</t>
  </si>
  <si>
    <t>T2585</t>
  </si>
  <si>
    <t>IHS_YND_744</t>
  </si>
  <si>
    <t>Eleveur Meec Bon Berger</t>
  </si>
  <si>
    <t>T2596</t>
  </si>
  <si>
    <t>IHS_YND_746</t>
  </si>
  <si>
    <t>Mehanda 1</t>
  </si>
  <si>
    <t>Yaounde 4</t>
  </si>
  <si>
    <t>T2586</t>
  </si>
  <si>
    <t>IHS_YND_747</t>
  </si>
  <si>
    <t>Akok Ndoe Yde</t>
  </si>
  <si>
    <t>T2339</t>
  </si>
  <si>
    <t>IHS_DLA_497</t>
  </si>
  <si>
    <t>PK16 ETOUDI</t>
  </si>
  <si>
    <t>T2506</t>
  </si>
  <si>
    <t>IHS_BNB_109</t>
  </si>
  <si>
    <t>BODJONGO ABEDI</t>
  </si>
  <si>
    <t>T2615</t>
  </si>
  <si>
    <t>IHS_DLA_499</t>
  </si>
  <si>
    <t>Yassa 10 millions</t>
  </si>
  <si>
    <t>T2515</t>
  </si>
  <si>
    <t>IHS_DLA_501</t>
  </si>
  <si>
    <t>MAKEPE ORCHIDEE</t>
  </si>
  <si>
    <t>T2613</t>
  </si>
  <si>
    <t>IHS_BNB_111</t>
  </si>
  <si>
    <t>Bepelle bloc</t>
  </si>
  <si>
    <t>T2505</t>
  </si>
  <si>
    <t>IHS_DLA_503</t>
  </si>
  <si>
    <t>Hospital gyneco Dla</t>
  </si>
  <si>
    <t>T2512</t>
  </si>
  <si>
    <t>IHS_DLA_504</t>
  </si>
  <si>
    <t>Mbangue chefferie</t>
  </si>
  <si>
    <t>T2511</t>
  </si>
  <si>
    <t>IHS_BNB_105</t>
  </si>
  <si>
    <t>Bonaberi matelot</t>
  </si>
  <si>
    <t>T2516</t>
  </si>
  <si>
    <t>IHS_DLA_505</t>
  </si>
  <si>
    <t>Missoke Market</t>
  </si>
  <si>
    <t>T3231</t>
  </si>
  <si>
    <t>IHS_YND_743</t>
  </si>
  <si>
    <t>Ngousso Vallee</t>
  </si>
  <si>
    <t>Mfoundi</t>
  </si>
  <si>
    <t>T2094</t>
  </si>
  <si>
    <t>IHS_BNB_110</t>
  </si>
  <si>
    <t>Bonaminkano Dikolo</t>
  </si>
  <si>
    <t>T3232</t>
  </si>
  <si>
    <t>IHS_YND_767</t>
  </si>
  <si>
    <t>ELOUMDEM CARRIERE</t>
  </si>
  <si>
    <t>Méfou-et-Akono</t>
  </si>
  <si>
    <t>T3230</t>
  </si>
  <si>
    <t>IHS_YND_745</t>
  </si>
  <si>
    <t>Okolo Kilombo</t>
  </si>
  <si>
    <t>T3233</t>
  </si>
  <si>
    <t>IHS_YND_768</t>
  </si>
  <si>
    <t>ELOUMDEN RICHE ANCIEN</t>
  </si>
  <si>
    <t>T2473</t>
  </si>
  <si>
    <t>IHS_BMD_334</t>
  </si>
  <si>
    <t>Bamenda Small Mankon</t>
  </si>
  <si>
    <t>T3235</t>
  </si>
  <si>
    <t>IHS_BNB_107</t>
  </si>
  <si>
    <t>Bonaberi 4 Etages</t>
  </si>
  <si>
    <t>T2563</t>
  </si>
  <si>
    <t>IHS_YND_748</t>
  </si>
  <si>
    <t>Nkoabang Alembe</t>
  </si>
  <si>
    <t>T3236</t>
  </si>
  <si>
    <t>IHS_DLA_515</t>
  </si>
  <si>
    <t>Marche Central 3</t>
  </si>
  <si>
    <t>T3240</t>
  </si>
  <si>
    <t>IHS_YND_771</t>
  </si>
  <si>
    <t>Jouvence Mbenda</t>
  </si>
  <si>
    <t>T3238</t>
  </si>
  <si>
    <t>IHS_BER_294</t>
  </si>
  <si>
    <t>Bertoua mokolo 4</t>
  </si>
  <si>
    <t>Lom-et-Djerem</t>
  </si>
  <si>
    <t>T2590</t>
  </si>
  <si>
    <t>IHS_KSR_120</t>
  </si>
  <si>
    <t>FOTOKOL 3</t>
  </si>
  <si>
    <t>T2591</t>
  </si>
  <si>
    <t>IHS_GAR_348</t>
  </si>
  <si>
    <t>Mbaiboum 2</t>
  </si>
  <si>
    <t>Mayo-Rey</t>
  </si>
  <si>
    <t>T2593</t>
  </si>
  <si>
    <t>IHS_GAR_349</t>
  </si>
  <si>
    <t>Mbang Rey</t>
  </si>
  <si>
    <t>T2594</t>
  </si>
  <si>
    <t>IHS_KSR_121</t>
  </si>
  <si>
    <t>Kousseri- Paguy Residentiel</t>
  </si>
  <si>
    <t>T2453</t>
  </si>
  <si>
    <t>IHS_BAF_328</t>
  </si>
  <si>
    <t>BAFOUSSAM GOUACHE CARREFOUR</t>
  </si>
  <si>
    <t>T2535</t>
  </si>
  <si>
    <t>IHS_DLA_507</t>
  </si>
  <si>
    <t>BWANG BAKOKO</t>
  </si>
  <si>
    <t>T2534</t>
  </si>
  <si>
    <t>IHS_LMB_134</t>
  </si>
  <si>
    <t>Limbe mile 1</t>
  </si>
  <si>
    <t>Fako</t>
  </si>
  <si>
    <t>limbe</t>
  </si>
  <si>
    <t>T2614</t>
  </si>
  <si>
    <t>IHS_DLA_508</t>
  </si>
  <si>
    <t>Japoma Nkolbong</t>
  </si>
  <si>
    <t>CTR_881</t>
  </si>
  <si>
    <t>IHS_YND_736</t>
  </si>
  <si>
    <t>CRF Nkoabang</t>
  </si>
  <si>
    <t>T2538</t>
  </si>
  <si>
    <t>IHS_BNB_112</t>
  </si>
  <si>
    <t>YATO</t>
  </si>
  <si>
    <t>T2617</t>
  </si>
  <si>
    <t>IHS_BNB_106</t>
  </si>
  <si>
    <t>Bomono Ba Mbengue</t>
  </si>
  <si>
    <t>T2309</t>
  </si>
  <si>
    <t>IHS_BER_287</t>
  </si>
  <si>
    <t>Borongo</t>
  </si>
  <si>
    <t>T2504</t>
  </si>
  <si>
    <t>IHS_BAF_329</t>
  </si>
  <si>
    <t>Basseu</t>
  </si>
  <si>
    <t>T2570</t>
  </si>
  <si>
    <t>IHS_YND_749</t>
  </si>
  <si>
    <t>ODZA MINKAN EDIBI ASSI</t>
  </si>
  <si>
    <t>T2620</t>
  </si>
  <si>
    <t>IHS_SGM_114</t>
  </si>
  <si>
    <t>Lele</t>
  </si>
  <si>
    <t>Dja et Lobo</t>
  </si>
  <si>
    <t>T2621</t>
  </si>
  <si>
    <t>IHS_SGM_115</t>
  </si>
  <si>
    <t>NTENYING2</t>
  </si>
  <si>
    <t>Dja-et-Lobo</t>
  </si>
  <si>
    <t>T2624</t>
  </si>
  <si>
    <t>IHS_KRI_123</t>
  </si>
  <si>
    <t>NLENDE DIBE</t>
  </si>
  <si>
    <t>T2626</t>
  </si>
  <si>
    <t>IHS_DLA_510</t>
  </si>
  <si>
    <t>CITE BERGE BLOC9</t>
  </si>
  <si>
    <t>T1670</t>
  </si>
  <si>
    <t>IHS_LMB_135</t>
  </si>
  <si>
    <t>Limbe Mile 3</t>
  </si>
  <si>
    <t>Limbe I</t>
  </si>
  <si>
    <t>T1534</t>
  </si>
  <si>
    <t>IHS_NGD_236</t>
  </si>
  <si>
    <t>Ngaoundere ONAREF</t>
  </si>
  <si>
    <t>Vina</t>
  </si>
  <si>
    <t>Ngoundere 1</t>
  </si>
  <si>
    <t>T2777</t>
  </si>
  <si>
    <t>IHS_YND_770</t>
  </si>
  <si>
    <t>Zili Nkoteng</t>
  </si>
  <si>
    <t>Haute-Sanaga</t>
  </si>
  <si>
    <t>T1621</t>
  </si>
  <si>
    <t>IHS_NGD_238</t>
  </si>
  <si>
    <t>Tela</t>
  </si>
  <si>
    <t>Djerem</t>
  </si>
  <si>
    <t>T1575</t>
  </si>
  <si>
    <t>IHS_GAR_351</t>
  </si>
  <si>
    <t>Garoua Ouro talaka</t>
  </si>
  <si>
    <t>T1578</t>
  </si>
  <si>
    <t>IHS_KSR_122</t>
  </si>
  <si>
    <t>Far north</t>
  </si>
  <si>
    <t>Blangoua 2</t>
  </si>
  <si>
    <t>T3204</t>
  </si>
  <si>
    <t>IHS_BMD_336</t>
  </si>
  <si>
    <t>BAMBILI CAMPUS 2</t>
  </si>
  <si>
    <t>T3206</t>
  </si>
  <si>
    <t>IHS_YND_759</t>
  </si>
  <si>
    <t>Nkolfoulou Tsinga Village</t>
  </si>
  <si>
    <t>T3221</t>
  </si>
  <si>
    <t>IHS_BMD_335</t>
  </si>
  <si>
    <t>BAMENDA MENTEH</t>
  </si>
  <si>
    <t>T3224</t>
  </si>
  <si>
    <t>IHS_BUA_176</t>
  </si>
  <si>
    <t>BUEA SALVATION PHARMACY</t>
  </si>
  <si>
    <t>T3222</t>
  </si>
  <si>
    <t>IHS_BER_293</t>
  </si>
  <si>
    <t>Kentsou Entrance</t>
  </si>
  <si>
    <t>T3208</t>
  </si>
  <si>
    <t>IHS_BER_290</t>
  </si>
  <si>
    <t>Garoua boulai sabal</t>
  </si>
  <si>
    <t>T3223</t>
  </si>
  <si>
    <t>IHS_DLA_513</t>
  </si>
  <si>
    <t>BEPANDA OMNISPORT 2</t>
  </si>
  <si>
    <t>T3207</t>
  </si>
  <si>
    <t>IHS_BUA_178</t>
  </si>
  <si>
    <t>BUEA DIRTY SOUTH</t>
  </si>
  <si>
    <t>T3225</t>
  </si>
  <si>
    <t>IHS_DLA_512</t>
  </si>
  <si>
    <t>TERMINUS BONAMOUSSADI</t>
  </si>
  <si>
    <t>T1657</t>
  </si>
  <si>
    <t>IHS_DLA_516</t>
  </si>
  <si>
    <t>Ngodi Bakoko 2</t>
  </si>
  <si>
    <t>T3226</t>
  </si>
  <si>
    <t>IHS_YND_766</t>
  </si>
  <si>
    <t>Bafia Adm Quater</t>
  </si>
  <si>
    <t>Mbam-et-Inoubou</t>
  </si>
  <si>
    <t>T3229</t>
  </si>
  <si>
    <t>IHS_DLA_514</t>
  </si>
  <si>
    <t>DOUCHE AKWA</t>
  </si>
  <si>
    <t>T3241</t>
  </si>
  <si>
    <t>IHS_BER_295</t>
  </si>
  <si>
    <t>Bertoua Koume VT</t>
  </si>
  <si>
    <t>LOM et DJEREM</t>
  </si>
  <si>
    <t>T3210</t>
  </si>
  <si>
    <t>IHS_BUA_177</t>
  </si>
  <si>
    <t>MOLYKO IYA AVENUE</t>
  </si>
  <si>
    <t>T1675</t>
  </si>
  <si>
    <t>IHS_GAR_354</t>
  </si>
  <si>
    <t>Yoko North</t>
  </si>
  <si>
    <t>T3213</t>
  </si>
  <si>
    <t>IHS_YND_760</t>
  </si>
  <si>
    <t>Yaounde Ebang Pesage</t>
  </si>
  <si>
    <t>T1677</t>
  </si>
  <si>
    <t>IHS_KSR_123</t>
  </si>
  <si>
    <t>Tide Goulfey</t>
  </si>
  <si>
    <t>T3214</t>
  </si>
  <si>
    <t>IHS_YND_761</t>
  </si>
  <si>
    <t>Djonassi-Yde</t>
  </si>
  <si>
    <t>T3216</t>
  </si>
  <si>
    <t>IHS_YND_762</t>
  </si>
  <si>
    <t xml:space="preserve">Nkolfon Cimencam </t>
  </si>
  <si>
    <t>T1787</t>
  </si>
  <si>
    <t>IHS_MAR_398</t>
  </si>
  <si>
    <t>Tagawa</t>
  </si>
  <si>
    <t>T3217</t>
  </si>
  <si>
    <t>IHS_YND_763</t>
  </si>
  <si>
    <t>Nkolbisson usines des eaux 2</t>
  </si>
  <si>
    <t>T1885</t>
  </si>
  <si>
    <t>IHS_NGD_237</t>
  </si>
  <si>
    <t>Bingari</t>
  </si>
  <si>
    <t>T3218</t>
  </si>
  <si>
    <t>IHS_BNB_108</t>
  </si>
  <si>
    <t>Ndobo Excellence</t>
  </si>
  <si>
    <t>T3220</t>
  </si>
  <si>
    <t>IHS_YND_765</t>
  </si>
  <si>
    <t>MBALNGONG LYCEE</t>
  </si>
  <si>
    <t>T3203</t>
  </si>
  <si>
    <t>IHS_BER_289</t>
  </si>
  <si>
    <t>Yokadouma 3</t>
  </si>
  <si>
    <t>T1943</t>
  </si>
  <si>
    <t>IHS_MBD_020</t>
  </si>
  <si>
    <t>Kombou Tonchi</t>
  </si>
  <si>
    <t>BAMBOUTOS</t>
  </si>
  <si>
    <t>T1947</t>
  </si>
  <si>
    <t>IHS_NGD_240</t>
  </si>
  <si>
    <t>Labare</t>
  </si>
  <si>
    <t>Mayo-Banyo</t>
  </si>
  <si>
    <t>T1952</t>
  </si>
  <si>
    <t>IHS_MBG_032</t>
  </si>
  <si>
    <t>Mbanga Mouyouka</t>
  </si>
  <si>
    <t>T2775</t>
  </si>
  <si>
    <t>IHS_KMB_128</t>
  </si>
  <si>
    <t>Nchemba II</t>
  </si>
  <si>
    <t>T2784</t>
  </si>
  <si>
    <t>IHS_SGM_118</t>
  </si>
  <si>
    <t>Djoum-Atok</t>
  </si>
  <si>
    <t>T2754</t>
  </si>
  <si>
    <t>IHS_SGM_117</t>
  </si>
  <si>
    <t>south</t>
  </si>
  <si>
    <t>Sangmelima Nloup</t>
  </si>
  <si>
    <t>T2755</t>
  </si>
  <si>
    <t>IHS_YND_774</t>
  </si>
  <si>
    <t>AKOMETAM</t>
  </si>
  <si>
    <t>Nyong et So'o</t>
  </si>
  <si>
    <t>T2757</t>
  </si>
  <si>
    <t>IHS_BER_298</t>
  </si>
  <si>
    <t>Ndamano</t>
  </si>
  <si>
    <t>T2128</t>
  </si>
  <si>
    <t>IHS_SGM_120</t>
  </si>
  <si>
    <t>Sanglou</t>
  </si>
  <si>
    <t>T2802</t>
  </si>
  <si>
    <t>IHS_BER_299</t>
  </si>
  <si>
    <t>Sangale</t>
  </si>
  <si>
    <t>kadey</t>
  </si>
  <si>
    <t>T2440</t>
  </si>
  <si>
    <t>IHS_SGM_121</t>
  </si>
  <si>
    <t>EVELESSI</t>
  </si>
  <si>
    <t>T2695</t>
  </si>
  <si>
    <t>IHS_SGM_119</t>
  </si>
  <si>
    <t>MENGBWA CAMTEL</t>
  </si>
  <si>
    <t>Zoetelle</t>
  </si>
  <si>
    <t>T2783</t>
  </si>
  <si>
    <t>IHS_SGM_122</t>
  </si>
  <si>
    <t>NGOLBANG</t>
  </si>
  <si>
    <t>T2502</t>
  </si>
  <si>
    <t>IHS_YND_781</t>
  </si>
  <si>
    <t>BIBOMDJIDJIEL</t>
  </si>
  <si>
    <t>Nyong et kéllé</t>
  </si>
  <si>
    <t>Ngog-Mapubi</t>
  </si>
  <si>
    <t>T2528</t>
  </si>
  <si>
    <t>IHS_YND_782</t>
  </si>
  <si>
    <t>Minkama</t>
  </si>
  <si>
    <t>Lékié</t>
  </si>
  <si>
    <t>T2192</t>
  </si>
  <si>
    <t>IHS_YND_783</t>
  </si>
  <si>
    <t>Lobo 2</t>
  </si>
  <si>
    <t>LEKIE</t>
  </si>
  <si>
    <t>T3244</t>
  </si>
  <si>
    <t>IHS_BER_301</t>
  </si>
  <si>
    <t xml:space="preserve">Batouri Sambo 2 Scierie </t>
  </si>
  <si>
    <t>T2412</t>
  </si>
  <si>
    <t>IHS_BAF_331</t>
  </si>
  <si>
    <t>Nkep</t>
  </si>
  <si>
    <t>Bangou</t>
  </si>
  <si>
    <t>T3556</t>
  </si>
  <si>
    <t>IHS_KRI_124</t>
  </si>
  <si>
    <t>Kribi Carrefourt Kingue</t>
  </si>
  <si>
    <t>T2619</t>
  </si>
  <si>
    <t>IHS_SGM_124</t>
  </si>
  <si>
    <t>Kpwe</t>
  </si>
  <si>
    <t>Sagmelima</t>
  </si>
  <si>
    <t>T3280</t>
  </si>
  <si>
    <t>IHS_BNB_114</t>
  </si>
  <si>
    <t>T3273</t>
  </si>
  <si>
    <t>IHS_KMB_130</t>
  </si>
  <si>
    <t>Nkikoh</t>
  </si>
  <si>
    <t>T4503</t>
  </si>
  <si>
    <t>IHS_BMD_341</t>
  </si>
  <si>
    <t>Pinyin Menka quarter</t>
  </si>
  <si>
    <t>T4865</t>
  </si>
  <si>
    <t>IHS_MAR_400</t>
  </si>
  <si>
    <t>Boudoum</t>
  </si>
  <si>
    <t>T4637</t>
  </si>
  <si>
    <t>IHS_DCG_031</t>
  </si>
  <si>
    <t>Fotsem Lessing</t>
  </si>
  <si>
    <t>T4870</t>
  </si>
  <si>
    <t>IHS_MAR_401</t>
  </si>
  <si>
    <t>Gnibango</t>
  </si>
  <si>
    <t>T4709</t>
  </si>
  <si>
    <t>IHS_MAR_402</t>
  </si>
  <si>
    <t>FADARE</t>
  </si>
  <si>
    <t>T4687</t>
  </si>
  <si>
    <t>IHS_MAR_403</t>
  </si>
  <si>
    <t>Djowde</t>
  </si>
  <si>
    <t>T4667</t>
  </si>
  <si>
    <t>IHS_MAR_406</t>
  </si>
  <si>
    <t>Matfay Djogobe</t>
  </si>
  <si>
    <t> Mayo Tshanaga</t>
  </si>
  <si>
    <t> Mokolo</t>
  </si>
  <si>
    <t>T4946</t>
  </si>
  <si>
    <t>IHS_MAR_405</t>
  </si>
  <si>
    <t>Goulmoun</t>
  </si>
  <si>
    <t>T4947</t>
  </si>
  <si>
    <t>IHS_KSR_125</t>
  </si>
  <si>
    <t>Kalakfra</t>
  </si>
  <si>
    <t>T4924</t>
  </si>
  <si>
    <t>IHS_MAR_404</t>
  </si>
  <si>
    <t>Gouzouboumlam</t>
  </si>
  <si>
    <t>T4972</t>
  </si>
  <si>
    <t>IHS_KSR_126</t>
  </si>
  <si>
    <t>Bourgouma</t>
  </si>
  <si>
    <t>T4803</t>
  </si>
  <si>
    <t>IHS_BMD_342</t>
  </si>
  <si>
    <t>Waikov</t>
  </si>
  <si>
    <t>T4859</t>
  </si>
  <si>
    <t>IHS_BMD_343</t>
  </si>
  <si>
    <t>Wossing</t>
  </si>
  <si>
    <t>T4680</t>
  </si>
  <si>
    <t>IHS_BMD_345</t>
  </si>
  <si>
    <t>Koubokam</t>
  </si>
  <si>
    <t>T4640</t>
  </si>
  <si>
    <t>IHS_BMD_346</t>
  </si>
  <si>
    <t>Bamali</t>
  </si>
  <si>
    <t> Ngoketunjia</t>
  </si>
  <si>
    <t>T4636</t>
  </si>
  <si>
    <t>IHS_MBD_021</t>
  </si>
  <si>
    <t>BAMENGHUIE2</t>
  </si>
  <si>
    <t>Bafoussam 1</t>
  </si>
  <si>
    <t>T4647</t>
  </si>
  <si>
    <t>IHS_DCG_105</t>
  </si>
  <si>
    <t>Bani Baloum</t>
  </si>
  <si>
    <t>T4872</t>
  </si>
  <si>
    <t>IHS_BMD_347</t>
  </si>
  <si>
    <t>NDZENG</t>
  </si>
  <si>
    <t>T4873</t>
  </si>
  <si>
    <t>IHS_BMD_348</t>
  </si>
  <si>
    <t>TAKUI</t>
  </si>
  <si>
    <t>T4849</t>
  </si>
  <si>
    <t>IHS_BUA_182</t>
  </si>
  <si>
    <t>Mondoni native</t>
  </si>
  <si>
    <t>T4575</t>
  </si>
  <si>
    <t>IHS_BMD_349</t>
  </si>
  <si>
    <t>Alabukam Mankon</t>
  </si>
  <si>
    <t>T4559</t>
  </si>
  <si>
    <t>IHS_BMD_350</t>
  </si>
  <si>
    <t>Makanikong Palace</t>
  </si>
  <si>
    <t>T1430</t>
  </si>
  <si>
    <t>IHS_YND_790</t>
  </si>
  <si>
    <t xml:space="preserve">TRB Centre ville </t>
  </si>
  <si>
    <t>Essos</t>
  </si>
  <si>
    <t>T1574</t>
  </si>
  <si>
    <t>IHS_NGD_245</t>
  </si>
  <si>
    <t>Meiganga Pitoa</t>
  </si>
  <si>
    <t>T1000</t>
  </si>
  <si>
    <t>IHS_BMD_352</t>
  </si>
  <si>
    <t>Bamenda Balewa</t>
  </si>
  <si>
    <t>T1001</t>
  </si>
  <si>
    <t>IHS_BUA_183</t>
  </si>
  <si>
    <t>Buea Campaing street</t>
  </si>
  <si>
    <t>T1048</t>
  </si>
  <si>
    <t>IHS_BMD_353</t>
  </si>
  <si>
    <t>Bamenda GRA 2</t>
  </si>
  <si>
    <t>T1106</t>
  </si>
  <si>
    <t>IHS_BMD_354</t>
  </si>
  <si>
    <t>Bamenda Sacred Heart</t>
  </si>
  <si>
    <t>T1159</t>
  </si>
  <si>
    <t>IHS_BUA_184</t>
  </si>
  <si>
    <t>MUTENGENE ATLANTA STREET</t>
  </si>
  <si>
    <t>MUTENGENE</t>
  </si>
  <si>
    <t>T1163</t>
  </si>
  <si>
    <t>IHS_BNB_115</t>
  </si>
  <si>
    <t>BONABERI 105 GABONAIS</t>
  </si>
  <si>
    <t>T1193</t>
  </si>
  <si>
    <t>IHS_LMB_136</t>
  </si>
  <si>
    <t>Limbe Calvary church</t>
  </si>
  <si>
    <t>LIMBE</t>
  </si>
  <si>
    <t>T1196</t>
  </si>
  <si>
    <t>IHS_DLA_527</t>
  </si>
  <si>
    <t>Logpom hospital roundabout</t>
  </si>
  <si>
    <t>T1198</t>
  </si>
  <si>
    <t>IHS_YND_791</t>
  </si>
  <si>
    <t>Nomayos montee Meche</t>
  </si>
  <si>
    <t>MEFOU-ET-AKON</t>
  </si>
  <si>
    <t>Yaounde 3</t>
  </si>
  <si>
    <t>T1200</t>
  </si>
  <si>
    <t>IHS_DLA_518</t>
  </si>
  <si>
    <t>Bonawang</t>
  </si>
  <si>
    <t>T1223</t>
  </si>
  <si>
    <t>IHS_KMB_133</t>
  </si>
  <si>
    <t>Kumba Danikash</t>
  </si>
  <si>
    <t>KUMBA</t>
  </si>
  <si>
    <t>T1224</t>
  </si>
  <si>
    <t>IHS_DLA_519</t>
  </si>
  <si>
    <t>Mbanga Bakoko2</t>
  </si>
  <si>
    <t>T1225</t>
  </si>
  <si>
    <t>IHS_DLA_526</t>
  </si>
  <si>
    <t>Bois des singes 2</t>
  </si>
  <si>
    <t>T1227</t>
  </si>
  <si>
    <t>IHS_DLA_521</t>
  </si>
  <si>
    <t>YATCHIEKA BLOC 55</t>
  </si>
  <si>
    <t>T1229</t>
  </si>
  <si>
    <t>IHS_BUA_185</t>
  </si>
  <si>
    <t>Tiko main market</t>
  </si>
  <si>
    <t>T1230</t>
  </si>
  <si>
    <t>IHS_DLA_522</t>
  </si>
  <si>
    <t>PAPAS Moutongo</t>
  </si>
  <si>
    <t> DOUALA 3</t>
  </si>
  <si>
    <t>T1232</t>
  </si>
  <si>
    <t>IHS_YND_792</t>
  </si>
  <si>
    <t>NKOABANG NKOLO 3</t>
  </si>
  <si>
    <t>T1236</t>
  </si>
  <si>
    <t>IHS_YND_793</t>
  </si>
  <si>
    <t>Eloumdem stade</t>
  </si>
  <si>
    <t>T1237</t>
  </si>
  <si>
    <t>IHS_BNB_116</t>
  </si>
  <si>
    <t>BONAMINKANO MPANJO</t>
  </si>
  <si>
    <t>T1240</t>
  </si>
  <si>
    <t>IHS_DLA_525</t>
  </si>
  <si>
    <t>JAPOMA GRAND MERE</t>
  </si>
  <si>
    <t>T1241</t>
  </si>
  <si>
    <t>IHS_YND_794</t>
  </si>
  <si>
    <t>Nkoulou Carriere carrefourt</t>
  </si>
  <si>
    <t>T1243</t>
  </si>
  <si>
    <t>IHS_YND_795</t>
  </si>
  <si>
    <t>Lada I Yde</t>
  </si>
  <si>
    <t>T1244</t>
  </si>
  <si>
    <t>IHS_YND_796</t>
  </si>
  <si>
    <t>Nkoabang Ebolmedjock</t>
  </si>
  <si>
    <t>T1247</t>
  </si>
  <si>
    <t>IHS_LMB_137</t>
  </si>
  <si>
    <t>Limbe Mabeta Park</t>
  </si>
  <si>
    <t>T1248</t>
  </si>
  <si>
    <t>IHS_YND_797</t>
  </si>
  <si>
    <t>Fouda rue des généraux</t>
  </si>
  <si>
    <t>Essos 1</t>
  </si>
  <si>
    <t>T1249</t>
  </si>
  <si>
    <t>IHS_YND_798</t>
  </si>
  <si>
    <t>AKAK Nkozoa</t>
  </si>
  <si>
    <t>MEFOU-ET-AFAMBA</t>
  </si>
  <si>
    <t>T1250</t>
  </si>
  <si>
    <t>IHS_YND_799</t>
  </si>
  <si>
    <t>Messassi Ngonlonk</t>
  </si>
  <si>
    <t>Manguier 2</t>
  </si>
  <si>
    <t>T1257</t>
  </si>
  <si>
    <t>IHS_YND_800</t>
  </si>
  <si>
    <t>ODZA CITE MBIA</t>
  </si>
  <si>
    <t>Tropicana 1</t>
  </si>
  <si>
    <t>T1266</t>
  </si>
  <si>
    <t>IHS_YND_801</t>
  </si>
  <si>
    <t>HOPITAL GENERAL RAIL YDE</t>
  </si>
  <si>
    <t>Manguier 1</t>
  </si>
  <si>
    <t>T1278</t>
  </si>
  <si>
    <t>IHS_YND_802</t>
  </si>
  <si>
    <t>NYOM FACE MAETUR</t>
  </si>
  <si>
    <t>T1282</t>
  </si>
  <si>
    <t>IHS_YND_803</t>
  </si>
  <si>
    <t>Etoug ebe biscuiterie</t>
  </si>
  <si>
    <t>Mendong 1</t>
  </si>
  <si>
    <t>T1286</t>
  </si>
  <si>
    <t>IHS_BAF_332</t>
  </si>
  <si>
    <t>Bangoulap</t>
  </si>
  <si>
    <t>bangangte </t>
  </si>
  <si>
    <t>T1304</t>
  </si>
  <si>
    <t>IHS_KMB_134</t>
  </si>
  <si>
    <t>KUMBA EXCELSOR SCHOOL</t>
  </si>
  <si>
    <t>T1306</t>
  </si>
  <si>
    <t>IHS_BER_303</t>
  </si>
  <si>
    <t>Garoua Boulai Yokosiré</t>
  </si>
  <si>
    <t>T1315</t>
  </si>
  <si>
    <t>IHS_BER_304</t>
  </si>
  <si>
    <t>Bertoua 2 Catholic church</t>
  </si>
  <si>
    <t>T1318</t>
  </si>
  <si>
    <t>IHS_BER_305</t>
  </si>
  <si>
    <t>Batouri admin qter</t>
  </si>
  <si>
    <t>KADEY </t>
  </si>
  <si>
    <t> Batouri</t>
  </si>
  <si>
    <t>T1355</t>
  </si>
  <si>
    <t>IHS_BER_306</t>
  </si>
  <si>
    <t>Batouri Kambele</t>
  </si>
  <si>
    <t> KADEY</t>
  </si>
  <si>
    <t>T1366</t>
  </si>
  <si>
    <t>IHS_YND_804</t>
  </si>
  <si>
    <t>BEATITUDE ENTRÉE PAVE</t>
  </si>
  <si>
    <t>T1367</t>
  </si>
  <si>
    <t>IHS_YND_805</t>
  </si>
  <si>
    <t>Behind P T school Yde</t>
  </si>
  <si>
    <t>T1368</t>
  </si>
  <si>
    <t>IHS_BER_307</t>
  </si>
  <si>
    <t>Ndokayo 2</t>
  </si>
  <si>
    <t>Garoua boulai</t>
  </si>
  <si>
    <t>Lom et Djerem</t>
  </si>
  <si>
    <t>T1371</t>
  </si>
  <si>
    <t>IHS_YND_806</t>
  </si>
  <si>
    <t>Montée Ekounou</t>
  </si>
  <si>
    <t>T1375</t>
  </si>
  <si>
    <t>IHS_BAF_333</t>
  </si>
  <si>
    <t>WEST</t>
  </si>
  <si>
    <t>BAFOUSSAM BANENGO GBHS</t>
  </si>
  <si>
    <t>T1377</t>
  </si>
  <si>
    <t>IHS_YND_807</t>
  </si>
  <si>
    <t>Ahala Echangeur</t>
  </si>
  <si>
    <t>T1379</t>
  </si>
  <si>
    <t>IHS_BER_308</t>
  </si>
  <si>
    <t>Mandjou Lycee technique</t>
  </si>
  <si>
    <t>Mandjou </t>
  </si>
  <si>
    <t>T1386</t>
  </si>
  <si>
    <t>IHS_NGD_246</t>
  </si>
  <si>
    <t>Banyo Wouroum</t>
  </si>
  <si>
    <t>Banyo </t>
  </si>
  <si>
    <t>Mayo Banyo </t>
  </si>
  <si>
    <t>T1404</t>
  </si>
  <si>
    <t>IHS_KSR_127</t>
  </si>
  <si>
    <t>Kousseri Babou</t>
  </si>
  <si>
    <t>logone and chari</t>
  </si>
  <si>
    <t>T1407</t>
  </si>
  <si>
    <t>IHS_EBO_030</t>
  </si>
  <si>
    <t xml:space="preserve">Ebolowa university </t>
  </si>
  <si>
    <t>EBOLOWA 2</t>
  </si>
  <si>
    <t>T1417</t>
  </si>
  <si>
    <t>IHS_FBN_111</t>
  </si>
  <si>
    <t>FOUMBAN KOUNGA ENTRANCE</t>
  </si>
  <si>
    <t>T1433</t>
  </si>
  <si>
    <t>IHS_NGD_247</t>
  </si>
  <si>
    <t>BANKIM WATER TANK</t>
  </si>
  <si>
    <t>foumban</t>
  </si>
  <si>
    <t>T1439</t>
  </si>
  <si>
    <t>IHS_BMD_355</t>
  </si>
  <si>
    <t>NKONTCHEP</t>
  </si>
  <si>
    <t>T1464</t>
  </si>
  <si>
    <t>IHS_DLA_524</t>
  </si>
  <si>
    <t>Ndokiti</t>
  </si>
  <si>
    <t> NKAM</t>
  </si>
  <si>
    <t>T1491</t>
  </si>
  <si>
    <t>IHS_YND_808</t>
  </si>
  <si>
    <t>Mbankolo petit paris</t>
  </si>
  <si>
    <t>T1508</t>
  </si>
  <si>
    <t>IHS_NGD_248</t>
  </si>
  <si>
    <t>Dir Dobori</t>
  </si>
  <si>
    <t>Mbere</t>
  </si>
  <si>
    <t>T1538</t>
  </si>
  <si>
    <t>IHS_NGD_249</t>
  </si>
  <si>
    <t>Goro Bekaski</t>
  </si>
  <si>
    <t>T1561</t>
  </si>
  <si>
    <t>IHS_NGD_250</t>
  </si>
  <si>
    <t>Mbarnang</t>
  </si>
  <si>
    <t> Djerem</t>
  </si>
  <si>
    <t> Ngaoundal</t>
  </si>
  <si>
    <t>T5030</t>
  </si>
  <si>
    <t>IHS_BMD_356</t>
  </si>
  <si>
    <t>Sajocah</t>
  </si>
  <si>
    <t>T5034</t>
  </si>
  <si>
    <t>IHS_FBN_112</t>
  </si>
  <si>
    <t>Koutie</t>
  </si>
  <si>
    <t>T5035</t>
  </si>
  <si>
    <t>IHS_DCG_106</t>
  </si>
  <si>
    <t>Fonakeukeu</t>
  </si>
  <si>
    <t>Foukoue</t>
  </si>
  <si>
    <t>T5036</t>
  </si>
  <si>
    <t>IHS_MBD_023</t>
  </si>
  <si>
    <t>Kanapi</t>
  </si>
  <si>
    <t>Bamboutos</t>
  </si>
  <si>
    <t>T5037</t>
  </si>
  <si>
    <t>IHS_MBD_024</t>
  </si>
  <si>
    <t>Balepo</t>
  </si>
  <si>
    <t>T5038</t>
  </si>
  <si>
    <t>IHS_MBD_022</t>
  </si>
  <si>
    <t>Bamenjo</t>
  </si>
  <si>
    <t>T5039</t>
  </si>
  <si>
    <t>IHS_FBN_113</t>
  </si>
  <si>
    <t>Foyet</t>
  </si>
  <si>
    <t>T5040</t>
  </si>
  <si>
    <t>IHS_YND_810</t>
  </si>
  <si>
    <t>Carrefour Ayissi Ele</t>
  </si>
  <si>
    <t>T5029</t>
  </si>
  <si>
    <t>IHS_BMD_357</t>
  </si>
  <si>
    <t>Weh</t>
  </si>
  <si>
    <t>T5041</t>
  </si>
  <si>
    <t>IHS_YND_809</t>
  </si>
  <si>
    <t>Nkol-Mebanga</t>
  </si>
  <si>
    <t>T5020</t>
  </si>
  <si>
    <t>IHS_DCG_107</t>
  </si>
  <si>
    <t>Nteingue (marche des plantains)</t>
  </si>
  <si>
    <t>T2718</t>
  </si>
  <si>
    <t>IHS_KRI_125</t>
  </si>
  <si>
    <t>BOKOUKOUALA</t>
  </si>
  <si>
    <t>T2687</t>
  </si>
  <si>
    <t>IHS_KRI_126</t>
  </si>
  <si>
    <t>KRIBI LOBE SINOSTEEL</t>
  </si>
  <si>
    <t>T1960</t>
  </si>
  <si>
    <t>IHS_DLA_530</t>
  </si>
  <si>
    <t>LOGBESSOU PLATEAU 2</t>
  </si>
  <si>
    <t>T2637</t>
  </si>
  <si>
    <t>IHS_SGM_125</t>
  </si>
  <si>
    <t>ODING</t>
  </si>
  <si>
    <t>T1962</t>
  </si>
  <si>
    <t>IHS_BUA_186</t>
  </si>
  <si>
    <t>BUEA CATHEDRAL</t>
  </si>
  <si>
    <t>T5027</t>
  </si>
  <si>
    <t>IHS_DLA_528</t>
  </si>
  <si>
    <t>Siga Bonje</t>
  </si>
  <si>
    <t>T4303</t>
  </si>
  <si>
    <t>IHS_YND_811</t>
  </si>
  <si>
    <t>NKENGUE</t>
  </si>
  <si>
    <t>T3134</t>
  </si>
  <si>
    <t>IHS_DLA_529</t>
  </si>
  <si>
    <t>Makepe-Chefferie OCM</t>
  </si>
  <si>
    <t>T1722</t>
  </si>
  <si>
    <t>IHS_DLA_278</t>
  </si>
  <si>
    <t>BONAMOUTONGO</t>
  </si>
  <si>
    <t>T2253</t>
  </si>
  <si>
    <t>IHS_BMD_359</t>
  </si>
  <si>
    <t>Bamenda Pinyi Quarter</t>
  </si>
  <si>
    <t>T2261</t>
  </si>
  <si>
    <t>IHS_BMD_361</t>
  </si>
  <si>
    <t>Bamenda Mbomassa</t>
  </si>
  <si>
    <t>T2424</t>
  </si>
  <si>
    <t>IHS_BER_309</t>
  </si>
  <si>
    <t>Batouri Kambolepi</t>
  </si>
  <si>
    <t>T2917</t>
  </si>
  <si>
    <t>IHS_DLA_535</t>
  </si>
  <si>
    <t>Mbanga Bakoko 3</t>
  </si>
  <si>
    <t>T2434</t>
  </si>
  <si>
    <t>IHS_YND_812</t>
  </si>
  <si>
    <t>Ntui Prison</t>
  </si>
  <si>
    <t>T2051</t>
  </si>
  <si>
    <t>IHS_MBG_033</t>
  </si>
  <si>
    <t>MBANGA Q4</t>
  </si>
  <si>
    <t>T1998</t>
  </si>
  <si>
    <t>IHS_DLA_532</t>
  </si>
  <si>
    <t>YASSA GREEN HOUSE</t>
  </si>
  <si>
    <t>T2085</t>
  </si>
  <si>
    <t>IHS_DLA_534</t>
  </si>
  <si>
    <t>LENDI RUE DUPLEX</t>
  </si>
  <si>
    <t>T2700</t>
  </si>
  <si>
    <t>IHS_DLA_538</t>
  </si>
  <si>
    <t>SODIKO VILLAGE</t>
  </si>
  <si>
    <t>T2748</t>
  </si>
  <si>
    <t>IHS_DLA_539</t>
  </si>
  <si>
    <t>BWANG BAKOKO 2</t>
  </si>
  <si>
    <t>T2266</t>
  </si>
  <si>
    <t>IHS_BMD_362</t>
  </si>
  <si>
    <t>Bamenda Belem Shumas</t>
  </si>
  <si>
    <t>T2550</t>
  </si>
  <si>
    <t>IHS_EDA_061</t>
  </si>
  <si>
    <t>EDEA BISSEKE MARKET</t>
  </si>
  <si>
    <t>SANAGA MARITIME</t>
  </si>
  <si>
    <t>T2099</t>
  </si>
  <si>
    <t>IHS_GAR_127</t>
  </si>
  <si>
    <t>Touboro Ville 2</t>
  </si>
  <si>
    <t>T2247</t>
  </si>
  <si>
    <t>IHS_BMD_363</t>
  </si>
  <si>
    <t>Bamenda 2 council</t>
  </si>
  <si>
    <t>T2215</t>
  </si>
  <si>
    <t>IHS_BFG_022</t>
  </si>
  <si>
    <t>Vallee de Bana</t>
  </si>
  <si>
    <t>T1929</t>
  </si>
  <si>
    <t>IHS_MAR_093</t>
  </si>
  <si>
    <t>Mora 5</t>
  </si>
  <si>
    <t>T1913</t>
  </si>
  <si>
    <t>IHS_GAR_129</t>
  </si>
  <si>
    <t>Guider 4</t>
  </si>
  <si>
    <t>T2258</t>
  </si>
  <si>
    <t>IHS_BMD_358</t>
  </si>
  <si>
    <t>Bamenda Army Camp</t>
  </si>
  <si>
    <t>T1972</t>
  </si>
  <si>
    <t>IHS_BAF_073</t>
  </si>
  <si>
    <t>Bafoussam Banengo II</t>
  </si>
  <si>
    <t>T1895</t>
  </si>
  <si>
    <t>IHS_NGD_106</t>
  </si>
  <si>
    <t>Tibati 3</t>
  </si>
  <si>
    <t>T2057</t>
  </si>
  <si>
    <t>IHS_DLA_533</t>
  </si>
  <si>
    <t>Nyalla Happiness garden</t>
  </si>
  <si>
    <t>T2250</t>
  </si>
  <si>
    <t>IHS_BMD_360</t>
  </si>
  <si>
    <t>North west</t>
  </si>
  <si>
    <t>BAMENDA Mancho Street</t>
  </si>
  <si>
    <t>T2993</t>
  </si>
  <si>
    <t>IHS_GAR_128</t>
  </si>
  <si>
    <t>NORTH</t>
  </si>
  <si>
    <t>Doumo Ville 2</t>
  </si>
  <si>
    <t>GUIDER</t>
  </si>
  <si>
    <t>MAYO LOTI</t>
  </si>
  <si>
    <t>T2556</t>
  </si>
  <si>
    <t>IHS_LMB_030</t>
  </si>
  <si>
    <t>Tiko Holfoth Layout</t>
  </si>
  <si>
    <t>T2082</t>
  </si>
  <si>
    <t>IHS_DLA_536</t>
  </si>
  <si>
    <t>Bonamoutongo 2</t>
  </si>
  <si>
    <t>T1857</t>
  </si>
  <si>
    <t>IHS_DLA_531</t>
  </si>
  <si>
    <t>Ndogpassi Chateau</t>
  </si>
  <si>
    <t>T2065</t>
  </si>
  <si>
    <t>IHS_NGD_104</t>
  </si>
  <si>
    <t>Ngaoundere Logement Sociaux</t>
  </si>
  <si>
    <t>T2130</t>
  </si>
  <si>
    <t>IHS_GAR_126</t>
  </si>
  <si>
    <t>Hopital Regional Garoua</t>
  </si>
  <si>
    <t>MAYO-HOURNA</t>
  </si>
  <si>
    <t>T2080</t>
  </si>
  <si>
    <t>IHS_KRI_030</t>
  </si>
  <si>
    <t>SOUTH</t>
  </si>
  <si>
    <t>KRIBI CHEFFERIE MAOVE</t>
  </si>
  <si>
    <t>KRIBI II</t>
  </si>
  <si>
    <t>T2058</t>
  </si>
  <si>
    <t>IHS_NGD_107</t>
  </si>
  <si>
    <t>Galim Tignere 2</t>
  </si>
  <si>
    <t>FARO ET DEO</t>
  </si>
  <si>
    <t>T1967</t>
  </si>
  <si>
    <t>IHS_DLA_537</t>
  </si>
  <si>
    <t>LITTORAL</t>
  </si>
  <si>
    <t>YATCHIEKA CHEFFERIE</t>
  </si>
  <si>
    <t>T1390</t>
  </si>
  <si>
    <t>IHS_DLA_404</t>
  </si>
  <si>
    <t>Bonaberi Magzi</t>
  </si>
  <si>
    <t>T2793</t>
  </si>
  <si>
    <t>IHS_LMB_031</t>
  </si>
  <si>
    <t>BITINGUI</t>
  </si>
  <si>
    <t>T1897</t>
  </si>
  <si>
    <t>IHS_NGD_105</t>
  </si>
  <si>
    <t>Ngaoundal Entrance</t>
  </si>
  <si>
    <t>T2059</t>
  </si>
  <si>
    <t>IHS_MBG_034</t>
  </si>
  <si>
    <t>LOUM COUNCIL</t>
  </si>
  <si>
    <t>T1975</t>
  </si>
  <si>
    <t>IHS_KSR_128</t>
  </si>
  <si>
    <t>KOUSSERI 3</t>
  </si>
  <si>
    <t>kousseri</t>
  </si>
  <si>
    <t>T2410</t>
  </si>
  <si>
    <t>IHS_BNB_117</t>
  </si>
  <si>
    <t>BEKOKO ECHANGEUR</t>
  </si>
  <si>
    <t>T2661</t>
  </si>
  <si>
    <t>IHS_DLA_543</t>
  </si>
  <si>
    <t>JAPOMA VILLAGE</t>
  </si>
  <si>
    <t>Nylon OCM new</t>
  </si>
  <si>
    <t>Étiquettes de lignes</t>
  </si>
  <si>
    <t>Total général</t>
  </si>
  <si>
    <t>Nombre de Town</t>
  </si>
  <si>
    <t>Nombre de Access Status</t>
  </si>
  <si>
    <t>(Plusieurs éléments)</t>
  </si>
  <si>
    <t xml:space="preserve">Base line per day </t>
  </si>
  <si>
    <t>Kribi &amp; Edea</t>
  </si>
  <si>
    <t>Dschang &amp; Kongsamba</t>
  </si>
  <si>
    <t xml:space="preserve">Sites Count </t>
  </si>
  <si>
    <t>Étiquettes de colonnes</t>
  </si>
  <si>
    <t xml:space="preserve">Normal Access </t>
  </si>
  <si>
    <t>Green Zone</t>
  </si>
  <si>
    <t>Total</t>
  </si>
  <si>
    <t>Region</t>
  </si>
  <si>
    <t>Teams planned</t>
  </si>
  <si>
    <t xml:space="preserve">Weekly Target </t>
  </si>
  <si>
    <t xml:space="preserve">Planned End date </t>
  </si>
  <si>
    <t xml:space="preserve">Planned Start  date </t>
  </si>
  <si>
    <t xml:space="preserve">Total Number of Sites </t>
  </si>
  <si>
    <t xml:space="preserve">Number of Teams </t>
  </si>
  <si>
    <t>Average Site Audit per day</t>
  </si>
  <si>
    <t xml:space="preserve">Weekly target </t>
  </si>
  <si>
    <t xml:space="preserve">Project End Date </t>
  </si>
  <si>
    <t xml:space="preserve">Project Start date </t>
  </si>
  <si>
    <t xml:space="preserve">Number of weeks required </t>
  </si>
  <si>
    <t xml:space="preserve">IHS SITES AUDIT SUMMARY PLAN </t>
  </si>
  <si>
    <t>SBC</t>
  </si>
  <si>
    <t>Cluenatic (Patrick Ehimeare)</t>
  </si>
  <si>
    <t>SBC3</t>
  </si>
  <si>
    <t>SBC1 &amp; SBC2</t>
  </si>
  <si>
    <t>SBC1</t>
  </si>
  <si>
    <t>SBC2</t>
  </si>
  <si>
    <t>Week 1</t>
  </si>
  <si>
    <t xml:space="preserve">Total number of Sites </t>
  </si>
  <si>
    <t>Week 2</t>
  </si>
  <si>
    <t>Week 3</t>
  </si>
  <si>
    <t>Week 4</t>
  </si>
  <si>
    <t>Week 5</t>
  </si>
  <si>
    <t>Week 6</t>
  </si>
  <si>
    <t>Week 7</t>
  </si>
  <si>
    <t>Week 8</t>
  </si>
  <si>
    <t>Weekly target</t>
  </si>
  <si>
    <t>IHS SITE AUDIT PIP</t>
  </si>
  <si>
    <t>Weekly Target</t>
  </si>
  <si>
    <t xml:space="preserve">Achieved </t>
  </si>
  <si>
    <t>GAP</t>
  </si>
  <si>
    <t xml:space="preserve">Legend : </t>
  </si>
  <si>
    <t>Free day</t>
  </si>
  <si>
    <t>Travelling time</t>
  </si>
  <si>
    <t>Delivery period</t>
  </si>
  <si>
    <t>SBC4</t>
  </si>
  <si>
    <t xml:space="preserve">SBC Name </t>
  </si>
  <si>
    <t>Dates</t>
  </si>
  <si>
    <t>Weeks</t>
  </si>
  <si>
    <t>PIP/Region 2</t>
  </si>
  <si>
    <t>PIP/Region 1</t>
  </si>
  <si>
    <t>ROM2 (ROSTAND)</t>
  </si>
  <si>
    <t>ROM1 (IVAN)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</si>
</sst>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B05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pivotButton="1"/>
    <xf numFmtId="0" fontId="6" fillId="3" borderId="3" xfId="0" applyFont="1" applyFill="1" applyBorder="1"/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/>
    <xf numFmtId="0" fontId="10" fillId="0" borderId="0" xfId="0" applyFont="1"/>
    <xf numFmtId="0" fontId="11" fillId="3" borderId="5" xfId="0" applyFont="1" applyFill="1" applyBorder="1"/>
    <xf numFmtId="0" fontId="11" fillId="3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2" xfId="0" applyFont="1" applyBorder="1"/>
    <xf numFmtId="1" fontId="10" fillId="0" borderId="2" xfId="0" applyNumberFormat="1" applyFont="1" applyBorder="1"/>
    <xf numFmtId="14" fontId="10" fillId="0" borderId="2" xfId="0" applyNumberFormat="1" applyFont="1" applyBorder="1"/>
    <xf numFmtId="1" fontId="10" fillId="0" borderId="0" xfId="0" applyNumberFormat="1" applyFont="1"/>
    <xf numFmtId="14" fontId="10" fillId="6" borderId="2" xfId="0" applyNumberFormat="1" applyFont="1" applyFill="1" applyBorder="1"/>
    <xf numFmtId="14" fontId="10" fillId="4" borderId="2" xfId="0" applyNumberFormat="1" applyFont="1" applyFill="1" applyBorder="1"/>
    <xf numFmtId="0" fontId="11" fillId="3" borderId="9" xfId="0" applyFont="1" applyFill="1" applyBorder="1" applyAlignment="1">
      <alignment horizontal="left"/>
    </xf>
    <xf numFmtId="0" fontId="11" fillId="3" borderId="1" xfId="0" applyFont="1" applyFill="1" applyBorder="1"/>
    <xf numFmtId="1" fontId="11" fillId="3" borderId="1" xfId="0" applyNumberFormat="1" applyFont="1" applyFill="1" applyBorder="1"/>
    <xf numFmtId="0" fontId="11" fillId="5" borderId="1" xfId="0" applyFont="1" applyFill="1" applyBorder="1"/>
    <xf numFmtId="0" fontId="11" fillId="3" borderId="2" xfId="0" applyFont="1" applyFill="1" applyBorder="1"/>
    <xf numFmtId="0" fontId="11" fillId="0" borderId="2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0" borderId="0" xfId="0" pivotButton="1" applyFont="1"/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164" fontId="11" fillId="3" borderId="1" xfId="0" applyNumberFormat="1" applyFont="1" applyFill="1" applyBorder="1"/>
    <xf numFmtId="1" fontId="11" fillId="0" borderId="2" xfId="0" applyNumberFormat="1" applyFont="1" applyBorder="1"/>
    <xf numFmtId="0" fontId="10" fillId="0" borderId="2" xfId="0" applyFont="1" applyBorder="1" applyAlignment="1">
      <alignment horizontal="left"/>
    </xf>
    <xf numFmtId="16" fontId="11" fillId="3" borderId="2" xfId="0" applyNumberFormat="1" applyFont="1" applyFill="1" applyBorder="1"/>
    <xf numFmtId="0" fontId="10" fillId="0" borderId="8" xfId="0" applyFont="1" applyBorder="1" applyAlignment="1">
      <alignment horizontal="left"/>
    </xf>
    <xf numFmtId="16" fontId="11" fillId="3" borderId="16" xfId="0" applyNumberFormat="1" applyFont="1" applyFill="1" applyBorder="1"/>
    <xf numFmtId="16" fontId="11" fillId="3" borderId="17" xfId="0" applyNumberFormat="1" applyFont="1" applyFill="1" applyBorder="1"/>
    <xf numFmtId="0" fontId="6" fillId="0" borderId="0" xfId="0" applyFont="1"/>
    <xf numFmtId="0" fontId="10" fillId="10" borderId="2" xfId="0" applyFont="1" applyFill="1" applyBorder="1" applyAlignment="1">
      <alignment horizontal="left"/>
    </xf>
    <xf numFmtId="0" fontId="10" fillId="10" borderId="16" xfId="0" applyFont="1" applyFill="1" applyBorder="1" applyAlignment="1">
      <alignment horizontal="left"/>
    </xf>
    <xf numFmtId="0" fontId="10" fillId="10" borderId="17" xfId="0" applyFont="1" applyFill="1" applyBorder="1" applyAlignment="1">
      <alignment horizontal="left"/>
    </xf>
    <xf numFmtId="1" fontId="10" fillId="6" borderId="2" xfId="0" applyNumberFormat="1" applyFont="1" applyFill="1" applyBorder="1" applyAlignment="1">
      <alignment horizontal="right"/>
    </xf>
    <xf numFmtId="1" fontId="10" fillId="8" borderId="2" xfId="0" applyNumberFormat="1" applyFont="1" applyFill="1" applyBorder="1" applyAlignment="1">
      <alignment horizontal="right"/>
    </xf>
    <xf numFmtId="1" fontId="10" fillId="8" borderId="17" xfId="0" applyNumberFormat="1" applyFont="1" applyFill="1" applyBorder="1" applyAlignment="1">
      <alignment horizontal="right"/>
    </xf>
    <xf numFmtId="1" fontId="10" fillId="8" borderId="16" xfId="0" applyNumberFormat="1" applyFont="1" applyFill="1" applyBorder="1" applyAlignment="1">
      <alignment horizontal="right"/>
    </xf>
    <xf numFmtId="1" fontId="10" fillId="10" borderId="2" xfId="0" applyNumberFormat="1" applyFont="1" applyFill="1" applyBorder="1" applyAlignment="1">
      <alignment horizontal="right"/>
    </xf>
    <xf numFmtId="1" fontId="10" fillId="10" borderId="16" xfId="0" applyNumberFormat="1" applyFont="1" applyFill="1" applyBorder="1" applyAlignment="1">
      <alignment horizontal="right"/>
    </xf>
    <xf numFmtId="1" fontId="10" fillId="10" borderId="17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0" fillId="10" borderId="18" xfId="0" applyFont="1" applyFill="1" applyBorder="1" applyAlignment="1">
      <alignment horizontal="left"/>
    </xf>
    <xf numFmtId="0" fontId="10" fillId="10" borderId="19" xfId="0" applyFont="1" applyFill="1" applyBorder="1" applyAlignment="1">
      <alignment horizontal="left"/>
    </xf>
    <xf numFmtId="1" fontId="10" fillId="6" borderId="16" xfId="0" applyNumberFormat="1" applyFont="1" applyFill="1" applyBorder="1" applyAlignment="1">
      <alignment horizontal="right"/>
    </xf>
    <xf numFmtId="1" fontId="10" fillId="6" borderId="19" xfId="0" applyNumberFormat="1" applyFont="1" applyFill="1" applyBorder="1" applyAlignment="1">
      <alignment horizontal="right"/>
    </xf>
    <xf numFmtId="1" fontId="10" fillId="10" borderId="1" xfId="0" applyNumberFormat="1" applyFont="1" applyFill="1" applyBorder="1" applyAlignment="1">
      <alignment horizontal="right"/>
    </xf>
    <xf numFmtId="1" fontId="10" fillId="8" borderId="1" xfId="0" applyNumberFormat="1" applyFont="1" applyFill="1" applyBorder="1" applyAlignment="1">
      <alignment horizontal="right"/>
    </xf>
    <xf numFmtId="1" fontId="10" fillId="8" borderId="18" xfId="0" applyNumberFormat="1" applyFont="1" applyFill="1" applyBorder="1" applyAlignment="1">
      <alignment horizontal="right"/>
    </xf>
    <xf numFmtId="1" fontId="10" fillId="8" borderId="19" xfId="0" applyNumberFormat="1" applyFont="1" applyFill="1" applyBorder="1" applyAlignment="1">
      <alignment horizontal="right"/>
    </xf>
    <xf numFmtId="1" fontId="10" fillId="10" borderId="18" xfId="0" applyNumberFormat="1" applyFont="1" applyFill="1" applyBorder="1" applyAlignment="1">
      <alignment horizontal="right"/>
    </xf>
    <xf numFmtId="1" fontId="10" fillId="10" borderId="19" xfId="0" applyNumberFormat="1" applyFont="1" applyFill="1" applyBorder="1" applyAlignment="1">
      <alignment horizontal="right"/>
    </xf>
    <xf numFmtId="0" fontId="6" fillId="0" borderId="20" xfId="0" applyFont="1" applyBorder="1"/>
    <xf numFmtId="0" fontId="6" fillId="10" borderId="21" xfId="0" applyFont="1" applyFill="1" applyBorder="1"/>
    <xf numFmtId="0" fontId="6" fillId="0" borderId="21" xfId="0" applyFont="1" applyBorder="1"/>
    <xf numFmtId="0" fontId="6" fillId="0" borderId="22" xfId="0" applyFont="1" applyBorder="1"/>
    <xf numFmtId="0" fontId="6" fillId="10" borderId="22" xfId="0" applyFont="1" applyFill="1" applyBorder="1"/>
    <xf numFmtId="0" fontId="6" fillId="10" borderId="20" xfId="0" applyFont="1" applyFill="1" applyBorder="1"/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0" borderId="2" xfId="0" applyFill="1" applyBorder="1"/>
    <xf numFmtId="0" fontId="0" fillId="6" borderId="2" xfId="0" applyFill="1" applyBorder="1"/>
    <xf numFmtId="0" fontId="0" fillId="11" borderId="2" xfId="0" applyFill="1" applyBorder="1"/>
    <xf numFmtId="0" fontId="10" fillId="0" borderId="10" xfId="0" applyFont="1" applyBorder="1" applyAlignment="1">
      <alignment horizontal="left"/>
    </xf>
    <xf numFmtId="1" fontId="11" fillId="9" borderId="27" xfId="0" applyNumberFormat="1" applyFont="1" applyFill="1" applyBorder="1" applyAlignment="1">
      <alignment horizontal="right"/>
    </xf>
    <xf numFmtId="1" fontId="11" fillId="0" borderId="27" xfId="0" applyNumberFormat="1" applyFont="1" applyBorder="1" applyAlignment="1">
      <alignment horizontal="right"/>
    </xf>
    <xf numFmtId="1" fontId="11" fillId="0" borderId="28" xfId="0" applyNumberFormat="1" applyFont="1" applyBorder="1" applyAlignment="1">
      <alignment horizontal="right"/>
    </xf>
    <xf numFmtId="0" fontId="6" fillId="0" borderId="12" xfId="0" applyFont="1" applyBorder="1"/>
    <xf numFmtId="0" fontId="0" fillId="0" borderId="0" xfId="0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6" fillId="0" borderId="20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5" xfId="0" applyFont="1" applyBorder="1" applyAlignment="1">
      <alignment horizontal="right"/>
    </xf>
    <xf numFmtId="0" fontId="6" fillId="0" borderId="22" xfId="0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1" fillId="12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/>
    </xf>
    <xf numFmtId="0" fontId="10" fillId="14" borderId="2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left"/>
    </xf>
    <xf numFmtId="0" fontId="0" fillId="14" borderId="2" xfId="0" applyFill="1" applyBorder="1"/>
    <xf numFmtId="0" fontId="0" fillId="0" borderId="2" xfId="0" applyFill="1" applyBorder="1"/>
    <xf numFmtId="0" fontId="0" fillId="13" borderId="2" xfId="0" applyFill="1" applyBorder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[IHSCAM Site List 250526 - Audit PIP.xlsx]Raw data - Sites list!Tableau croisé dynamique9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- Sites list'!$S$3:$S$4</c:f>
              <c:strCache>
                <c:ptCount val="1"/>
                <c:pt idx="0">
                  <c:v>Red Zone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 - Sites list'!$R$5:$R$7</c:f>
              <c:strCache>
                <c:ptCount val="2"/>
                <c:pt idx="0">
                  <c:v>Greenfield</c:v>
                </c:pt>
                <c:pt idx="1">
                  <c:v>Rooftop</c:v>
                </c:pt>
              </c:strCache>
            </c:strRef>
          </c:cat>
          <c:val>
            <c:numRef>
              <c:f>'Raw data - Sites list'!$S$5:$S$7</c:f>
              <c:numCache>
                <c:formatCode>General</c:formatCode>
                <c:ptCount val="2"/>
                <c:pt idx="0">
                  <c:v>394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4-1B40-AE77-DAAA0DEE8C51}"/>
            </c:ext>
          </c:extLst>
        </c:ser>
        <c:ser>
          <c:idx val="1"/>
          <c:order val="1"/>
          <c:tx>
            <c:strRef>
              <c:f>'Raw data - Sites list'!$T$3:$T$4</c:f>
              <c:strCache>
                <c:ptCount val="1"/>
                <c:pt idx="0">
                  <c:v>Green Zone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 - Sites list'!$R$5:$R$7</c:f>
              <c:strCache>
                <c:ptCount val="2"/>
                <c:pt idx="0">
                  <c:v>Greenfield</c:v>
                </c:pt>
                <c:pt idx="1">
                  <c:v>Rooftop</c:v>
                </c:pt>
              </c:strCache>
            </c:strRef>
          </c:cat>
          <c:val>
            <c:numRef>
              <c:f>'Raw data - Sites list'!$T$5:$T$7</c:f>
              <c:numCache>
                <c:formatCode>General</c:formatCode>
                <c:ptCount val="2"/>
                <c:pt idx="0">
                  <c:v>1443</c:v>
                </c:pt>
                <c:pt idx="1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4-1B40-AE77-DAAA0DEE8C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0667328"/>
        <c:axId val="88065792"/>
      </c:barChart>
      <c:catAx>
        <c:axId val="13066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065792"/>
        <c:crosses val="autoZero"/>
        <c:auto val="1"/>
        <c:lblAlgn val="ctr"/>
        <c:lblOffset val="100"/>
        <c:noMultiLvlLbl val="0"/>
      </c:catAx>
      <c:valAx>
        <c:axId val="88065792"/>
        <c:scaling>
          <c:orientation val="minMax"/>
        </c:scaling>
        <c:delete val="1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306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F7-A84E-993F-E52EBB08CD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1F7-A84E-993F-E52EBB08CD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1837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1F7-A84E-993F-E52EBB08CD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579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1F7-A84E-993F-E52EBB08C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- Sites list'!$S$27:$T$27</c:f>
              <c:strCache>
                <c:ptCount val="2"/>
                <c:pt idx="0">
                  <c:v>Greenfield</c:v>
                </c:pt>
                <c:pt idx="1">
                  <c:v>Rooftop</c:v>
                </c:pt>
              </c:strCache>
            </c:strRef>
          </c:cat>
          <c:val>
            <c:numRef>
              <c:f>'Raw data - Sites list'!$S$38:$T$38</c:f>
              <c:numCache>
                <c:formatCode>General</c:formatCode>
                <c:ptCount val="2"/>
                <c:pt idx="0">
                  <c:v>1837</c:v>
                </c:pt>
                <c:pt idx="1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A84E-993F-E52EBB08CD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53-774E-9C3F-E7B59757C46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53-774E-9C3F-E7B59757C46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53-774E-9C3F-E7B59757C46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>
                        <a:ln>
                          <a:solidFill>
                            <a:sysClr val="windowText" lastClr="000000"/>
                          </a:solidFill>
                        </a:ln>
                        <a:solidFill>
                          <a:schemeClr val="tx1"/>
                        </a:solidFill>
                      </a:rPr>
                      <a:t>422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953-774E-9C3F-E7B59757C462}"/>
                </c:ext>
              </c:extLst>
            </c:dLbl>
            <c:dLbl>
              <c:idx val="1"/>
              <c:layout>
                <c:manualLayout>
                  <c:x val="-0.13876587530782539"/>
                  <c:y val="-0.13052966191129048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ln>
                          <a:solidFill>
                            <a:sysClr val="windowText" lastClr="000000"/>
                          </a:solidFill>
                        </a:ln>
                      </a:rPr>
                      <a:t>18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953-774E-9C3F-E7B59757C462}"/>
                </c:ext>
              </c:extLst>
            </c:dLbl>
            <c:dLbl>
              <c:idx val="2"/>
              <c:layout>
                <c:manualLayout>
                  <c:x val="4.7180397604660612E-2"/>
                  <c:y val="-0.16316207738911312"/>
                </c:manualLayout>
              </c:layout>
              <c:tx>
                <c:rich>
                  <a:bodyPr/>
                  <a:lstStyle/>
                  <a:p>
                    <a:r>
                      <a:rPr lang="en-US" b="0">
                        <a:ln>
                          <a:solidFill>
                            <a:sysClr val="windowText" lastClr="000000"/>
                          </a:solidFill>
                        </a:ln>
                      </a:rPr>
                      <a:t>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953-774E-9C3F-E7B59757C4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- Sites list'!$AC$11:$AE$11</c:f>
              <c:strCache>
                <c:ptCount val="3"/>
                <c:pt idx="0">
                  <c:v>Red Zone</c:v>
                </c:pt>
                <c:pt idx="1">
                  <c:v>Red Zone - No Access</c:v>
                </c:pt>
                <c:pt idx="2">
                  <c:v>Red Zone -Vandalized</c:v>
                </c:pt>
              </c:strCache>
            </c:strRef>
          </c:cat>
          <c:val>
            <c:numRef>
              <c:f>'Raw data - Sites list'!$AC$14:$AE$14</c:f>
              <c:numCache>
                <c:formatCode>General</c:formatCode>
                <c:ptCount val="3"/>
                <c:pt idx="0">
                  <c:v>422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53-774E-9C3F-E7B59757C4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Titre du graphique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fr-F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Titre du graphique</a:t>
          </a:r>
        </a:p>
      </cx:txPr>
    </cx:title>
    <cx:plotArea>
      <cx:plotAreaRegion>
        <cx:series layoutId="sunburst" uniqueId="{CBFAAD22-49C5-D747-ACF6-5F1B1966536D}"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812800</xdr:colOff>
      <xdr:row>8</xdr:row>
      <xdr:rowOff>31750</xdr:rowOff>
    </xdr:from>
    <xdr:to>
      <xdr:col>21</xdr:col>
      <xdr:colOff>0</xdr:colOff>
      <xdr:row>22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46DD23B-3AF2-348B-C40D-0DE494F02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</xdr:colOff>
      <xdr:row>39</xdr:row>
      <xdr:rowOff>6350</xdr:rowOff>
    </xdr:from>
    <xdr:to>
      <xdr:col>21</xdr:col>
      <xdr:colOff>50800</xdr:colOff>
      <xdr:row>53</xdr:row>
      <xdr:rowOff>82550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D14878C-A1D0-6323-61EB-282E982C8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18</xdr:row>
      <xdr:rowOff>0</xdr:rowOff>
    </xdr:from>
    <xdr:to>
      <xdr:col>29</xdr:col>
      <xdr:colOff>891825</xdr:colOff>
      <xdr:row>31</xdr:row>
      <xdr:rowOff>151700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B69A4CE-A953-7357-D580-B8E9CC4EF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0.38229</cdr:y>
    </cdr:from>
    <cdr:to>
      <cdr:x>0.59667</cdr:x>
      <cdr:y>0.71562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D44FBA77-F53B-E6E5-E8AF-85F018510EB8}"/>
            </a:ext>
          </a:extLst>
        </cdr:cNvPr>
        <cdr:cNvSpPr/>
      </cdr:nvSpPr>
      <cdr:spPr>
        <a:xfrm xmlns:a="http://schemas.openxmlformats.org/drawingml/2006/main">
          <a:off x="1959567" y="1041457"/>
          <a:ext cx="913580" cy="908095"/>
        </a:xfrm>
        <a:prstGeom xmlns:a="http://schemas.openxmlformats.org/drawingml/2006/main" prst="ellipse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b="1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2416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0.38082</cdr:x>
      <cdr:y>0.38479</cdr:y>
    </cdr:from>
    <cdr:to>
      <cdr:x>0.61258</cdr:x>
      <cdr:y>0.72044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963B678D-E65B-C272-85A3-6EA3FCF5AAF9}"/>
            </a:ext>
          </a:extLst>
        </cdr:cNvPr>
        <cdr:cNvSpPr/>
      </cdr:nvSpPr>
      <cdr:spPr>
        <a:xfrm xmlns:a="http://schemas.openxmlformats.org/drawingml/2006/main">
          <a:off x="1548708" y="1048278"/>
          <a:ext cx="942535" cy="91440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kern="1200"/>
            <a:t>444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552450</xdr:colOff>
      <xdr:row>18</xdr:row>
      <xdr:rowOff>57150</xdr:rowOff>
    </xdr:from>
    <xdr:to>
      <xdr:col>19</xdr:col>
      <xdr:colOff>476250</xdr:colOff>
      <xdr:row>32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94A74B14-5620-3052-A832-4BE2756CA2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5" y="3533775"/>
              <a:ext cx="35052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M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AKAM" refreshedDate="46242.491020717593" createdVersion="8" refreshedVersion="8" minRefreshableVersion="3" recordCount="444" xr:uid="{42797FC5-8FBF-2A4E-B827-43074A68AFBB}">
  <cacheSource type="worksheet">
    <worksheetSource ref="A2:O446" sheet="Red Zone Sites "/>
  </cacheSource>
  <cacheFields count="15">
    <cacheField name="No" numFmtId="0">
      <sharedItems containsSemiMixedTypes="0" containsString="0" containsNumber="1" containsInteger="1" minValue="1" maxValue="444"/>
    </cacheField>
    <cacheField name=" Operator Site ID" numFmtId="0">
      <sharedItems/>
    </cacheField>
    <cacheField name="IHS  ID" numFmtId="0">
      <sharedItems/>
    </cacheField>
    <cacheField name=" Operator Site ID2" numFmtId="0">
      <sharedItems/>
    </cacheField>
    <cacheField name="State" numFmtId="0">
      <sharedItems/>
    </cacheField>
    <cacheField name="Site Name" numFmtId="0">
      <sharedItems/>
    </cacheField>
    <cacheField name="Access Status" numFmtId="0">
      <sharedItems count="4">
        <s v="Red Zone"/>
        <s v="Red Zone - No Access"/>
        <s v="Red Zone -Vandalized"/>
        <s v="Red Zone-No Access"/>
      </sharedItems>
    </cacheField>
    <cacheField name="Site Configuration" numFmtId="0">
      <sharedItems/>
    </cacheField>
    <cacheField name="Clusters" numFmtId="0">
      <sharedItems/>
    </cacheField>
    <cacheField name="Division" numFmtId="0">
      <sharedItems containsBlank="1"/>
    </cacheField>
    <cacheField name="Sub-Division" numFmtId="0">
      <sharedItems/>
    </cacheField>
    <cacheField name="Town" numFmtId="0">
      <sharedItems/>
    </cacheField>
    <cacheField name="Latitude" numFmtId="0">
      <sharedItems containsSemiMixedTypes="0" containsString="0" containsNumber="1" minValue="3.992639" maxValue="12.948046"/>
    </cacheField>
    <cacheField name="Longitude" numFmtId="0">
      <sharedItems containsSemiMixedTypes="0" containsString="0" containsNumber="1" minValue="8.6785833330000006" maxValue="15.034781000000001"/>
    </cacheField>
    <cacheField name="Site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AKAM" refreshedDate="46243.358758912036" createdVersion="8" refreshedVersion="8" minRefreshableVersion="3" recordCount="2441" xr:uid="{59A47FBB-D674-0D46-83CC-488DD8D1EA9C}">
  <cacheSource type="worksheet">
    <worksheetSource ref="A2:O2443" sheet="Raw data - Sites list"/>
  </cacheSource>
  <cacheFields count="15">
    <cacheField name="No" numFmtId="0">
      <sharedItems containsSemiMixedTypes="0" containsString="0" containsNumber="1" containsInteger="1" minValue="1" maxValue="2441"/>
    </cacheField>
    <cacheField name=" Operator Site ID" numFmtId="0">
      <sharedItems/>
    </cacheField>
    <cacheField name="IHS  ID" numFmtId="0">
      <sharedItems/>
    </cacheField>
    <cacheField name=" Operator Site ID2" numFmtId="0">
      <sharedItems/>
    </cacheField>
    <cacheField name="State" numFmtId="0">
      <sharedItems count="10">
        <s v="West"/>
        <s v="North West"/>
        <s v="Adamawa"/>
        <s v="Center"/>
        <s v="East"/>
        <s v="South"/>
        <s v="South West"/>
        <s v="Littoral"/>
        <s v="North"/>
        <s v="Far North"/>
      </sharedItems>
    </cacheField>
    <cacheField name="Site Name" numFmtId="0">
      <sharedItems/>
    </cacheField>
    <cacheField name="Access Status" numFmtId="0">
      <sharedItems containsBlank="1" count="7">
        <s v="Normal Access "/>
        <s v="Red Zone"/>
        <s v="Red Zone - No Access"/>
        <s v="Red Zone -Vandalized"/>
        <s v="Red Zone-No Access" u="1"/>
        <s v="Normal Acces " u="1"/>
        <m u="1"/>
      </sharedItems>
    </cacheField>
    <cacheField name="Site Configuration" numFmtId="0">
      <sharedItems/>
    </cacheField>
    <cacheField name="Clusters" numFmtId="0">
      <sharedItems containsBlank="1"/>
    </cacheField>
    <cacheField name="Division" numFmtId="0">
      <sharedItems containsBlank="1"/>
    </cacheField>
    <cacheField name="Sub-Division" numFmtId="0">
      <sharedItems containsBlank="1"/>
    </cacheField>
    <cacheField name="Town" numFmtId="0">
      <sharedItems count="17">
        <s v="Bafoussam"/>
        <s v="Bamenda"/>
        <s v="Banyo"/>
        <s v="Bertoua"/>
        <s v="Buea"/>
        <s v="Douala"/>
        <s v="Dschang &amp; Kongsamba"/>
        <s v="Kribi &amp; Edea"/>
        <s v="Garoua"/>
        <s v="Kousseri"/>
        <s v="Kumba"/>
        <s v="Limbe"/>
        <s v="Mamfe"/>
        <s v="Maroua"/>
        <s v="Meiganga"/>
        <s v="Ngaoundere"/>
        <s v="Yaounde"/>
      </sharedItems>
    </cacheField>
    <cacheField name="Latitude" numFmtId="0">
      <sharedItems containsSemiMixedTypes="0" containsString="0" containsNumber="1" minValue="2.0476079999999999" maxValue="12.948046"/>
    </cacheField>
    <cacheField name="Longitude" numFmtId="0">
      <sharedItems containsSemiMixedTypes="0" containsString="0" containsNumber="1" minValue="8.6785833330000006" maxValue="15.526540000000001"/>
    </cacheField>
    <cacheField name="Site Type" numFmtId="0">
      <sharedItems count="5">
        <s v="Greenfield"/>
        <s v="Rooftop"/>
        <s v="Off Air"/>
        <s v="Vandalized" u="1"/>
        <s v="OCM Tow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n v="1"/>
    <s v="T2028"/>
    <s v="IHS_MBD_014"/>
    <s v="T2028"/>
    <s v="West"/>
    <s v="GALIM EEC"/>
    <x v="0"/>
    <s v="Outdoor"/>
    <s v="Bafoussam1"/>
    <s v="BAMBOUTOUS"/>
    <s v="Galim"/>
    <s v="Bafoussam"/>
    <n v="5.6820279999999999"/>
    <n v="10.366139"/>
    <s v="Greenfield"/>
  </r>
  <r>
    <n v="2"/>
    <s v="OST_215"/>
    <s v="IHS_MBD_019"/>
    <s v="OST_215"/>
    <s v="West"/>
    <s v="Bati"/>
    <x v="0"/>
    <s v="Outdoor"/>
    <s v="Bafoussam1"/>
    <s v="BAMBOUTOUS"/>
    <s v="Galim"/>
    <s v="Bafoussam"/>
    <n v="5.6677970000000002"/>
    <n v="10.447418000000001"/>
    <s v="Greenfield"/>
  </r>
  <r>
    <n v="3"/>
    <s v="NRO_050"/>
    <s v="IHS_BMD_310"/>
    <s v="NRO_050"/>
    <s v="West"/>
    <s v="BANGOLAN"/>
    <x v="0"/>
    <s v="Outdoor"/>
    <s v="Foumbot"/>
    <s v="NGO-KETUNJIA"/>
    <s v="Bangourain"/>
    <s v="Bafoussam"/>
    <n v="5.5936620000000001"/>
    <n v="10.61917"/>
    <s v="Greenfield"/>
  </r>
  <r>
    <n v="4"/>
    <s v="OST_030"/>
    <s v="IHS_MBD_016"/>
    <s v="OST_030"/>
    <s v="West"/>
    <s v="Bamendjing"/>
    <x v="0"/>
    <s v="Outdoor"/>
    <s v="Bafoussam1"/>
    <s v="BAMBOUTOUS"/>
    <s v="Galim"/>
    <s v="Bafoussam"/>
    <n v="5.7008999999999999"/>
    <n v="10.492000000000001"/>
    <s v="Greenfield"/>
  </r>
  <r>
    <n v="5"/>
    <s v="OST_026"/>
    <s v="IHS_MBD_015"/>
    <s v="OST_026"/>
    <s v="West"/>
    <s v="Galim"/>
    <x v="0"/>
    <s v="Outdoor"/>
    <s v="Bafoussam1"/>
    <s v="BAMBOUTOUS"/>
    <s v="Galim"/>
    <s v="Bafoussam"/>
    <n v="5.6951000000000001"/>
    <n v="10.36"/>
    <s v="Greenfield"/>
  </r>
  <r>
    <n v="6"/>
    <s v="OST_058"/>
    <s v="IHS_FBN_023"/>
    <s v="OST_058"/>
    <s v="West"/>
    <s v="Kouoptamo"/>
    <x v="0"/>
    <s v="Outdoor"/>
    <s v="Foumbot"/>
    <s v="Noun"/>
    <s v="Kouoptamo"/>
    <s v="Bafoussam"/>
    <n v="5.6478890000000002"/>
    <n v="10.614667000000001"/>
    <s v="Greenfield"/>
  </r>
  <r>
    <n v="7"/>
    <s v="OST_090"/>
    <s v="IHS_FBN_018"/>
    <s v="OST_090"/>
    <s v="West"/>
    <s v="Bangourain"/>
    <x v="0"/>
    <s v="Outdoor"/>
    <s v="Foumbot"/>
    <s v="Noun"/>
    <s v="Bangourain"/>
    <s v="Bafoussam"/>
    <n v="5.875667"/>
    <n v="10.673916999999999"/>
    <s v="Greenfield"/>
  </r>
  <r>
    <n v="8"/>
    <s v="T0359"/>
    <s v="IHS_MBD_013"/>
    <s v="T0359"/>
    <s v="West"/>
    <s v="Bamendjing"/>
    <x v="0"/>
    <s v="Indoor"/>
    <s v="Bafoussam1"/>
    <s v="BAMBOUTOUS"/>
    <s v="Galim"/>
    <s v="Bafoussam"/>
    <n v="5.7136399999999998"/>
    <n v="10.446389"/>
    <s v="Greenfield"/>
  </r>
  <r>
    <n v="9"/>
    <s v="NRO_030"/>
    <s v="IHS_BMD_206"/>
    <s v="NRO_030"/>
    <s v="North West"/>
    <s v="Zhoa"/>
    <x v="0"/>
    <s v="Outdoor"/>
    <s v="Bafut"/>
    <s v="MENCHUM"/>
    <s v="Zhoa"/>
    <s v="Bamenda"/>
    <n v="6.5311833330000004"/>
    <n v="10.199999999999999"/>
    <s v="Greenfield"/>
  </r>
  <r>
    <n v="10"/>
    <s v="T1668"/>
    <s v="IHS_BMD_2217"/>
    <s v="T1668"/>
    <s v="North West"/>
    <s v="TATUM "/>
    <x v="0"/>
    <s v="Outdoor"/>
    <s v="Nkambe"/>
    <s v="BUI"/>
    <s v="Nkum"/>
    <s v="Bamenda"/>
    <n v="6.3445109999999998"/>
    <n v="10.770329"/>
    <s v="Greenfield"/>
  </r>
  <r>
    <n v="11"/>
    <s v="T1475"/>
    <s v="IHS_BMD_078"/>
    <s v="T1475"/>
    <s v="North West"/>
    <s v="TADU"/>
    <x v="0"/>
    <s v="Outdoor"/>
    <s v="Kumbo"/>
    <s v="BUI"/>
    <s v="Tadu"/>
    <s v="Bamenda"/>
    <n v="6.2371800000000004"/>
    <n v="10.589529000000001"/>
    <s v="Greenfield"/>
  </r>
  <r>
    <n v="12"/>
    <s v="T2816"/>
    <s v="IHS_BMD_0065"/>
    <s v="T2816"/>
    <s v="North West"/>
    <s v="Small Babanki"/>
    <x v="1"/>
    <s v="Outdoor"/>
    <s v="Bamenda 1"/>
    <s v="MEZAM"/>
    <s v="Tubah"/>
    <s v="Bamenda"/>
    <n v="5.9493330000000002"/>
    <n v="10.326582999999999"/>
    <s v="Greenfield"/>
  </r>
  <r>
    <n v="13"/>
    <s v="NRO_048"/>
    <s v="IHS_BMD_321"/>
    <s v="NRO_048"/>
    <s v="North West"/>
    <s v="Sabga"/>
    <x v="0"/>
    <s v="Outdoor"/>
    <s v="Bamenda 1"/>
    <s v="MEZAM"/>
    <s v="Tubah"/>
    <s v="Bamenda"/>
    <n v="6.013814"/>
    <n v="10.320171999999999"/>
    <s v="Greenfield"/>
  </r>
  <r>
    <n v="14"/>
    <s v="T2836"/>
    <s v="IHS_BMD_2214"/>
    <s v="T2836"/>
    <s v="North West"/>
    <s v="Pinyin Ngali"/>
    <x v="0"/>
    <s v="Outdoor"/>
    <s v="Bamenda 2"/>
    <s v="MEZAM"/>
    <s v="Tubah"/>
    <s v="Bamenda"/>
    <n v="5.807455"/>
    <n v="10.066274999999999"/>
    <s v="Greenfield"/>
  </r>
  <r>
    <n v="15"/>
    <s v="T2766"/>
    <s v="IHS_BMD_2216"/>
    <s v="T2766"/>
    <s v="North West"/>
    <s v="NKOR"/>
    <x v="0"/>
    <s v="Outdoor"/>
    <s v="Nkambe"/>
    <s v="BUI"/>
    <s v="Nkor"/>
    <s v="Bamenda"/>
    <n v="6.3832649999999997"/>
    <n v="10.584664999999999"/>
    <s v="Greenfield"/>
  </r>
  <r>
    <n v="16"/>
    <s v="T1473"/>
    <s v="IHS_BMD_066"/>
    <s v="T1473"/>
    <s v="North West"/>
    <s v="Nkar"/>
    <x v="0"/>
    <s v="Outdoor"/>
    <s v="Kumbo"/>
    <s v="BUI"/>
    <s v="Jakiri"/>
    <s v="Bamenda"/>
    <n v="6.0944444400000002"/>
    <n v="10.637861109999999"/>
    <s v="Greenfield"/>
  </r>
  <r>
    <n v="17"/>
    <s v="T1503"/>
    <s v="IHS_BMD_061"/>
    <s v="T1503"/>
    <s v="North West"/>
    <s v="Njikwa town"/>
    <x v="0"/>
    <s v="Outdoor"/>
    <s v="Bamenda 2"/>
    <s v="Momo"/>
    <s v="Njikwa"/>
    <s v="Bamenda"/>
    <n v="6.1292249999999999"/>
    <n v="9.8565166669999993"/>
    <s v="Greenfield"/>
  </r>
  <r>
    <n v="18"/>
    <s v="T2823"/>
    <s v="IHS_BMD_2224"/>
    <s v="T2823"/>
    <s v="North West"/>
    <s v="Nchum "/>
    <x v="0"/>
    <s v="Outdoor"/>
    <s v="Bafut"/>
    <s v="MEZAM"/>
    <s v="Bafut"/>
    <s v="Bamenda"/>
    <n v="6.1116429999999999"/>
    <n v="10.121765999999999"/>
    <s v="Greenfield"/>
  </r>
  <r>
    <n v="19"/>
    <s v="NRO_057"/>
    <s v="IHS_BMD_312"/>
    <s v="NRO_057"/>
    <s v="North West"/>
    <s v="Mbonso"/>
    <x v="0"/>
    <s v="Outdoor"/>
    <s v="Nkambe"/>
    <s v="BUI"/>
    <s v="mbiame"/>
    <s v="Bamenda"/>
    <n v="6.2614080000000003"/>
    <n v="10.946337"/>
    <s v="Greenfield"/>
  </r>
  <r>
    <n v="20"/>
    <s v="T1465"/>
    <s v="IHS_BMD_087"/>
    <s v="T1465"/>
    <s v="North West"/>
    <s v="MBIYEH"/>
    <x v="0"/>
    <s v="Outdoor"/>
    <s v="Nkambe"/>
    <s v="Donga Mantoum"/>
    <s v="Ndu"/>
    <s v="Bamenda"/>
    <n v="6.4542222200000001"/>
    <n v="10.754222220000001"/>
    <s v="Greenfield"/>
  </r>
  <r>
    <n v="21"/>
    <s v="NRO_236"/>
    <s v="IHS_BMD_091"/>
    <s v="NRO_236"/>
    <s v="North West"/>
    <s v="Mbiame"/>
    <x v="0"/>
    <s v="Outdoor"/>
    <s v="Kumbo"/>
    <s v="BUI"/>
    <s v="mbiame"/>
    <s v="Bamenda"/>
    <n v="6.1885469999999998"/>
    <n v="10.849605"/>
    <s v="Greenfield"/>
  </r>
  <r>
    <n v="22"/>
    <s v="T1831"/>
    <s v="IHS_BMD_2250"/>
    <s v="T1831"/>
    <s v="North West"/>
    <s v="Mbengwi Water Tank "/>
    <x v="0"/>
    <s v="Outdoor"/>
    <s v="Bamenda 2"/>
    <s v="Momo"/>
    <s v="Mbengwi"/>
    <s v="Bamenda"/>
    <n v="5.9681240000000004"/>
    <n v="10.036383000000001"/>
    <s v="Greenfield"/>
  </r>
  <r>
    <n v="23"/>
    <s v="T1488"/>
    <s v="IHS_BMD_034"/>
    <s v="T1488"/>
    <s v="North West"/>
    <s v="Mbengwi Mile 17"/>
    <x v="0"/>
    <s v="Outdoor"/>
    <s v="Bamenda 2"/>
    <s v="Momo"/>
    <s v="Mbengwi"/>
    <s v="Bamenda"/>
    <n v="6.0012160000000003"/>
    <n v="10.020552"/>
    <s v="Greenfield"/>
  </r>
  <r>
    <n v="24"/>
    <s v="T1167"/>
    <s v="IHS_BMD_016"/>
    <s v="T1167"/>
    <s v="North West"/>
    <s v="MBATU"/>
    <x v="0"/>
    <s v="Outdoor"/>
    <s v="Bamenda 2"/>
    <s v="MEZAM"/>
    <s v="Bamenda 2"/>
    <s v="Bamenda"/>
    <n v="5.9347300000000001"/>
    <n v="10.13917"/>
    <s v="Greenfield"/>
  </r>
  <r>
    <n v="25"/>
    <s v="NRO_044"/>
    <s v="IHS_BMD_316"/>
    <s v="NRO_044"/>
    <s v="North West"/>
    <s v="Lassin"/>
    <x v="0"/>
    <s v="Outdoor"/>
    <s v="Nkambe"/>
    <s v="BUI"/>
    <s v="Nkor"/>
    <s v="Bamenda"/>
    <n v="6.4422860000000002"/>
    <n v="10.620562"/>
    <s v="Greenfield"/>
  </r>
  <r>
    <n v="26"/>
    <s v="NRO_071"/>
    <s v="IHS_BMD_2212"/>
    <s v="NRO_071"/>
    <s v="North West"/>
    <s v="Jikejem"/>
    <x v="0"/>
    <s v="Outdoor"/>
    <s v="Kumbo"/>
    <s v="BUI"/>
    <s v="Elak Oku"/>
    <s v="Bamenda"/>
    <n v="6.2407899999999996"/>
    <n v="10.465491999999999"/>
    <s v="Greenfield"/>
  </r>
  <r>
    <n v="27"/>
    <s v="T1814"/>
    <s v="IHS_BMD_2222"/>
    <s v="T1814"/>
    <s v="North West"/>
    <s v="Fundong FM"/>
    <x v="0"/>
    <s v="Outdoor"/>
    <s v="Bamenda 1"/>
    <s v="Boyo"/>
    <s v="Fundong"/>
    <s v="Bamenda"/>
    <n v="6.2713609999999997"/>
    <n v="10.294694"/>
    <s v="Greenfield"/>
  </r>
  <r>
    <n v="28"/>
    <s v="NRO_043"/>
    <s v="IHS_BMD_325"/>
    <s v="NRO_043"/>
    <s v="North West"/>
    <s v="Fonfuka"/>
    <x v="0"/>
    <s v="Outdoor"/>
    <s v="Nkambe"/>
    <s v="Boyo"/>
    <s v="Fonfuka"/>
    <s v="Bamenda"/>
    <n v="6.5345370000000003"/>
    <n v="10.478177000000001"/>
    <s v="Greenfield"/>
  </r>
  <r>
    <n v="29"/>
    <s v="NRO_234"/>
    <s v="IHS_BMD_092"/>
    <s v="NRO_234"/>
    <s v="North West"/>
    <s v="Essu"/>
    <x v="1"/>
    <s v="Outdoor"/>
    <s v="Bafut"/>
    <s v="MENCHUM"/>
    <s v="Zhoa "/>
    <s v="Bamenda"/>
    <n v="6.56741668"/>
    <n v="10.09394447"/>
    <s v="Greenfield"/>
  </r>
  <r>
    <n v="30"/>
    <s v="T1485"/>
    <s v="IHS_BMD_059"/>
    <s v="T1485"/>
    <s v="North West"/>
    <s v="Ebal"/>
    <x v="0"/>
    <s v="Outdoor"/>
    <s v="Kumbo"/>
    <s v="BUI"/>
    <s v="Elak Oku"/>
    <s v="Bamenda"/>
    <n v="6.1325000000000003"/>
    <n v="10.471014"/>
    <s v="Greenfield"/>
  </r>
  <r>
    <n v="31"/>
    <s v="NRO_046"/>
    <s v="IHS_BMD_318"/>
    <s v="NRO_046"/>
    <s v="North West"/>
    <s v="DUMBU"/>
    <x v="0"/>
    <s v="Outdoor"/>
    <s v="Nkambe"/>
    <s v="Donga Mantoum"/>
    <s v="misaje"/>
    <s v="Bamenda"/>
    <n v="6.7075199999999997"/>
    <n v="10.50703"/>
    <s v="Greenfield"/>
  </r>
  <r>
    <n v="32"/>
    <s v="T1457"/>
    <s v="IHS_BAF_104"/>
    <s v="T1457"/>
    <s v="North West"/>
    <s v="Binka/Bana"/>
    <x v="0"/>
    <s v="Outdoor"/>
    <s v="Nkambe"/>
    <s v="Donga Mantoum"/>
    <s v="Nkambe"/>
    <s v="Bamenda"/>
    <n v="6.5416939999999997"/>
    <n v="10.773250000000001"/>
    <s v="Greenfield"/>
  </r>
  <r>
    <n v="33"/>
    <s v="T1476"/>
    <s v="IHS_KMB_030"/>
    <s v="T1476"/>
    <s v="North West"/>
    <s v="Big Babanki"/>
    <x v="0"/>
    <s v="Outdoor"/>
    <s v="Bamenda 1"/>
    <s v="Boyo"/>
    <s v="Tubah"/>
    <s v="Bamenda"/>
    <n v="6.1176500000000003"/>
    <n v="10.246167"/>
    <s v="Greenfield"/>
  </r>
  <r>
    <n v="34"/>
    <s v="NRO_233"/>
    <s v="IHS_BMD_079"/>
    <s v="NRO_233"/>
    <s v="North West"/>
    <s v="Benakuma"/>
    <x v="0"/>
    <s v="Outdoor"/>
    <s v="Bafut"/>
    <s v="MENCHUM"/>
    <s v="Benakuma"/>
    <s v="Bamenda"/>
    <n v="6.4"/>
    <n v="9.8999999899999995"/>
    <s v="Greenfield"/>
  </r>
  <r>
    <n v="35"/>
    <s v="NRO_243"/>
    <s v="IHS_BMD_021"/>
    <s v="NRO_243"/>
    <s v="North West"/>
    <s v="Bda-Mulang"/>
    <x v="0"/>
    <s v="Outdoor"/>
    <s v="Bamenda 3"/>
    <s v="MEZAM"/>
    <s v="Bamenda 2"/>
    <s v="Bamenda"/>
    <n v="5.9876199999999997"/>
    <n v="10.153187000000001"/>
    <s v="Greenfield"/>
  </r>
  <r>
    <n v="36"/>
    <s v="OST_186"/>
    <s v="IHS_BAF_322"/>
    <s v="OST_186"/>
    <s v="West"/>
    <s v="Bamenyam"/>
    <x v="0"/>
    <s v="Outdoor"/>
    <s v="Bafoussam1"/>
    <s v="BAMBOUTOUS"/>
    <s v="Galim"/>
    <s v="Bamenda"/>
    <n v="5.756589"/>
    <n v="10.31809"/>
    <s v="Greenfield"/>
  </r>
  <r>
    <n v="37"/>
    <s v="T1528"/>
    <s v="IHS_BMD_314"/>
    <s v="T1528"/>
    <s v="North West"/>
    <s v="Bamenda Old Town"/>
    <x v="0"/>
    <s v="Outdoor"/>
    <s v="Bamenda 3"/>
    <s v="MEZAM"/>
    <s v="Bamenda 2"/>
    <s v="Bamenda"/>
    <n v="5.9529399999999999"/>
    <n v="10.1571"/>
    <s v="Greenfield"/>
  </r>
  <r>
    <n v="38"/>
    <s v="T1525"/>
    <s v="IHS_BMD_202"/>
    <s v="T1525"/>
    <s v="North West"/>
    <s v="Bamenda Ntasen"/>
    <x v="0"/>
    <s v="Outdoor"/>
    <s v="Bamenda 3"/>
    <s v="MEZAM"/>
    <s v="Bamenda 2"/>
    <s v="Bamenda"/>
    <n v="5.9898379999999998"/>
    <n v="10.162345999999999"/>
    <s v="Greenfield"/>
  </r>
  <r>
    <n v="39"/>
    <s v="T1823"/>
    <s v="IHS_BMD_315"/>
    <s v="T1823"/>
    <s v="North West"/>
    <s v="Bamenda Mile 8"/>
    <x v="0"/>
    <s v="Outdoor"/>
    <s v="Bafut"/>
    <s v="MEZAM"/>
    <s v="Bamenda 2"/>
    <s v="Bamenda"/>
    <n v="6.0102209999999996"/>
    <n v="10.133228000000001"/>
    <s v="Greenfield"/>
  </r>
  <r>
    <n v="40"/>
    <s v="T1460"/>
    <s v="IHS_BMD_018"/>
    <s v="T1460"/>
    <s v="North West"/>
    <s v="Bamenda Kwe Pastoral Center"/>
    <x v="0"/>
    <s v="Outdoor"/>
    <s v="Bamenda 3"/>
    <s v="MEZAM"/>
    <s v="Bamenda 1"/>
    <s v="Bamenda"/>
    <n v="5.9357470000000001"/>
    <n v="10.162219"/>
    <s v="Greenfield"/>
  </r>
  <r>
    <n v="41"/>
    <s v="T1279"/>
    <s v="IHS_BMD_313"/>
    <s v="T1279"/>
    <s v="North West"/>
    <s v="Bamenda Bujong"/>
    <x v="0"/>
    <s v="Outdoor"/>
    <s v="Bamenda 1"/>
    <s v="MEZAM"/>
    <s v="Bamenda 1"/>
    <s v="Bamenda"/>
    <n v="5.9401190000000001"/>
    <n v="10.197202000000001"/>
    <s v="Greenfield"/>
  </r>
  <r>
    <n v="42"/>
    <s v="T1509"/>
    <s v="IHS_BMD_142"/>
    <s v="T1509"/>
    <s v="North West"/>
    <s v="Bamenda ATTIAH"/>
    <x v="0"/>
    <s v="Outdoor"/>
    <s v="Bamenda 2"/>
    <s v="MEZAM"/>
    <s v="Bamenda 2"/>
    <s v="Bamenda"/>
    <n v="5.9482299999999997"/>
    <n v="10.130345999999999"/>
    <s v="Greenfield"/>
  </r>
  <r>
    <n v="43"/>
    <s v="T1526"/>
    <s v="IHS_YND_503"/>
    <s v="T1526"/>
    <s v="North West"/>
    <s v="BAMENDA ABANGOH"/>
    <x v="0"/>
    <s v="Outdoor"/>
    <s v="Bamenda 2"/>
    <s v="MEZAM"/>
    <s v="Bamenda 1"/>
    <s v="Bamenda"/>
    <n v="5.9370830000000003"/>
    <n v="10.150407"/>
    <s v="Greenfield"/>
  </r>
  <r>
    <n v="44"/>
    <s v="T1759"/>
    <s v="IHS_BMD_143"/>
    <s v="T1759"/>
    <s v="North West"/>
    <s v="Bafut Swie Hill"/>
    <x v="0"/>
    <s v="Outdoor"/>
    <s v="Bafut"/>
    <s v="MEZAM"/>
    <s v="Bafut"/>
    <s v="Bamenda"/>
    <n v="6.0378600000000002"/>
    <n v="10.15"/>
    <s v="Greenfield"/>
  </r>
  <r>
    <n v="45"/>
    <s v="NRO_047"/>
    <s v="IHS_BMD_319"/>
    <s v="NRO_047"/>
    <s v="North West"/>
    <s v="BAFMENG"/>
    <x v="0"/>
    <s v="Outdoor"/>
    <s v="Bamenda 1"/>
    <s v="Boyo"/>
    <s v="Zhoa"/>
    <s v="Bamenda"/>
    <n v="6.35433"/>
    <n v="10.239699999999999"/>
    <s v="Greenfield"/>
  </r>
  <r>
    <n v="46"/>
    <s v="NRO_051"/>
    <s v="IHS_BMD_2251"/>
    <s v="NRO_051"/>
    <s v="West"/>
    <s v="Bafanji"/>
    <x v="0"/>
    <s v="Outdoor"/>
    <s v="Bamenda 1"/>
    <s v="NGO-KETUNJIA"/>
    <s v="Balikumbat"/>
    <s v="Bamenda"/>
    <n v="5.8406929999999999"/>
    <n v="10.380815999999999"/>
    <s v="Greenfield"/>
  </r>
  <r>
    <n v="47"/>
    <s v="T2779"/>
    <s v="IHS_BMD_2220"/>
    <s v="T2779"/>
    <s v="North West"/>
    <s v="Baba Babungo "/>
    <x v="0"/>
    <s v="Outdoor"/>
    <s v="Kumbo"/>
    <s v="NGO-KETUNJIA"/>
    <s v="Babessi"/>
    <s v="Bamenda"/>
    <n v="6.06911111111111"/>
    <n v="10.442305555555556"/>
    <s v="Greenfield"/>
  </r>
  <r>
    <n v="48"/>
    <s v="T2778"/>
    <s v="IHS_BMD_2213"/>
    <s v="T2778"/>
    <s v="North West"/>
    <s v="AKUM"/>
    <x v="0"/>
    <s v="Outdoor"/>
    <s v="Bamenda 1"/>
    <s v="MEZAM"/>
    <s v="Santa"/>
    <s v="Bamenda"/>
    <n v="5.8855560000000002"/>
    <n v="10.158917000000001"/>
    <s v="Greenfield"/>
  </r>
  <r>
    <n v="49"/>
    <s v="NRO_231"/>
    <s v="IHS_BMD_098"/>
    <s v="NRO_231"/>
    <s v="North West"/>
    <s v="Ako"/>
    <x v="0"/>
    <s v="Outdoor"/>
    <s v="Nkambe"/>
    <s v="Donga Mantoum"/>
    <s v="Ako"/>
    <s v="Bamenda"/>
    <n v="6.816719"/>
    <n v="10.71663"/>
    <s v="Greenfield"/>
  </r>
  <r>
    <n v="50"/>
    <s v="T2774"/>
    <s v="IHS_BMD_2225"/>
    <s v="T2774"/>
    <s v="North West"/>
    <s v="Acha "/>
    <x v="0"/>
    <s v="Outdoor"/>
    <s v="Bamenda 2"/>
    <s v="Momo"/>
    <s v="Mbengwi"/>
    <s v="Bamenda"/>
    <n v="5.9881390000000003"/>
    <n v="9.9337219999999995"/>
    <s v="Greenfield"/>
  </r>
  <r>
    <n v="51"/>
    <s v="T1563"/>
    <s v="IHS_BMD_2215"/>
    <s v="T1563"/>
    <s v="North West"/>
    <s v="ABUH "/>
    <x v="0"/>
    <s v="Outdoor"/>
    <s v="Bamenda 1"/>
    <s v="Boyo"/>
    <s v="Fundong"/>
    <s v="Bamenda"/>
    <n v="6.2965970000000002"/>
    <n v="10.33318"/>
    <s v="Greenfield"/>
  </r>
  <r>
    <n v="52"/>
    <s v="NRO_081"/>
    <s v="IHS_BMD_2229"/>
    <s v="NRO_081"/>
    <s v="North West"/>
    <s v="Njinikom"/>
    <x v="0"/>
    <s v="Outdoor"/>
    <s v="Bamenda 1"/>
    <s v="Boyo"/>
    <s v="Njinikom"/>
    <s v="Bamenda"/>
    <n v="6.2242100000000002"/>
    <n v="10.307333"/>
    <s v="Greenfield"/>
  </r>
  <r>
    <n v="53"/>
    <s v="NRO_098"/>
    <s v="IHS_BMD_2252"/>
    <s v="NRO_098"/>
    <s v="North West"/>
    <s v="Djottin"/>
    <x v="0"/>
    <s v="Outdoor"/>
    <s v="Kumbo"/>
    <s v="BUI"/>
    <s v="Nkor"/>
    <s v="Bamenda"/>
    <n v="6.2772199999999998"/>
    <n v="10.56278"/>
    <s v="Greenfield"/>
  </r>
  <r>
    <n v="54"/>
    <s v="T2735"/>
    <s v="IHS_BMD_0048"/>
    <s v="T2735"/>
    <s v="North West"/>
    <s v="Ndop Catholic Church"/>
    <x v="0"/>
    <s v="Outdoor"/>
    <s v="Kumbo"/>
    <s v="NGO-KETUNJIA"/>
    <s v="Ndop"/>
    <s v="Bamenda"/>
    <n v="5.9846111110000004"/>
    <n v="10.458"/>
    <s v="Greenfield"/>
  </r>
  <r>
    <n v="55"/>
    <s v="T2828"/>
    <s v="IHS_BMD_0054"/>
    <s v="T2828"/>
    <s v="North West"/>
    <s v="NKAMBE ENTRANCE"/>
    <x v="0"/>
    <s v="Outdoor"/>
    <s v="Nkambe"/>
    <s v="Donga Mantoum"/>
    <s v="Nkambe"/>
    <s v="Bamenda"/>
    <n v="6.5732390000000001"/>
    <n v="10.709175999999999"/>
    <s v="Greenfield"/>
  </r>
  <r>
    <n v="56"/>
    <s v="T1537"/>
    <s v="IHS_BMD_207"/>
    <s v="T1537"/>
    <s v="North West"/>
    <s v="NDU COUNCIL"/>
    <x v="0"/>
    <s v="Outdoor"/>
    <s v="Nkambe"/>
    <s v="Donga Mantoum"/>
    <s v="Ndu"/>
    <s v="Bamenda"/>
    <n v="6.4269790000000002"/>
    <n v="10.790075"/>
    <s v="Greenfield"/>
  </r>
  <r>
    <n v="57"/>
    <s v="NRO_248"/>
    <s v="IHS_BMD_047"/>
    <s v="NRO_248"/>
    <s v="North West"/>
    <s v="Awing"/>
    <x v="0"/>
    <s v="Outdoor"/>
    <s v="Bamenda 1"/>
    <s v="MEZAM"/>
    <s v="Santa"/>
    <s v="Bamenda"/>
    <n v="5.8502130000000001"/>
    <n v="10.244930999999999"/>
    <s v="Greenfield"/>
  </r>
  <r>
    <n v="58"/>
    <s v="T0352"/>
    <s v="IHS_BMD_020"/>
    <s v="T0352"/>
    <s v="North West"/>
    <s v="Bamenda Upstation DCS"/>
    <x v="0"/>
    <s v="Indoor"/>
    <s v="Bamenda 3"/>
    <s v="MEZAM"/>
    <s v="Bamenda 1"/>
    <s v="Bamenda"/>
    <n v="5.9532040000000004"/>
    <n v="10.183572"/>
    <s v="Greenfield"/>
  </r>
  <r>
    <n v="59"/>
    <s v="T0643"/>
    <s v="IHS_BMD_006"/>
    <s v="T0643"/>
    <s v="North West"/>
    <s v="Bamenda Catholic Church"/>
    <x v="0"/>
    <s v="Outdoor"/>
    <s v="Bamenda 2"/>
    <s v="MEZAM"/>
    <s v="Bamenda 2"/>
    <s v="Bamenda"/>
    <n v="5.9635670000000003"/>
    <n v="10.159238"/>
    <s v="Greenfield"/>
  </r>
  <r>
    <n v="60"/>
    <s v="T1280"/>
    <s v="IHS_BMD_0049"/>
    <s v="T1280"/>
    <s v="North West"/>
    <s v="Ndu Mbakfu"/>
    <x v="0"/>
    <s v="Outdoor"/>
    <s v="Nkambe"/>
    <s v="Donga Mantoum"/>
    <s v="Ndu"/>
    <s v="Bamenda"/>
    <n v="6.4228059999999996"/>
    <n v="10.784388999999999"/>
    <s v="Greenfield"/>
  </r>
  <r>
    <n v="61"/>
    <s v="T1471"/>
    <s v="IHS_BMD_077"/>
    <s v="T1471"/>
    <s v="North West"/>
    <s v="KIKAI"/>
    <x v="0"/>
    <s v="Outdoor"/>
    <s v="Kumbo"/>
    <s v="BUI"/>
    <s v="kumbo"/>
    <s v="Bamenda"/>
    <n v="6.2395833300000003"/>
    <n v="10.69488889"/>
    <s v="Greenfield"/>
  </r>
  <r>
    <n v="62"/>
    <s v="NRO_031"/>
    <s v="IHS_BMD_203"/>
    <s v="NRO_031"/>
    <s v="North West"/>
    <s v="Bingo-IHS"/>
    <x v="0"/>
    <s v="Outdoor"/>
    <s v="Bamenda 1"/>
    <s v="Boyo"/>
    <s v="Belo"/>
    <s v="Bamenda"/>
    <n v="5.9597300000000004"/>
    <n v="10.166463"/>
    <s v="Greenfield"/>
  </r>
  <r>
    <n v="63"/>
    <s v="T1605"/>
    <s v="IHS_BMD_141"/>
    <s v="T1605"/>
    <s v="North West"/>
    <s v="Bambui Roundabout"/>
    <x v="0"/>
    <s v="Outdoor"/>
    <s v="Bamenda 1"/>
    <s v="MEZAM"/>
    <s v="Tubah"/>
    <s v="Bamenda"/>
    <n v="6.0099340000000003"/>
    <n v="10.227228999999999"/>
    <s v="Greenfield"/>
  </r>
  <r>
    <n v="64"/>
    <s v="NRO_007"/>
    <s v="IHS_BMD_063"/>
    <s v="NRO_007"/>
    <s v="North West"/>
    <s v="Wum"/>
    <x v="0"/>
    <s v="Indoor"/>
    <s v="Bafut"/>
    <s v="MENCHUM"/>
    <s v="Wum"/>
    <s v="Bamenda"/>
    <n v="6.3943027780000001"/>
    <n v="10.083888890000001"/>
    <s v="Greenfield"/>
  </r>
  <r>
    <n v="65"/>
    <s v="T0133"/>
    <s v="IHS_BMD_062"/>
    <s v="T0133"/>
    <s v="North West"/>
    <s v="Wum"/>
    <x v="0"/>
    <s v="Indoor"/>
    <s v="Bafut"/>
    <s v="MENCHUM"/>
    <s v="Wum"/>
    <s v="Bamenda"/>
    <n v="6.3811"/>
    <n v="10.07868"/>
    <s v="Greenfield"/>
  </r>
  <r>
    <n v="66"/>
    <s v="T1442"/>
    <s v="IHS_BMD_005"/>
    <s v="T1442"/>
    <s v="North West"/>
    <s v="T Junction"/>
    <x v="0"/>
    <s v="Outdoor"/>
    <s v="Bamenda 3"/>
    <s v="MEZAM"/>
    <s v="Bamenda 2"/>
    <s v="Bamenda"/>
    <n v="5.9520799999999996"/>
    <n v="10.152419999999999"/>
    <s v="Rooftop"/>
  </r>
  <r>
    <n v="67"/>
    <s v="T0111"/>
    <s v="IHS_BMD_001"/>
    <s v="T0111"/>
    <s v="North West"/>
    <s v="NWCA"/>
    <x v="0"/>
    <s v="Indoor"/>
    <s v="Bamenda 3"/>
    <s v="MEZAM"/>
    <s v="Bamenda 2"/>
    <s v="Bamenda"/>
    <n v="5.958558"/>
    <n v="10.151246"/>
    <s v="Rooftop"/>
  </r>
  <r>
    <n v="68"/>
    <s v="T1444"/>
    <s v="IHS_BMD_014"/>
    <s v="T1444"/>
    <s v="North West"/>
    <s v="Mulang"/>
    <x v="0"/>
    <s v="Outdoor"/>
    <s v="Bamenda 3"/>
    <s v="MEZAM"/>
    <s v="Bamenda 2"/>
    <s v="Bamenda"/>
    <n v="5.9743599999999999"/>
    <n v="10.1563"/>
    <s v="Greenfield"/>
  </r>
  <r>
    <n v="69"/>
    <s v="T1443"/>
    <s v="IHS_BMD_002"/>
    <s v="T1443"/>
    <s v="North West"/>
    <s v="Evidence Building"/>
    <x v="0"/>
    <s v="Outdoor"/>
    <s v="Bamenda 3"/>
    <s v="MEZAM"/>
    <s v="Bamenda 2"/>
    <s v="Bamenda"/>
    <n v="5.9619400000000002"/>
    <n v="10.151759999999999"/>
    <s v="Rooftop"/>
  </r>
  <r>
    <n v="70"/>
    <s v="T0474"/>
    <s v="IHS_BMD_056"/>
    <s v="T0474"/>
    <s v="North West"/>
    <s v="Bifang"/>
    <x v="0"/>
    <s v="Outdoor"/>
    <s v="Mamfe"/>
    <s v="Momo"/>
    <s v="Widikum"/>
    <s v="Bamenda"/>
    <n v="5.8850800000000003"/>
    <n v="9.7542799999999996"/>
    <s v="Greenfield"/>
  </r>
  <r>
    <n v="71"/>
    <s v="NRO_034"/>
    <s v="IHS_BMD_044"/>
    <s v="NRO_034"/>
    <s v="North West"/>
    <s v="Balikumbat-Palais"/>
    <x v="0"/>
    <s v="Indoor"/>
    <s v="Bamenda 1"/>
    <s v="NGO-KETUNJIA"/>
    <s v="Balikumbat"/>
    <s v="Bamenda"/>
    <n v="5.8983930000000004"/>
    <n v="10.372153000000001"/>
    <s v="Greenfield"/>
  </r>
  <r>
    <n v="72"/>
    <s v="NRO_021"/>
    <s v="IHS_BMD_083"/>
    <s v="NRO_021"/>
    <s v="North West"/>
    <s v="Ma"/>
    <x v="0"/>
    <s v="Indoor"/>
    <s v="Nkambe"/>
    <s v="BUI"/>
    <s v="Nkum"/>
    <s v="Bamenda"/>
    <n v="6.3106944440000001"/>
    <n v="10.726749999999999"/>
    <s v="Greenfield"/>
  </r>
  <r>
    <n v="73"/>
    <s v="T0430"/>
    <s v="IHS_BMD_074"/>
    <s v="T0430"/>
    <s v="North West"/>
    <s v="Kumbo Bangam"/>
    <x v="0"/>
    <s v="Outdoor"/>
    <s v="Kumbo"/>
    <s v="BUI"/>
    <s v="Kumbo"/>
    <s v="Bamenda"/>
    <n v="6.1698240000000002"/>
    <n v="10.673164999999999"/>
    <s v="Greenfield"/>
  </r>
  <r>
    <n v="74"/>
    <s v="NRO_002"/>
    <s v="IHS_BMD_010"/>
    <s v="NRO_002"/>
    <s v="North West"/>
    <s v="Ntumansah"/>
    <x v="0"/>
    <s v="Indoor"/>
    <s v="Bamenda 3"/>
    <s v="MEZAM"/>
    <s v="Bamenda 2"/>
    <s v="Bamenda"/>
    <n v="5.9709310000000002"/>
    <n v="10.140806"/>
    <s v="Greenfield"/>
  </r>
  <r>
    <n v="75"/>
    <s v="T0166"/>
    <s v="IHS_BMD_013"/>
    <s v="T0166"/>
    <s v="North West"/>
    <s v="Ndamukong street"/>
    <x v="0"/>
    <s v="Indoor"/>
    <s v="Bamenda 2"/>
    <s v="MEZAM"/>
    <s v="Bamenda 2"/>
    <s v="Bamenda"/>
    <n v="5.9708550000000002"/>
    <n v="10.164631"/>
    <s v="Greenfield"/>
  </r>
  <r>
    <n v="76"/>
    <s v="T0436"/>
    <s v="IHS_BMD_023"/>
    <s v="T0436"/>
    <s v="North West"/>
    <s v="Bamenda St Louis"/>
    <x v="0"/>
    <s v="Indoor"/>
    <s v="Bamenda 3"/>
    <s v="MEZAM"/>
    <s v="Bamenda 3"/>
    <s v="Bamenda"/>
    <n v="5.9811589999999999"/>
    <n v="10.178846999999999"/>
    <s v="Greenfield"/>
  </r>
  <r>
    <n v="77"/>
    <s v="T1441"/>
    <s v="IHS_BMD_003"/>
    <s v="T1441"/>
    <s v="North West"/>
    <s v="GOSPEL RADIO"/>
    <x v="0"/>
    <s v="Outdoor"/>
    <s v="Bamenda 2"/>
    <s v="MEZAM"/>
    <s v="Bamenda 2"/>
    <s v="Bamenda"/>
    <n v="5.9593400000000001"/>
    <n v="10.14494"/>
    <s v="Rooftop"/>
  </r>
  <r>
    <n v="78"/>
    <s v="T1524"/>
    <s v="IHS_BMD_009"/>
    <s v="T1524"/>
    <s v="North West"/>
    <s v="Bamenda Meta Quater"/>
    <x v="0"/>
    <s v="Outdoor"/>
    <s v="Bamenda 2"/>
    <s v="MEZAM"/>
    <s v="Bamenda 2"/>
    <s v="Bamenda"/>
    <n v="5.9420900000000003"/>
    <n v="10.15291"/>
    <s v="Greenfield"/>
  </r>
  <r>
    <n v="79"/>
    <s v="T0830"/>
    <s v="IHS_BMD_041"/>
    <s v="T0830"/>
    <s v="North West"/>
    <s v="Bamessing"/>
    <x v="0"/>
    <s v="Outdoor"/>
    <s v="Bamenda 1"/>
    <s v="NGO-KETUNJIA"/>
    <s v="Ndop"/>
    <s v="Bamenda"/>
    <n v="5.99031"/>
    <n v="10.376480000000001"/>
    <s v="Greenfield"/>
  </r>
  <r>
    <n v="80"/>
    <s v="NRO_017"/>
    <s v="IHS_BMD_038"/>
    <s v="NRO_017"/>
    <s v="North West"/>
    <s v="Bali"/>
    <x v="0"/>
    <s v="Indoor"/>
    <s v="Bamenda 2"/>
    <s v="MEZAM"/>
    <s v="Bali"/>
    <s v="Bamenda"/>
    <n v="5.8791859999999998"/>
    <n v="10.011922"/>
    <s v="Greenfield"/>
  </r>
  <r>
    <n v="81"/>
    <s v="T0962"/>
    <s v="IHS_BMD_058"/>
    <s v="T0962"/>
    <s v="North West"/>
    <s v="Baba"/>
    <x v="0"/>
    <s v="Outdoor"/>
    <s v="Kumbo"/>
    <s v="NGO-KETUNJIA"/>
    <s v="Babessi"/>
    <s v="Bamenda"/>
    <n v="6.0702559999999997"/>
    <n v="10.487463"/>
    <s v="Greenfield"/>
  </r>
  <r>
    <n v="82"/>
    <s v="NRO_019"/>
    <s v="IHS_BMD_065"/>
    <s v="NRO_019"/>
    <s v="North West"/>
    <s v="Jakiri"/>
    <x v="0"/>
    <s v="Indoor"/>
    <s v="Kumbo"/>
    <s v="BUI"/>
    <s v="Jakiri"/>
    <s v="Bamenda"/>
    <n v="6.083806"/>
    <n v="10.608499999999999"/>
    <s v="Greenfield"/>
  </r>
  <r>
    <n v="83"/>
    <s v="NRO_024"/>
    <s v="IHS_BMD_205"/>
    <s v="NRO_024"/>
    <s v="North West"/>
    <s v="Babessi-T0"/>
    <x v="0"/>
    <s v="Outdoor"/>
    <s v="Kumbo"/>
    <s v="NGO-KETUNJIA"/>
    <s v="Babessi"/>
    <s v="Bamenda"/>
    <n v="6.332833333"/>
    <n v="10.58295833"/>
    <s v="Greenfield"/>
  </r>
  <r>
    <n v="84"/>
    <s v="T0149"/>
    <s v="IHS_BMD_064"/>
    <s v="T0149"/>
    <s v="North West"/>
    <s v="Jakiri"/>
    <x v="0"/>
    <s v="Indoor"/>
    <s v="Kumbo"/>
    <s v="BUI"/>
    <s v="Jakiri"/>
    <s v="Bamenda"/>
    <n v="6.0825800000000001"/>
    <n v="10.60824"/>
    <s v="Greenfield"/>
  </r>
  <r>
    <n v="85"/>
    <s v="T0199"/>
    <s v="IHS_BMD_082"/>
    <s v="T0199"/>
    <s v="North West"/>
    <s v="Mah BTS"/>
    <x v="0"/>
    <s v="Indoor"/>
    <s v="Nkambe"/>
    <s v="BUI"/>
    <s v="Nkum"/>
    <s v="Bamenda"/>
    <n v="6.3106299999999997"/>
    <n v="10.727040000000001"/>
    <s v="Greenfield"/>
  </r>
  <r>
    <n v="86"/>
    <s v="NRO_011"/>
    <s v="IHS_BMD_035"/>
    <s v="NRO_011"/>
    <s v="North West"/>
    <s v="Mbengwi"/>
    <x v="0"/>
    <s v="Indoor"/>
    <s v="Bamenda 2"/>
    <s v="Momo"/>
    <s v="Mbengwi"/>
    <s v="Bamenda"/>
    <n v="6.0065030000000004"/>
    <n v="10.001763"/>
    <s v="Greenfield"/>
  </r>
  <r>
    <n v="87"/>
    <s v="T1817"/>
    <s v="IHS_BMD_144"/>
    <s v="T1817"/>
    <s v="North West"/>
    <s v="Jakiri Church"/>
    <x v="0"/>
    <s v="Outdoor"/>
    <s v="Kumbo"/>
    <s v="BUI"/>
    <s v="Jakiri"/>
    <s v="Bamenda"/>
    <n v="6.0773165999999996"/>
    <n v="10.640361"/>
    <s v="Greenfield"/>
  </r>
  <r>
    <n v="88"/>
    <s v="T0301"/>
    <s v="IHS_BMD_033"/>
    <s v="T0301"/>
    <s v="North West"/>
    <s v="Bafut"/>
    <x v="0"/>
    <s v="Indoor"/>
    <s v="Bafut"/>
    <s v="MEZAM"/>
    <s v="Bafut"/>
    <s v="Bamenda"/>
    <n v="6.0735999999999999"/>
    <n v="10.142670000000001"/>
    <s v="Greenfield"/>
  </r>
  <r>
    <n v="89"/>
    <s v="NRO_227"/>
    <s v="IHS_BMD_015"/>
    <s v="NRO_227"/>
    <s v="North West"/>
    <s v="Bda-Chinde"/>
    <x v="0"/>
    <s v="Outdoor"/>
    <s v="Bamenda 2"/>
    <s v="MEZAM"/>
    <s v="Bamenda 2"/>
    <s v="Bamenda"/>
    <n v="5.9586490000000003"/>
    <n v="10.129381"/>
    <s v="Greenfield"/>
  </r>
  <r>
    <n v="90"/>
    <s v="NRO_229"/>
    <s v="IHS_BMD_024"/>
    <s v="NRO_229"/>
    <s v="North West"/>
    <s v="Mendankwe"/>
    <x v="0"/>
    <s v="Outdoor"/>
    <s v="Bamenda 1"/>
    <s v="MEZAM"/>
    <s v="Bamenda 1"/>
    <s v="Bamenda"/>
    <n v="5.9335040000000001"/>
    <n v="10.183420999999999"/>
    <s v="Greenfield"/>
  </r>
  <r>
    <n v="91"/>
    <s v="NRO_006"/>
    <s v="IHS_BMD_043"/>
    <s v="NRO_006"/>
    <s v="North West"/>
    <s v="Ndop"/>
    <x v="0"/>
    <s v="Indoor"/>
    <s v="Kumbo"/>
    <s v="NGO-KETUNJIA"/>
    <s v="Ndop"/>
    <s v="Bamenda"/>
    <n v="5.9846166670000001"/>
    <n v="10.43468333"/>
    <s v="Greenfield"/>
  </r>
  <r>
    <n v="92"/>
    <s v="NRO_010"/>
    <s v="IHS_BMD_050"/>
    <s v="NRO_010"/>
    <s v="North West"/>
    <s v="Batibo"/>
    <x v="0"/>
    <s v="Outdoor"/>
    <s v="Bamenda 2"/>
    <s v="Momo"/>
    <s v="Batibo"/>
    <s v="Bamenda"/>
    <n v="5.8363839999999998"/>
    <n v="9.8830439999999999"/>
    <s v="Greenfield"/>
  </r>
  <r>
    <n v="93"/>
    <s v="T1576"/>
    <s v="IHS_BMD_030"/>
    <s v="T1576"/>
    <s v="North West"/>
    <s v="Bambili University"/>
    <x v="0"/>
    <s v="Outdoor"/>
    <s v="Bamenda 1"/>
    <s v="MEZAM"/>
    <s v="tubah"/>
    <s v="Bamenda"/>
    <n v="6.0077199999999999"/>
    <n v="10.253880000000001"/>
    <s v="Greenfield"/>
  </r>
  <r>
    <n v="94"/>
    <s v="T1495"/>
    <s v="IHS_BMD_036"/>
    <s v="T1495"/>
    <s v="North West"/>
    <s v="Bali Njenka"/>
    <x v="0"/>
    <s v="Outdoor"/>
    <s v="Bamenda 2"/>
    <s v="MEZAM"/>
    <s v="Bali"/>
    <s v="Bamenda"/>
    <n v="5.8916944439999996"/>
    <n v="10.02088889"/>
    <s v="Greenfield"/>
  </r>
  <r>
    <n v="95"/>
    <s v="T1910"/>
    <s v="IHS_BMD_012"/>
    <s v="T1910"/>
    <s v="North West"/>
    <s v="Bamenda sisia quarter"/>
    <x v="0"/>
    <s v="Outdoor"/>
    <s v="Bamenda 3"/>
    <s v="MEZAM"/>
    <s v="Bamenda 2"/>
    <s v="Bamenda"/>
    <n v="5.9587719999999997"/>
    <n v="10.168169000000001"/>
    <s v="Greenfield"/>
  </r>
  <r>
    <n v="96"/>
    <s v="T1909"/>
    <s v="IHS_BMD_004"/>
    <s v="T1909"/>
    <s v="North West"/>
    <s v="Bamenda hospital round about"/>
    <x v="0"/>
    <s v="Outdoor"/>
    <s v="Bamenda 2"/>
    <s v="MEZAM"/>
    <s v="Bamenda 2"/>
    <s v="Bamenda"/>
    <n v="5.9534719999999997"/>
    <n v="10.146556"/>
    <s v="Rooftop"/>
  </r>
  <r>
    <n v="97"/>
    <s v="T1326"/>
    <s v="IHS_BMD_011"/>
    <s v="T1326"/>
    <s v="North West"/>
    <s v="Bamenda Ntarikon"/>
    <x v="0"/>
    <s v="Outdoor"/>
    <s v="Bamenda 3"/>
    <s v="MEZAM"/>
    <s v="Bamenda 2"/>
    <s v="Bamenda"/>
    <n v="5.9719709999999999"/>
    <n v="10.141662999999999"/>
    <s v="Greenfield"/>
  </r>
  <r>
    <n v="98"/>
    <s v="T1527"/>
    <s v="IHS_DLA_403"/>
    <s v="T1527"/>
    <s v="North West"/>
    <s v="Bamenda Foncha Street"/>
    <x v="0"/>
    <s v="Outdoor"/>
    <s v="Bamenda 1"/>
    <s v="MEZAM"/>
    <s v="Bamenda 2"/>
    <s v="Bamenda"/>
    <n v="5.9725840000000003"/>
    <n v="10.173876"/>
    <s v="Rooftop"/>
  </r>
  <r>
    <n v="99"/>
    <s v="T2068"/>
    <s v="IHS_BMD_019"/>
    <s v="T2068"/>
    <s v="North West"/>
    <s v="Bamenda Bus Station"/>
    <x v="0"/>
    <s v="Outdoor"/>
    <s v="Bamenda 3"/>
    <s v="MEZAM"/>
    <s v="Bamenda 1"/>
    <s v="Bamenda"/>
    <n v="5.9441670000000002"/>
    <n v="10.170555999999999"/>
    <s v="Greenfield"/>
  </r>
  <r>
    <n v="100"/>
    <s v="T1455"/>
    <s v="IHS_BMD_027"/>
    <s v="T1455"/>
    <s v="North West"/>
    <s v="MANKON PALACE"/>
    <x v="0"/>
    <s v="Outdoor"/>
    <s v="Bafut"/>
    <s v="MEZAM"/>
    <s v="Bamenda 2"/>
    <s v="Bamenda"/>
    <n v="6.0110599999999996"/>
    <n v="10.11225"/>
    <s v="Greenfield"/>
  </r>
  <r>
    <n v="101"/>
    <s v="T1536"/>
    <s v="IHS_BMD_204"/>
    <s v="T1536"/>
    <s v="North West"/>
    <s v="NDOP KAKE"/>
    <x v="0"/>
    <s v="Outdoor"/>
    <s v="Kumbo"/>
    <s v="NGO-KETUNJIA"/>
    <s v="Ndop"/>
    <s v="Bamenda"/>
    <n v="6.0013800000000002"/>
    <n v="10.44359"/>
    <s v="Greenfield"/>
  </r>
  <r>
    <n v="102"/>
    <s v="T0131"/>
    <s v="IHS_BMD_075"/>
    <s v="T0131"/>
    <s v="North West"/>
    <s v="Kumbo"/>
    <x v="0"/>
    <s v="Indoor"/>
    <s v="Kumbo"/>
    <s v="BUI"/>
    <s v="kumbo"/>
    <s v="Bamenda"/>
    <n v="6.20106"/>
    <n v="10.70356"/>
    <s v="Greenfield"/>
  </r>
  <r>
    <n v="103"/>
    <s v="T0826"/>
    <s v="IHS_BMD_080"/>
    <s v="T0826"/>
    <s v="North West"/>
    <s v="Elak Oku"/>
    <x v="0"/>
    <s v="Outdoor"/>
    <s v="Kumbo"/>
    <s v="BUI"/>
    <s v="Elak Oku"/>
    <s v="Bamenda"/>
    <n v="6.24871"/>
    <n v="10.50643"/>
    <s v="Greenfield"/>
  </r>
  <r>
    <n v="104"/>
    <s v="NRO_020"/>
    <s v="IHS_BMD_076"/>
    <s v="NRO_020"/>
    <s v="North West"/>
    <s v="Kumbo-II"/>
    <x v="0"/>
    <s v="Indoor"/>
    <s v="Kumbo"/>
    <s v="BUI"/>
    <s v="kumbo"/>
    <s v="Bamenda"/>
    <n v="6.2024169999999996"/>
    <n v="10.703722000000001"/>
    <s v="Greenfield"/>
  </r>
  <r>
    <n v="105"/>
    <s v="NRO_013"/>
    <s v="IHS_BMD_081"/>
    <s v="NRO_013"/>
    <s v="North West"/>
    <s v="Oku"/>
    <x v="0"/>
    <s v="Outdoor"/>
    <s v="Kumbo"/>
    <s v="BUI"/>
    <s v="Elak Oku"/>
    <s v="Bamenda"/>
    <n v="6.2387277780000003"/>
    <n v="10.498950000000001"/>
    <s v="Greenfield"/>
  </r>
  <r>
    <n v="106"/>
    <s v="T0614"/>
    <s v="IHS_BMD_051"/>
    <s v="T0614"/>
    <s v="North West"/>
    <s v="Pinyin"/>
    <x v="0"/>
    <s v="Outdoor"/>
    <s v="Bamenda 2"/>
    <s v="MEZAM"/>
    <s v="Santa"/>
    <s v="Bamenda"/>
    <n v="5.7762250000000002"/>
    <n v="10.068580000000001"/>
    <s v="Greenfield"/>
  </r>
  <r>
    <n v="107"/>
    <s v="NRO_029"/>
    <s v="IHS_BMD_017"/>
    <s v="NRO_029"/>
    <s v="North West"/>
    <s v="Mankon"/>
    <x v="0"/>
    <s v="Indoor"/>
    <s v="Bamenda 3"/>
    <s v="MEZAM"/>
    <s v="Bamenda 2"/>
    <s v="Bamenda"/>
    <n v="5.9838300000000002"/>
    <n v="10.129958"/>
    <s v="Greenfield"/>
  </r>
  <r>
    <n v="108"/>
    <s v="NRO_033"/>
    <s v="IHS_BMD_045"/>
    <s v="NRO_033"/>
    <s v="North West"/>
    <s v="Balikumbat-Ville"/>
    <x v="0"/>
    <s v="Outdoor"/>
    <s v="Bamenda 1"/>
    <s v="NGO-KETUNJIA"/>
    <s v="Balikumbat"/>
    <s v="Bamenda"/>
    <n v="5.877891"/>
    <n v="10.389462"/>
    <s v="Greenfield"/>
  </r>
  <r>
    <n v="109"/>
    <s v="NRO_032"/>
    <s v="IHS_BMD_069"/>
    <s v="NRO_032"/>
    <s v="North West"/>
    <s v="Belo"/>
    <x v="0"/>
    <s v="Outdoor"/>
    <s v="Bamenda 1"/>
    <s v="Boyo"/>
    <s v="belo"/>
    <s v="Bamenda"/>
    <n v="6.176361"/>
    <n v="10.341443999999999"/>
    <s v="Greenfield"/>
  </r>
  <r>
    <n v="110"/>
    <s v="T1053"/>
    <s v="IHS_BMD_068"/>
    <s v="T1053"/>
    <s v="North West"/>
    <s v="Vikovi"/>
    <x v="0"/>
    <s v="Outdoor"/>
    <s v="Kumbo"/>
    <s v="BUI"/>
    <s v="Jakiri"/>
    <s v="Bamenda"/>
    <n v="6.1369899999999999"/>
    <n v="10.58663"/>
    <s v="Greenfield"/>
  </r>
  <r>
    <n v="111"/>
    <s v="T0642"/>
    <s v="IHS_BMD_029"/>
    <s v="T0642"/>
    <s v="North West"/>
    <s v="Tubah"/>
    <x v="0"/>
    <s v="Outdoor"/>
    <s v="Bamenda 1"/>
    <s v="MEZAM"/>
    <s v="tubah"/>
    <s v="Bamenda"/>
    <n v="6.01844"/>
    <n v="10.241580000000001"/>
    <s v="Greenfield"/>
  </r>
  <r>
    <n v="112"/>
    <s v="T1040"/>
    <s v="IHS_MBD_012"/>
    <s v="T1040"/>
    <s v="North West"/>
    <s v="Kombou"/>
    <x v="0"/>
    <s v="Outdoor"/>
    <s v="Bafoussam1"/>
    <s v="BAMBOUTOUS"/>
    <s v="Babadjou"/>
    <s v="Bamenda"/>
    <n v="5.7354200000000004"/>
    <n v="10.14756"/>
    <s v="Greenfield"/>
  </r>
  <r>
    <n v="113"/>
    <s v="T1066"/>
    <s v="IHS_BMD_067"/>
    <s v="T1066"/>
    <s v="North West"/>
    <s v="Sop"/>
    <x v="0"/>
    <s v="Outdoor"/>
    <s v="Kumbo"/>
    <s v="BUI"/>
    <s v="Jakiri"/>
    <s v="Bamenda"/>
    <n v="6.1365400000000001"/>
    <n v="10.64364"/>
    <s v="Greenfield"/>
  </r>
  <r>
    <n v="114"/>
    <s v="NRO_222"/>
    <s v="IHS_BMD_026"/>
    <s v="NRO_222"/>
    <s v="North West"/>
    <s v="Nkwein-Ntambang"/>
    <x v="0"/>
    <s v="Outdoor"/>
    <s v="Bamenda 1"/>
    <s v="MEZAM"/>
    <s v="Bamenda 3"/>
    <s v="Bamenda"/>
    <n v="5.9953599999999998"/>
    <n v="10.200519999999999"/>
    <s v="Greenfield"/>
  </r>
  <r>
    <n v="115"/>
    <s v="T0165"/>
    <s v="IHS_BMD_049"/>
    <s v="T0165"/>
    <s v="North West"/>
    <s v="Batibo"/>
    <x v="0"/>
    <s v="Indoor"/>
    <s v="Bamenda 2"/>
    <s v="MEZAM"/>
    <s v="Batibo"/>
    <s v="Bamenda"/>
    <n v="5.8348899999999997"/>
    <n v="9.8834199999999992"/>
    <s v="Greenfield"/>
  </r>
  <r>
    <n v="116"/>
    <s v="T1501"/>
    <s v="IHS_BMD_022"/>
    <s v="T1501"/>
    <s v="North West"/>
    <s v="Bamenda GTTC"/>
    <x v="0"/>
    <s v="Outdoor"/>
    <s v="Bamenda 1"/>
    <s v="MEZAM"/>
    <s v="Bamenda 2"/>
    <s v="Bamenda"/>
    <n v="5.9683529999999996"/>
    <n v="10.181889"/>
    <s v="Greenfield"/>
  </r>
  <r>
    <n v="117"/>
    <s v="SUO_010"/>
    <s v="IHS_BMD_032"/>
    <s v="SUO_010"/>
    <s v="North West"/>
    <s v="Bambili"/>
    <x v="0"/>
    <s v="Indoor"/>
    <s v="Bamenda 1"/>
    <s v="MEZAM"/>
    <s v="Bali"/>
    <s v="Bamenda"/>
    <n v="5.9980900000000004"/>
    <n v="10.284319999999999"/>
    <s v="Greenfield"/>
  </r>
  <r>
    <n v="118"/>
    <s v="T0560"/>
    <s v="IHS_BMD_071"/>
    <s v="T0560"/>
    <s v="North West"/>
    <s v="Babanki"/>
    <x v="0"/>
    <s v="Outdoor"/>
    <s v="Bamenda 1"/>
    <s v="Boyo"/>
    <s v="Tubah"/>
    <s v="Bamenda"/>
    <n v="6.139024"/>
    <n v="10.256549"/>
    <s v="Greenfield"/>
  </r>
  <r>
    <n v="119"/>
    <s v="T0126"/>
    <s v="IHS_BMD_031"/>
    <s v="T0126"/>
    <s v="North West"/>
    <s v="Bambili Hill"/>
    <x v="0"/>
    <s v="Indoor"/>
    <s v="Bamenda 1"/>
    <s v="MEZAM"/>
    <s v="tubah"/>
    <s v="Bamenda"/>
    <n v="5.9980140000000004"/>
    <n v="10.284268000000001"/>
    <s v="Greenfield"/>
  </r>
  <r>
    <n v="120"/>
    <s v="T0562"/>
    <s v="IHS_BMD_046"/>
    <s v="T0562"/>
    <s v="North West"/>
    <s v="Awing"/>
    <x v="0"/>
    <s v="Outdoor"/>
    <s v="Bamenda 1"/>
    <s v="MEZAM"/>
    <s v="santa"/>
    <s v="Bamenda"/>
    <n v="5.8503340000000001"/>
    <n v="10.244092999999999"/>
    <s v="Greenfield"/>
  </r>
  <r>
    <n v="121"/>
    <s v="T0161"/>
    <s v="IHS_BMD_039"/>
    <s v="T0161"/>
    <s v="North West"/>
    <s v="SAR/SM Santa"/>
    <x v="0"/>
    <s v="Indoor"/>
    <s v="Bamenda 3"/>
    <s v="MEZAM"/>
    <s v="Santa"/>
    <s v="Bamenda"/>
    <n v="5.8020569999999996"/>
    <n v="10.159784"/>
    <s v="Greenfield"/>
  </r>
  <r>
    <n v="122"/>
    <s v="T0164"/>
    <s v="IHS_BMD_037"/>
    <s v="T0164"/>
    <s v="North West"/>
    <s v="Bali"/>
    <x v="0"/>
    <s v="Indoor"/>
    <s v="Bamenda 2"/>
    <s v="MEZAM"/>
    <s v="Bali"/>
    <s v="Bamenda"/>
    <n v="5.8794149999999998"/>
    <n v="10.011998"/>
    <s v="Greenfield"/>
  </r>
  <r>
    <n v="123"/>
    <s v="NRO_015"/>
    <s v="IHS_BMD_073"/>
    <s v="NRO_015"/>
    <s v="North West"/>
    <s v="Fundong"/>
    <x v="0"/>
    <s v="Indoor"/>
    <s v="Bamenda 1"/>
    <s v="Boyo"/>
    <s v="Fundong"/>
    <s v="Bamenda"/>
    <n v="6.2943499999999997"/>
    <n v="10.268331"/>
    <s v="Greenfield"/>
  </r>
  <r>
    <n v="124"/>
    <s v="T0487"/>
    <s v="IHS_BMD_070"/>
    <s v="T0487"/>
    <s v="North West"/>
    <s v="Belo-Njinikom"/>
    <x v="0"/>
    <s v="Outdoor"/>
    <s v="Bamenda 1"/>
    <s v="Boyo"/>
    <s v="Belo"/>
    <s v="Bamenda"/>
    <n v="6.1810809999999998"/>
    <n v="10.287743000000001"/>
    <s v="Greenfield"/>
  </r>
  <r>
    <n v="125"/>
    <s v="T0132"/>
    <s v="IHS_BMD_072"/>
    <s v="T0132"/>
    <s v="North West"/>
    <s v="Muchemni Fundong"/>
    <x v="0"/>
    <s v="Indoor"/>
    <s v="Bamenda 1"/>
    <s v="Boyo"/>
    <s v="Fundong"/>
    <s v="Bamenda"/>
    <n v="6.2548000000000004"/>
    <n v="10.261240000000001"/>
    <s v="Greenfield"/>
  </r>
  <r>
    <n v="126"/>
    <s v="T0100"/>
    <s v="IHS_BMD_042"/>
    <s v="T0100"/>
    <s v="North West"/>
    <s v="Ndop"/>
    <x v="0"/>
    <s v="Indoor"/>
    <s v="Kumbo"/>
    <s v="NGO-KETUNJIA"/>
    <s v="Ndop"/>
    <s v="Bamenda"/>
    <n v="5.9823399999999998"/>
    <n v="10.4354"/>
    <s v="Greenfield"/>
  </r>
  <r>
    <n v="127"/>
    <s v="T0167"/>
    <s v="IHS_BMD_085"/>
    <s v="T0167"/>
    <s v="North West"/>
    <s v="NDU Baptist church"/>
    <x v="0"/>
    <s v="Indoor"/>
    <s v="Nkambe"/>
    <s v="NGO-KETUNJIA"/>
    <s v="Ndu"/>
    <s v="Bamenda"/>
    <n v="6.4209259999999997"/>
    <n v="10.796643"/>
    <s v="Greenfield"/>
  </r>
  <r>
    <n v="128"/>
    <s v="NRO_009"/>
    <s v="IHS_BMD_086"/>
    <s v="NRO_009"/>
    <s v="North West"/>
    <s v="Ndu"/>
    <x v="0"/>
    <s v="Indoor"/>
    <s v="Nkambe"/>
    <s v="Donga Mantoum"/>
    <s v="Ndu"/>
    <s v="Bamenda"/>
    <n v="6.420833333"/>
    <n v="10.796611110000001"/>
    <s v="Greenfield"/>
  </r>
  <r>
    <n v="129"/>
    <s v="T0360"/>
    <s v="IHS_BMD_007"/>
    <s v="T0360"/>
    <s v="North West"/>
    <s v="Nitob"/>
    <x v="0"/>
    <s v="Indoor"/>
    <s v="Bamenda 2"/>
    <s v="MEZAM"/>
    <s v="Bamenda 2"/>
    <s v="Bamenda"/>
    <n v="5.9553890000000003"/>
    <n v="10.135904"/>
    <s v="Greenfield"/>
  </r>
  <r>
    <n v="130"/>
    <s v="T0558"/>
    <s v="IHS_BMD_028"/>
    <s v="T0558"/>
    <s v="North West"/>
    <s v="Bamenda jerusalem"/>
    <x v="0"/>
    <s v="Outdoor"/>
    <s v="Bamenda 2"/>
    <s v="MEZAM"/>
    <s v="Bali"/>
    <s v="Bamenda"/>
    <n v="5.9113800000000003"/>
    <n v="10.14087"/>
    <s v="Greenfield"/>
  </r>
  <r>
    <n v="131"/>
    <s v="OST_113"/>
    <s v="IHS_BMD_025"/>
    <s v="OST_113"/>
    <s v="North West"/>
    <s v="Bda-Titam-Naka"/>
    <x v="0"/>
    <s v="Outdoor"/>
    <s v="Bamenda 2"/>
    <s v="MEZAM"/>
    <s v="Bamenda 2"/>
    <s v="Bamenda"/>
    <n v="5.9276939999999998"/>
    <n v="10.117972"/>
    <s v="Greenfield"/>
  </r>
  <r>
    <n v="132"/>
    <s v="NRO_226"/>
    <s v="IHS_BMD_008"/>
    <s v="NRO_226"/>
    <s v="North West"/>
    <s v="Bda-Nitop-II"/>
    <x v="0"/>
    <s v="Outdoor"/>
    <s v="Bamenda 2"/>
    <s v="MEZAM"/>
    <s v="Bamenda 2"/>
    <s v="Bamenda"/>
    <n v="5.9473330000000004"/>
    <n v="10.140389000000001"/>
    <s v="Greenfield"/>
  </r>
  <r>
    <n v="133"/>
    <s v="T1510"/>
    <s v="IHS_BMD_138"/>
    <s v="T1510"/>
    <s v="North West"/>
    <s v="Bambili Round About"/>
    <x v="0"/>
    <s v="Outdoor"/>
    <s v="Bamenda 1"/>
    <s v="MEZAM"/>
    <s v="Tubah"/>
    <s v="Bamenda"/>
    <n v="6.00488"/>
    <n v="10.255388"/>
    <s v="Rooftop"/>
  </r>
  <r>
    <n v="134"/>
    <s v="OST_109"/>
    <s v="IHS_BMD_093"/>
    <s v="OST_109"/>
    <s v="West"/>
    <s v="Bfsam-Akwa"/>
    <x v="0"/>
    <s v="Outdoor"/>
    <s v="Bafoussam 2"/>
    <s v="MIFI"/>
    <s v="BAFOUSSAM"/>
    <s v="Bamenda"/>
    <n v="6.4742499999999996"/>
    <n v="10.419917"/>
    <s v="Rooftop"/>
  </r>
  <r>
    <n v="135"/>
    <s v="T1056"/>
    <s v="IHS_BMD_055"/>
    <s v="T1056"/>
    <s v="North West"/>
    <s v="Tiben"/>
    <x v="0"/>
    <s v="Outdoor"/>
    <s v="Bamenda 2"/>
    <s v="Momo"/>
    <s v="Widikum"/>
    <s v="Bamenda"/>
    <n v="5.8486700000000003"/>
    <n v="9.81297"/>
    <s v="Greenfield"/>
  </r>
  <r>
    <n v="136"/>
    <s v="T1041"/>
    <s v="IHS_BMD_048"/>
    <s v="T1041"/>
    <s v="North West"/>
    <s v="MBEKONG1041"/>
    <x v="0"/>
    <s v="Outdoor"/>
    <s v="Bafut"/>
    <s v="MENCHUM"/>
    <s v="Bafut"/>
    <s v="Bamenda"/>
    <n v="6.2010079999999999"/>
    <n v="10.06452"/>
    <s v="Greenfield"/>
  </r>
  <r>
    <n v="137"/>
    <s v="T0873"/>
    <s v="IHS_BMD_054"/>
    <s v="T0873"/>
    <s v="North West"/>
    <s v="Befang"/>
    <x v="0"/>
    <s v="Outdoor"/>
    <s v="Bafut"/>
    <s v="MENCHUM"/>
    <s v="Benakuma"/>
    <s v="Bamenda"/>
    <n v="6.3379099999999999"/>
    <n v="9.9917700000000007"/>
    <s v="Greenfield"/>
  </r>
  <r>
    <n v="138"/>
    <s v="T1042"/>
    <s v="IHS_BMD_053"/>
    <s v="T1042"/>
    <s v="North West"/>
    <s v="Aguli"/>
    <x v="0"/>
    <s v="Outdoor"/>
    <s v="Bafut"/>
    <s v="MENCHUM"/>
    <s v="Wum"/>
    <s v="Bamenda"/>
    <n v="6.2899950000000002"/>
    <n v="10.036151"/>
    <s v="Greenfield"/>
  </r>
  <r>
    <n v="139"/>
    <s v="T1055"/>
    <s v="IHS_BMD_088"/>
    <s v="T1055"/>
    <s v="North West"/>
    <s v="Mbot"/>
    <x v="0"/>
    <s v="Outdoor"/>
    <s v="Nkambe"/>
    <s v="Donga Mantoum"/>
    <s v="Nkambe"/>
    <s v="Bamenda"/>
    <n v="6.48055"/>
    <n v="10.747643"/>
    <s v="Greenfield"/>
  </r>
  <r>
    <n v="140"/>
    <s v="NRO_246"/>
    <s v="IHS_BMD_089"/>
    <s v="NRO_246"/>
    <s v="North West"/>
    <s v="Mbot"/>
    <x v="0"/>
    <s v="Outdoor"/>
    <s v="Nkambe"/>
    <s v="Donga Mantoum"/>
    <s v="Nkambe"/>
    <s v="Bamenda"/>
    <n v="6.4807920000000001"/>
    <n v="10.747964"/>
    <s v="Greenfield"/>
  </r>
  <r>
    <n v="141"/>
    <s v="NRO_219"/>
    <s v="IHS_BMD_057"/>
    <s v="NRO_219"/>
    <s v="North West"/>
    <s v="Widikum"/>
    <x v="0"/>
    <s v="Outdoor"/>
    <s v="Mamfe"/>
    <s v="Momo"/>
    <s v="Widikum"/>
    <s v="Bamenda"/>
    <n v="5.8885277780000003"/>
    <n v="9.7561666670000005"/>
    <s v="Greenfield"/>
  </r>
  <r>
    <n v="142"/>
    <s v="NRO_245"/>
    <s v="IHS_BMD_084"/>
    <s v="NRO_245"/>
    <s v="North West"/>
    <s v="Ntumbaw"/>
    <x v="0"/>
    <s v="Outdoor"/>
    <s v="Nkambe"/>
    <s v="Donga Mantoum"/>
    <s v="Ndu"/>
    <s v="Bamenda"/>
    <n v="6.3617499999999998"/>
    <n v="10.863111"/>
    <s v="Greenfield"/>
  </r>
  <r>
    <n v="143"/>
    <s v="NRO_238"/>
    <s v="IHS_BMD_090"/>
    <s v="NRO_238"/>
    <s v="North West"/>
    <s v="Nkor"/>
    <x v="0"/>
    <s v="Outdoor"/>
    <s v="Nkambe"/>
    <s v="BUI"/>
    <s v="Nkor"/>
    <s v="Bamenda"/>
    <n v="6.35"/>
    <n v="10.566667000000001"/>
    <s v="Greenfield"/>
  </r>
  <r>
    <n v="144"/>
    <s v="NRO_237"/>
    <s v="IHS_BMD_095"/>
    <s v="NRO_237"/>
    <s v="North West"/>
    <s v="Misaje"/>
    <x v="0"/>
    <s v="Outdoor"/>
    <s v="Nkambe"/>
    <s v="Donga Mantoum"/>
    <s v="Misaje"/>
    <s v="Bamenda"/>
    <n v="6.5666667099999998"/>
    <n v="10.55000004"/>
    <s v="Greenfield"/>
  </r>
  <r>
    <n v="145"/>
    <s v="NRO_218"/>
    <s v="IHS_BMD_060"/>
    <s v="NRO_218"/>
    <s v="North West"/>
    <s v="Andek"/>
    <x v="0"/>
    <s v="Outdoor"/>
    <s v="Bamenda 2"/>
    <s v="Momo"/>
    <s v="Andek"/>
    <s v="Bamenda"/>
    <n v="5.9758100000000001"/>
    <n v="9.8425039999999999"/>
    <s v="Greenfield"/>
  </r>
  <r>
    <n v="146"/>
    <s v="T1971"/>
    <s v="IHS_BMD_329"/>
    <s v="T1971"/>
    <s v="North West"/>
    <s v="Bambili Campus"/>
    <x v="0"/>
    <s v="Outdoor"/>
    <s v="Bamenda 1"/>
    <s v="MEZAM"/>
    <s v="Tubah"/>
    <s v="Bamenda"/>
    <n v="6.0135899999999998"/>
    <n v="10.253880000000001"/>
    <s v="Greenfield"/>
  </r>
  <r>
    <n v="147"/>
    <s v="T1883"/>
    <s v="IHS_BMD_332"/>
    <s v="T1883"/>
    <s v="North West"/>
    <s v="BAMENDA NCHUOBUH"/>
    <x v="0"/>
    <s v="Outdoor"/>
    <s v="Bamenda 3"/>
    <s v="MEZAM"/>
    <s v="Bamenda 2"/>
    <s v="Bamenda"/>
    <n v="5.9655279999999999"/>
    <n v="10.127889"/>
    <s v="Greenfield"/>
  </r>
  <r>
    <n v="148"/>
    <s v="T0992"/>
    <s v="IHS_BMD_331"/>
    <s v="T0992"/>
    <s v="North West"/>
    <s v="BAMENDA GRA"/>
    <x v="0"/>
    <s v="Outdoor"/>
    <s v="Bamenda 3"/>
    <s v="MEZAM"/>
    <s v="Bamenda 1"/>
    <s v="Bamenda"/>
    <n v="5.9516109999999998"/>
    <n v="10.174803000000001"/>
    <s v="Greenfield"/>
  </r>
  <r>
    <n v="149"/>
    <s v="T2729"/>
    <s v="IHS_BMD_326"/>
    <s v="T2729"/>
    <s v="North West"/>
    <s v="ACHA TUGI"/>
    <x v="0"/>
    <s v="Outdoor"/>
    <s v="Bamenda 2"/>
    <s v="Momo"/>
    <s v="Andek"/>
    <s v="Bamenda"/>
    <n v="6.0813670000000002"/>
    <n v="9.8916029999999999"/>
    <s v="Greenfield"/>
  </r>
  <r>
    <n v="150"/>
    <s v="T1859"/>
    <s v="IHS_BMD_333"/>
    <s v="T1859"/>
    <s v="North West"/>
    <s v="Bamenda Mile4"/>
    <x v="0"/>
    <s v="Outdoor"/>
    <s v="Bamenda 1"/>
    <s v="MEZAM"/>
    <s v="Bamenda 3"/>
    <s v="Bamenda"/>
    <n v="5.9875400000000001"/>
    <n v="10.18276"/>
    <s v="Greenfield"/>
  </r>
  <r>
    <n v="151"/>
    <s v="T1983"/>
    <s v="IHS_BMD_328"/>
    <s v="T1983"/>
    <s v="North West"/>
    <s v="Nkun-Ngwo School"/>
    <x v="0"/>
    <s v="Outdoor"/>
    <s v="Bamenda 2"/>
    <s v="Momo"/>
    <s v="Njikwa"/>
    <s v="Bamenda"/>
    <n v="6.0952999999999999"/>
    <n v="9.8102999999999998"/>
    <s v="Greenfield"/>
  </r>
  <r>
    <n v="152"/>
    <s v="T1879"/>
    <s v="IHS_BMD_330"/>
    <s v="T1879"/>
    <s v="North West"/>
    <s v="Bamenda Blue Moon"/>
    <x v="0"/>
    <s v="Outdoor"/>
    <s v="Bamenda 3"/>
    <s v="MEZAM"/>
    <s v="Bamenda 1"/>
    <s v="Bamenda"/>
    <n v="5.9276109999999997"/>
    <n v="10.155730999999999"/>
    <s v="Greenfield"/>
  </r>
  <r>
    <n v="153"/>
    <s v="T3464"/>
    <s v="IHS_BMD_327"/>
    <s v="T3464"/>
    <s v="North West"/>
    <s v="Tugi Tugi"/>
    <x v="0"/>
    <s v="Outdoor"/>
    <s v="Bamenda 2"/>
    <s v="Momo"/>
    <s v="Andek"/>
    <s v="Bamenda"/>
    <n v="6.0576472222222204"/>
    <n v="9.9035111111111096"/>
    <s v="Greenfield"/>
  </r>
  <r>
    <n v="154"/>
    <s v="T2473"/>
    <s v="IHS_BMD_334"/>
    <s v="T2473"/>
    <s v="North West"/>
    <s v="Bamenda Small Mankon"/>
    <x v="0"/>
    <s v="Outdoor"/>
    <s v="Bamenda 3"/>
    <s v="MEZAM"/>
    <s v="Bamenda 2"/>
    <s v="Bamenda"/>
    <n v="5.9689769999999998"/>
    <n v="10.147043"/>
    <s v="Rooftop"/>
  </r>
  <r>
    <n v="155"/>
    <s v="T3204"/>
    <s v="IHS_BMD_336"/>
    <s v="T3204"/>
    <s v="North West"/>
    <s v="BAMBILI CAMPUS 2"/>
    <x v="0"/>
    <s v="Outdoor"/>
    <s v="Bamenda 1"/>
    <s v="MEZAM"/>
    <s v="Tubah"/>
    <s v="Bamenda"/>
    <n v="6.0106729999999997"/>
    <n v="10.241841000000001"/>
    <s v="Greenfield"/>
  </r>
  <r>
    <n v="156"/>
    <s v="T3221"/>
    <s v="IHS_BMD_335"/>
    <s v="T3221"/>
    <s v="North West"/>
    <s v="BAMENDA MENTEH"/>
    <x v="0"/>
    <s v="Outdoor"/>
    <s v="Bamenda 1"/>
    <s v="MEZAM"/>
    <s v="Bamenda 3"/>
    <s v="Bamenda"/>
    <n v="5.9736729999999998"/>
    <n v="10.199527"/>
    <s v="Greenfield"/>
  </r>
  <r>
    <n v="157"/>
    <s v="T4503"/>
    <s v="IHS_BMD_341"/>
    <s v="T4503"/>
    <s v="North West"/>
    <s v="Pinyin Menka quarter"/>
    <x v="0"/>
    <s v="Outdoor"/>
    <s v="Bamenda 2"/>
    <s v="MEZAM"/>
    <s v="Bamenda 2"/>
    <s v="Bamenda"/>
    <n v="5.7739000000000003"/>
    <n v="10.105029999999999"/>
    <s v="Greenfield"/>
  </r>
  <r>
    <n v="158"/>
    <s v="T4803"/>
    <s v="IHS_BMD_342"/>
    <s v="T4803"/>
    <s v="North West"/>
    <s v="Waikov"/>
    <x v="0"/>
    <s v="Outdoor"/>
    <s v="Kumbo"/>
    <s v="BUI"/>
    <s v="Nkum"/>
    <s v="Bamenda"/>
    <n v="6.2932430000000004"/>
    <n v="10.786978"/>
    <s v="Greenfield"/>
  </r>
  <r>
    <n v="159"/>
    <s v="T4859"/>
    <s v="IHS_BMD_343"/>
    <s v="T4859"/>
    <s v="North West"/>
    <s v="Wossing"/>
    <x v="0"/>
    <s v="Outdoor"/>
    <s v="Bamenda"/>
    <s v="MEZAM"/>
    <s v="Bali"/>
    <s v="Bamenda"/>
    <n v="5.9220569999999997"/>
    <n v="10.068813"/>
    <s v="Greenfield"/>
  </r>
  <r>
    <n v="160"/>
    <s v="T4680"/>
    <s v="IHS_BMD_345"/>
    <s v="T4680"/>
    <s v="North West"/>
    <s v="Koubokam"/>
    <x v="0"/>
    <s v="Outdoor"/>
    <s v="Kumbo"/>
    <s v="BUI"/>
    <s v="Jakiri"/>
    <s v="Bamenda"/>
    <n v="6.0379100000000001"/>
    <n v="10.68852"/>
    <s v="Greenfield"/>
  </r>
  <r>
    <n v="161"/>
    <s v="T4640"/>
    <s v="IHS_BMD_346"/>
    <s v="T4640"/>
    <s v="North West"/>
    <s v="Bamali"/>
    <x v="0"/>
    <s v="Outdoor"/>
    <s v="Kumbo"/>
    <s v=" Ngoketunjia"/>
    <s v="Ndop"/>
    <s v="Bamenda"/>
    <n v="5.9220499999999996"/>
    <n v="10.435627999999999"/>
    <s v="Greenfield"/>
  </r>
  <r>
    <n v="162"/>
    <s v="T4872"/>
    <s v="IHS_BMD_347"/>
    <s v="T4872"/>
    <s v="North West"/>
    <s v="NDZENG"/>
    <x v="0"/>
    <s v="Outdoor"/>
    <s v="Kumbo"/>
    <s v="BUI"/>
    <s v="Nkum"/>
    <s v="Bamenda"/>
    <n v="6.2248000000000001"/>
    <n v="10.792870000000001"/>
    <s v="Greenfield"/>
  </r>
  <r>
    <n v="163"/>
    <s v="T4873"/>
    <s v="IHS_BMD_348"/>
    <s v="T4873"/>
    <s v="North West"/>
    <s v="TAKUI"/>
    <x v="0"/>
    <s v="Outdoor"/>
    <s v="Kumbo"/>
    <s v="BUI"/>
    <s v="Nkum"/>
    <s v="Bamenda"/>
    <n v="6.2639480000000001"/>
    <n v="10.751713000000001"/>
    <s v="Greenfield"/>
  </r>
  <r>
    <n v="164"/>
    <s v="T4575"/>
    <s v="IHS_BMD_349"/>
    <s v="T4575"/>
    <s v="North West"/>
    <s v="Alabukam Mankon"/>
    <x v="0"/>
    <s v="Outdoor"/>
    <s v="Bamenda 2"/>
    <s v="MEZAM"/>
    <s v="Bamenda 2"/>
    <s v="Bamenda"/>
    <n v="5.97044"/>
    <n v="10.088900000000001"/>
    <s v="Greenfield"/>
  </r>
  <r>
    <n v="165"/>
    <s v="T4559"/>
    <s v="IHS_BMD_350"/>
    <s v="T4559"/>
    <s v="North West"/>
    <s v="Makanikong Palace"/>
    <x v="0"/>
    <s v="Outdoor"/>
    <s v="Bamenda"/>
    <s v="MEZAM"/>
    <s v="Bafut"/>
    <s v="Bamenda"/>
    <n v="6.1054199999999996"/>
    <n v="10.084680000000001"/>
    <s v="Greenfield"/>
  </r>
  <r>
    <n v="166"/>
    <s v="T1000"/>
    <s v="IHS_BMD_352"/>
    <s v="T1000"/>
    <s v="North West"/>
    <s v="Bamenda Balewa"/>
    <x v="0"/>
    <s v="Outdoor"/>
    <s v="Bamenda 3"/>
    <s v="MEZAM"/>
    <s v="Bamenda 3"/>
    <s v="Bamenda"/>
    <n v="5.9759260000000003"/>
    <n v="10.180094"/>
    <s v="Greenfield"/>
  </r>
  <r>
    <n v="167"/>
    <s v="T1439"/>
    <s v="IHS_BMD_355"/>
    <s v="T1439"/>
    <s v="North West"/>
    <s v="NKONTCHEP"/>
    <x v="0"/>
    <s v="Outdoor"/>
    <s v="Nkambe"/>
    <s v="Donga Mantoum"/>
    <s v="Nkambe"/>
    <s v="Bamenda"/>
    <n v="6.6634250000000002"/>
    <n v="10.76455"/>
    <s v="Greenfield"/>
  </r>
  <r>
    <n v="168"/>
    <s v="T5030"/>
    <s v="IHS_BMD_356"/>
    <s v="T5030"/>
    <s v="North West"/>
    <s v="Sajocah"/>
    <x v="0"/>
    <s v="Outdoor"/>
    <s v="Bafut"/>
    <s v="MEZAM"/>
    <s v="Bafut"/>
    <s v="Bamenda"/>
    <n v="6.0658079999999996"/>
    <n v="10.101448"/>
    <s v="Greenfield"/>
  </r>
  <r>
    <n v="169"/>
    <s v="T5029"/>
    <s v="IHS_BMD_357"/>
    <s v="T5029"/>
    <s v="North West"/>
    <s v="Weh"/>
    <x v="0"/>
    <s v="Outdoor"/>
    <s v="Bafut"/>
    <s v="MENCHUM"/>
    <s v="Wum"/>
    <s v="Bamenda"/>
    <n v="6.4580330000000004"/>
    <n v="10.122539"/>
    <s v="Greenfield"/>
  </r>
  <r>
    <n v="170"/>
    <s v="T1518"/>
    <s v="IHS_BMD_2223"/>
    <s v="T1518"/>
    <s v="North West"/>
    <s v="SONGKOLONG "/>
    <x v="0"/>
    <s v="Outdoor"/>
    <s v="Foumban"/>
    <s v="Mayo Banyo"/>
    <s v="Bankim"/>
    <s v="Banyo"/>
    <n v="6.4088060000000002"/>
    <n v="11.318972"/>
    <s v="Greenfield"/>
  </r>
  <r>
    <n v="171"/>
    <s v="NRO_056"/>
    <s v="IHS_BMD_320"/>
    <s v="NRO_056"/>
    <s v="North West"/>
    <s v="NTEM"/>
    <x v="0"/>
    <s v="Outdoor"/>
    <s v="Nkambe"/>
    <s v="Donga Mantoum"/>
    <s v="Nwa"/>
    <s v="Banyo"/>
    <n v="6.3082799999999999"/>
    <n v="11.030340000000001"/>
    <s v="Greenfield"/>
  </r>
  <r>
    <n v="172"/>
    <s v="NRO_045"/>
    <s v="IHS_BMD_317"/>
    <s v="NRO_045"/>
    <s v="North West"/>
    <s v="ABUENSHIE"/>
    <x v="0"/>
    <s v="Outdoor"/>
    <s v="Nkambe"/>
    <s v="Donga Mantoum"/>
    <s v="Ako"/>
    <s v="Banyo"/>
    <n v="6.9556100000000001"/>
    <n v="10.71881"/>
    <s v="Greenfield"/>
  </r>
  <r>
    <n v="173"/>
    <s v="T2107"/>
    <s v="IHS_YND_536"/>
    <s v="T2107"/>
    <s v="North West"/>
    <s v=" ATTA"/>
    <x v="0"/>
    <s v="Outdoor"/>
    <s v="Foumban"/>
    <s v="Mayo Banyo"/>
    <s v="Bankim"/>
    <s v="Banyo"/>
    <n v="6.4658329999999999"/>
    <n v="11.30917"/>
    <s v="Greenfield"/>
  </r>
  <r>
    <n v="174"/>
    <s v="NRO_230"/>
    <s v="IHS_BMD_096"/>
    <s v="NRO_230"/>
    <s v="North West"/>
    <s v="Sabongari-NRO"/>
    <x v="0"/>
    <s v="Outdoor"/>
    <s v="Nkambe"/>
    <s v="Donga Mantoum"/>
    <s v="Nwa"/>
    <s v="Banyo"/>
    <n v="6.3856109999999999"/>
    <n v="11.165082999999999"/>
    <s v="Greenfield"/>
  </r>
  <r>
    <n v="175"/>
    <s v="T0734"/>
    <s v="IHS_BMD_208"/>
    <s v="T0734"/>
    <s v="North West"/>
    <s v="Nwa OCM "/>
    <x v="0"/>
    <s v="Outdoor"/>
    <s v="Nkambe"/>
    <s v="Donga Mantoum"/>
    <s v="Nwa"/>
    <s v="Banyo"/>
    <n v="6.4783730000000004"/>
    <n v="11.063392"/>
    <s v="Greenfield"/>
  </r>
  <r>
    <n v="176"/>
    <s v="NRO_012"/>
    <s v="IHS_BMD_097"/>
    <s v="NRO_012"/>
    <s v="North West"/>
    <s v="Nwa"/>
    <x v="0"/>
    <s v="Indoor"/>
    <s v="Nkambe"/>
    <s v="Donga Mantoum"/>
    <s v="Nwa"/>
    <s v="Banyo"/>
    <n v="6.4797500000000001"/>
    <n v="11.063917"/>
    <s v="Greenfield"/>
  </r>
  <r>
    <n v="177"/>
    <s v="SUO_070"/>
    <s v="IHS_BUA_047"/>
    <s v="SUO_070"/>
    <s v="South West"/>
    <s v="Yoke"/>
    <x v="1"/>
    <s v="Outdoor"/>
    <s v="Buea"/>
    <s v="FAKO"/>
    <s v="Muyuka"/>
    <s v="Buea"/>
    <n v="4.3199170000000002"/>
    <n v="9.4300280000000001"/>
    <s v="Greenfield"/>
  </r>
  <r>
    <n v="178"/>
    <s v="T1780"/>
    <s v="IHS_BUA_167"/>
    <s v="T1780"/>
    <s v="South West"/>
    <s v="Tole Tea"/>
    <x v="0"/>
    <s v="Outdoor"/>
    <s v="Buea"/>
    <s v="FAKO"/>
    <s v="Buea"/>
    <s v="Buea"/>
    <n v="4.1245200000000004"/>
    <n v="9.2476299999999991"/>
    <s v="Greenfield"/>
  </r>
  <r>
    <n v="179"/>
    <s v="T1693"/>
    <s v="IHS_BUA_011"/>
    <s v="T1693"/>
    <s v="South West"/>
    <s v="Tole 2"/>
    <x v="0"/>
    <s v="Outdoor"/>
    <s v="Buea"/>
    <s v="FAKO"/>
    <s v="Buea"/>
    <s v="Buea"/>
    <n v="4.1463429999999999"/>
    <n v="9.2511530000000004"/>
    <s v="Greenfield"/>
  </r>
  <r>
    <n v="180"/>
    <s v="T1321"/>
    <s v="IHS_BUA_126"/>
    <s v="T1321"/>
    <s v="South West"/>
    <s v="MUTENGUENE Q12"/>
    <x v="0"/>
    <s v="Outdoor"/>
    <s v="Mutenguene"/>
    <s v="FAKO"/>
    <s v="TIKO"/>
    <s v="Buea"/>
    <n v="4.092657"/>
    <n v="9.3193400000000004"/>
    <s v="Greenfield"/>
  </r>
  <r>
    <n v="181"/>
    <s v="SUO_064"/>
    <s v="IHS_BUA_032"/>
    <s v="SUO_064"/>
    <s v="South West"/>
    <s v="Mutengene-Qter8"/>
    <x v="0"/>
    <s v="Outdoor"/>
    <s v="Mutenguene"/>
    <s v="FAKO"/>
    <s v="TIKO"/>
    <s v="Buea"/>
    <n v="4.0897220000000001"/>
    <n v="9.3243329999999993"/>
    <s v="Greenfield"/>
  </r>
  <r>
    <n v="182"/>
    <s v="T0783"/>
    <s v="IHS_LMB_028"/>
    <s v="T0783"/>
    <s v="South West"/>
    <s v="Mutengene OMBE"/>
    <x v="0"/>
    <s v="Outdoor"/>
    <s v="Mutenguene"/>
    <s v="FAKO"/>
    <s v="TIKO"/>
    <s v="Buea"/>
    <n v="4.0782100000000003"/>
    <n v="9.2765079999999998"/>
    <s v="Greenfield"/>
  </r>
  <r>
    <n v="183"/>
    <s v="T1800"/>
    <s v="IHS_BUA_054"/>
    <s v="T1800"/>
    <s v="South West"/>
    <s v="Munyenge Trouble"/>
    <x v="0"/>
    <s v="Outdoor"/>
    <s v="Buea"/>
    <s v="FAKO"/>
    <s v="Muyuka"/>
    <s v="Buea"/>
    <n v="4.4045833329999997"/>
    <n v="9.1268055560000008"/>
    <s v="Greenfield"/>
  </r>
  <r>
    <n v="184"/>
    <s v="T1887"/>
    <s v="IHS_BUA_101"/>
    <s v="T1887"/>
    <s v="South West"/>
    <s v="Munyenge Bafia"/>
    <x v="0"/>
    <s v="Outdoor"/>
    <s v="Buea"/>
    <s v="FAKO"/>
    <s v="Muyuka"/>
    <s v="Buea"/>
    <n v="4.3542019999999999"/>
    <n v="9.3152460000000001"/>
    <s v="Greenfield"/>
  </r>
  <r>
    <n v="185"/>
    <s v="T1692"/>
    <s v="IHS_BUA_020"/>
    <s v="T1692"/>
    <s v="South West"/>
    <s v="MILE 16 BUEA"/>
    <x v="0"/>
    <s v="Outdoor"/>
    <s v="Buea"/>
    <s v="FAKO"/>
    <s v="BUEA"/>
    <s v="Buea"/>
    <n v="4.1396439999999997"/>
    <n v="9.3027750000000005"/>
    <s v="Greenfield"/>
  </r>
  <r>
    <n v="186"/>
    <s v="T1798"/>
    <s v="IHS_BUA_050"/>
    <s v="T1798"/>
    <s v="South West"/>
    <s v="Ekata"/>
    <x v="0"/>
    <s v="Outdoor"/>
    <s v="Buea"/>
    <s v="FAKO"/>
    <s v="Muyuka"/>
    <s v="Buea"/>
    <n v="4.328786"/>
    <n v="9.3554340000000007"/>
    <s v="Greenfield"/>
  </r>
  <r>
    <n v="187"/>
    <s v="T1177"/>
    <s v="IHS_BUA_163"/>
    <s v="T1177"/>
    <s v="South West"/>
    <s v="Buea Hospital         "/>
    <x v="0"/>
    <s v="Outdoor"/>
    <s v="Buea"/>
    <s v="FAKO"/>
    <s v="Buea"/>
    <s v="Buea"/>
    <n v="4.1497539999999997"/>
    <n v="9.2372060000000005"/>
    <s v="Greenfield"/>
  </r>
  <r>
    <n v="188"/>
    <s v="T1694"/>
    <s v="IHS_BUA_026"/>
    <s v="T1694"/>
    <s v="South West"/>
    <s v="BOVA2"/>
    <x v="0"/>
    <s v="Outdoor"/>
    <s v="Buea"/>
    <s v="FAKO"/>
    <s v="Buea"/>
    <s v="Buea"/>
    <n v="4.1886099999999997"/>
    <n v="9.2621680000000008"/>
    <s v="Greenfield"/>
  </r>
  <r>
    <n v="189"/>
    <s v="SUO_025"/>
    <s v="IHS_BUA_102"/>
    <s v="SUO_025"/>
    <s v="South West"/>
    <s v="Bova- Bokombo _IHS"/>
    <x v="0"/>
    <s v="Outdoor"/>
    <s v="Buea"/>
    <s v="FAKO"/>
    <s v="Muyuka"/>
    <s v="Buea"/>
    <n v="4.4303055599999999"/>
    <n v="9.2111111099999992"/>
    <s v="Greenfield"/>
  </r>
  <r>
    <n v="190"/>
    <s v="SUO_132"/>
    <s v="IHS_BUA_154"/>
    <s v="SUO_132"/>
    <s v="South West"/>
    <s v="bonakanda"/>
    <x v="0"/>
    <s v="Outdoor"/>
    <s v="Buea"/>
    <s v="FAKO"/>
    <s v="Buea"/>
    <s v="Buea"/>
    <n v="4.2024020000000002"/>
    <n v="9.2718579999999999"/>
    <s v="Greenfield"/>
  </r>
  <r>
    <n v="191"/>
    <s v="T1581"/>
    <s v="IHS_BUA_160"/>
    <s v="T1581"/>
    <s v="South West"/>
    <s v="Bai Kuke"/>
    <x v="0"/>
    <s v="Outdoor"/>
    <s v="Ekondo Titi"/>
    <s v="FAKO"/>
    <s v="Mbonge"/>
    <s v="Buea"/>
    <n v="4.4568830000000004"/>
    <n v="9.1439869999999992"/>
    <s v="Greenfield"/>
  </r>
  <r>
    <n v="192"/>
    <s v="T1781-1"/>
    <s v="IHS_BUA_034"/>
    <s v="T1781-1"/>
    <s v="South West"/>
    <s v="Ekona II "/>
    <x v="1"/>
    <s v="Outdoor"/>
    <s v="Buea"/>
    <m/>
    <s v="Ekona"/>
    <s v="Buea"/>
    <n v="4.2299439999999997"/>
    <n v="9.3305279999999993"/>
    <s v="Rooftop"/>
  </r>
  <r>
    <n v="193"/>
    <s v="T1725"/>
    <s v="IHS_BUA_131"/>
    <s v="T1725"/>
    <s v="South West"/>
    <s v="MILE16 BOLIFAMBA"/>
    <x v="0"/>
    <s v="Outdoor"/>
    <s v="Buea"/>
    <s v="FAKO"/>
    <s v="BUEA"/>
    <s v="Buea"/>
    <n v="4.1398060000000001"/>
    <n v="9.3119169999999993"/>
    <s v="Greenfield"/>
  </r>
  <r>
    <n v="194"/>
    <s v="T1310"/>
    <s v="IHS_BUA_164"/>
    <s v="T1310"/>
    <s v="South West"/>
    <s v="Malende"/>
    <x v="0"/>
    <s v="Outdoor"/>
    <s v="Buea"/>
    <s v="FAKO"/>
    <s v="Muyuka"/>
    <s v="Buea"/>
    <n v="4.3433060000000001"/>
    <n v="9.4309440000000002"/>
    <s v="Greenfield"/>
  </r>
  <r>
    <n v="195"/>
    <s v="T0300"/>
    <s v="IHS_BUA_017"/>
    <s v="T0300"/>
    <s v="South West"/>
    <s v="Bomaka Mile 17"/>
    <x v="0"/>
    <s v="Indoor"/>
    <s v="Buea"/>
    <s v="FAKO"/>
    <s v="Buea"/>
    <s v="Buea"/>
    <n v="4.1518350000000002"/>
    <n v="9.2998419999999999"/>
    <s v="Greenfield"/>
  </r>
  <r>
    <n v="196"/>
    <s v="T0419"/>
    <s v="IHS_BUA_001"/>
    <s v="T0419"/>
    <s v="South West"/>
    <s v="Buea University"/>
    <x v="0"/>
    <s v="Indoor"/>
    <s v="Buea"/>
    <s v="FAKO"/>
    <s v="Buea"/>
    <s v="Buea"/>
    <n v="4.1581320000000002"/>
    <n v="9.2700840000000007"/>
    <s v="Rooftop"/>
  </r>
  <r>
    <n v="197"/>
    <s v="T0559"/>
    <s v="IHS_BUA_033"/>
    <s v="T0559"/>
    <s v="South West"/>
    <s v="Ekona"/>
    <x v="0"/>
    <s v="Outdoor"/>
    <s v="Buea"/>
    <s v="FAKO"/>
    <s v="Ekona"/>
    <s v="Buea"/>
    <n v="4.2267900000000003"/>
    <n v="9.3391400000000004"/>
    <s v="Greenfield"/>
  </r>
  <r>
    <n v="198"/>
    <s v="T0671"/>
    <s v="IHS_BUA_028"/>
    <s v="T0671"/>
    <s v="South West"/>
    <s v="Mile 14"/>
    <x v="0"/>
    <s v="Outdoor"/>
    <s v="Buea"/>
    <s v="FAKO"/>
    <s v="Buea"/>
    <s v="Buea"/>
    <n v="4.1232090000000001"/>
    <n v="9.3093489999999992"/>
    <s v="Greenfield"/>
  </r>
  <r>
    <n v="199"/>
    <s v="SUO_004"/>
    <s v="IHS_BUA_037"/>
    <s v="SUO_004"/>
    <s v="South West"/>
    <s v="Tiko"/>
    <x v="0"/>
    <s v="Indoor"/>
    <s v="Mutenguene"/>
    <s v="FAKO"/>
    <s v="TIKO"/>
    <s v="Buea"/>
    <n v="4.0751869999999997"/>
    <n v="9.3678310000000007"/>
    <s v="Greenfield"/>
  </r>
  <r>
    <n v="200"/>
    <s v="T0438"/>
    <s v="IHS_BUA_015"/>
    <s v="T0438"/>
    <s v="South West"/>
    <s v="Bokwango"/>
    <x v="0"/>
    <s v="Outdoor"/>
    <s v="Buea"/>
    <s v="FAKO"/>
    <s v="Buea"/>
    <s v="Buea"/>
    <n v="4.1372150000000003"/>
    <n v="9.2298880000000008"/>
    <s v="Greenfield"/>
  </r>
  <r>
    <n v="201"/>
    <s v="T0069"/>
    <s v="IHS_BUA_006"/>
    <s v="T0069"/>
    <s v="South West"/>
    <s v="Great Soppo"/>
    <x v="0"/>
    <s v="Indoor"/>
    <s v="Buea"/>
    <s v="FAKO"/>
    <s v="Buea"/>
    <s v="Buea"/>
    <n v="4.1579959999999998"/>
    <n v="9.2541790000000006"/>
    <s v="Greenfield"/>
  </r>
  <r>
    <n v="202"/>
    <s v="SUO_007"/>
    <s v="IHS_BUA_002"/>
    <s v="SUO_007"/>
    <s v="South West"/>
    <s v="Buea-Orange"/>
    <x v="0"/>
    <s v="Indoor"/>
    <s v="Buea"/>
    <s v="FAKO"/>
    <s v="Buea"/>
    <s v="Buea"/>
    <n v="4.1595610000000001"/>
    <n v="9.2694109999999998"/>
    <s v="Greenfield"/>
  </r>
  <r>
    <n v="203"/>
    <s v="SUO_077"/>
    <s v="IHS_BUA_021"/>
    <s v="SUO_077"/>
    <s v="South West"/>
    <s v="Buea-David-Square"/>
    <x v="0"/>
    <s v="Outdoor"/>
    <s v="Buea"/>
    <s v="FAKO"/>
    <s v="Buea"/>
    <s v="Buea"/>
    <n v="4.1676390000000003"/>
    <n v="9.3018330000000002"/>
    <s v="Rooftop"/>
  </r>
  <r>
    <n v="204"/>
    <s v="SUO_062"/>
    <s v="IHS_BUA_005"/>
    <s v="SUO_062"/>
    <s v="South West"/>
    <s v="Buea-Universite"/>
    <x v="0"/>
    <s v="Outdoor"/>
    <s v="Buea"/>
    <s v="FAKO"/>
    <s v="Buea"/>
    <s v="Buea"/>
    <n v="4.1551669999999996"/>
    <n v="9.2875829999999997"/>
    <s v="Greenfield"/>
  </r>
  <r>
    <n v="205"/>
    <s v="SUO_063"/>
    <s v="IHS_BUA_009"/>
    <s v="SUO_063"/>
    <s v="South West"/>
    <s v="Buea-Centre-Ville"/>
    <x v="0"/>
    <s v="Outdoor"/>
    <s v="Buea"/>
    <s v="FAKO"/>
    <s v="Buea"/>
    <s v="Buea"/>
    <n v="4.1539440000000001"/>
    <n v="9.2433610000000002"/>
    <s v="Greenfield"/>
  </r>
  <r>
    <n v="206"/>
    <s v="T1877"/>
    <s v="IHS_YND_500"/>
    <s v="T1877"/>
    <s v="South West"/>
    <s v="Buea Soppo University"/>
    <x v="0"/>
    <s v="Outdoor"/>
    <s v="Buea"/>
    <s v="FAKO"/>
    <s v="Buea"/>
    <s v="Buea"/>
    <n v="4.1509169999999997"/>
    <n v="9.2831670000000006"/>
    <s v="Greenfield"/>
  </r>
  <r>
    <n v="207"/>
    <s v="SUO_012"/>
    <s v="IHS_BUA_043"/>
    <s v="SUO_012"/>
    <s v="South West"/>
    <s v="Muyuka"/>
    <x v="0"/>
    <s v="Outdoor"/>
    <s v="Buea"/>
    <s v="FAKO"/>
    <s v="Muyuka"/>
    <s v="Buea"/>
    <n v="4.2823609999999999"/>
    <n v="9.3962219999999999"/>
    <s v="Greenfield"/>
  </r>
  <r>
    <n v="208"/>
    <s v="T0545"/>
    <s v="IHS_BUA_014"/>
    <s v="T0545"/>
    <s v="South West"/>
    <s v="Buea Town"/>
    <x v="0"/>
    <s v="Outdoor"/>
    <s v="Buea"/>
    <s v="FAKO"/>
    <s v="Buea"/>
    <s v="Buea"/>
    <n v="4.1685910000000002"/>
    <n v="9.2498249999999995"/>
    <s v="Greenfield"/>
  </r>
  <r>
    <n v="209"/>
    <s v="T0266"/>
    <s v="IHS_BUA_038"/>
    <s v="T0266"/>
    <s v="South West"/>
    <s v="Tiko Stadium"/>
    <x v="0"/>
    <s v="Indoor"/>
    <s v="Mutenguene"/>
    <s v="FAKO"/>
    <s v="TIKO"/>
    <s v="Buea"/>
    <n v="4.0697799999999997"/>
    <n v="9.3678159999999995"/>
    <s v="Greenfield"/>
  </r>
  <r>
    <n v="210"/>
    <s v="T1788"/>
    <s v="IHS_BUA_036"/>
    <s v="T1788"/>
    <s v="South West"/>
    <s v="Tiko Long Street"/>
    <x v="0"/>
    <s v="Outdoor"/>
    <s v="Mutenguene"/>
    <s v="FAKO"/>
    <s v="TIKO"/>
    <s v="Buea"/>
    <n v="4.0749750000000002"/>
    <n v="9.3614099999999993"/>
    <s v="Greenfield"/>
  </r>
  <r>
    <n v="211"/>
    <s v="T1135"/>
    <s v="IHS_BUA_003"/>
    <s v="T1135"/>
    <s v="South West"/>
    <s v="Buea Boduma"/>
    <x v="0"/>
    <s v="Outdoor"/>
    <s v="Buea"/>
    <s v="FAKO"/>
    <s v="Buea"/>
    <s v="Buea"/>
    <n v="4.1577989999999998"/>
    <n v="9.2640589999999996"/>
    <s v="Rooftop"/>
  </r>
  <r>
    <n v="212"/>
    <s v="T1695"/>
    <s v="IHS_BUA_008"/>
    <s v="T1695"/>
    <s v="South West"/>
    <s v="Moliko (Buea SC 2)"/>
    <x v="0"/>
    <s v="Outdoor"/>
    <s v="Buea"/>
    <s v="FAKO"/>
    <s v="Buea"/>
    <s v="Buea"/>
    <n v="4.1584000000000003"/>
    <n v="9.2934599999999996"/>
    <s v="Greenfield"/>
  </r>
  <r>
    <n v="213"/>
    <s v="T1777"/>
    <s v="IHS_BUA_024"/>
    <s v="T1777"/>
    <s v="South West"/>
    <s v="Bokwaï"/>
    <x v="0"/>
    <s v="Outdoor"/>
    <s v="Buea"/>
    <s v="FAKO"/>
    <s v="Buea"/>
    <s v="Buea"/>
    <n v="4.1705560000000004"/>
    <n v="9.2731110000000001"/>
    <s v="Greenfield"/>
  </r>
  <r>
    <n v="214"/>
    <s v="T1778"/>
    <s v="IHS_BUA_013"/>
    <s v="T1778"/>
    <s v="South West"/>
    <s v="Buea G.R.A."/>
    <x v="0"/>
    <s v="Outdoor"/>
    <s v="Buea"/>
    <s v="FAKO"/>
    <s v="Buea"/>
    <s v="Buea"/>
    <n v="4.1496389999999996"/>
    <n v="9.2246389999999998"/>
    <s v="Greenfield"/>
  </r>
  <r>
    <n v="215"/>
    <s v="T1307"/>
    <s v="IHS_BUA_048"/>
    <s v="T1307"/>
    <s v="South West"/>
    <s v="Penda boko"/>
    <x v="0"/>
    <s v="Outdoor"/>
    <s v="Mbanga"/>
    <s v="MOUNGO"/>
    <s v="MBANGA"/>
    <s v="Buea"/>
    <n v="4.2704370000000003"/>
    <n v="9.4467580000000009"/>
    <s v="Greenfield"/>
  </r>
  <r>
    <n v="216"/>
    <s v="T1174"/>
    <s v="IHS_BUA_155"/>
    <s v="T1174"/>
    <s v="South West"/>
    <s v="Tiko LIKOMBA Q6"/>
    <x v="0"/>
    <s v="Outdoor"/>
    <s v="Mutenguene"/>
    <s v="FAKO"/>
    <s v="TIKO"/>
    <s v="Buea"/>
    <n v="4.0908300000000004"/>
    <n v="9.3461499999999997"/>
    <s v="Greenfield"/>
  </r>
  <r>
    <n v="217"/>
    <s v="T1782"/>
    <s v="IHS_BUA_029"/>
    <s v="T1782"/>
    <s v="South West"/>
    <s v="Mutengene Maternity"/>
    <x v="0"/>
    <s v="Outdoor"/>
    <s v="Mutenguene"/>
    <s v="FAKO"/>
    <s v="TIKO"/>
    <s v="Buea"/>
    <n v="4.0935740000000003"/>
    <n v="9.3141990000000003"/>
    <s v="Greenfield"/>
  </r>
  <r>
    <n v="218"/>
    <s v="T1696"/>
    <s v="IHS_BUA_004"/>
    <s v="T1696"/>
    <s v="South West"/>
    <s v="Molyko"/>
    <x v="0"/>
    <s v="Outdoor"/>
    <s v="Buea"/>
    <s v="FAKO"/>
    <s v="Buea"/>
    <s v="Buea"/>
    <n v="4.1586970000000001"/>
    <n v="9.2819149999999997"/>
    <s v="Rooftop"/>
  </r>
  <r>
    <n v="219"/>
    <s v="T1796"/>
    <s v="IHS_BUA_027"/>
    <s v="T1796"/>
    <s v="South West"/>
    <s v="Bokova"/>
    <x v="0"/>
    <s v="Outdoor"/>
    <s v="Buea"/>
    <s v="FAKO"/>
    <s v="Buea"/>
    <s v="Buea"/>
    <n v="4.192361"/>
    <n v="9.2783890000000007"/>
    <s v="Greenfield"/>
  </r>
  <r>
    <n v="220"/>
    <s v="T1176"/>
    <s v="IHS_BUA_162"/>
    <s v="T1176"/>
    <s v="South West"/>
    <s v="Buea Bomaka 2 (Buea Park)"/>
    <x v="0"/>
    <s v="Outdoor"/>
    <s v="Buea"/>
    <s v="FAKO"/>
    <s v="Buea"/>
    <s v="Buea"/>
    <n v="4.1538069999999996"/>
    <n v="9.3040870000000009"/>
    <s v="Greenfield"/>
  </r>
  <r>
    <n v="221"/>
    <s v="T0782"/>
    <s v="IHS_BUA_007"/>
    <s v="T0782"/>
    <s v="South West"/>
    <s v="Buea Service Center"/>
    <x v="0"/>
    <s v="Outdoor"/>
    <s v="Buea"/>
    <s v="FAKO"/>
    <s v="Buea"/>
    <s v="Buea"/>
    <n v="4.1537319999999998"/>
    <n v="9.2917400000000008"/>
    <s v="Greenfield"/>
  </r>
  <r>
    <n v="222"/>
    <s v="T1779"/>
    <s v="IHS_BUA_012"/>
    <s v="T1779"/>
    <s v="South West"/>
    <s v="GSS BUEA TOWN"/>
    <x v="0"/>
    <s v="Outdoor"/>
    <s v="Buea"/>
    <s v="FAKO"/>
    <s v="Buea"/>
    <s v="Buea"/>
    <n v="4.1604789999999996"/>
    <n v="9.237641"/>
    <s v="Greenfield"/>
  </r>
  <r>
    <n v="223"/>
    <s v="T1288"/>
    <s v="IHS_LMB_109"/>
    <s v="T1288"/>
    <s v="South West"/>
    <s v="Tiko Junction"/>
    <x v="0"/>
    <s v="Outdoor"/>
    <s v="Mutenguene"/>
    <s v="FAKO"/>
    <s v="TIKO"/>
    <s v="Buea"/>
    <n v="4.0841390000000004"/>
    <n v="9.3573330000000006"/>
    <s v="Greenfield"/>
  </r>
  <r>
    <n v="224"/>
    <s v="T1786"/>
    <s v="IHS_BUA_044"/>
    <s v="T1786"/>
    <s v="South West"/>
    <s v="Muyuka Beach Bush"/>
    <x v="0"/>
    <s v="Outdoor"/>
    <s v="Buea"/>
    <s v="FAKO"/>
    <s v="Muyuka"/>
    <s v="Buea"/>
    <n v="4.2892780000000004"/>
    <n v="9.4137219999999999"/>
    <s v="Greenfield"/>
  </r>
  <r>
    <n v="225"/>
    <s v="T1239"/>
    <s v="IHS_BUA_157"/>
    <s v="T1239"/>
    <s v="South West"/>
    <s v="Buea Sandpitt"/>
    <x v="0"/>
    <s v="Outdoor"/>
    <s v="Buea"/>
    <s v="FAKO"/>
    <s v="Buea"/>
    <s v="Buea"/>
    <n v="4.1488339999999999"/>
    <n v="9.2602679999999999"/>
    <s v="Greenfield"/>
  </r>
  <r>
    <n v="226"/>
    <s v="T1789"/>
    <s v="IHS_BUA_039"/>
    <s v="T1789"/>
    <s v="South West"/>
    <s v="Tiko Market"/>
    <x v="0"/>
    <s v="Outdoor"/>
    <s v="Mutenguene"/>
    <s v="FAKO"/>
    <s v="TIKO"/>
    <s v="Buea"/>
    <n v="4.0655089999999996"/>
    <n v="9.3717740000000003"/>
    <s v="Greenfield"/>
  </r>
  <r>
    <n v="227"/>
    <s v="T1846"/>
    <s v="IHS_BUA_046"/>
    <s v="T1846"/>
    <s v="South West"/>
    <s v="Muyuka-Yoke"/>
    <x v="1"/>
    <s v="Outdoor"/>
    <s v="Buea"/>
    <s v="FAKO"/>
    <s v="Muyuka"/>
    <s v="Buea"/>
    <n v="4.3024170000000002"/>
    <n v="9.4290000000000003"/>
    <s v="Greenfield"/>
  </r>
  <r>
    <n v="228"/>
    <s v="T0068"/>
    <s v="IHS_BUA_031"/>
    <s v="T0068"/>
    <s v="South West"/>
    <s v="Mutenguene"/>
    <x v="0"/>
    <s v="Indoor"/>
    <s v="Mutenguene"/>
    <s v="FAKO"/>
    <s v="TIKO"/>
    <s v="Buea"/>
    <n v="4.0899039999999998"/>
    <n v="9.3190059999999999"/>
    <s v="Greenfield"/>
  </r>
  <r>
    <n v="229"/>
    <s v="T1784"/>
    <s v="IHS_BUA_016"/>
    <s v="T1784"/>
    <s v="South West"/>
    <s v="Buea Kouma"/>
    <x v="0"/>
    <s v="Outdoor"/>
    <s v="Buea"/>
    <s v="FAKO"/>
    <s v="Buea"/>
    <s v="Buea"/>
    <n v="4.134639"/>
    <n v="9.2190560000000001"/>
    <s v="Greenfield"/>
  </r>
  <r>
    <n v="230"/>
    <s v="T0665"/>
    <s v="IHS_BUA_010"/>
    <s v="T0665"/>
    <s v="South West"/>
    <s v="Tole"/>
    <x v="0"/>
    <s v="Outdoor"/>
    <s v="Buea"/>
    <s v="FAKO"/>
    <s v="Buea"/>
    <s v="Buea"/>
    <n v="4.1433330000000002"/>
    <n v="9.2432499999999997"/>
    <s v="Greenfield"/>
  </r>
  <r>
    <n v="231"/>
    <s v="T0128"/>
    <s v="IHS_LMB_026"/>
    <s v="T0128"/>
    <s v="South West"/>
    <s v="Idenau"/>
    <x v="0"/>
    <s v="Indoor"/>
    <s v="Limbe"/>
    <s v="FAKO"/>
    <s v="LIMBE 2"/>
    <s v="Buea"/>
    <n v="4.211652"/>
    <n v="8.9892730000000007"/>
    <s v="Greenfield"/>
  </r>
  <r>
    <n v="232"/>
    <s v="T0660"/>
    <s v="IHS_BUA_022"/>
    <s v="T0660"/>
    <s v="South West"/>
    <s v="Muea"/>
    <x v="0"/>
    <s v="Outdoor"/>
    <s v="Buea"/>
    <s v="FAKO"/>
    <s v="Buea"/>
    <s v="Buea"/>
    <n v="4.1704679999999996"/>
    <n v="9.3013899999999996"/>
    <s v="Rooftop"/>
  </r>
  <r>
    <n v="233"/>
    <s v="T0794"/>
    <s v="IHS_BUA_049"/>
    <s v="T0794"/>
    <s v="South West"/>
    <s v="CDC Mondoni"/>
    <x v="0"/>
    <s v="Outdoor"/>
    <s v="Mutenguene"/>
    <s v="FAKO"/>
    <s v="TIKO"/>
    <s v="Buea"/>
    <n v="4.1880480000000002"/>
    <n v="9.4106070000000006"/>
    <s v="Greenfield"/>
  </r>
  <r>
    <n v="234"/>
    <s v="LIT_178"/>
    <s v="IHS_BUA_041"/>
    <s v="LIT_178"/>
    <s v="South West"/>
    <s v="Missellele"/>
    <x v="0"/>
    <s v="Outdoor"/>
    <s v="Mutenguene"/>
    <s v="FAKO"/>
    <s v="TIKO"/>
    <s v="Buea"/>
    <n v="4.1328060000000004"/>
    <n v="9.4430829999999997"/>
    <s v="Greenfield"/>
  </r>
  <r>
    <n v="235"/>
    <s v="SUO_038"/>
    <s v="IHS_BUA_023"/>
    <s v="SUO_038"/>
    <s v="South West"/>
    <s v="Muea"/>
    <x v="0"/>
    <s v="Outdoor"/>
    <s v="Buea"/>
    <s v="FAKO"/>
    <s v="Buea"/>
    <s v="Buea"/>
    <n v="4.1790250000000002"/>
    <n v="9.3054659999999991"/>
    <s v="Greenfield"/>
  </r>
  <r>
    <n v="236"/>
    <s v="T0119"/>
    <s v="IHS_BUA_045"/>
    <s v="T0119"/>
    <s v="South West"/>
    <s v="G.B.H.S-Muyuka"/>
    <x v="0"/>
    <s v="Indoor"/>
    <s v="Buea"/>
    <s v="FAKO"/>
    <s v="Muyuka"/>
    <s v="Buea"/>
    <n v="4.2992780000000002"/>
    <n v="9.4153889999999993"/>
    <s v="Greenfield"/>
  </r>
  <r>
    <n v="237"/>
    <s v="T1730"/>
    <s v="IHS_BUA_019"/>
    <s v="T1730"/>
    <s v="South West"/>
    <s v="WONYA MAVIO"/>
    <x v="0"/>
    <s v="Outdoor"/>
    <s v="Buea"/>
    <s v="FAKO"/>
    <s v="Buea"/>
    <s v="Buea"/>
    <n v="4.1587180000000004"/>
    <n v="9.3043560000000003"/>
    <s v="Greenfield"/>
  </r>
  <r>
    <n v="238"/>
    <s v="SUO_033"/>
    <s v="IHS_BUA_018"/>
    <s v="SUO_033"/>
    <s v="South West"/>
    <s v="Buea-Entree"/>
    <x v="0"/>
    <s v="Outdoor"/>
    <s v="Buea"/>
    <s v="FAKO"/>
    <s v="Buea"/>
    <s v="Buea"/>
    <n v="4.1523890000000003"/>
    <n v="9.3001310000000004"/>
    <s v="Greenfield"/>
  </r>
  <r>
    <n v="239"/>
    <s v="SUO_005"/>
    <s v="IHS_BUA_030"/>
    <s v="SUO_005"/>
    <s v="South West"/>
    <s v="Mutengene"/>
    <x v="0"/>
    <s v="Indoor"/>
    <s v="Mutenguene"/>
    <s v="FAKO"/>
    <s v="TIKO"/>
    <s v="Buea"/>
    <n v="4.0906190000000002"/>
    <n v="9.3171689999999998"/>
    <s v="Greenfield"/>
  </r>
  <r>
    <n v="240"/>
    <s v="T0664"/>
    <s v="IHS_BUA_035"/>
    <s v="T0664"/>
    <s v="South West"/>
    <s v="Likomba"/>
    <x v="0"/>
    <s v="Outdoor"/>
    <s v="Mutenguene"/>
    <s v="FAKO"/>
    <s v="TIKO"/>
    <s v="Buea"/>
    <n v="4.0880429999999999"/>
    <n v="9.3507379999999998"/>
    <s v="Rooftop"/>
  </r>
  <r>
    <n v="241"/>
    <s v="T1332"/>
    <s v="IHS_BUA_051"/>
    <s v="T1332"/>
    <s v="South West"/>
    <s v="Muyengue 2"/>
    <x v="0"/>
    <s v="Outdoor"/>
    <s v="Buea"/>
    <s v="FAKO"/>
    <s v="Muyuka"/>
    <s v="Buea"/>
    <n v="4.4011500000000003"/>
    <n v="9.2701700000000002"/>
    <s v="Greenfield"/>
  </r>
  <r>
    <n v="242"/>
    <s v="T0590"/>
    <s v="IHS_BUA_042"/>
    <s v="T0590"/>
    <s v="South West"/>
    <s v="Keme"/>
    <x v="0"/>
    <s v="Outdoor"/>
    <s v="Mutenguene"/>
    <s v="FAKO"/>
    <s v="TIKO"/>
    <s v="Buea"/>
    <n v="4.1330200000000001"/>
    <n v="9.4644879999999993"/>
    <s v="Greenfield"/>
  </r>
  <r>
    <n v="243"/>
    <s v="T1944"/>
    <s v="IHS_KMB_043"/>
    <s v="T1944"/>
    <s v="South West"/>
    <s v="Illoani"/>
    <x v="0"/>
    <s v="Outdoor"/>
    <s v="Ekondo Titi"/>
    <s v="NDIAN"/>
    <s v="Mbonge"/>
    <s v="Buea"/>
    <n v="4.5040833300000003"/>
    <n v="9.0225277800000008"/>
    <s v="Greenfield"/>
  </r>
  <r>
    <n v="244"/>
    <s v="T1221"/>
    <s v="IHS_BUA_040"/>
    <s v="T1221"/>
    <s v="South West"/>
    <s v="CDC DELMONTE Junction"/>
    <x v="0"/>
    <s v="Outdoor"/>
    <s v="Mutenguene"/>
    <s v="FAKO"/>
    <s v="TIKO"/>
    <s v="Buea"/>
    <n v="4.1253859999999998"/>
    <n v="9.4067679999999996"/>
    <s v="Greenfield"/>
  </r>
  <r>
    <n v="245"/>
    <s v="T0789"/>
    <s v="IHS_LMB_027"/>
    <s v="T0789"/>
    <s v="South West"/>
    <s v="Bomana"/>
    <x v="0"/>
    <s v="Outdoor"/>
    <s v="Limbe"/>
    <s v="FAKO"/>
    <s v="LIMBE 2"/>
    <s v="Buea"/>
    <n v="4.3010555559999997"/>
    <n v="9.0648888890000006"/>
    <s v="Greenfield"/>
  </r>
  <r>
    <n v="246"/>
    <s v="T0730"/>
    <s v="IHS_KMB_044"/>
    <s v="T0730"/>
    <s v="South West"/>
    <s v="Boa CDC"/>
    <x v="0"/>
    <s v="Outdoor"/>
    <s v="Ekondo Titi"/>
    <s v="NDIAN"/>
    <s v="Mbonge"/>
    <s v="Buea"/>
    <n v="4.438722222"/>
    <n v="8.9601944440000008"/>
    <s v="Greenfield"/>
  </r>
  <r>
    <n v="247"/>
    <s v="T3781"/>
    <s v="IHS_BUA_169"/>
    <s v="T3781"/>
    <s v="South West"/>
    <s v="Ekona Q3A"/>
    <x v="0"/>
    <s v="Outdoor"/>
    <s v="Buea"/>
    <s v="FAKO"/>
    <s v="Ekona"/>
    <s v="Buea"/>
    <n v="4.2237609999999997"/>
    <n v="9.3354060000000008"/>
    <s v="Greenfield"/>
  </r>
  <r>
    <n v="248"/>
    <s v="T3105"/>
    <s v="IHS_BUA_171"/>
    <s v="T3105"/>
    <s v="South West"/>
    <s v="MOUNTAIN HOTEL"/>
    <x v="0"/>
    <s v="Outdoor"/>
    <s v="Buea"/>
    <s v="FAKO"/>
    <s v="Buea"/>
    <s v="Buea"/>
    <n v="4.1500500000000002"/>
    <n v="9.2297600000000006"/>
    <s v="Rooftop"/>
  </r>
  <r>
    <n v="249"/>
    <s v="T0690"/>
    <s v="IHS_BUA_174"/>
    <s v="T0690"/>
    <s v="South West"/>
    <s v="MOLYKO PARAMOUNT STREET"/>
    <x v="0"/>
    <s v="Outdoor"/>
    <s v="Buea"/>
    <s v="FAKO"/>
    <s v="Buea"/>
    <s v="Buea"/>
    <n v="4.1595599999999999"/>
    <n v="9.2867219999999993"/>
    <s v="Greenfield"/>
  </r>
  <r>
    <n v="250"/>
    <s v="T3118"/>
    <s v="IHS_BUA_170"/>
    <s v="T3118"/>
    <s v="South West"/>
    <s v="BUEA UB Lamp"/>
    <x v="0"/>
    <s v="Outdoor"/>
    <s v="Buea"/>
    <s v="FAKO"/>
    <s v="Buea"/>
    <s v="Buea"/>
    <n v="4.1471099999999996"/>
    <n v="9.2881800000000005"/>
    <s v="Greenfield"/>
  </r>
  <r>
    <n v="251"/>
    <s v="T1192"/>
    <s v="IHS_BUA_173"/>
    <s v="T1192"/>
    <s v="South West"/>
    <s v="Buea Wokoko"/>
    <x v="0"/>
    <s v="Outdoor"/>
    <s v="Buea"/>
    <s v="FAKO"/>
    <s v="Buea"/>
    <s v="Buea"/>
    <n v="4.154083"/>
    <n v="9.2770279999999996"/>
    <s v="Rooftop"/>
  </r>
  <r>
    <n v="252"/>
    <s v="T3224"/>
    <s v="IHS_BUA_176"/>
    <s v="T3224"/>
    <s v="South West"/>
    <s v="BUEA SALVATION PHARMACY"/>
    <x v="0"/>
    <s v="Outdoor"/>
    <s v="Buea"/>
    <s v="FAKO"/>
    <s v="Buea"/>
    <s v="Buea"/>
    <n v="4.1482700000000001"/>
    <n v="9.2940699999999996"/>
    <s v="Rooftop"/>
  </r>
  <r>
    <n v="253"/>
    <s v="T3210"/>
    <s v="IHS_BUA_177"/>
    <s v="T3210"/>
    <s v="South West"/>
    <s v="MOLYKO IYA AVENUE"/>
    <x v="0"/>
    <s v="Outdoor"/>
    <s v="Buea"/>
    <s v="FAKO"/>
    <s v="Buea"/>
    <s v="Buea"/>
    <n v="4.1570549999999997"/>
    <n v="9.2855469999999993"/>
    <s v="Rooftop"/>
  </r>
  <r>
    <n v="254"/>
    <s v="T4849"/>
    <s v="IHS_BUA_182"/>
    <s v="T4849"/>
    <s v="South West"/>
    <s v="Mondoni native"/>
    <x v="0"/>
    <s v="Outdoor"/>
    <s v="Mutenguene"/>
    <s v="FAKO"/>
    <s v="Tiko"/>
    <s v="Buea"/>
    <n v="4.1849400000000001"/>
    <n v="9.4735899999999997"/>
    <s v="Greenfield"/>
  </r>
  <r>
    <n v="255"/>
    <s v="T1173"/>
    <s v="IHS_BUA_166"/>
    <s v="T1173"/>
    <s v="South West"/>
    <s v="BONAKOH"/>
    <x v="0"/>
    <s v="Outdoor"/>
    <s v="Mutenguene"/>
    <s v="FAKO"/>
    <s v="TIKO"/>
    <s v="Douala"/>
    <n v="4.1451529999999996"/>
    <n v="9.5065469999999994"/>
    <s v="Greenfield"/>
  </r>
  <r>
    <n v="256"/>
    <s v="T1785"/>
    <s v="IHS_MBG_021"/>
    <s v="T1785"/>
    <s v="South West"/>
    <s v="Souza Market"/>
    <x v="0"/>
    <s v="Outdoor"/>
    <s v="Mbanga"/>
    <s v="MOUNGO"/>
    <s v="bonalea"/>
    <s v="Douala"/>
    <n v="4.2341449999999998"/>
    <n v="9.6163720000000001"/>
    <s v="Greenfield"/>
  </r>
  <r>
    <n v="257"/>
    <s v="T0244"/>
    <s v="IHS_MBG_020"/>
    <s v="T0244"/>
    <s v="South West"/>
    <s v="Souza"/>
    <x v="0"/>
    <s v="Indoor"/>
    <s v="Mbanga"/>
    <s v="MOUNGO"/>
    <s v="BONALEA"/>
    <s v="Douala"/>
    <n v="4.2418649999999998"/>
    <n v="9.6093740000000007"/>
    <s v="Greenfield"/>
  </r>
  <r>
    <n v="258"/>
    <s v="T1258"/>
    <s v="IHS_MBG_024"/>
    <s v="T1258"/>
    <s v="South West"/>
    <s v="BESSOUNGKANG1258"/>
    <x v="0"/>
    <s v="Outdoor"/>
    <s v="Mbanga"/>
    <s v="MOUNGO"/>
    <s v="BONALEA"/>
    <s v="Douala"/>
    <n v="4.3582799999999997"/>
    <n v="9.7448999999999995"/>
    <s v="Greenfield"/>
  </r>
  <r>
    <n v="259"/>
    <s v="SUO_157"/>
    <s v="IHS_BUA_175"/>
    <s v="SUO_157"/>
    <s v="South West"/>
    <s v="New BONAKO  "/>
    <x v="0"/>
    <s v="Outdoor"/>
    <s v="Mutenguene"/>
    <s v="FAKO"/>
    <s v="TIKO"/>
    <s v="Douala"/>
    <n v="4.1619000000000002"/>
    <n v="9.5037690000000001"/>
    <s v="Greenfield"/>
  </r>
  <r>
    <n v="260"/>
    <s v="OST_029"/>
    <s v="IHS_KMB_075"/>
    <s v="OST_029"/>
    <s v="West"/>
    <s v="Meguia"/>
    <x v="0"/>
    <s v="Indoor"/>
    <s v="Dschang"/>
    <s v="MENOUA"/>
    <s v="DSCHANG"/>
    <s v="Dschang &amp; Kongsamba"/>
    <n v="5.4597499999999997"/>
    <n v="9.9453055559999992"/>
    <s v="Greenfield"/>
  </r>
  <r>
    <n v="261"/>
    <s v="T1309"/>
    <s v="IHS_KMB_120"/>
    <s v="T1309"/>
    <s v="West"/>
    <s v="Fontem New1 "/>
    <x v="0"/>
    <s v="Outdoor"/>
    <s v="Dschang"/>
    <s v="LEBIALEM"/>
    <s v="MENDJI"/>
    <s v="Dschang &amp; Kongsamba"/>
    <n v="5.4916972222222222"/>
    <n v="9.8496083333333342"/>
    <s v="Greenfield"/>
  </r>
  <r>
    <n v="262"/>
    <s v="T1753"/>
    <s v="IHS_KMB_079"/>
    <s v="T1753"/>
    <s v="North West"/>
    <s v="Banteng"/>
    <x v="1"/>
    <s v="Outdoor"/>
    <s v="Bamenda 2"/>
    <s v="Momo"/>
    <s v="Wabane"/>
    <s v="Dschang &amp; Kongsamba"/>
    <n v="5.7041111109999996"/>
    <n v="9.9773333330000007"/>
    <s v="Greenfield"/>
  </r>
  <r>
    <n v="263"/>
    <s v="T1511"/>
    <s v="IHS_BMD_094"/>
    <s v="T1511"/>
    <s v="West"/>
    <s v="Balatchi"/>
    <x v="0"/>
    <s v="Outdoor"/>
    <s v="Bafoussam1"/>
    <s v="BAMBOUTOUS"/>
    <s v="BATCHAM"/>
    <s v="Dschang &amp; Kongsamba"/>
    <n v="5.6288320000000001"/>
    <n v="10.200196999999999"/>
    <s v="Greenfield"/>
  </r>
  <r>
    <n v="264"/>
    <s v="T0346"/>
    <s v="IHS_KMB_072"/>
    <s v="T0346"/>
    <s v="West"/>
    <s v="Alou"/>
    <x v="0"/>
    <s v="Indoor"/>
    <s v="Dschang"/>
    <s v="LEBIALEM"/>
    <s v="ALOU"/>
    <s v="Dschang &amp; Kongsamba"/>
    <n v="5.5274679999999998"/>
    <n v="9.9452499999999997"/>
    <s v="Greenfield"/>
  </r>
  <r>
    <n v="265"/>
    <s v="T0347"/>
    <s v="IHS_KMB_067"/>
    <s v="T0347"/>
    <s v="West"/>
    <s v="Fontem"/>
    <x v="0"/>
    <s v="Indoor"/>
    <s v="Dschang"/>
    <s v="LEBIALEM"/>
    <s v="MENDJI"/>
    <s v="Dschang &amp; Kongsamba"/>
    <n v="5.4878900000000002"/>
    <n v="9.8759499999999996"/>
    <s v="Greenfield"/>
  </r>
  <r>
    <n v="266"/>
    <s v="T0228"/>
    <s v="IHS_KMB_071"/>
    <s v="T0228"/>
    <s v="West"/>
    <s v="Alou Repeater"/>
    <x v="0"/>
    <s v="Indoor"/>
    <s v="Dschang"/>
    <s v="MENOUA"/>
    <s v="FONGO-TONGO"/>
    <s v="Dschang &amp; Kongsamba"/>
    <n v="5.51159"/>
    <n v="9.9698600000000006"/>
    <s v="Greenfield"/>
  </r>
  <r>
    <n v="267"/>
    <s v="SUO_017"/>
    <s v="IHS_KMB_068"/>
    <s v="SUO_017"/>
    <s v="West"/>
    <s v="Fontem"/>
    <x v="0"/>
    <s v="Indoor"/>
    <s v="Dschang"/>
    <s v="LEBIALEM"/>
    <s v="MENDJI"/>
    <s v="Dschang &amp; Kongsamba"/>
    <n v="5.4909166669999996"/>
    <n v="9.8782499999999995"/>
    <s v="Greenfield"/>
  </r>
  <r>
    <n v="268"/>
    <s v="T1039"/>
    <s v="IHS_DCG_030"/>
    <s v="T1039"/>
    <s v="West"/>
    <s v="Bamok"/>
    <x v="1"/>
    <s v="Outdoor"/>
    <s v="Dschang"/>
    <s v="LEBIALEM"/>
    <s v="WABANE"/>
    <s v="Dschang &amp; Kongsamba"/>
    <n v="5.6308360000000004"/>
    <n v="10.056381999999999"/>
    <s v="Greenfield"/>
  </r>
  <r>
    <n v="269"/>
    <s v="T0353"/>
    <s v="IHS_KSR_014"/>
    <s v="T0353"/>
    <s v="Far North"/>
    <s v="Zigague"/>
    <x v="0"/>
    <s v="Indoor"/>
    <s v="Kousseri"/>
    <s v="LOGONE ET CHARI"/>
    <s v="WAZA"/>
    <s v="Kousseri"/>
    <n v="11.678844"/>
    <n v="14.647365000000001"/>
    <s v="Greenfield"/>
  </r>
  <r>
    <n v="270"/>
    <s v="T2885"/>
    <s v="IHS_KSR_107"/>
    <s v="T2885"/>
    <s v="Far North"/>
    <s v="TIKA"/>
    <x v="0"/>
    <s v="Vandalized"/>
    <s v="Kousseri"/>
    <s v="LOGONE ET CHARI"/>
    <s v="HILE ALIFA"/>
    <s v="Kousseri"/>
    <n v="12.782965000000001"/>
    <n v="14.275828000000001"/>
    <s v="Vandalized"/>
  </r>
  <r>
    <n v="271"/>
    <s v="T2894"/>
    <s v="IHS_KSR_101"/>
    <s v="T2894"/>
    <s v="Far North"/>
    <s v="TANNE "/>
    <x v="0"/>
    <s v="Outdoor"/>
    <s v="Kousseri"/>
    <s v="LOGONE ET CHARI"/>
    <s v="GOULFEY"/>
    <s v="Kousseri"/>
    <n v="12.523403999999999"/>
    <n v="14.76322"/>
    <s v="Greenfield"/>
  </r>
  <r>
    <n v="272"/>
    <s v="T0355"/>
    <s v="IHS_GAR_052"/>
    <s v="T0355"/>
    <s v="Far North"/>
    <s v="Maltam"/>
    <x v="0"/>
    <s v="Indoor"/>
    <s v="Kousseri"/>
    <s v="LOGONE ET CHARI"/>
    <s v="MAKARY"/>
    <s v="Kousseri"/>
    <n v="12.179713"/>
    <n v="14.819786000000001"/>
    <s v="Greenfield"/>
  </r>
  <r>
    <n v="273"/>
    <s v="T2893"/>
    <s v="IHS_KSR_102"/>
    <s v="T2893"/>
    <s v="Far North"/>
    <s v="MADA "/>
    <x v="0"/>
    <s v="Outdoor"/>
    <s v="Kousseri"/>
    <s v="LOGONE ET CHARI"/>
    <s v="MAKARY"/>
    <s v="Kousseri"/>
    <n v="12.63542"/>
    <n v="14.472476"/>
    <s v="Greenfield"/>
  </r>
  <r>
    <n v="274"/>
    <s v="T2867"/>
    <s v="IHS_KSR_104"/>
    <s v="T2867"/>
    <s v="Far North"/>
    <s v="HILE ALIFA"/>
    <x v="0"/>
    <s v="Outdoor"/>
    <s v="Kousseri"/>
    <s v="LOGONE ET CHARI"/>
    <s v="HILE ALIFA"/>
    <s v="Kousseri"/>
    <n v="12.692538000000001"/>
    <n v="14.313914"/>
    <s v="Greenfield"/>
  </r>
  <r>
    <n v="275"/>
    <s v="T2899"/>
    <s v="IHS_KSR_103"/>
    <s v="T2899"/>
    <s v="Far North"/>
    <s v="FOTOKOL TOWN"/>
    <x v="0"/>
    <s v="Outdoor"/>
    <s v="Kousseri"/>
    <s v="LOGONE ET CHARI"/>
    <s v="FOTOKOL"/>
    <s v="Kousseri"/>
    <n v="12.376275"/>
    <n v="14.224633000000001"/>
    <s v="Greenfield"/>
  </r>
  <r>
    <n v="276"/>
    <s v="T2898"/>
    <s v="IHS_KSR_108"/>
    <s v="T2898"/>
    <s v="Far North"/>
    <s v="DARRACK AN2000"/>
    <x v="0"/>
    <s v="Outdoor"/>
    <s v="Kousseri"/>
    <s v="LOGONE ET CHARI"/>
    <s v="DARRACK"/>
    <s v="Kousseri"/>
    <n v="12.879638890000001"/>
    <n v="14.29552778"/>
    <s v="Greenfield"/>
  </r>
  <r>
    <n v="277"/>
    <s v="T0354"/>
    <s v="IHS_KSR_012"/>
    <s v="T0354"/>
    <s v="Far North"/>
    <s v="Dabanga"/>
    <x v="0"/>
    <s v="Indoor"/>
    <s v="Kousseri"/>
    <s v="LOGONE ET CHARI"/>
    <s v="LOGONE BIRNI"/>
    <s v="Kousseri"/>
    <n v="11.919233"/>
    <n v="14.645765000000001"/>
    <s v="Greenfield"/>
  </r>
  <r>
    <n v="278"/>
    <s v="T2884"/>
    <s v="IHS_KSR_106"/>
    <s v="T2884"/>
    <s v="Far North"/>
    <s v="Bargaram"/>
    <x v="0"/>
    <s v="Vandalized"/>
    <s v="Kousseri"/>
    <s v="LOGONE ET CHARI"/>
    <s v="HILE ALIFA"/>
    <s v="Kousseri"/>
    <n v="12.703429"/>
    <n v="14.218502000000001"/>
    <s v="Vandalized"/>
  </r>
  <r>
    <n v="279"/>
    <s v="T0254"/>
    <s v="IHS_MAR_091"/>
    <s v="T0254"/>
    <s v="Far North"/>
    <s v="Waza"/>
    <x v="0"/>
    <s v="Indoor"/>
    <s v="Kousseri"/>
    <s v="LOGONE ET CHARI"/>
    <s v="WAZA"/>
    <s v="Kousseri"/>
    <n v="11.400370000000001"/>
    <n v="14.56962"/>
    <s v="Greenfield"/>
  </r>
  <r>
    <n v="280"/>
    <s v="EXN_033"/>
    <s v="IHS_MAR_090"/>
    <s v="EXN_033"/>
    <s v="Far North"/>
    <s v="Waza"/>
    <x v="0"/>
    <s v="Indoor"/>
    <s v="Kousseri"/>
    <s v="LOGONE ET CHARI"/>
    <s v="WAZA"/>
    <s v="Kousseri"/>
    <n v="11.395167000000001"/>
    <n v="14.564722"/>
    <s v="Greenfield"/>
  </r>
  <r>
    <n v="281"/>
    <s v="EXN_034"/>
    <s v="IHS_KSR_015"/>
    <s v="EXN_034"/>
    <s v="Far North"/>
    <s v="Zigague"/>
    <x v="0"/>
    <s v="Indoor"/>
    <s v="Kousseri"/>
    <s v="LOGONE ET CHARI"/>
    <s v="WAZA"/>
    <s v="Kousseri"/>
    <n v="11.680718000000001"/>
    <n v="14.645967000000001"/>
    <s v="Greenfield"/>
  </r>
  <r>
    <n v="282"/>
    <s v="EXN_035"/>
    <s v="IHS_KSR_008"/>
    <s v="EXN_035"/>
    <s v="Far North"/>
    <s v="Maltam"/>
    <x v="0"/>
    <s v="Indoor"/>
    <s v="Kousseri"/>
    <s v="LOGONE ET CHARI"/>
    <s v="MAKARY"/>
    <s v="Kousseri"/>
    <n v="12.175777"/>
    <n v="14.821313999999999"/>
    <s v="Greenfield"/>
  </r>
  <r>
    <n v="283"/>
    <s v="EXN_020"/>
    <s v="IHS_KSR_018"/>
    <s v="EXN_020"/>
    <s v="Far North"/>
    <s v="Makary"/>
    <x v="0"/>
    <s v="Indoor"/>
    <s v="Kousseri"/>
    <s v="LOGONE ET CHARI"/>
    <s v="MAKARY"/>
    <s v="Kousseri"/>
    <n v="12.569039999999999"/>
    <n v="14.455928"/>
    <s v="Greenfield"/>
  </r>
  <r>
    <n v="284"/>
    <s v="T1037"/>
    <s v="IHS_KSR_017"/>
    <s v="T1037"/>
    <s v="Far North"/>
    <s v="Makari"/>
    <x v="0"/>
    <s v="Outdoor"/>
    <s v="Kousseri"/>
    <s v="LOGONE ET CHARI"/>
    <s v="MAKARY"/>
    <s v="Kousseri"/>
    <n v="12.569879999999999"/>
    <n v="14.4557"/>
    <s v="Greenfield"/>
  </r>
  <r>
    <n v="285"/>
    <s v="T2890"/>
    <s v="IHS_KSR_105"/>
    <s v="T2890"/>
    <s v="Far North"/>
    <s v="KOFIA"/>
    <x v="0"/>
    <s v="Outdoor"/>
    <s v="Kousseri"/>
    <s v="LOGONE ET CHARI"/>
    <s v="DARRACK"/>
    <s v="Kousseri"/>
    <n v="12.948046"/>
    <n v="14.503704000000001"/>
    <s v="Greenfield"/>
  </r>
  <r>
    <n v="286"/>
    <s v="EXN_021"/>
    <s v="IHS_KSR_009"/>
    <s v="EXN_021"/>
    <s v="Far North"/>
    <s v="Goulfey"/>
    <x v="0"/>
    <s v="Indoor"/>
    <s v="Kousseri"/>
    <s v="LOGONE ET CHARI"/>
    <s v="COMMUNE GOULFEY"/>
    <s v="Kousseri"/>
    <n v="12.377625"/>
    <n v="14.902457999999999"/>
    <s v="Greenfield"/>
  </r>
  <r>
    <n v="287"/>
    <s v="EXN_013"/>
    <s v="IHS_KSR_016"/>
    <s v="EXN_013"/>
    <s v="Far North"/>
    <s v="Fotokol"/>
    <x v="0"/>
    <s v="Outdoor"/>
    <s v="Kousseri"/>
    <s v="LOGONE ET CHARI"/>
    <s v="FOTOKOL"/>
    <s v="Kousseri"/>
    <n v="12.383851999999999"/>
    <n v="14.228597000000001"/>
    <s v="Greenfield"/>
  </r>
  <r>
    <n v="288"/>
    <s v="T0889"/>
    <s v="IHS_KSR_020"/>
    <s v="T0889"/>
    <s v="Far North"/>
    <s v="Darrack"/>
    <x v="0"/>
    <s v="Outdoor"/>
    <s v="Kousseri"/>
    <s v="LOGONE ET CHARI"/>
    <s v="DARRACK"/>
    <s v="Kousseri"/>
    <n v="12.876939999999999"/>
    <n v="14.29622"/>
    <s v="Greenfield"/>
  </r>
  <r>
    <n v="289"/>
    <s v="EXN_807"/>
    <s v="IHS_KSR_013"/>
    <s v="EXN_807"/>
    <s v="Far North"/>
    <s v="Dabanga"/>
    <x v="0"/>
    <s v="Indoor"/>
    <s v="Kousseri"/>
    <s v="LOGONE ET CHARI"/>
    <s v="COMMUNE DE LOGONE BIRNI"/>
    <s v="Kousseri"/>
    <n v="11.918305999999999"/>
    <n v="14.646833000000001"/>
    <s v="Greenfield"/>
  </r>
  <r>
    <n v="290"/>
    <s v="EXN_041"/>
    <s v="IHS_KSR_019"/>
    <s v="EXN_041"/>
    <s v="Far North"/>
    <s v="Blangoua"/>
    <x v="0"/>
    <s v="Outdoor"/>
    <s v="Kousseri"/>
    <s v="LOGONE ET CHARI"/>
    <s v="COMMUNE BLANGOUA"/>
    <s v="Kousseri"/>
    <n v="12.772729999999999"/>
    <n v="14.550547999999999"/>
    <s v="Greenfield"/>
  </r>
  <r>
    <n v="291"/>
    <s v="T1038"/>
    <s v="IHS_KSR_010"/>
    <s v="T1038"/>
    <s v="Far North"/>
    <s v="Afade"/>
    <x v="0"/>
    <s v="Outdoor"/>
    <s v="Kousseri"/>
    <s v="LOGONE ET CHARI"/>
    <s v="MAKARY"/>
    <s v="Kousseri"/>
    <n v="12.328417"/>
    <n v="14.558916999999999"/>
    <s v="Greenfield"/>
  </r>
  <r>
    <n v="292"/>
    <s v="T2590"/>
    <s v="IHS_KSR_120"/>
    <s v="T2590"/>
    <s v="Far North"/>
    <s v="FOTOKOL 3"/>
    <x v="0"/>
    <s v="Outdoor"/>
    <s v="Kousseri"/>
    <s v="LOGONE ET CHARI"/>
    <s v="FOTOKOL"/>
    <s v="Kousseri"/>
    <n v="12.376993000000001"/>
    <n v="14.225045"/>
    <s v="Greenfield"/>
  </r>
  <r>
    <n v="293"/>
    <s v="T1578"/>
    <s v="IHS_KSR_122"/>
    <s v="T1578"/>
    <s v="Far North"/>
    <s v="Blangoua 2"/>
    <x v="0"/>
    <s v="Outdoor"/>
    <s v="Kousseri"/>
    <s v="LOGONE ET CHARI"/>
    <s v="Blangoua"/>
    <s v="Kousseri"/>
    <n v="12.77101"/>
    <n v="14.556908"/>
    <s v="Greenfield"/>
  </r>
  <r>
    <n v="294"/>
    <s v="T1677"/>
    <s v="IHS_KSR_123"/>
    <s v="T1677"/>
    <s v="Far North"/>
    <s v="Tide Goulfey"/>
    <x v="0"/>
    <s v="Outdoor"/>
    <s v="Kousseri"/>
    <s v="LOGONE ET CHARI"/>
    <s v="Makari"/>
    <s v="Kousseri"/>
    <n v="12.108675"/>
    <n v="14.713543"/>
    <s v="Greenfield"/>
  </r>
  <r>
    <n v="295"/>
    <s v="T4947"/>
    <s v="IHS_KSR_125"/>
    <s v="T4947"/>
    <s v="Far North"/>
    <s v="Kalakfra"/>
    <x v="0"/>
    <s v="Outdoor"/>
    <s v="Kousseri"/>
    <s v="LOGONE ET CHARI"/>
    <s v="MAKARY"/>
    <s v="Kousseri"/>
    <n v="12.092575"/>
    <n v="14.839464"/>
    <s v="Greenfield"/>
  </r>
  <r>
    <n v="296"/>
    <s v="T4972"/>
    <s v="IHS_KSR_126"/>
    <s v="T4972"/>
    <s v="Far North"/>
    <s v="Bourgouma"/>
    <x v="0"/>
    <s v="Outdoor"/>
    <s v="Kousseri"/>
    <s v="LOGONE ET CHARI"/>
    <s v="LOGONE BIRNI"/>
    <s v="Kousseri"/>
    <n v="11.901233"/>
    <n v="15.034781000000001"/>
    <s v="Greenfield"/>
  </r>
  <r>
    <n v="297"/>
    <s v="T1312"/>
    <s v="IHS_KMB_020"/>
    <s v="T1312"/>
    <s v="South West"/>
    <s v="Teke"/>
    <x v="0"/>
    <s v="Outdoor"/>
    <s v="Kumba"/>
    <s v="Meme"/>
    <s v="Kumba 3"/>
    <s v="Kumba"/>
    <n v="4.68642"/>
    <n v="9.5138999999999996"/>
    <s v="Greenfield"/>
  </r>
  <r>
    <n v="298"/>
    <s v="T1767"/>
    <s v="IHS_KMB_019"/>
    <s v="T1767"/>
    <s v="South West"/>
    <s v="Small Ekombe"/>
    <x v="0"/>
    <s v="Outdoor"/>
    <s v="Kumba"/>
    <s v="Meme"/>
    <s v="Mbonge"/>
    <s v="Kumba"/>
    <n v="4.6074999999999999"/>
    <n v="9.3800000000000008"/>
    <s v="Greenfield"/>
  </r>
  <r>
    <n v="299"/>
    <s v="T0245"/>
    <s v="IHS_MBG_008"/>
    <s v="T0245"/>
    <s v="South West"/>
    <s v="Njombe SDH"/>
    <x v="0"/>
    <s v="Indoor"/>
    <s v="Mbanga"/>
    <s v="MOUNGO"/>
    <s v="njombe penja"/>
    <s v="Kumba"/>
    <n v="4.6091199999999999"/>
    <n v="9.643122"/>
    <s v="Greenfield"/>
  </r>
  <r>
    <n v="300"/>
    <s v="T1298"/>
    <s v="IHS_MBG_028"/>
    <s v="T1298"/>
    <s v="South West"/>
    <s v="Njombe Kompita"/>
    <x v="0"/>
    <s v="Outdoor"/>
    <s v="Mbanga"/>
    <s v="MOUNGO"/>
    <s v="njombe  penja"/>
    <s v="Kumba"/>
    <n v="4.5862600000000002"/>
    <n v="9.6535299999999999"/>
    <s v="Greenfield"/>
  </r>
  <r>
    <n v="301"/>
    <s v="SUO_020"/>
    <s v="IHS_KMB_049"/>
    <s v="SUO_020"/>
    <s v="South West"/>
    <s v="Mundemba"/>
    <x v="0"/>
    <s v="Outdoor"/>
    <s v="Ekondo Titi"/>
    <s v="NDIAN"/>
    <s v="Mundemba"/>
    <s v="Kumba"/>
    <n v="4.9620277780000004"/>
    <n v="8.8939722220000004"/>
    <s v="Greenfield"/>
  </r>
  <r>
    <n v="302"/>
    <s v="SUO_134"/>
    <s v="IHS_KMB_109"/>
    <s v="SUO_134"/>
    <s v="South West"/>
    <s v="Mbonge"/>
    <x v="0"/>
    <s v="Outdoor"/>
    <s v="Ekondo Titi"/>
    <s v="NDIAN"/>
    <s v="Mbonge"/>
    <s v="Kumba"/>
    <n v="4.5538949999999998"/>
    <n v="9.0729439999999997"/>
    <s v="Greenfield"/>
  </r>
  <r>
    <n v="303"/>
    <s v="T1769"/>
    <s v="IHS_KMB_016"/>
    <s v="T1769"/>
    <s v="South West"/>
    <s v="Kumba Barombi Kan"/>
    <x v="0"/>
    <s v="Outdoor"/>
    <s v="Kumba"/>
    <s v="Meme"/>
    <s v="Kumba 3"/>
    <s v="Kumba"/>
    <n v="4.595421"/>
    <n v="9.4671450000000004"/>
    <s v="Greenfield"/>
  </r>
  <r>
    <n v="304"/>
    <s v="SUO_032"/>
    <s v="IHS_KMB_037"/>
    <s v="SUO_032"/>
    <s v="South West"/>
    <s v="Konye"/>
    <x v="0"/>
    <s v="Outdoor"/>
    <s v="Kumba"/>
    <s v="Meme"/>
    <s v="Konye"/>
    <s v="Kumba"/>
    <n v="4.9344440000000001"/>
    <n v="9.4775559999999999"/>
    <s v="Greenfield"/>
  </r>
  <r>
    <n v="305"/>
    <s v="T0928"/>
    <s v="IHS_KMB_045"/>
    <s v="T0928"/>
    <s v="South West"/>
    <s v="ILLOR BALONDO"/>
    <x v="0"/>
    <s v="Outdoor"/>
    <s v="Ekondo Titi"/>
    <s v="NDIAN"/>
    <s v="Ekondo titi"/>
    <s v="Kumba"/>
    <n v="4.8194166669999996"/>
    <n v="8.9054722220000002"/>
    <s v="Greenfield"/>
  </r>
  <r>
    <n v="306"/>
    <s v="SUO_097"/>
    <s v="IHS_KMB_102"/>
    <s v="SUO_097"/>
    <s v="South West"/>
    <s v="Gamoko-Hill-C1"/>
    <x v="1"/>
    <s v="Outdoor"/>
    <s v="Kumba"/>
    <s v="Meme"/>
    <s v="Mbonge"/>
    <s v="Kumba"/>
    <n v="4.5503609999999997"/>
    <n v="9.2853060000000003"/>
    <s v="Greenfield"/>
  </r>
  <r>
    <n v="307"/>
    <s v="T1757"/>
    <s v="IHS_KMB_057"/>
    <s v="T1757"/>
    <s v="South West"/>
    <s v="Dikome Balue Town"/>
    <x v="2"/>
    <s v="Outdoor"/>
    <s v="Kumba"/>
    <s v="Meme"/>
    <s v="Dikome Balue"/>
    <s v="Kumba"/>
    <n v="4.8994444440000002"/>
    <n v="9.2570833330000006"/>
    <s v="Greenfield"/>
  </r>
  <r>
    <n v="308"/>
    <s v="T2112"/>
    <s v="IHS_KMB_103"/>
    <s v="T2112"/>
    <s v="South West"/>
    <s v="BIG NGBANDI"/>
    <x v="0"/>
    <s v="Outdoor"/>
    <s v="Kumba"/>
    <s v="Meme"/>
    <s v="Dikome Balue"/>
    <s v="Kumba"/>
    <n v="4.7874444440000001"/>
    <n v="9.2336388889999998"/>
    <s v="Greenfield"/>
  </r>
  <r>
    <n v="309"/>
    <s v="T1810"/>
    <s v="IHS_KMB_012"/>
    <s v="T1810"/>
    <s v="South West"/>
    <s v="Kumba Makata"/>
    <x v="0"/>
    <s v="Outdoor"/>
    <s v="Kumba"/>
    <s v="Meme"/>
    <s v="Kumba 1"/>
    <s v="Kumba"/>
    <n v="4.6207289999999999"/>
    <n v="9.4361519999999999"/>
    <s v="Greenfield"/>
  </r>
  <r>
    <n v="310"/>
    <s v="T1880"/>
    <s v="IHS_KMB_100"/>
    <s v="T1880"/>
    <s v="South West"/>
    <s v="Kumba Nkamlikum"/>
    <x v="0"/>
    <s v="Outdoor"/>
    <s v="Kumba"/>
    <s v="Meme"/>
    <s v="Kumba 1"/>
    <s v="Kumba"/>
    <n v="4.6276780000000004"/>
    <n v="9.4312529999999999"/>
    <s v="Greenfield"/>
  </r>
  <r>
    <n v="311"/>
    <s v="T1268"/>
    <s v="IHS_KMB_031"/>
    <s v="T1268"/>
    <s v="South West"/>
    <s v="Big Gandjo"/>
    <x v="0"/>
    <s v="Outdoor"/>
    <s v="Ekondo Titi"/>
    <s v="Meme"/>
    <s v="Mbonge"/>
    <s v="Kumba"/>
    <n v="4.569"/>
    <n v="9.1219000000000001"/>
    <s v="Greenfield"/>
  </r>
  <r>
    <n v="312"/>
    <s v="SUO_019"/>
    <s v="IHS_KMB_033"/>
    <s v="SUO_019"/>
    <s v="South West"/>
    <s v="Ekondo-Titi"/>
    <x v="0"/>
    <s v="Outdoor"/>
    <s v="Ekondo Titi"/>
    <s v="NDIAN"/>
    <s v="EKONDO TITI"/>
    <s v="Kumba"/>
    <n v="4.6097099999999998"/>
    <n v="9.0896519999999992"/>
    <s v="Greenfield"/>
  </r>
  <r>
    <n v="313"/>
    <s v="T1179"/>
    <s v="IHS_BUA_156"/>
    <s v="T1179"/>
    <s v="South West"/>
    <s v="Kumba Gare Ntam I"/>
    <x v="0"/>
    <s v="Outdoor"/>
    <s v="Kumba"/>
    <s v="Meme"/>
    <s v="Kumba 3"/>
    <s v="Kumba"/>
    <n v="4.6325940000000001"/>
    <n v="9.4642440000000008"/>
    <s v="Greenfield"/>
  </r>
  <r>
    <n v="314"/>
    <s v="T0774"/>
    <s v="IHS_MBG_016"/>
    <s v="T0774"/>
    <s v="South West"/>
    <s v="Penja Plantations"/>
    <x v="0"/>
    <s v="Indoor"/>
    <s v="Loum"/>
    <s v="MOUNGO"/>
    <s v="loum"/>
    <s v="Kumba"/>
    <n v="4.6954900000000004"/>
    <n v="9.7060099999999991"/>
    <s v="Greenfield"/>
  </r>
  <r>
    <n v="315"/>
    <s v="T0302"/>
    <s v="IHS_MBG_009"/>
    <s v="T0302"/>
    <s v="South West"/>
    <s v="Kombe"/>
    <x v="0"/>
    <s v="Indoor"/>
    <s v="Mbanga"/>
    <s v="MOUNGO"/>
    <s v="MBANGA"/>
    <s v="Kumba"/>
    <n v="4.3782120000000004"/>
    <n v="9.5685979999999997"/>
    <s v="Greenfield"/>
  </r>
  <r>
    <n v="316"/>
    <s v="T0787"/>
    <s v="IHS_KMB_018"/>
    <s v="T0787"/>
    <s v="South West"/>
    <s v="Mabonji Buea Road"/>
    <x v="0"/>
    <s v="Outdoor"/>
    <s v="Kumba"/>
    <s v="FAKO"/>
    <s v="Mbonge"/>
    <s v="Kumba"/>
    <n v="4.5609500000000001"/>
    <n v="9.4647900000000007"/>
    <s v="Greenfield"/>
  </r>
  <r>
    <n v="317"/>
    <s v="T0483"/>
    <s v="IHS_KMB_021"/>
    <s v="T0483"/>
    <s v="South West"/>
    <s v="Ekombe Bondji"/>
    <x v="0"/>
    <s v="Outdoor"/>
    <s v="Kumba"/>
    <s v="Meme"/>
    <s v="Mbonge"/>
    <s v="Kumba"/>
    <n v="4.5936300000000001"/>
    <n v="9.3452800000000007"/>
    <s v="Greenfield"/>
  </r>
  <r>
    <n v="318"/>
    <s v="T1726"/>
    <s v="IHS_MBG_002"/>
    <s v="T1726"/>
    <s v="South West"/>
    <s v="Mbanga Q8"/>
    <x v="0"/>
    <s v="Outdoor"/>
    <s v="Mbanga"/>
    <s v="MOUNGO"/>
    <s v="MBANGA"/>
    <s v="Kumba"/>
    <n v="4.5064019999999996"/>
    <n v="9.5696890000000003"/>
    <s v="Greenfield"/>
  </r>
  <r>
    <n v="319"/>
    <s v="T2805"/>
    <s v="IHS_KMB_108"/>
    <s v="T2805"/>
    <s v="South West"/>
    <s v="Kumba Preventive"/>
    <x v="0"/>
    <s v="Outdoor"/>
    <s v="Kumba"/>
    <s v="Meme"/>
    <s v="Kumba 1"/>
    <s v="Kumba"/>
    <n v="4.631094"/>
    <n v="9.4460610000000003"/>
    <s v="Greenfield"/>
  </r>
  <r>
    <n v="320"/>
    <s v="T0479"/>
    <s v="IHS_MBG_003"/>
    <s v="T0479"/>
    <s v="South West"/>
    <s v="Mbanga Town"/>
    <x v="0"/>
    <s v="Outdoor"/>
    <s v="Mbanga"/>
    <s v="MOUNGO"/>
    <s v="MBANGA"/>
    <s v="Kumba"/>
    <n v="4.4841379999999997"/>
    <n v="9.5671169999999996"/>
    <s v="Greenfield"/>
  </r>
  <r>
    <n v="321"/>
    <s v="SUO_071"/>
    <s v="IHS_KMB_002"/>
    <s v="SUO_071"/>
    <s v="South West"/>
    <s v="Kumba-Centre"/>
    <x v="0"/>
    <s v="Outdoor"/>
    <s v="Kumba"/>
    <s v="Meme"/>
    <s v="Kumba"/>
    <s v="Kumba"/>
    <n v="4.6380280000000003"/>
    <n v="9.4588330000000003"/>
    <s v="Greenfield"/>
  </r>
  <r>
    <n v="322"/>
    <s v="T1764"/>
    <s v="IHS_KMB_023"/>
    <s v="T1764"/>
    <s v="South West"/>
    <s v="Nake Bakundu"/>
    <x v="0"/>
    <s v="Outdoor"/>
    <s v="Kumba"/>
    <s v="Meme"/>
    <s v="Mbonge"/>
    <s v="Kumba"/>
    <n v="4.56974488"/>
    <n v="9.2583120900000004"/>
    <s v="Greenfield"/>
  </r>
  <r>
    <n v="323"/>
    <s v="T1771"/>
    <s v="IHS_KMB_008"/>
    <s v="T1771"/>
    <s v="South West"/>
    <s v="Kumba Pulletin"/>
    <x v="0"/>
    <s v="Outdoor"/>
    <s v="Kumba"/>
    <s v="Meme"/>
    <s v="Kumba 2"/>
    <s v="Kumba"/>
    <n v="4.6487220000000002"/>
    <n v="9.4389280000000007"/>
    <s v="Greenfield"/>
  </r>
  <r>
    <n v="324"/>
    <s v="T0407"/>
    <s v="IHS_KMB_006"/>
    <s v="T0407"/>
    <s v="South West"/>
    <s v="Kumba Market"/>
    <x v="0"/>
    <s v="Indoor"/>
    <s v="Kumba"/>
    <s v="Meme"/>
    <s v="Kumba 1"/>
    <s v="Kumba"/>
    <n v="4.6354240000000004"/>
    <n v="9.4363010000000003"/>
    <s v="Rooftop"/>
  </r>
  <r>
    <n v="325"/>
    <s v="SUO_052"/>
    <s v="IHS_KMB_014"/>
    <s v="SUO_052"/>
    <s v="South West"/>
    <s v="Kumba-Kake"/>
    <x v="0"/>
    <s v="Outdoor"/>
    <s v="Kumba"/>
    <s v="Meme"/>
    <s v="Kumba 1"/>
    <s v="Kumba"/>
    <n v="4.6245279999999998"/>
    <n v="9.4233060000000002"/>
    <s v="Greenfield"/>
  </r>
  <r>
    <n v="326"/>
    <s v="T0781"/>
    <s v="IHS_KMB_013"/>
    <s v="T0781"/>
    <s v="South West"/>
    <s v="Kumba Station"/>
    <x v="0"/>
    <s v="Outdoor"/>
    <s v="Kumba"/>
    <s v="Meme"/>
    <s v="Kumba"/>
    <s v="Kumba"/>
    <n v="4.644647"/>
    <n v="9.4243050000000004"/>
    <s v="Greenfield"/>
  </r>
  <r>
    <n v="327"/>
    <s v="T1713"/>
    <s v="IHS_KMB_010"/>
    <s v="T1713"/>
    <s v="South West"/>
    <s v="CCAS KUMBA"/>
    <x v="0"/>
    <s v="Outdoor"/>
    <s v="Kumba"/>
    <s v="Meme"/>
    <s v="Kumba 3"/>
    <s v="Kumba"/>
    <n v="4.6161000000000003"/>
    <n v="9.4560700000000004"/>
    <s v="Greenfield"/>
  </r>
  <r>
    <n v="328"/>
    <s v="T0849"/>
    <s v="IHS_KMB_011"/>
    <s v="T0849"/>
    <s v="South West"/>
    <s v="Kumba Kossala"/>
    <x v="0"/>
    <s v="Outdoor"/>
    <s v="Kumba"/>
    <s v="Meme"/>
    <s v="Kumba 2"/>
    <s v="Kumba"/>
    <n v="4.6539869999999999"/>
    <n v="9.4498800000000003"/>
    <s v="Greenfield"/>
  </r>
  <r>
    <n v="329"/>
    <s v="T1770"/>
    <s v="IHS_KMB_003"/>
    <s v="T1770"/>
    <s v="South West"/>
    <s v="Kumba Kossala 2"/>
    <x v="0"/>
    <s v="Outdoor"/>
    <s v="Kumba"/>
    <s v="Meme"/>
    <s v="Kumba 2"/>
    <s v="Kumba"/>
    <n v="4.6439440000000003"/>
    <n v="9.4515560000000001"/>
    <s v="Greenfield"/>
  </r>
  <r>
    <n v="330"/>
    <s v="T1712"/>
    <s v="IHS_KMB_001"/>
    <s v="T1712"/>
    <s v="South West"/>
    <s v="MBO STREET"/>
    <x v="0"/>
    <s v="Outdoor"/>
    <s v="Kumba"/>
    <s v="Meme"/>
    <s v="Kumba 2"/>
    <s v="Kumba"/>
    <n v="4.6374529999999998"/>
    <n v="9.4540019999999991"/>
    <s v="Greenfield"/>
  </r>
  <r>
    <n v="331"/>
    <s v="T1714"/>
    <s v="IHS_KMB_009"/>
    <s v="T1714"/>
    <s v="South West"/>
    <s v="FIANGO TREE CORNERS"/>
    <x v="0"/>
    <s v="Outdoor"/>
    <s v="Kumba"/>
    <s v="Meme"/>
    <s v="Kumba 3"/>
    <s v="Kumba"/>
    <n v="4.6388680000000004"/>
    <n v="9.4691329999999994"/>
    <s v="Greenfield"/>
  </r>
  <r>
    <n v="332"/>
    <s v="T0784"/>
    <s v="IHS_KMB_022"/>
    <s v="T0784"/>
    <s v="South West"/>
    <s v="Ekiliwindi"/>
    <x v="0"/>
    <s v="Outdoor"/>
    <s v="Kumba"/>
    <s v="Meme"/>
    <s v="Konye"/>
    <s v="Kumba"/>
    <n v="4.7261600000000001"/>
    <n v="9.4880600000000008"/>
    <s v="Greenfield"/>
  </r>
  <r>
    <n v="333"/>
    <s v="T1132"/>
    <s v="IHS_KMB_005"/>
    <s v="T1132"/>
    <s v="South West"/>
    <s v="Kumba Gare"/>
    <x v="0"/>
    <s v="Outdoor"/>
    <s v="Kumba"/>
    <s v="Meme"/>
    <s v="Kumba"/>
    <s v="Kumba"/>
    <n v="4.6379669999999997"/>
    <n v="9.4623179999999998"/>
    <s v="Greenfield"/>
  </r>
  <r>
    <n v="334"/>
    <s v="T0657"/>
    <s v="IHS_KMB_035"/>
    <s v="T0657"/>
    <s v="South West"/>
    <s v="Ekondo Titi Town"/>
    <x v="0"/>
    <s v="Outdoor"/>
    <s v="Ekondo Titi"/>
    <s v="NDIAN"/>
    <s v="Ekondo titi"/>
    <s v="Kumba"/>
    <n v="4.6033999000000003"/>
    <n v="9.0386401000000003"/>
    <s v="Greenfield"/>
  </r>
  <r>
    <n v="335"/>
    <s v="T0548"/>
    <s v="IHS_KMB_015"/>
    <s v="T0548"/>
    <s v="South West"/>
    <s v="Kumba Lutherian Church"/>
    <x v="0"/>
    <s v="Outdoor"/>
    <s v="Kumba"/>
    <s v="Meme"/>
    <s v="Kumba 3"/>
    <s v="Kumba"/>
    <n v="4.6010799999999996"/>
    <n v="9.4586199999999998"/>
    <s v="Greenfield"/>
  </r>
  <r>
    <n v="336"/>
    <s v="T1133"/>
    <s v="IHS_KMB_007"/>
    <s v="T1133"/>
    <s v="South West"/>
    <s v="Kumba krama"/>
    <x v="0"/>
    <s v="Outdoor"/>
    <s v="Kumba"/>
    <s v="Meme"/>
    <s v="Kumba 1"/>
    <s v="Kumba"/>
    <n v="4.6295000000000002"/>
    <n v="9.4384999999999994"/>
    <s v="Rooftop"/>
  </r>
  <r>
    <n v="337"/>
    <s v="T0044"/>
    <s v="IHS_KMB_048"/>
    <s v="T0044"/>
    <s v="South West"/>
    <s v="Mundemba"/>
    <x v="0"/>
    <s v="Indoor"/>
    <s v="Ekondo Titi"/>
    <s v="NDIAN"/>
    <s v="Mundemba"/>
    <s v="Kumba"/>
    <n v="4.9745100000000004"/>
    <n v="8.9053199999999997"/>
    <s v="Greenfield"/>
  </r>
  <r>
    <n v="338"/>
    <s v="T0045"/>
    <s v="IHS_KMB_032"/>
    <s v="T0045"/>
    <s v="South West"/>
    <s v="Bogongo I"/>
    <x v="0"/>
    <s v="Indoor"/>
    <s v="Ekondo Titi"/>
    <s v="NDIAN"/>
    <s v="Mbonge"/>
    <s v="Kumba"/>
    <n v="4.5743019"/>
    <n v="9.0861750000000008"/>
    <s v="Greenfield"/>
  </r>
  <r>
    <n v="339"/>
    <s v="SUO_006"/>
    <s v="IHS_KMB_004"/>
    <s v="SUO_006"/>
    <s v="South West"/>
    <s v="Kumba"/>
    <x v="0"/>
    <s v="Indoor"/>
    <s v="Kumba"/>
    <s v="Meme"/>
    <s v="Kumba 2"/>
    <s v="Kumba"/>
    <n v="4.6399220000000003"/>
    <n v="9.4431349999999998"/>
    <s v="Greenfield"/>
  </r>
  <r>
    <n v="340"/>
    <s v="SUO_027"/>
    <s v="IHS_KMB_017"/>
    <s v="SUO_027"/>
    <s v="South West"/>
    <s v="Kumba-Mabanda"/>
    <x v="0"/>
    <s v="Outdoor"/>
    <s v="Kumba"/>
    <s v="Meme"/>
    <s v="Kumba 3"/>
    <s v="Kumba"/>
    <n v="4.6400350000000001"/>
    <n v="9.4847479999999997"/>
    <s v="Greenfield"/>
  </r>
  <r>
    <n v="341"/>
    <s v="T0663"/>
    <s v="IHS_MBG_013"/>
    <s v="T0663"/>
    <s v="South West"/>
    <s v="Penja"/>
    <x v="0"/>
    <s v="Outdoor"/>
    <s v="Mbanga"/>
    <s v="MOUNGO"/>
    <s v="njombe  penja"/>
    <s v="Kumba"/>
    <n v="4.6420880000000002"/>
    <n v="9.6936319999999991"/>
    <s v="Greenfield"/>
  </r>
  <r>
    <n v="342"/>
    <s v="T0478"/>
    <s v="IHS_MBG_017"/>
    <s v="T0478"/>
    <s v="South West"/>
    <s v="Loum"/>
    <x v="0"/>
    <s v="Outdoor"/>
    <s v="Loum"/>
    <s v="MOUNGO"/>
    <s v="loum"/>
    <s v="Kumba"/>
    <n v="4.6955169999999997"/>
    <n v="9.7118120000000001"/>
    <s v="Greenfield"/>
  </r>
  <r>
    <n v="343"/>
    <s v="T0127"/>
    <s v="IHS_KMB_029"/>
    <s v="T0127"/>
    <s v="South West"/>
    <s v="Tombel"/>
    <x v="0"/>
    <s v="Indoor"/>
    <s v="Loum"/>
    <s v="MOUNGO"/>
    <s v="TOMBEL"/>
    <s v="Kumba"/>
    <n v="4.7472500000000002"/>
    <n v="9.6676669999999998"/>
    <s v="Greenfield"/>
  </r>
  <r>
    <n v="344"/>
    <s v="T0790"/>
    <s v="IHS_KMB_024"/>
    <s v="T0790"/>
    <s v="South West"/>
    <s v="Ebonji"/>
    <x v="0"/>
    <s v="Outdoor"/>
    <s v="Loum"/>
    <s v="Koupe-Manengouba"/>
    <s v="TOMBEL"/>
    <s v="Kumba"/>
    <n v="4.7203200000000001"/>
    <n v="9.6269799999999996"/>
    <s v="Greenfield"/>
  </r>
  <r>
    <n v="345"/>
    <s v="T0608"/>
    <s v="IHS_BUA_053"/>
    <s v="T0608"/>
    <s v="South West"/>
    <s v="Bombe Bakundu"/>
    <x v="0"/>
    <s v="Outdoor"/>
    <s v="Kumba"/>
    <s v="Meme"/>
    <s v="Mbonge"/>
    <s v="Kumba"/>
    <n v="4.44224"/>
    <n v="9.4537399999999998"/>
    <s v="Greenfield"/>
  </r>
  <r>
    <n v="346"/>
    <s v="T0786"/>
    <s v="IHS_KMB_027"/>
    <s v="T0786"/>
    <s v="South West"/>
    <s v="Ngongo"/>
    <x v="0"/>
    <s v="Outdoor"/>
    <s v="Ekondo Titi"/>
    <s v="LEKIE "/>
    <s v="Mbonge"/>
    <s v="Kumba"/>
    <n v="4.5484999999999998"/>
    <n v="9.2416640000000001"/>
    <s v="Greenfield"/>
  </r>
  <r>
    <n v="347"/>
    <s v="T0731"/>
    <s v="IHS_BUA_052"/>
    <s v="T0731"/>
    <s v="South West"/>
    <s v="Muyengue"/>
    <x v="0"/>
    <s v="Outdoor"/>
    <s v="Buea"/>
    <s v="FAKO"/>
    <s v="Muyuka"/>
    <s v="Kumba"/>
    <n v="4.4177489999999997"/>
    <n v="9.3207839999999997"/>
    <s v="Greenfield"/>
  </r>
  <r>
    <n v="348"/>
    <s v="T0659"/>
    <s v="IHS_KMB_050"/>
    <s v="T0659"/>
    <s v="South West"/>
    <s v="Mundemba Palmoil"/>
    <x v="0"/>
    <s v="Outdoor"/>
    <s v="Ekondo Titi"/>
    <s v="NDIAN"/>
    <s v="Mundemba"/>
    <s v="Kumba"/>
    <n v="4.9458000000000002"/>
    <n v="8.8725500000000004"/>
    <s v="Greenfield"/>
  </r>
  <r>
    <n v="349"/>
    <s v="T0926"/>
    <s v="IHS_KMB_036"/>
    <s v="T0926"/>
    <s v="South West"/>
    <s v="Masore"/>
    <x v="0"/>
    <s v="Outdoor"/>
    <s v="Ekondo Titi"/>
    <s v="NDIAN"/>
    <s v="Ekondo titi"/>
    <s v="Kumba"/>
    <n v="4.6418759999999999"/>
    <n v="8.9977450000000001"/>
    <s v="Greenfield"/>
  </r>
  <r>
    <n v="350"/>
    <s v="T0927"/>
    <s v="IHS_KMB_041"/>
    <s v="T0927"/>
    <s v="South West"/>
    <s v="Loe"/>
    <x v="0"/>
    <s v="Outdoor"/>
    <s v="Ekondo Titi"/>
    <s v="NDIAN"/>
    <s v="Ekondo titi"/>
    <s v="Kumba"/>
    <n v="4.7160555559999997"/>
    <n v="8.9362499999999994"/>
    <s v="Greenfield"/>
  </r>
  <r>
    <n v="351"/>
    <s v="T0934"/>
    <s v="IHS_KMB_040"/>
    <s v="T0934"/>
    <s v="South West"/>
    <s v="Kumbe"/>
    <x v="1"/>
    <s v="Outdoor"/>
    <s v="Kumba"/>
    <s v="Meme"/>
    <s v="konye"/>
    <s v="Kumba"/>
    <n v="5.0364300000000002"/>
    <n v="9.4148999999999994"/>
    <s v="Greenfield"/>
  </r>
  <r>
    <n v="352"/>
    <s v="T0683"/>
    <s v="IHS_KMB_038"/>
    <s v="T0683"/>
    <s v="South West"/>
    <s v="Konye"/>
    <x v="0"/>
    <s v="Outdoor"/>
    <s v="Kumba"/>
    <s v="Meme"/>
    <s v="konye"/>
    <s v="Kumba"/>
    <n v="4.9455400000000003"/>
    <n v="9.4819300000000002"/>
    <s v="Greenfield"/>
  </r>
  <r>
    <n v="353"/>
    <s v="T1022"/>
    <s v="IHS_KMB_039"/>
    <s v="T1022"/>
    <s v="South West"/>
    <s v="Kombone Bafaw"/>
    <x v="0"/>
    <s v="Outdoor"/>
    <s v="Kumba"/>
    <s v="Meme"/>
    <s v="konye"/>
    <s v="Kumba"/>
    <n v="4.9851299999999998"/>
    <n v="9.4319799999999994"/>
    <s v="Greenfield"/>
  </r>
  <r>
    <n v="354"/>
    <s v="T1756"/>
    <s v="IHS_KMB_026"/>
    <s v="T1756"/>
    <s v="South West"/>
    <s v="Bombanda"/>
    <x v="0"/>
    <s v="Outdoor"/>
    <s v="Kumba"/>
    <s v="Meme"/>
    <s v="Mbonge"/>
    <s v="Kumba"/>
    <n v="4.6371111100000002"/>
    <n v="9.2695277800000007"/>
    <s v="Greenfield"/>
  </r>
  <r>
    <n v="355"/>
    <s v="T0929"/>
    <s v="IHS_KMB_046"/>
    <s v="T0929"/>
    <s v="South West"/>
    <s v="Besingi"/>
    <x v="0"/>
    <s v="Outdoor"/>
    <s v="Ekondo Titi"/>
    <s v="NDIAN"/>
    <s v="Mundemba"/>
    <s v="Kumba"/>
    <n v="4.892182"/>
    <n v="8.9050989999999999"/>
    <s v="Greenfield"/>
  </r>
  <r>
    <n v="356"/>
    <s v="T0656"/>
    <s v="IHS_KMB_025"/>
    <s v="T0656"/>
    <s v="South West"/>
    <s v="Bekondo"/>
    <x v="1"/>
    <s v="Outdoor"/>
    <s v="Kumba"/>
    <s v="Meme"/>
    <s v="Mbonge"/>
    <s v="Kumba"/>
    <n v="4.6730499999999999"/>
    <n v="9.3119599999999991"/>
    <s v="Greenfield"/>
  </r>
  <r>
    <n v="357"/>
    <s v="T1750"/>
    <s v="IHS_KMB_028"/>
    <s v="T1750"/>
    <s v="South West"/>
    <s v="Bai Panya"/>
    <x v="0"/>
    <s v="Outdoor"/>
    <s v="Kumba"/>
    <s v="Meme"/>
    <s v="Mbonge"/>
    <s v="Kumba"/>
    <n v="4.5171749999999999"/>
    <n v="9.2942719999999994"/>
    <s v="Greenfield"/>
  </r>
  <r>
    <n v="358"/>
    <s v="T1023"/>
    <s v="IHS_KMB_042"/>
    <s v="T1023"/>
    <s v="South West"/>
    <s v="Babensi1"/>
    <x v="0"/>
    <s v="Outdoor"/>
    <s v="Kumba"/>
    <s v="MANYU"/>
    <s v="Nguti"/>
    <s v="Kumba"/>
    <n v="5.1152699999999998"/>
    <n v="9.4071700000000007"/>
    <s v="Greenfield"/>
  </r>
  <r>
    <n v="359"/>
    <s v="SUO_018"/>
    <s v="IHS_KMB_056"/>
    <s v="SUO_018"/>
    <s v="South West"/>
    <s v="Bakassi"/>
    <x v="1"/>
    <s v="Outdoor"/>
    <s v="Ekondo Titi"/>
    <s v="NDIAN"/>
    <s v="Isanguele"/>
    <s v="Kumba"/>
    <n v="4.7783055560000003"/>
    <n v="8.6785833330000006"/>
    <s v="Greenfield"/>
  </r>
  <r>
    <n v="360"/>
    <s v="T1184"/>
    <s v="IHS_KMB_121"/>
    <s v="T1184"/>
    <s v="South West"/>
    <s v="Kumba Bonakama"/>
    <x v="0"/>
    <s v="Outdoor"/>
    <s v="Kumba"/>
    <s v="Meme"/>
    <s v="Kumba 1"/>
    <s v="Kumba"/>
    <n v="4.6208400000000003"/>
    <n v="9.4453899999999997"/>
    <s v="Greenfield"/>
  </r>
  <r>
    <n v="361"/>
    <s v="T3455"/>
    <s v="IHS_KMB_122"/>
    <s v="T3455"/>
    <s v="South West"/>
    <s v="Kumba Bonakama 2"/>
    <x v="0"/>
    <s v="Outdoor"/>
    <s v="Kumba"/>
    <s v="Meme"/>
    <s v="Kumba 1"/>
    <s v="Kumba"/>
    <n v="4.6258270000000001"/>
    <n v="9.4450299999999991"/>
    <s v="Greenfield"/>
  </r>
  <r>
    <n v="362"/>
    <s v="T1142"/>
    <s v="IHS_BUA_172"/>
    <s v="T1142"/>
    <s v="South West"/>
    <s v="BANGA BAKUNDU"/>
    <x v="0"/>
    <s v="Outdoor"/>
    <s v="Kumba"/>
    <s v="Meme"/>
    <s v="Mbonge"/>
    <s v="Kumba"/>
    <n v="4.4029439999999997"/>
    <n v="9.4396109999999993"/>
    <s v="Greenfield"/>
  </r>
  <r>
    <n v="363"/>
    <s v="T1171"/>
    <s v="IHS_KMB_126"/>
    <s v="T1171"/>
    <s v="South West"/>
    <s v="Kumba Mbongue Road"/>
    <x v="0"/>
    <s v="Outdoor"/>
    <s v="Kumba"/>
    <s v="Meme"/>
    <s v="Kumba 1"/>
    <s v="Kumba"/>
    <n v="4.6376920000000004"/>
    <n v="9.4283389999999994"/>
    <s v="Greenfield"/>
  </r>
  <r>
    <n v="364"/>
    <s v="T3454"/>
    <s v="IHS_KMB_125"/>
    <s v="T3454"/>
    <s v="South West"/>
    <s v="KUMBA ALASKA STREET"/>
    <x v="0"/>
    <s v="Outdoor"/>
    <s v="Kumba"/>
    <s v="Meme"/>
    <s v="Kumba 1"/>
    <s v="Kumba"/>
    <n v="4.6272760000000002"/>
    <n v="9.4533930000000002"/>
    <s v="Greenfield"/>
  </r>
  <r>
    <n v="365"/>
    <s v="T1223"/>
    <s v="IHS_KMB_133"/>
    <s v="T1223"/>
    <s v="South West"/>
    <s v="Kumba Danikash"/>
    <x v="0"/>
    <s v="Outdoor"/>
    <s v="Kumba"/>
    <s v="Meme"/>
    <s v="KUMBA"/>
    <s v="Kumba"/>
    <n v="4.6124229999999997"/>
    <n v="9.4488690000000002"/>
    <s v="Rooftop"/>
  </r>
  <r>
    <n v="366"/>
    <s v="T1304"/>
    <s v="IHS_KMB_134"/>
    <s v="T1304"/>
    <s v="South West"/>
    <s v="KUMBA EXCELSOR SCHOOL"/>
    <x v="0"/>
    <s v="Outdoor"/>
    <s v="Kumba"/>
    <s v="Meme"/>
    <s v="Kumba 2"/>
    <s v="Kumba"/>
    <n v="4.6453319999999998"/>
    <n v="9.4595680000000009"/>
    <s v="Greenfield"/>
  </r>
  <r>
    <n v="367"/>
    <s v="T1839"/>
    <s v="IHS_LMB_010"/>
    <s v="T1839"/>
    <s v="South West"/>
    <s v="Upper Mawo"/>
    <x v="0"/>
    <s v="Outdoor"/>
    <s v="Limbe"/>
    <s v="FAKO"/>
    <s v="LIMBE I"/>
    <s v="Limbe"/>
    <n v="4.0115629999999998"/>
    <n v="9.2248479999999997"/>
    <s v="Greenfield"/>
  </r>
  <r>
    <n v="368"/>
    <s v="T1515"/>
    <s v="IHS_BUA_168"/>
    <s v="T1515"/>
    <s v="South West"/>
    <s v="MILE 4 Q10"/>
    <x v="0"/>
    <s v="Outdoor"/>
    <s v="Mutenguene"/>
    <s v="FAKO"/>
    <s v="LIMBE 1"/>
    <s v="Limbe"/>
    <n v="4.058408"/>
    <n v="9.2276769999999999"/>
    <s v="Greenfield"/>
  </r>
  <r>
    <n v="369"/>
    <s v="T1175"/>
    <s v="IHS_LMB_114"/>
    <s v="T1175"/>
    <s v="South West"/>
    <s v="Limbe College Excellence"/>
    <x v="0"/>
    <s v="Outdoor"/>
    <s v="Limbe"/>
    <s v="FAKO"/>
    <s v="LIMBE 2"/>
    <s v="Limbe"/>
    <n v="4.0344049999999996"/>
    <n v="9.205152"/>
    <s v="Greenfield"/>
  </r>
  <r>
    <n v="370"/>
    <s v="SUO_131"/>
    <s v="IHS_BUA_158"/>
    <s v="SUO_131"/>
    <s v="South West"/>
    <s v="Bondjongo"/>
    <x v="0"/>
    <s v="Outdoor"/>
    <s v="Limbe"/>
    <s v="FAKO"/>
    <s v="LIMBE 2"/>
    <s v="Limbe"/>
    <n v="4.0648229999999996"/>
    <n v="9.178445"/>
    <s v="Greenfield"/>
  </r>
  <r>
    <n v="371"/>
    <s v="T1715"/>
    <s v="IHS_LMB_015"/>
    <s v="T1715"/>
    <s v="South West"/>
    <s v="BOBENDE NEW LAYOUT"/>
    <x v="0"/>
    <s v="Outdoor"/>
    <s v="Limbe"/>
    <s v="FAKO"/>
    <s v="LIMBE 2"/>
    <s v="Limbe"/>
    <n v="4.0175450000000001"/>
    <n v="9.1474899999999995"/>
    <s v="Greenfield"/>
  </r>
  <r>
    <n v="372"/>
    <s v="T1776"/>
    <s v="IHS_LMB_014"/>
    <s v="T1776"/>
    <s v="South West"/>
    <s v="Bondjo Hill"/>
    <x v="0"/>
    <s v="Outdoor"/>
    <s v="Limbe"/>
    <s v="FAKO"/>
    <s v="LIMBE 1"/>
    <s v="Limbe"/>
    <n v="3.9947520000000001"/>
    <n v="9.2170480000000001"/>
    <s v="Greenfield"/>
  </r>
  <r>
    <n v="373"/>
    <s v="SUO_078"/>
    <s v="IHS_LMB_016"/>
    <s v="SUO_078"/>
    <s v="South West"/>
    <s v="Limbe-Fini-Hotel"/>
    <x v="0"/>
    <s v="Outdoor"/>
    <s v="Limbe"/>
    <s v="FAKO"/>
    <s v="LIMBE 1"/>
    <s v="Limbe"/>
    <n v="4.0169879999999996"/>
    <n v="9.1443460000000005"/>
    <s v="Greenfield"/>
  </r>
  <r>
    <n v="374"/>
    <s v="SUO_065"/>
    <s v="IHS_LMB_001"/>
    <s v="SUO_065"/>
    <s v="South West"/>
    <s v="Limbe-Federal-Qter"/>
    <x v="0"/>
    <s v="Outdoor"/>
    <s v="Limbe"/>
    <s v="FAKO"/>
    <s v="LIMBE I"/>
    <s v="Limbe"/>
    <n v="4.0171780000000004"/>
    <n v="9.1959850000000003"/>
    <s v="Greenfield"/>
  </r>
  <r>
    <n v="375"/>
    <s v="T0223"/>
    <s v="IHS_LMB_025"/>
    <s v="T0223"/>
    <s v="South West"/>
    <s v="Debunscha"/>
    <x v="0"/>
    <s v="Indoor"/>
    <s v="Limbe"/>
    <s v="FAKO"/>
    <s v="LIMBE 2"/>
    <s v="Limbe"/>
    <n v="4.1024919999999998"/>
    <n v="8.9886309999999998"/>
    <s v="Greenfield"/>
  </r>
  <r>
    <n v="376"/>
    <s v="T1838"/>
    <s v="IHS_LMB_006"/>
    <s v="T1838"/>
    <s v="South West"/>
    <s v="Limbe Bota"/>
    <x v="0"/>
    <s v="Outdoor"/>
    <s v="Limbe"/>
    <s v="FAKO"/>
    <s v="LIMBE 1"/>
    <s v="Limbe"/>
    <n v="4.029255"/>
    <n v="9.1942129999999995"/>
    <s v="Rooftop"/>
  </r>
  <r>
    <n v="377"/>
    <s v="T1716"/>
    <s v="IHS_LMB_002"/>
    <s v="T1716"/>
    <s v="South West"/>
    <s v="GRA LIMBE"/>
    <x v="0"/>
    <s v="Outdoor"/>
    <s v="Limbe"/>
    <s v="FAKO"/>
    <s v="LIMBE 1"/>
    <s v="Limbe"/>
    <n v="4.0171239999999999"/>
    <n v="9.1909329999999994"/>
    <s v="Greenfield"/>
  </r>
  <r>
    <n v="378"/>
    <s v="SUO_014"/>
    <s v="IHS_LMB_007"/>
    <s v="SUO_014"/>
    <s v="South West"/>
    <s v="Down-Beach"/>
    <x v="0"/>
    <s v="Indoor"/>
    <s v="Limbe"/>
    <s v="FAKO"/>
    <s v="LIMBE 1"/>
    <s v="Limbe"/>
    <n v="4.0078930000000001"/>
    <n v="9.2114229999999999"/>
    <s v="Rooftop"/>
  </r>
  <r>
    <n v="379"/>
    <s v="T1882"/>
    <s v="IHS_LMB_115"/>
    <s v="T1882"/>
    <s v="South West"/>
    <s v="Limbe Alpha Club Towe"/>
    <x v="0"/>
    <s v="Outdoor"/>
    <s v="Limbe"/>
    <s v="FAKO"/>
    <s v="LIMBE 1"/>
    <s v="Limbe"/>
    <n v="4.0266089999999997"/>
    <n v="9.2175949999999993"/>
    <s v="Greenfield"/>
  </r>
  <r>
    <n v="380"/>
    <s v="T1645"/>
    <s v="IHS_LMB_133"/>
    <s v="T1645"/>
    <s v="South West"/>
    <s v="LIMBE ISSOKOLO"/>
    <x v="0"/>
    <s v="Outdoor"/>
    <s v="Limbe"/>
    <s v="FAKO"/>
    <s v="LIMBE 2"/>
    <s v="Limbe"/>
    <n v="4.012753"/>
    <n v="9.1692479999999996"/>
    <s v="Greenfield"/>
  </r>
  <r>
    <n v="381"/>
    <s v="T0547"/>
    <s v="IHS_LMB_009"/>
    <s v="T0547"/>
    <s v="South West"/>
    <s v="Towe South"/>
    <x v="0"/>
    <s v="Outdoor"/>
    <s v="Limbe"/>
    <s v="FAKO"/>
    <s v="LIMBE 1"/>
    <s v="Limbe"/>
    <n v="4.0210179999999998"/>
    <n v="9.2117690000000003"/>
    <s v="Greenfield"/>
  </r>
  <r>
    <n v="382"/>
    <s v="T1775"/>
    <s v="IHS_LMB_013"/>
    <s v="T1775"/>
    <s v="South West"/>
    <s v="Mokindi"/>
    <x v="0"/>
    <s v="Outdoor"/>
    <s v="Limbe"/>
    <s v="FAKO"/>
    <s v="LIMBE II"/>
    <s v="Limbe"/>
    <n v="4.0212079999999997"/>
    <n v="9.1684750000000008"/>
    <s v="Greenfield"/>
  </r>
  <r>
    <n v="383"/>
    <s v="T1774"/>
    <s v="IHS_LMB_020"/>
    <s v="T1774"/>
    <s v="South West"/>
    <s v="Limbe Mile IV"/>
    <x v="0"/>
    <s v="Outdoor"/>
    <s v="Mutenguene"/>
    <s v="FAKO"/>
    <s v="LIMBE 1"/>
    <s v="Limbe"/>
    <n v="4.0628609999999998"/>
    <n v="9.2251390000000004"/>
    <s v="Greenfield"/>
  </r>
  <r>
    <n v="384"/>
    <s v="T0406"/>
    <s v="IHS_LMB_008"/>
    <s v="T0406"/>
    <s v="South West"/>
    <s v="Limbe New Town"/>
    <x v="0"/>
    <s v="Indoor"/>
    <s v="Limbe"/>
    <s v="FAKO"/>
    <s v="LIMBE 1"/>
    <s v="Limbe"/>
    <n v="4.0114280000000004"/>
    <n v="9.2159379999999995"/>
    <s v="Rooftop"/>
  </r>
  <r>
    <n v="385"/>
    <s v="T0066"/>
    <s v="IHS_LMB_003"/>
    <s v="T0066"/>
    <s v="South West"/>
    <s v="Mbende"/>
    <x v="0"/>
    <s v="Indoor"/>
    <s v="Limbe"/>
    <s v="FAKO"/>
    <s v="LIMBE I"/>
    <s v="Limbe"/>
    <n v="4.0206499999999998"/>
    <n v="9.2035269999999993"/>
    <s v="Greenfield"/>
  </r>
  <r>
    <n v="386"/>
    <s v="T0185"/>
    <s v="IHS_LMB_022"/>
    <s v="T0185"/>
    <s v="South West"/>
    <s v="Moliwe"/>
    <x v="0"/>
    <s v="Indoor"/>
    <s v="Mutenguene"/>
    <s v="FAKO"/>
    <s v="LIMBE 1"/>
    <s v="Limbe"/>
    <n v="4.0564720000000003"/>
    <n v="9.2473340000000004"/>
    <s v="Greenfield"/>
  </r>
  <r>
    <n v="387"/>
    <s v="SUO_002"/>
    <s v="IHS_LMB_011"/>
    <s v="SUO_002"/>
    <s v="South West"/>
    <s v="Limbe-Kie"/>
    <x v="0"/>
    <s v="Indoor"/>
    <s v="Limbe"/>
    <s v="FAKO"/>
    <s v="LIMBE 1"/>
    <s v="Limbe"/>
    <n v="4.0162610000000001"/>
    <n v="9.1790389999999995"/>
    <s v="Greenfield"/>
  </r>
  <r>
    <n v="388"/>
    <s v="SUO_021"/>
    <s v="IHS_LMB_021"/>
    <s v="SUO_021"/>
    <s v="South West"/>
    <s v="Mile4"/>
    <x v="0"/>
    <s v="Indoor"/>
    <s v="Mutenguene"/>
    <s v="FAKO"/>
    <s v="LIMBE I"/>
    <s v="Limbe"/>
    <n v="4.0566700000000004"/>
    <n v="9.2473550000000007"/>
    <s v="Greenfield"/>
  </r>
  <r>
    <n v="389"/>
    <s v="SUO_011"/>
    <s v="IHS_LMB_018"/>
    <s v="SUO_011"/>
    <s v="South West"/>
    <s v="Monkey-Hill"/>
    <x v="0"/>
    <s v="Indoor"/>
    <s v="Limbe"/>
    <s v="FAKO"/>
    <s v="LIMBE 2"/>
    <s v="Limbe"/>
    <n v="4.0215420000000002"/>
    <n v="9.1110609999999994"/>
    <s v="Greenfield"/>
  </r>
  <r>
    <n v="390"/>
    <s v="T0658"/>
    <s v="IHS_LMB_017"/>
    <s v="T0658"/>
    <s v="South West"/>
    <s v="Mokudange"/>
    <x v="0"/>
    <s v="Outdoor"/>
    <s v="Limbe"/>
    <s v="FAKO"/>
    <s v="LIMBE 2"/>
    <s v="Limbe"/>
    <n v="4.0273199999999996"/>
    <n v="9.1265719999999995"/>
    <s v="Greenfield"/>
  </r>
  <r>
    <n v="391"/>
    <s v="T0669"/>
    <s v="IHS_LMB_024"/>
    <s v="T0669"/>
    <s v="South West"/>
    <s v="Bakinguili"/>
    <x v="0"/>
    <s v="Outdoor"/>
    <s v="Limbe"/>
    <s v="FAKO"/>
    <s v="LIMBE 2"/>
    <s v="Limbe"/>
    <n v="4.0619350000000001"/>
    <n v="9.0419619999999998"/>
    <s v="Greenfield"/>
  </r>
  <r>
    <n v="392"/>
    <s v="T0102"/>
    <s v="IHS_LMB_012"/>
    <s v="T0102"/>
    <s v="South West"/>
    <s v="Kie village"/>
    <x v="0"/>
    <s v="Indoor"/>
    <s v="Limbe"/>
    <s v="FAKO"/>
    <s v="LIMBE 1"/>
    <s v="Limbe"/>
    <n v="4.016286"/>
    <n v="9.1786399999999997"/>
    <s v="Greenfield"/>
  </r>
  <r>
    <n v="393"/>
    <s v="SUO_050"/>
    <s v="IHS_LMB_005"/>
    <s v="SUO_050"/>
    <s v="South West"/>
    <s v="Limbe-Down-Beach-II"/>
    <x v="0"/>
    <s v="Outdoor"/>
    <s v="Limbe"/>
    <s v="FAKO"/>
    <s v="LIMBE I"/>
    <s v="Limbe"/>
    <n v="4.0123030000000002"/>
    <n v="9.2076879999999992"/>
    <s v="Rooftop"/>
  </r>
  <r>
    <n v="394"/>
    <s v="T1296"/>
    <s v="IHS_LMB_105"/>
    <s v="T1296"/>
    <s v="South West"/>
    <s v="LIMBE CHURCH STREET"/>
    <x v="0"/>
    <s v="Outdoor"/>
    <s v="Limbe"/>
    <s v="FAKO"/>
    <s v="LIMBE 1"/>
    <s v="Limbe"/>
    <n v="4.0152489999999998"/>
    <n v="9.2103680000000008"/>
    <s v="Rooftop"/>
  </r>
  <r>
    <n v="395"/>
    <s v="T1134"/>
    <s v="IHS_LMB_023"/>
    <s v="T1134"/>
    <s v="South West"/>
    <s v="Wotutu"/>
    <x v="0"/>
    <s v="Outdoor"/>
    <s v="Mutenguene"/>
    <s v="FAKO"/>
    <s v="TIKO"/>
    <s v="Limbe"/>
    <n v="4.08108"/>
    <n v="9.2052200000000006"/>
    <s v="Greenfield"/>
  </r>
  <r>
    <n v="396"/>
    <s v="T1794"/>
    <s v="IHS_LMB_019"/>
    <s v="T1794"/>
    <s v="South West"/>
    <s v="Mabeta"/>
    <x v="0"/>
    <s v="Outdoor"/>
    <s v="Limbe"/>
    <s v="FAKO"/>
    <s v="LIMBE 3"/>
    <s v="Limbe"/>
    <n v="3.992639"/>
    <n v="9.2848609999999994"/>
    <s v="Greenfield"/>
  </r>
  <r>
    <n v="397"/>
    <s v="T3101"/>
    <s v="IHS_LMB_116"/>
    <s v="T3101"/>
    <s v="South West"/>
    <s v="Limbe Stadium"/>
    <x v="0"/>
    <s v="Outdoor"/>
    <s v="Limbe"/>
    <s v="FAKO"/>
    <s v="LIMBE 2"/>
    <s v="Limbe"/>
    <n v="4.0295719999999999"/>
    <n v="9.1599889999999995"/>
    <s v="Greenfield"/>
  </r>
  <r>
    <n v="398"/>
    <s v="T2534"/>
    <s v="IHS_LMB_134"/>
    <s v="T2534"/>
    <s v="South West"/>
    <s v="Limbe mile 1"/>
    <x v="0"/>
    <s v="Outdoor"/>
    <s v="Limbe"/>
    <s v="FAKO"/>
    <s v="limbe"/>
    <s v="Limbe"/>
    <n v="4.0261110000000002"/>
    <n v="9.2055559999999996"/>
    <s v="Greenfield"/>
  </r>
  <r>
    <n v="399"/>
    <s v="T1670"/>
    <s v="IHS_LMB_135"/>
    <s v="T1670"/>
    <s v="South West"/>
    <s v="Limbe Mile 3"/>
    <x v="0"/>
    <s v="Outdoor"/>
    <s v="Limbe"/>
    <s v="FAKO"/>
    <s v="Limbe I"/>
    <s v="Limbe"/>
    <n v="4.0470129999999997"/>
    <n v="9.2143099999999993"/>
    <s v="Greenfield"/>
  </r>
  <r>
    <n v="400"/>
    <s v="SUO_040"/>
    <s v="IHS_KMB_054"/>
    <s v="SUO_040"/>
    <s v="North West"/>
    <s v="Tinto"/>
    <x v="3"/>
    <s v="Outdoor"/>
    <s v="Mamfé"/>
    <s v="MANYU"/>
    <s v="Tinto"/>
    <s v="Mamfe"/>
    <n v="5.521083333"/>
    <n v="9.5806944440000006"/>
    <s v="Greenfield"/>
  </r>
  <r>
    <n v="401"/>
    <s v="T2146"/>
    <s v="IHS_KMB_105"/>
    <s v="T2146"/>
    <s v="North West"/>
    <s v="TALI"/>
    <x v="1"/>
    <s v="Outdoor"/>
    <s v="Mamfe"/>
    <s v="MANYU"/>
    <s v="Tinto"/>
    <s v="Mamfe"/>
    <n v="5.5816666670000004"/>
    <n v="9.6670555559999993"/>
    <s v="Greenfield"/>
  </r>
  <r>
    <n v="402"/>
    <s v="T1765"/>
    <s v="IHS_KMB_078"/>
    <s v="T1765"/>
    <s v="North West"/>
    <s v="Okoroba"/>
    <x v="1"/>
    <s v="Outdoor"/>
    <s v="Mamfe"/>
    <s v="MANYU"/>
    <s v="Eyumodjock"/>
    <s v="Mamfe"/>
    <n v="5.4788333329999999"/>
    <n v="9.2488611110000001"/>
    <s v="Greenfield"/>
  </r>
  <r>
    <n v="403"/>
    <s v="T1812"/>
    <s v="IHS_KMB_066"/>
    <s v="T1812"/>
    <s v="North West"/>
    <s v="Bessenye"/>
    <x v="0"/>
    <s v="Outdoor"/>
    <s v="Mamfe"/>
    <s v="MANYU"/>
    <s v="Eyumodjock"/>
    <s v="Mamfe"/>
    <n v="5.700861111"/>
    <n v="9.2851388890000006"/>
    <s v="Greenfield"/>
  </r>
  <r>
    <n v="404"/>
    <s v="T1251"/>
    <s v="IHS_KMB_110"/>
    <s v="T1251"/>
    <s v="North West"/>
    <s v="Berore"/>
    <x v="1"/>
    <s v="Outdoor"/>
    <s v="Mamfe"/>
    <m/>
    <s v="Mamfe"/>
    <s v="Mamfe"/>
    <n v="5.7744999999999997"/>
    <n v="9.3559999999999999"/>
    <s v="Greenfield"/>
  </r>
  <r>
    <n v="405"/>
    <s v="T2103"/>
    <s v="IHS_KMB_106"/>
    <s v="T2103"/>
    <s v="North West"/>
    <s v="AKWAYA"/>
    <x v="0"/>
    <s v="Vandalized"/>
    <s v="Bafut"/>
    <s v="MANYU"/>
    <s v="akwaya"/>
    <s v="Mamfe"/>
    <n v="6.378388889"/>
    <n v="9.5110583329999994"/>
    <s v="Vandalized"/>
  </r>
  <r>
    <n v="406"/>
    <s v="T1763"/>
    <s v="IHS_KMB_052"/>
    <s v="T1763"/>
    <s v="North West"/>
    <s v="Bakebe"/>
    <x v="0"/>
    <s v="Outdoor"/>
    <s v="Mamfe"/>
    <s v="MANYU"/>
    <s v="Tinto"/>
    <s v="Mamfe"/>
    <n v="5.5574722220000004"/>
    <n v="9.5617222220000002"/>
    <s v="Greenfield"/>
  </r>
  <r>
    <n v="407"/>
    <s v="T0242"/>
    <s v="IHS_KMB_077"/>
    <s v="T0242"/>
    <s v="North West"/>
    <s v="Eyumojock"/>
    <x v="0"/>
    <s v="Indoor"/>
    <s v="Mamfe"/>
    <s v="MANYU"/>
    <s v="Eyumodjock"/>
    <s v="Mamfe"/>
    <n v="5.7660799999999997"/>
    <n v="8.9847000000000001"/>
    <s v="Greenfield"/>
  </r>
  <r>
    <n v="408"/>
    <s v="T1762"/>
    <s v="IHS_KMB_063"/>
    <s v="T1762"/>
    <s v="North West"/>
    <s v="Mamfe Centre"/>
    <x v="0"/>
    <s v="Outdoor"/>
    <s v="Mamfe"/>
    <s v="MANYU"/>
    <s v="Mamfe"/>
    <s v="Mamfe"/>
    <n v="5.7569444399999998"/>
    <n v="9.3078611000000002"/>
    <s v="Greenfield"/>
  </r>
  <r>
    <n v="409"/>
    <s v="T0685"/>
    <s v="IHS_KMB_053"/>
    <s v="T0685"/>
    <s v="North West"/>
    <s v="Tinto"/>
    <x v="0"/>
    <s v="Outdoor"/>
    <s v="Mamfe"/>
    <s v="MANYU"/>
    <s v="Tinto"/>
    <s v="Mamfe"/>
    <n v="5.5456200000000004"/>
    <n v="9.5905900000000006"/>
    <s v="Greenfield"/>
  </r>
  <r>
    <n v="410"/>
    <s v="T0348"/>
    <s v="IHS_KMB_060"/>
    <s v="T0348"/>
    <s v="North West"/>
    <s v="Bachuo Ntai"/>
    <x v="0"/>
    <s v="Indoor"/>
    <s v="Mamfe"/>
    <s v="MANYU"/>
    <s v="Mamfe"/>
    <s v="Mamfe"/>
    <n v="5.71469"/>
    <n v="9.3915900000000008"/>
    <s v="Greenfield"/>
  </r>
  <r>
    <n v="411"/>
    <s v="SUO_073"/>
    <s v="IHS_KMB_062"/>
    <s v="SUO_073"/>
    <s v="North West"/>
    <s v="Mamfe-Brasserie"/>
    <x v="0"/>
    <s v="Outdoor"/>
    <s v="Mamfé"/>
    <s v="MANYU"/>
    <s v="Mamfe"/>
    <s v="Mamfe"/>
    <n v="5.7632500000000002"/>
    <n v="9.3114166669999996"/>
    <s v="Greenfield"/>
  </r>
  <r>
    <n v="412"/>
    <s v="SUO_015"/>
    <s v="IHS_KMB_081"/>
    <s v="SUO_015"/>
    <s v="North West"/>
    <s v="Ekok"/>
    <x v="0"/>
    <s v="Indoor"/>
    <s v="Mamfe"/>
    <s v="MANYU"/>
    <s v="Eyumodjock"/>
    <s v="Mamfe"/>
    <n v="5.8100222219999997"/>
    <n v="8.8572638890000004"/>
    <s v="Greenfield"/>
  </r>
  <r>
    <n v="413"/>
    <s v="SUO_030"/>
    <s v="IHS_KMB_061"/>
    <s v="SUO_030"/>
    <s v="North West"/>
    <s v="Bachuo-Ntai"/>
    <x v="0"/>
    <s v="Indoor"/>
    <s v="Mamfe"/>
    <s v="MANYU"/>
    <s v="Mamfe"/>
    <s v="Mamfe"/>
    <n v="5.714611111"/>
    <n v="9.3907500000000006"/>
    <s v="Greenfield"/>
  </r>
  <r>
    <n v="414"/>
    <s v="T0754"/>
    <s v="IHS_KMB_073"/>
    <s v="T0754"/>
    <s v="North West"/>
    <s v="Kembong"/>
    <x v="0"/>
    <s v="Outdoor"/>
    <s v="Mamfe"/>
    <s v="MANYU"/>
    <s v="Eyumodjock"/>
    <s v="Mamfe"/>
    <n v="5.6207500000000001"/>
    <n v="9.2497100000000003"/>
    <s v="Greenfield"/>
  </r>
  <r>
    <n v="415"/>
    <s v="T1766"/>
    <s v="IHS_KMB_069"/>
    <s v="T1766"/>
    <s v="North West"/>
    <s v="Ossing"/>
    <x v="0"/>
    <s v="Outdoor"/>
    <s v="Mamfe"/>
    <s v="MANYU"/>
    <s v="Eyumodjock"/>
    <s v="Mamfe"/>
    <n v="5.64025"/>
    <n v="9.3138888889999993"/>
    <s v="Greenfield"/>
  </r>
  <r>
    <n v="416"/>
    <s v="T1025"/>
    <s v="IHS_KMB_047"/>
    <s v="T1025"/>
    <s v="North West"/>
    <s v="Ofrikpabi"/>
    <x v="0"/>
    <s v="Outdoor"/>
    <s v="Kumba"/>
    <s v="Koupe-Manengouba"/>
    <s v="Nguti"/>
    <s v="Mamfe"/>
    <n v="5.2804500000000001"/>
    <n v="9.41465"/>
    <s v="Greenfield"/>
  </r>
  <r>
    <n v="417"/>
    <s v="T0852"/>
    <s v="IHS_KMB_074"/>
    <s v="T0852"/>
    <s v="North West"/>
    <s v="Numba49"/>
    <x v="0"/>
    <s v="Outdoor"/>
    <s v="Mamfe"/>
    <s v="Momo"/>
    <s v="Widikum"/>
    <s v="Mamfe"/>
    <n v="5.83718"/>
    <n v="9.7138500000000008"/>
    <s v="Greenfield"/>
  </r>
  <r>
    <n v="418"/>
    <s v="T0925"/>
    <s v="IHS_KMB_055"/>
    <s v="T0925"/>
    <s v="North West"/>
    <s v="MBIO OCM"/>
    <x v="0"/>
    <s v="Outdoor"/>
    <s v="Mamfe"/>
    <s v="MANYU"/>
    <s v="Tinto"/>
    <s v="Mamfe"/>
    <n v="5.6146388890000001"/>
    <n v="9.5173888889999994"/>
    <s v="Greenfield"/>
  </r>
  <r>
    <n v="419"/>
    <s v="T0875"/>
    <s v="IHS_KMB_064"/>
    <s v="T0875"/>
    <s v="North West"/>
    <s v="Mamfe town"/>
    <x v="0"/>
    <s v="Outdoor"/>
    <s v="Mamfe"/>
    <s v="MANYU"/>
    <s v="Mamfe"/>
    <s v="Mamfe"/>
    <n v="5.7688800000000002"/>
    <n v="9.3219899999999996"/>
    <s v="Greenfield"/>
  </r>
  <r>
    <n v="420"/>
    <s v="T1905"/>
    <s v="IHS_YND_479"/>
    <s v="T1905"/>
    <s v="North West"/>
    <s v="Bakwele"/>
    <x v="0"/>
    <s v="Outdoor"/>
    <s v="Mamfe"/>
    <s v="MANYU"/>
    <s v="Eyumodjock"/>
    <s v="Mamfe"/>
    <n v="5.6990109999999996"/>
    <n v="9.1825329999999994"/>
    <s v="Greenfield"/>
  </r>
  <r>
    <n v="421"/>
    <s v="T1026"/>
    <s v="IHS_KMB_051"/>
    <s v="T1026"/>
    <s v="North West"/>
    <s v="ASHUM"/>
    <x v="0"/>
    <s v="Outdoor"/>
    <s v="Mamfe"/>
    <s v="MANYU"/>
    <s v="Tinto"/>
    <s v="Mamfe"/>
    <n v="5.4960699999999996"/>
    <n v="9.5214599999999994"/>
    <s v="Greenfield"/>
  </r>
  <r>
    <n v="422"/>
    <s v="T0205"/>
    <s v="IHS_KMB_080"/>
    <s v="T0205"/>
    <s v="North West"/>
    <s v="Ekok"/>
    <x v="0"/>
    <s v="Indoor"/>
    <s v="Mamfe"/>
    <s v="MANYU"/>
    <s v="Eyumodjock"/>
    <s v="Mamfe"/>
    <n v="5.8151299999999999"/>
    <n v="8.8577100000000009"/>
    <s v="Greenfield"/>
  </r>
  <r>
    <n v="423"/>
    <s v="T0899"/>
    <s v="IHS_KMB_065"/>
    <s v="T0899"/>
    <s v="North West"/>
    <s v="Mile29 Mamfe"/>
    <x v="1"/>
    <s v="Outdoor"/>
    <s v="Mamfe"/>
    <s v="MANYU"/>
    <s v="Mamfe"/>
    <s v="Mamfe"/>
    <n v="5.70852"/>
    <n v="9.6258999999999997"/>
    <s v="Greenfield"/>
  </r>
  <r>
    <n v="424"/>
    <s v="SUO_016"/>
    <s v="IHS_KMB_076"/>
    <s v="SUO_016"/>
    <s v="North West"/>
    <s v="Eyumojock"/>
    <x v="0"/>
    <s v="Indoor"/>
    <s v="Mamfé"/>
    <s v="MANYU"/>
    <s v="Eyumodjock"/>
    <s v="Mamfe"/>
    <n v="5.7736388889999999"/>
    <n v="8.9948611110000005"/>
    <s v="Greenfield"/>
  </r>
  <r>
    <n v="425"/>
    <s v="T1954"/>
    <s v="IHS_KMB_123"/>
    <s v="T1954"/>
    <s v="North West"/>
    <s v="Eyang"/>
    <x v="0"/>
    <s v="Outdoor"/>
    <s v="Mamfe"/>
    <s v="MANYU"/>
    <s v="Tinto"/>
    <s v="Mamfe"/>
    <n v="5.4222169999999998"/>
    <n v="9.4724330000000005"/>
    <s v="Greenfield"/>
  </r>
  <r>
    <n v="426"/>
    <s v="T1955"/>
    <s v="IHS_KMB_124"/>
    <s v="T1955"/>
    <s v="North West"/>
    <s v="Mayemen"/>
    <x v="1"/>
    <s v="Outdoor"/>
    <s v="Kumba"/>
    <s v="Koupe-Manengouba"/>
    <s v="Nguti"/>
    <s v="Mamfe"/>
    <n v="5.214321"/>
    <n v="9.3944919999999996"/>
    <s v="Greenfield"/>
  </r>
  <r>
    <n v="427"/>
    <s v="T1787"/>
    <s v="IHS_MAR_398"/>
    <s v="T1787"/>
    <s v="Far North"/>
    <s v="Tagawa"/>
    <x v="0"/>
    <s v="Outdoor"/>
    <s v="Kousseri"/>
    <s v="LOGONE ET CHARI"/>
    <s v="WAZA"/>
    <s v="Maroua"/>
    <n v="11.327747199999999"/>
    <n v="14.4548694"/>
    <s v="Greenfield"/>
  </r>
  <r>
    <n v="428"/>
    <s v="T4687"/>
    <s v="IHS_MAR_403"/>
    <s v="T4687"/>
    <s v="Far North"/>
    <s v="Djowde"/>
    <x v="0"/>
    <s v="Outdoor"/>
    <s v="Kousseri"/>
    <s v="LOGONE ET CHARI"/>
    <s v="WAZA"/>
    <s v="Maroua"/>
    <n v="11.0436"/>
    <n v="14.43723"/>
    <s v="Greenfield"/>
  </r>
  <r>
    <n v="429"/>
    <s v="NRO_100"/>
    <s v="IHS_BMD_2226"/>
    <s v="NRO_100"/>
    <s v="West"/>
    <s v="Bambalang"/>
    <x v="0"/>
    <s v="Outdoor"/>
    <s v="Bamenda 1"/>
    <s v="NGO-KETUNJIA"/>
    <s v="Balikumbat"/>
    <s v="Meiganga"/>
    <n v="5.8903999999999996"/>
    <n v="13.52262"/>
    <s v="Greenfield"/>
  </r>
  <r>
    <n v="430"/>
    <s v="T1948"/>
    <s v="IHS_KMB_104"/>
    <s v="T1948"/>
    <s v="South West"/>
    <s v="NGUSI"/>
    <x v="1"/>
    <s v="Outdoor"/>
    <s v="Kumba"/>
    <s v="Meme"/>
    <s v="Tombel"/>
    <s v="Dschang &amp; Kongsamba"/>
    <n v="4.8634170000000001"/>
    <n v="9.6634720000000005"/>
    <s v="Greenfield"/>
  </r>
  <r>
    <n v="431"/>
    <s v="T1894"/>
    <s v="IHS_MBG_027"/>
    <s v="T1894"/>
    <s v="South West"/>
    <s v="Loum Bonkeng"/>
    <x v="0"/>
    <s v="Outdoor"/>
    <s v="Loum"/>
    <s v="MOUNGO"/>
    <s v="loum   "/>
    <s v="Dschang &amp; Kongsamba"/>
    <n v="4.7097920000000002"/>
    <n v="9.7479770000000006"/>
    <s v="Greenfield"/>
  </r>
  <r>
    <n v="432"/>
    <s v="T1305"/>
    <s v="IHS_KMB_118"/>
    <s v="T1305"/>
    <s v="West"/>
    <s v="BANGUEM STREET II"/>
    <x v="0"/>
    <s v="Outdoor"/>
    <s v="Bafang"/>
    <s v="Koupe-Manengouba"/>
    <s v="Banguem"/>
    <s v="Dschang &amp; Kongsamba"/>
    <n v="5.0845039999999999"/>
    <n v="9.769304"/>
    <s v="Greenfield"/>
  </r>
  <r>
    <n v="433"/>
    <s v="T0572"/>
    <s v="IHS_NKS_017"/>
    <s v="T0572"/>
    <s v="South West"/>
    <s v="Manjo2"/>
    <x v="0"/>
    <s v="Outdoor"/>
    <s v="Loum"/>
    <s v="MOUNGO"/>
    <s v="MANJO"/>
    <s v="Dschang &amp; Kongsamba"/>
    <n v="4.85304"/>
    <n v="9.8334919999999997"/>
    <s v="Greenfield"/>
  </r>
  <r>
    <n v="434"/>
    <s v="T0662"/>
    <s v="IHS_NKS_006"/>
    <s v="T0662"/>
    <s v="South West"/>
    <s v="Nkongsamba Q5 Aviation"/>
    <x v="0"/>
    <s v="Outdoor"/>
    <s v="Loum"/>
    <s v="MOUNGO"/>
    <s v="nkongsamba3"/>
    <s v="Dschang &amp; Kongsamba"/>
    <n v="4.936299"/>
    <n v="9.9313350000000007"/>
    <s v="Rooftop"/>
  </r>
  <r>
    <n v="435"/>
    <s v="T0243"/>
    <s v="IHS_NKS_005"/>
    <s v="T0243"/>
    <s v="South West"/>
    <s v="Nkongsamba SDH"/>
    <x v="0"/>
    <s v="Indoor"/>
    <s v="Loum"/>
    <s v="MOUNGO"/>
    <s v="nkongsamba 3"/>
    <s v="Dschang &amp; Kongsamba"/>
    <n v="4.9714499999999999"/>
    <n v="9.9169990000000006"/>
    <s v="Greenfield"/>
  </r>
  <r>
    <n v="436"/>
    <s v="T0797"/>
    <s v="IHS_NKS_009"/>
    <s v="T0797"/>
    <s v="South West"/>
    <s v="Ndoungue"/>
    <x v="0"/>
    <s v="Outdoor"/>
    <s v="Loum"/>
    <s v="MOUNGO"/>
    <s v="EBONE"/>
    <s v="Dschang &amp; Kongsamba"/>
    <n v="4.9224240000000004"/>
    <n v="9.893497"/>
    <s v="Greenfield"/>
  </r>
  <r>
    <n v="437"/>
    <s v="T0115"/>
    <s v="IHS_NKS_019"/>
    <s v="T0115"/>
    <s v="South West"/>
    <s v="Manjo"/>
    <x v="0"/>
    <s v="Indoor"/>
    <s v="Loum"/>
    <s v="MOUNGO"/>
    <s v="MANJO"/>
    <s v="Dschang &amp; Kongsamba"/>
    <n v="4.8483999999999998"/>
    <n v="9.8259000000000007"/>
    <s v="Greenfield"/>
  </r>
  <r>
    <n v="438"/>
    <s v="SUO_013"/>
    <s v="IHS_KMB_058"/>
    <s v="SUO_013"/>
    <s v="West"/>
    <s v="Banguem"/>
    <x v="0"/>
    <s v="Indoor"/>
    <s v="Bafang"/>
    <s v="Koupe-Manengouba"/>
    <s v="Banguem"/>
    <s v="Dschang &amp; Kongsamba"/>
    <n v="5.0767499999999997"/>
    <n v="9.7753610000000002"/>
    <s v="Greenfield"/>
  </r>
  <r>
    <n v="439"/>
    <s v="T0492"/>
    <s v="IHS_KMB_070"/>
    <s v="T0492"/>
    <s v="West"/>
    <s v="Banguem"/>
    <x v="0"/>
    <s v="Outdoor"/>
    <s v="Bafang"/>
    <s v="Koupe-Manengouba"/>
    <s v="Banguem"/>
    <s v="Dschang &amp; Kongsamba"/>
    <n v="5.0737569999999996"/>
    <n v="9.7635380000000005"/>
    <s v="Greenfield"/>
  </r>
  <r>
    <n v="440"/>
    <s v="T0561"/>
    <s v="IHS_KMB_034"/>
    <s v="T0561"/>
    <s v="South West"/>
    <s v="Nyasoso"/>
    <x v="0"/>
    <s v="Outdoor"/>
    <s v="Loum"/>
    <s v="MOUNGO"/>
    <s v="TOMBEL"/>
    <s v="Dschang &amp; Kongsamba"/>
    <n v="4.82951"/>
    <n v="9.6786399999999997"/>
    <s v="Greenfield"/>
  </r>
  <r>
    <n v="441"/>
    <s v="T0924"/>
    <s v="IHS_NKS_023"/>
    <s v="T0924"/>
    <s v="South West"/>
    <s v="KOLA"/>
    <x v="0"/>
    <s v="Outdoor"/>
    <s v="Loum"/>
    <s v="MOUNGO"/>
    <s v="manjo"/>
    <s v="Dschang &amp; Kongsamba"/>
    <n v="4.8058189999999996"/>
    <n v="9.7655309999999993"/>
    <s v="Greenfield"/>
  </r>
  <r>
    <n v="442"/>
    <s v="T3273"/>
    <s v="IHS_KMB_130"/>
    <s v="T3273"/>
    <s v="South West"/>
    <s v="Nkikoh"/>
    <x v="0"/>
    <s v="Outdoor"/>
    <s v="Bafang"/>
    <s v="FAKO"/>
    <s v="Kumba 1"/>
    <s v="Dschang &amp; Kongsamba"/>
    <n v="5.0864000000000003"/>
    <n v="9.8047810000000002"/>
    <s v="Greenfield"/>
  </r>
  <r>
    <n v="443"/>
    <s v="T1106"/>
    <s v="IHS_BMD_354"/>
    <s v="T1106"/>
    <s v="North West"/>
    <s v="Bamenda Sacred Heart"/>
    <x v="0"/>
    <s v="Outdoor"/>
    <s v="Bamenda 3"/>
    <s v="MEZAM"/>
    <s v="Bamenda 2"/>
    <s v="Dschang &amp; Kongsamba"/>
    <n v="4.7012999999999998"/>
    <n v="10.233700000000001"/>
    <s v="Greenfield"/>
  </r>
  <r>
    <n v="444"/>
    <s v="SUO_028"/>
    <s v="IHS_EDA_049"/>
    <s v="SUO_028"/>
    <s v="West"/>
    <s v="Ndom"/>
    <x v="0"/>
    <s v="Indoor"/>
    <s v="Bangangte"/>
    <s v="SANAGA-MARITIME"/>
    <s v="Ndom"/>
    <s v="Yaounde"/>
    <n v="4.3961550000000003"/>
    <n v="10.825452"/>
    <s v="Greenfiel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1">
  <r>
    <n v="1"/>
    <s v="T2781"/>
    <s v="IHS_BAF_105"/>
    <s v="T2781"/>
    <x v="0"/>
    <s v="PENKA MICHEL"/>
    <x v="0"/>
    <s v="Outdoor"/>
    <s v="Bafoussam1"/>
    <s v="MENOUA"/>
    <s v="PENKA MICHEL"/>
    <x v="0"/>
    <n v="5.4681699999999998"/>
    <n v="10.241300000000001"/>
    <x v="0"/>
  </r>
  <r>
    <n v="2"/>
    <s v="CTR_297"/>
    <s v="IHS_YND_463"/>
    <s v="CTR_297"/>
    <x v="0"/>
    <s v="Nomale"/>
    <x v="0"/>
    <s v="Outdoor"/>
    <s v="Bafia"/>
    <s v="Mbam et inoubou"/>
    <s v="Ndikinimeki"/>
    <x v="0"/>
    <n v="4.7714999999999996"/>
    <n v="10.906319999999999"/>
    <x v="0"/>
  </r>
  <r>
    <n v="3"/>
    <s v="OST_219"/>
    <s v="IHS_FBN_055"/>
    <s v="OST_219"/>
    <x v="0"/>
    <s v="Ngbetnsouen"/>
    <x v="0"/>
    <s v="Outdoor"/>
    <s v="Foumbot"/>
    <s v="Noun"/>
    <s v="Kouoptamo"/>
    <x v="0"/>
    <n v="5.6344200000000004"/>
    <n v="10.530250000000001"/>
    <x v="0"/>
  </r>
  <r>
    <n v="4"/>
    <s v="CTR_054"/>
    <s v="IHS_YND_445"/>
    <s v="CTR_054"/>
    <x v="0"/>
    <s v="Ndoussan"/>
    <x v="0"/>
    <s v="Indoor"/>
    <s v="Bafia"/>
    <s v="Mbam et inoubou"/>
    <s v="Kon-yambetta"/>
    <x v="0"/>
    <n v="4.8229620000000004"/>
    <n v="11.175922"/>
    <x v="0"/>
  </r>
  <r>
    <n v="5"/>
    <s v="OST_207"/>
    <s v="IHS_FBN_046"/>
    <s v="OST_207"/>
    <x v="0"/>
    <s v="Ndoumken"/>
    <x v="0"/>
    <s v="Outdoor"/>
    <s v="Foumbot"/>
    <s v="Noun"/>
    <s v="Kouoptamo"/>
    <x v="0"/>
    <n v="5.6579899999999999"/>
    <n v="10.562290000000001"/>
    <x v="0"/>
  </r>
  <r>
    <n v="6"/>
    <s v="OST_201"/>
    <s v="IHS_FBN_053"/>
    <s v="OST_201"/>
    <x v="0"/>
    <s v="Mantoum Ville"/>
    <x v="0"/>
    <s v="Outdoor"/>
    <s v="Foumban"/>
    <s v="Noun"/>
    <s v="Malantouen"/>
    <x v="0"/>
    <n v="5.6561120000000003"/>
    <n v="11.172957"/>
    <x v="0"/>
  </r>
  <r>
    <n v="7"/>
    <s v="T1640"/>
    <s v="IHS_FBN_028"/>
    <s v="T1640"/>
    <x v="0"/>
    <s v="Koupa Matapit"/>
    <x v="0"/>
    <s v="Outdoor"/>
    <s v="Foumbot"/>
    <s v="Noun"/>
    <s v="Foumban"/>
    <x v="0"/>
    <n v="5.7724440000000001"/>
    <n v="10.791805999999999"/>
    <x v="0"/>
  </r>
  <r>
    <n v="8"/>
    <s v="T2028"/>
    <s v="IHS_MBD_014"/>
    <s v="T2028"/>
    <x v="0"/>
    <s v="GALIM EEC"/>
    <x v="1"/>
    <s v="Outdoor"/>
    <s v="Bafoussam1"/>
    <s v="BAMBOUTOUS"/>
    <s v="Galim"/>
    <x v="0"/>
    <n v="5.6820279999999999"/>
    <n v="10.366139"/>
    <x v="0"/>
  </r>
  <r>
    <n v="9"/>
    <s v="OST_178"/>
    <s v="IHS_FBN_030"/>
    <s v="OST_178"/>
    <x v="0"/>
    <s v="Founban Njintout II"/>
    <x v="0"/>
    <s v="Outdoor"/>
    <s v="Foumban"/>
    <s v="Noun"/>
    <s v="Foumban"/>
    <x v="0"/>
    <n v="5.7379499999999997"/>
    <n v="10.884069999999999"/>
    <x v="0"/>
  </r>
  <r>
    <n v="10"/>
    <s v="OST_136"/>
    <s v="IHS_FBN_101"/>
    <s v="OST_136"/>
    <x v="0"/>
    <s v="Foumbot-Mangoum"/>
    <x v="0"/>
    <s v="Outdoor"/>
    <s v="Foumbot"/>
    <s v="Noun"/>
    <s v="Foumbot"/>
    <x v="0"/>
    <n v="5.4878109999999998"/>
    <n v="10.603085999999999"/>
    <x v="0"/>
  </r>
  <r>
    <n v="11"/>
    <s v="OST_215"/>
    <s v="IHS_MBD_019"/>
    <s v="OST_215"/>
    <x v="0"/>
    <s v="Bati"/>
    <x v="1"/>
    <s v="Outdoor"/>
    <s v="Bafoussam1"/>
    <s v="BAMBOUTOUS"/>
    <s v="Galim"/>
    <x v="0"/>
    <n v="5.6677970000000002"/>
    <n v="10.447418000000001"/>
    <x v="0"/>
  </r>
  <r>
    <n v="12"/>
    <s v="T1478"/>
    <s v="IHS_BAF_063"/>
    <s v="T1478"/>
    <x v="0"/>
    <s v="BANTOUM Lycee"/>
    <x v="0"/>
    <s v="Outdoor"/>
    <s v="Bangangte"/>
    <s v="Nde"/>
    <s v="Bangangte"/>
    <x v="0"/>
    <n v="5.0937549999999998"/>
    <n v="10.663701"/>
    <x v="0"/>
  </r>
  <r>
    <n v="13"/>
    <s v="NRO_050"/>
    <s v="IHS_BMD_310"/>
    <s v="NRO_050"/>
    <x v="0"/>
    <s v="BANGOLAN"/>
    <x v="1"/>
    <s v="Outdoor"/>
    <s v="Foumbot"/>
    <s v="NGO-KETUNJIA"/>
    <s v="Bangourain"/>
    <x v="0"/>
    <n v="5.5936620000000001"/>
    <n v="10.61917"/>
    <x v="0"/>
  </r>
  <r>
    <n v="14"/>
    <s v="T1580"/>
    <s v="IHS_FBN_027"/>
    <s v="T1580"/>
    <x v="0"/>
    <s v="BANGANG FOKAM"/>
    <x v="0"/>
    <s v="Outdoor"/>
    <s v="Bafoussam 2"/>
    <s v="Ndé"/>
    <s v="Bangangte"/>
    <x v="0"/>
    <n v="5.2492080000000003"/>
    <n v="10.511272999999999"/>
    <x v="0"/>
  </r>
  <r>
    <n v="15"/>
    <s v="T1589"/>
    <s v="IHS_FBN_026"/>
    <s v="T1589"/>
    <x v="0"/>
    <s v="BANGAMBI "/>
    <x v="0"/>
    <s v="Outdoor"/>
    <s v="Foumbot"/>
    <s v="Noun"/>
    <s v="Bangourain"/>
    <x v="0"/>
    <n v="5.8265830000000003"/>
    <n v="10.732278000000001"/>
    <x v="0"/>
  </r>
  <r>
    <n v="16"/>
    <s v="OST_193"/>
    <s v="IHS_BAF_314"/>
    <s v="OST_193"/>
    <x v="0"/>
    <s v="Banefo Baleng "/>
    <x v="0"/>
    <s v="Outdoor"/>
    <s v="Bafoussam 3"/>
    <s v="MIFI"/>
    <s v="BAFOUSSAM"/>
    <x v="0"/>
    <n v="5.5803700000000003"/>
    <n v="10.407389999999999"/>
    <x v="0"/>
  </r>
  <r>
    <n v="17"/>
    <s v="OST_155"/>
    <s v="IHS_MBD_018"/>
    <s v="OST_155"/>
    <x v="0"/>
    <s v="BAMENKOMBO"/>
    <x v="0"/>
    <s v="Outdoor"/>
    <s v="Bafoussam1"/>
    <s v="MENOUA"/>
    <s v="MBOUDA"/>
    <x v="0"/>
    <n v="5.6002660000000004"/>
    <n v="10.325967"/>
    <x v="0"/>
  </r>
  <r>
    <n v="18"/>
    <s v="OST_030"/>
    <s v="IHS_MBD_016"/>
    <s v="OST_030"/>
    <x v="0"/>
    <s v="Bamendjing"/>
    <x v="1"/>
    <s v="Outdoor"/>
    <s v="Bafoussam1"/>
    <s v="BAMBOUTOUS"/>
    <s v="Galim"/>
    <x v="0"/>
    <n v="5.7008999999999999"/>
    <n v="10.492000000000001"/>
    <x v="0"/>
  </r>
  <r>
    <n v="19"/>
    <s v="T1498"/>
    <s v="IHS_BAF_042"/>
    <s v="T1498"/>
    <x v="0"/>
    <s v="BAMEKA"/>
    <x v="0"/>
    <s v="Outdoor"/>
    <s v="Bafoussam 2"/>
    <s v="Hauts-plateaux"/>
    <s v="Baham"/>
    <x v="0"/>
    <n v="5.4162239999999997"/>
    <n v="10.355382000000001"/>
    <x v="0"/>
  </r>
  <r>
    <n v="20"/>
    <s v="T2026"/>
    <s v="IHS_BAF_102"/>
    <s v="T2026"/>
    <x v="0"/>
    <s v="BALOUM"/>
    <x v="0"/>
    <s v="Outdoor"/>
    <s v="Bafoussam1"/>
    <s v="MIFI"/>
    <s v="PENKA MICHEL"/>
    <x v="0"/>
    <n v="5.4082530000000002"/>
    <n v="10.264578"/>
    <x v="0"/>
  </r>
  <r>
    <n v="21"/>
    <s v="T1469"/>
    <s v="IHS_BAF_066"/>
    <s v="T1469"/>
    <x v="0"/>
    <s v="BAKONG"/>
    <x v="0"/>
    <s v="Outdoor"/>
    <s v="Bangangte"/>
    <s v="Nde"/>
    <s v="Bazou"/>
    <x v="0"/>
    <n v="5.0852500000000003"/>
    <n v="10.488861"/>
    <x v="0"/>
  </r>
  <r>
    <n v="22"/>
    <s v="T1483"/>
    <s v="IHS_BAF_047"/>
    <s v="T1483"/>
    <x v="0"/>
    <s v="Bahouan"/>
    <x v="0"/>
    <s v="Outdoor"/>
    <s v="Bafoussam 2"/>
    <s v="Hauts-plateaux"/>
    <s v="Baham"/>
    <x v="0"/>
    <n v="5.3518829999999999"/>
    <n v="10.340982"/>
    <x v="0"/>
  </r>
  <r>
    <n v="23"/>
    <s v="OST_220"/>
    <s v="IHS_FBN_056"/>
    <s v="OST_220"/>
    <x v="0"/>
    <s v="Ngambouo"/>
    <x v="0"/>
    <s v="Outdoor"/>
    <s v="Foumbot"/>
    <s v="Noun"/>
    <s v="Kouoptamo"/>
    <x v="0"/>
    <n v="5.6598800000000002"/>
    <n v="10.51872"/>
    <x v="0"/>
  </r>
  <r>
    <n v="24"/>
    <s v="OST_189"/>
    <s v="IHS_FBN_044"/>
    <s v="OST_189"/>
    <x v="0"/>
    <s v="Mfessang"/>
    <x v="0"/>
    <s v="Outdoor"/>
    <s v="Foumbot"/>
    <s v="Noun"/>
    <s v="Foumbot"/>
    <x v="0"/>
    <n v="5.3856599999999997"/>
    <n v="10.65691"/>
    <x v="0"/>
  </r>
  <r>
    <n v="25"/>
    <s v="OST_200"/>
    <s v="IHS_FBN_041"/>
    <s v="OST_200"/>
    <x v="0"/>
    <s v="MantoumVillage "/>
    <x v="0"/>
    <s v="Outdoor"/>
    <s v="Foumban"/>
    <s v="Noun"/>
    <s v="Malantouen"/>
    <x v="0"/>
    <n v="5.6471260000000001"/>
    <n v="11.152048000000001"/>
    <x v="0"/>
  </r>
  <r>
    <n v="26"/>
    <s v="OST_176"/>
    <s v="IHS_FBN_031"/>
    <s v="OST_176"/>
    <x v="0"/>
    <s v="Foumban Njintout"/>
    <x v="0"/>
    <s v="Outdoor"/>
    <s v="Foumban"/>
    <s v="Noun"/>
    <s v="Foumban"/>
    <x v="0"/>
    <n v="5.7330500000000004"/>
    <n v="10.87373"/>
    <x v="0"/>
  </r>
  <r>
    <n v="27"/>
    <s v="OST_177"/>
    <s v="IHS_FBN_032"/>
    <s v="OST_177"/>
    <x v="0"/>
    <s v="Fouban Njibam"/>
    <x v="0"/>
    <s v="Outdoor"/>
    <s v="Foumban"/>
    <s v="Noun"/>
    <s v="Foumban"/>
    <x v="0"/>
    <n v="5.71516"/>
    <n v="10.905749999999999"/>
    <x v="0"/>
  </r>
  <r>
    <n v="28"/>
    <s v="T1811"/>
    <s v="IHS_BAF_134"/>
    <s v="T1811"/>
    <x v="0"/>
    <s v="Bafoussam Akwa "/>
    <x v="0"/>
    <s v="Outdoor"/>
    <s v="Bafoussam 2"/>
    <s v="MIFI"/>
    <s v="BAFOUSSAM"/>
    <x v="0"/>
    <n v="5.4766510000000004"/>
    <n v="10.420191000000001"/>
    <x v="0"/>
  </r>
  <r>
    <n v="29"/>
    <s v="T0148"/>
    <s v="IHS_YND_469"/>
    <s v="T0148"/>
    <x v="0"/>
    <s v="Ndokohok"/>
    <x v="0"/>
    <s v="Indoor"/>
    <s v="Bangangte"/>
    <s v="Mbam et inoubou"/>
    <s v="Ndikinimeki"/>
    <x v="0"/>
    <n v="4.869122"/>
    <n v="10.817335"/>
    <x v="0"/>
  </r>
  <r>
    <n v="30"/>
    <s v="OST_026"/>
    <s v="IHS_MBD_015"/>
    <s v="OST_026"/>
    <x v="0"/>
    <s v="Galim"/>
    <x v="1"/>
    <s v="Outdoor"/>
    <s v="Bafoussam1"/>
    <s v="BAMBOUTOUS"/>
    <s v="Galim"/>
    <x v="0"/>
    <n v="5.6951000000000001"/>
    <n v="10.36"/>
    <x v="0"/>
  </r>
  <r>
    <n v="31"/>
    <s v="T0303"/>
    <s v="IHS_FBN_014"/>
    <s v="T0303"/>
    <x v="0"/>
    <s v="Magba"/>
    <x v="0"/>
    <s v="Indoor"/>
    <s v="Foumban"/>
    <s v="Noun"/>
    <s v="Magba"/>
    <x v="0"/>
    <n v="5.9757300000000004"/>
    <n v="11.20989"/>
    <x v="0"/>
  </r>
  <r>
    <n v="32"/>
    <s v="OST_058"/>
    <s v="IHS_FBN_023"/>
    <s v="OST_058"/>
    <x v="0"/>
    <s v="Kouoptamo"/>
    <x v="1"/>
    <s v="Outdoor"/>
    <s v="Foumbot"/>
    <s v="Noun"/>
    <s v="Kouoptamo"/>
    <x v="0"/>
    <n v="5.6478890000000002"/>
    <n v="10.614667000000001"/>
    <x v="0"/>
  </r>
  <r>
    <n v="33"/>
    <s v="T0480"/>
    <s v="IHS_MBD_003"/>
    <s v="T0480"/>
    <x v="0"/>
    <s v="Mbouda Town"/>
    <x v="0"/>
    <s v="Outdoor"/>
    <s v="Bafoussam1"/>
    <s v="MENOUA"/>
    <s v="MBOUDA"/>
    <x v="0"/>
    <n v="5.6224930000000004"/>
    <n v="10.265157"/>
    <x v="1"/>
  </r>
  <r>
    <n v="34"/>
    <s v="T0358"/>
    <s v="IHS_FBN_019"/>
    <s v="T0358"/>
    <x v="0"/>
    <s v="Fosset"/>
    <x v="0"/>
    <s v="Indoor"/>
    <s v="Foumbot"/>
    <s v="Noun"/>
    <s v="Foumbot"/>
    <x v="0"/>
    <n v="5.5187299999999997"/>
    <n v="10.6676"/>
    <x v="0"/>
  </r>
  <r>
    <n v="35"/>
    <s v="T1302"/>
    <s v="IHS_YND_472"/>
    <s v="T1302"/>
    <x v="0"/>
    <s v="Nitoukou"/>
    <x v="0"/>
    <s v="Outdoor"/>
    <s v="Bangangte"/>
    <s v="Mbam et inoubou"/>
    <s v="Nitoukou"/>
    <x v="0"/>
    <n v="4.6276549999999999"/>
    <n v="10.875508"/>
    <x v="0"/>
  </r>
  <r>
    <n v="36"/>
    <s v="OST_195"/>
    <s v="IHS_FBN_052"/>
    <s v="OST_195"/>
    <x v="0"/>
    <s v="Fochieya"/>
    <x v="0"/>
    <s v="Outdoor"/>
    <s v="Foumbot"/>
    <s v="Noun"/>
    <s v="Foumbot"/>
    <x v="0"/>
    <n v="5.5173800000000002"/>
    <n v="10.596310000000001"/>
    <x v="0"/>
  </r>
  <r>
    <n v="37"/>
    <s v="OST_087"/>
    <s v="IHS_FBN_007"/>
    <s v="OST_087"/>
    <x v="0"/>
    <s v="Foumban-Ndjidare"/>
    <x v="0"/>
    <s v="Outdoor"/>
    <s v="Foumban"/>
    <s v="Noun"/>
    <s v="Foumban"/>
    <x v="0"/>
    <n v="5.7282859999999998"/>
    <n v="10.915293999999999"/>
    <x v="0"/>
  </r>
  <r>
    <n v="38"/>
    <s v="T1500"/>
    <s v="IHS_FBN_006"/>
    <s v="T1500"/>
    <x v="0"/>
    <s v="FOUMBAN MANKA"/>
    <x v="0"/>
    <s v="Outdoor"/>
    <s v="Foumban"/>
    <s v="Noun"/>
    <s v="Foumban"/>
    <x v="0"/>
    <n v="5.7350560000000002"/>
    <n v="10.912417"/>
    <x v="0"/>
  </r>
  <r>
    <n v="39"/>
    <s v="OST_090"/>
    <s v="IHS_FBN_018"/>
    <s v="OST_090"/>
    <x v="0"/>
    <s v="Bangourain"/>
    <x v="1"/>
    <s v="Outdoor"/>
    <s v="Foumbot"/>
    <s v="Noun"/>
    <s v="Bangourain"/>
    <x v="0"/>
    <n v="5.875667"/>
    <n v="10.673916999999999"/>
    <x v="0"/>
  </r>
  <r>
    <n v="40"/>
    <s v="T1586"/>
    <s v="IHS_BAF_311"/>
    <s v="T1586"/>
    <x v="0"/>
    <s v="BANGAM"/>
    <x v="0"/>
    <s v="Outdoor"/>
    <s v="Bafoussam 2"/>
    <s v="Hauts-plateaux"/>
    <s v="BATIE"/>
    <x v="0"/>
    <n v="5.3424870000000002"/>
    <n v="10.259969"/>
    <x v="0"/>
  </r>
  <r>
    <n v="41"/>
    <s v="T1447"/>
    <s v="IHS_BAF_033"/>
    <s v="T1447"/>
    <x v="0"/>
    <s v="Bamoungoum"/>
    <x v="0"/>
    <s v="Outdoor"/>
    <s v="Bafoussam1"/>
    <s v="MIFI"/>
    <s v="BAMOUNGOUM"/>
    <x v="0"/>
    <n v="5.490532"/>
    <n v="10.355143"/>
    <x v="0"/>
  </r>
  <r>
    <n v="42"/>
    <s v="T0359"/>
    <s v="IHS_MBD_013"/>
    <s v="T0359"/>
    <x v="0"/>
    <s v="Bamendjing"/>
    <x v="1"/>
    <s v="Indoor"/>
    <s v="Bafoussam1"/>
    <s v="BAMBOUTOUS"/>
    <s v="Galim"/>
    <x v="0"/>
    <n v="5.7136399999999998"/>
    <n v="10.446389"/>
    <x v="0"/>
  </r>
  <r>
    <n v="43"/>
    <s v="OST_012"/>
    <s v="IHS_BAF_053"/>
    <s v="OST_012"/>
    <x v="0"/>
    <s v="Bangangte"/>
    <x v="0"/>
    <s v="Indoor"/>
    <s v="Bangangte"/>
    <s v="Nde"/>
    <s v="Bangangte"/>
    <x v="0"/>
    <n v="5.163691"/>
    <n v="10.504013"/>
    <x v="0"/>
  </r>
  <r>
    <n v="44"/>
    <s v="OST_007"/>
    <s v="IHS_BAF_069"/>
    <s v="OST_007"/>
    <x v="0"/>
    <s v="Bana"/>
    <x v="0"/>
    <s v="Indoor"/>
    <s v="Bafang"/>
    <s v="HAUT-NKAM"/>
    <s v="BANA"/>
    <x v="0"/>
    <n v="5.1589159999999996"/>
    <n v="10.322728"/>
    <x v="0"/>
  </r>
  <r>
    <n v="45"/>
    <s v="OST_024"/>
    <s v="IHS_BAF_028"/>
    <s v="OST_024"/>
    <x v="0"/>
    <s v="bfsam-Bamendzi"/>
    <x v="0"/>
    <s v="Indoor"/>
    <s v="Bafoussam 3"/>
    <s v="MIFI"/>
    <s v="BAFOUSSAM"/>
    <x v="0"/>
    <n v="5.4731430000000003"/>
    <n v="10.452776"/>
    <x v="0"/>
  </r>
  <r>
    <n v="46"/>
    <s v="OST_046"/>
    <s v="IHS_BAF_029"/>
    <s v="OST_046"/>
    <x v="0"/>
    <s v="bfsam-Bamengoum"/>
    <x v="0"/>
    <s v="Outdoor"/>
    <s v="Bafoussam 3"/>
    <s v="MIFI"/>
    <s v="BAFOUSSAM"/>
    <x v="0"/>
    <n v="5.5042479999999996"/>
    <n v="10.380330000000001"/>
    <x v="0"/>
  </r>
  <r>
    <n v="47"/>
    <s v="T0072"/>
    <s v="IHS_MBD_004"/>
    <s v="T0072"/>
    <x v="0"/>
    <s v="Mbouda"/>
    <x v="0"/>
    <s v="Indoor"/>
    <s v="Bafoussam1"/>
    <s v="BAMBOUTOUS"/>
    <s v="MBOUDA"/>
    <x v="0"/>
    <n v="5.6250600000000004"/>
    <n v="10.2462"/>
    <x v="0"/>
  </r>
  <r>
    <n v="48"/>
    <s v="T0012"/>
    <s v="IHS_BAF_068"/>
    <s v="T0012"/>
    <x v="0"/>
    <s v="Bana Camtel"/>
    <x v="0"/>
    <s v="Indoor"/>
    <s v="Bafang"/>
    <s v="HAUT-NKAM"/>
    <s v="BANA"/>
    <x v="0"/>
    <n v="5.1573099999999998"/>
    <n v="10.322419999999999"/>
    <x v="0"/>
  </r>
  <r>
    <n v="49"/>
    <s v="T0778"/>
    <s v="IHS_BAF_012"/>
    <s v="T0778"/>
    <x v="0"/>
    <s v="Didango Building"/>
    <x v="0"/>
    <s v="Outdoor"/>
    <s v="Bafoussam 3"/>
    <s v="MIFI"/>
    <s v="BAFOUSSAM"/>
    <x v="0"/>
    <n v="5.4833100000000004"/>
    <n v="10.44096"/>
    <x v="1"/>
  </r>
  <r>
    <n v="50"/>
    <s v="T0306"/>
    <s v="IHS_BAF_049"/>
    <s v="T0306"/>
    <x v="0"/>
    <s v="Bayangam"/>
    <x v="0"/>
    <s v="Indoor"/>
    <s v="Bangangte"/>
    <s v="Nde"/>
    <s v="Bangangte"/>
    <x v="0"/>
    <n v="5.2684249999999997"/>
    <n v="10.444512"/>
    <x v="0"/>
  </r>
  <r>
    <n v="51"/>
    <s v="T0361"/>
    <s v="IHS_BAF_041"/>
    <s v="T0361"/>
    <x v="0"/>
    <s v="Balessing"/>
    <x v="0"/>
    <s v="Indoor"/>
    <s v="Bafoussam1"/>
    <s v="MENOUA"/>
    <s v="Dschang"/>
    <x v="0"/>
    <n v="5.5029919999999999"/>
    <n v="10.249048999999999"/>
    <x v="0"/>
  </r>
  <r>
    <n v="52"/>
    <s v="OST_175"/>
    <s v="IHS_FBN_029"/>
    <s v="OST_175"/>
    <x v="0"/>
    <s v="Foumban Ndjidare II"/>
    <x v="0"/>
    <s v="Outdoor"/>
    <s v="Foumban"/>
    <s v="Noun"/>
    <s v="Foumban"/>
    <x v="0"/>
    <n v="5.7333800000000004"/>
    <n v="10.920590000000001"/>
    <x v="1"/>
  </r>
  <r>
    <n v="53"/>
    <s v="T0342"/>
    <s v="IHS_BAF_011"/>
    <s v="T0342"/>
    <x v="0"/>
    <s v="Bafoussam Water Tower"/>
    <x v="0"/>
    <s v="Indoor"/>
    <s v="Bafoussam 2"/>
    <s v="MIFI"/>
    <s v="BAFOUSSAM"/>
    <x v="0"/>
    <n v="5.484972"/>
    <n v="10.403772999999999"/>
    <x v="0"/>
  </r>
  <r>
    <n v="54"/>
    <s v="T0110"/>
    <s v="IHS_BAF_040"/>
    <s v="T0110"/>
    <x v="0"/>
    <s v="Ha"/>
    <x v="0"/>
    <s v="Indoor"/>
    <s v="Bafoussam 2"/>
    <s v="Koung-khi"/>
    <s v="Bandjoun"/>
    <x v="0"/>
    <n v="5.3862899999999998"/>
    <n v="10.4404"/>
    <x v="0"/>
  </r>
  <r>
    <n v="55"/>
    <s v="OST_082"/>
    <s v="IHS_FBN_003"/>
    <s v="OST_082"/>
    <x v="0"/>
    <s v="Foumban-Nkoungougnet"/>
    <x v="0"/>
    <s v="Outdoor"/>
    <s v="Foumban"/>
    <s v="Noun"/>
    <s v="Foumban"/>
    <x v="0"/>
    <n v="5.7239329999999997"/>
    <n v="10.906758"/>
    <x v="0"/>
  </r>
  <r>
    <n v="56"/>
    <s v="T1499"/>
    <s v="IHS_MBD_006"/>
    <s v="T1499"/>
    <x v="0"/>
    <s v="Mbouda Batang"/>
    <x v="0"/>
    <s v="Outdoor"/>
    <s v="Bafoussam1"/>
    <s v="BAMBOUTOUS"/>
    <s v="MBOUDA"/>
    <x v="0"/>
    <n v="5.6155309999999998"/>
    <n v="10.26225"/>
    <x v="0"/>
  </r>
  <r>
    <n v="57"/>
    <s v="OST_009"/>
    <s v="IHS_BAF_038"/>
    <s v="OST_009"/>
    <x v="0"/>
    <s v="Bandjoun"/>
    <x v="0"/>
    <s v="Indoor"/>
    <s v="Bafoussam 2"/>
    <s v="Koung-khi"/>
    <s v="Bandjoun"/>
    <x v="0"/>
    <n v="5.3553100000000002"/>
    <n v="10.431100000000001"/>
    <x v="0"/>
  </r>
  <r>
    <n v="58"/>
    <s v="OST_076"/>
    <s v="IHS_BAF_032"/>
    <s v="OST_076"/>
    <x v="0"/>
    <s v="bfsam-Njinkwo"/>
    <x v="0"/>
    <s v="Outdoor"/>
    <s v="Bafoussam 3"/>
    <s v="MIFI"/>
    <s v="BAFOUSSAM"/>
    <x v="0"/>
    <n v="5.5177360000000002"/>
    <n v="10.428868"/>
    <x v="0"/>
  </r>
  <r>
    <n v="59"/>
    <s v="T0308"/>
    <s v="IHS_YND_462"/>
    <s v="T0308"/>
    <x v="0"/>
    <s v="Kiboum"/>
    <x v="0"/>
    <s v="Indoor"/>
    <s v="Bafia"/>
    <s v="Mbam et inoubou"/>
    <s v="Kon-yambetta"/>
    <x v="0"/>
    <n v="4.8190799999999996"/>
    <n v="10.98244"/>
    <x v="0"/>
  </r>
  <r>
    <n v="60"/>
    <s v="OST_034"/>
    <s v="IHS_BAF_050"/>
    <s v="OST_034"/>
    <x v="0"/>
    <s v="Batie"/>
    <x v="0"/>
    <s v="Outdoor"/>
    <s v="Bafoussam 2"/>
    <s v="Hauts-plateaux"/>
    <s v="Baham"/>
    <x v="0"/>
    <n v="5.3110299999999997"/>
    <n v="10.327309"/>
    <x v="0"/>
  </r>
  <r>
    <n v="61"/>
    <s v="OST_052"/>
    <s v="IHS_BAF_058"/>
    <s v="OST_052"/>
    <x v="0"/>
    <s v="Banekane"/>
    <x v="0"/>
    <s v="Outdoor"/>
    <s v="Bangangte"/>
    <s v="Nde"/>
    <s v="Bangangte"/>
    <x v="0"/>
    <n v="5.1307520000000002"/>
    <n v="10.575295000000001"/>
    <x v="0"/>
  </r>
  <r>
    <n v="62"/>
    <s v="OST_101"/>
    <s v="IHS_FBN_004"/>
    <s v="OST_101"/>
    <x v="0"/>
    <s v="Foumban-Njinka"/>
    <x v="0"/>
    <s v="Outdoor"/>
    <s v="Foumban"/>
    <s v="Noun"/>
    <s v="Foumban"/>
    <x v="0"/>
    <n v="5.7383059999999997"/>
    <n v="10.895528000000001"/>
    <x v="0"/>
  </r>
  <r>
    <n v="63"/>
    <s v="OST_016"/>
    <s v="IHS_BAF_003"/>
    <s v="OST_016"/>
    <x v="0"/>
    <s v="bfsam-Djeleng"/>
    <x v="0"/>
    <s v="Indoor"/>
    <s v="Bafoussam 2"/>
    <s v="MIFI"/>
    <s v="BAFOUSSAM"/>
    <x v="0"/>
    <n v="5.4820900000000004"/>
    <n v="10.421125"/>
    <x v="0"/>
  </r>
  <r>
    <n v="64"/>
    <s v="OST_088"/>
    <s v="IHS_BAF_045"/>
    <s v="OST_088"/>
    <x v="0"/>
    <s v="Demdeng"/>
    <x v="0"/>
    <s v="Outdoor"/>
    <s v="Bafoussam 2"/>
    <s v="Koung-khi"/>
    <s v="Bandjoun"/>
    <x v="0"/>
    <n v="5.3199120000000004"/>
    <n v="10.450143000000001"/>
    <x v="0"/>
  </r>
  <r>
    <n v="65"/>
    <s v="T0162"/>
    <s v="IHS_BAF_004"/>
    <s v="T0162"/>
    <x v="0"/>
    <s v="Evangelic church Bafoussam"/>
    <x v="0"/>
    <s v="Indoor"/>
    <s v="Bafoussam 2"/>
    <s v="MIFI"/>
    <s v="BAFOUSSAM"/>
    <x v="0"/>
    <n v="5.4818619999999996"/>
    <n v="10.423318"/>
    <x v="0"/>
  </r>
  <r>
    <n v="66"/>
    <s v="T0171"/>
    <s v="IHS_BAF_043"/>
    <s v="T0171"/>
    <x v="0"/>
    <s v="Bamendjou"/>
    <x v="0"/>
    <s v="Indoor"/>
    <s v="Bafoussam 2"/>
    <s v="Hauts-plateaux"/>
    <s v="Baham"/>
    <x v="0"/>
    <n v="5.3863200000000004"/>
    <n v="10.3292"/>
    <x v="0"/>
  </r>
  <r>
    <n v="67"/>
    <s v="OST_004"/>
    <s v="IHS_FBN_001"/>
    <s v="OST_004"/>
    <x v="0"/>
    <s v="Foumban"/>
    <x v="0"/>
    <s v="Outdoor"/>
    <s v="Foumban"/>
    <s v="Noun"/>
    <s v="Foumban"/>
    <x v="0"/>
    <n v="5.7293329999999996"/>
    <n v="10.890806"/>
    <x v="0"/>
  </r>
  <r>
    <n v="68"/>
    <s v="OST_125"/>
    <s v="IHS_FBN_021"/>
    <s v="OST_125"/>
    <x v="0"/>
    <s v="Foumbot-Centre-Ville"/>
    <x v="0"/>
    <s v="Outdoor"/>
    <s v="Foumbot"/>
    <s v="Noun"/>
    <s v="Foumbot"/>
    <x v="0"/>
    <n v="5.5117500000000001"/>
    <n v="10.636028"/>
    <x v="0"/>
  </r>
  <r>
    <n v="69"/>
    <s v="T1170"/>
    <s v="IHS_BAF_030"/>
    <s v="T1170"/>
    <x v="0"/>
    <s v="Bafoussam leproserie"/>
    <x v="0"/>
    <s v="Outdoor"/>
    <s v="Bafoussam 3"/>
    <s v="MIFI"/>
    <s v="BAFOUSSAM"/>
    <x v="0"/>
    <n v="5.5103499999999999"/>
    <n v="10.390533"/>
    <x v="0"/>
  </r>
  <r>
    <n v="70"/>
    <s v="T0732"/>
    <s v="IHS_BAF_064"/>
    <s v="T0732"/>
    <x v="0"/>
    <s v="Bazou"/>
    <x v="0"/>
    <s v="Outdoor"/>
    <s v="Bangangte"/>
    <s v="Nde"/>
    <s v="Bangangte"/>
    <x v="0"/>
    <n v="5.1157899999999996"/>
    <n v="10.465159999999999"/>
    <x v="0"/>
  </r>
  <r>
    <n v="71"/>
    <s v="T0323"/>
    <s v="IHS_FBN_008"/>
    <s v="T0323"/>
    <x v="0"/>
    <s v="Foumban GBHS"/>
    <x v="0"/>
    <s v="Indoor"/>
    <s v="Foumban"/>
    <s v="Noun"/>
    <s v="Foumban"/>
    <x v="0"/>
    <n v="5.7245999999999997"/>
    <n v="10.872109999999999"/>
    <x v="0"/>
  </r>
  <r>
    <n v="72"/>
    <s v="T0637"/>
    <s v="IHS_BAF_035"/>
    <s v="T0637"/>
    <x v="0"/>
    <s v="Kamkop"/>
    <x v="0"/>
    <s v="Outdoor"/>
    <s v="Bafoussam 3"/>
    <s v="MIFI"/>
    <s v="BAFOUSSAM"/>
    <x v="0"/>
    <n v="5.5338539999999998"/>
    <n v="10.345637"/>
    <x v="0"/>
  </r>
  <r>
    <n v="73"/>
    <s v="T0147"/>
    <s v="IHS_YND_464"/>
    <s v="T0147"/>
    <x v="0"/>
    <s v="Ndikinimeki"/>
    <x v="0"/>
    <s v="Indoor"/>
    <s v="Bangangte"/>
    <s v="Mbam et inoubou"/>
    <s v="Ndikinimeki"/>
    <x v="0"/>
    <n v="4.7654209999999999"/>
    <n v="10.826571"/>
    <x v="0"/>
  </r>
  <r>
    <n v="74"/>
    <s v="OST_045"/>
    <s v="IHS_BAF_023"/>
    <s v="OST_045"/>
    <x v="0"/>
    <s v="Bfsam-Toket"/>
    <x v="0"/>
    <s v="Outdoor"/>
    <s v="Bafoussam 3"/>
    <s v="MIFI"/>
    <s v="BAFOUSSAM"/>
    <x v="0"/>
    <n v="5.4597220000000002"/>
    <n v="10.395277999999999"/>
    <x v="0"/>
  </r>
  <r>
    <n v="75"/>
    <s v="T1168"/>
    <s v="IHS_BAF_016"/>
    <s v="T1168"/>
    <x v="0"/>
    <s v="Bafoussam Tyo"/>
    <x v="0"/>
    <s v="Outdoor"/>
    <s v="Bafoussam 3"/>
    <s v="MIFI"/>
    <s v="BAFOUSSAM"/>
    <x v="0"/>
    <n v="5.4922769999999996"/>
    <n v="10.409361000000001"/>
    <x v="1"/>
  </r>
  <r>
    <n v="76"/>
    <s v="T1461"/>
    <s v="IHS_BAF_019"/>
    <s v="T1461"/>
    <x v="0"/>
    <s v="BAFOUSSAM GOUACHE"/>
    <x v="0"/>
    <s v="Outdoor"/>
    <s v="Bafoussam 3"/>
    <s v="MIFI"/>
    <s v="BAFOUSSAM"/>
    <x v="0"/>
    <n v="5.4819719999999998"/>
    <n v="10.391916999999999"/>
    <x v="0"/>
  </r>
  <r>
    <n v="77"/>
    <s v="T1166"/>
    <s v="IHS_BAF_026"/>
    <s v="T1166"/>
    <x v="0"/>
    <s v="BALENG"/>
    <x v="0"/>
    <s v="Outdoor"/>
    <s v="Bafoussam 3"/>
    <s v="MIFI"/>
    <s v="BAFOUSSAM"/>
    <x v="0"/>
    <n v="5.5032300000000003"/>
    <n v="10.40535"/>
    <x v="0"/>
  </r>
  <r>
    <n v="78"/>
    <s v="T1292"/>
    <s v="IHS_FBN_103"/>
    <s v="T1292"/>
    <x v="0"/>
    <s v="Malentouen"/>
    <x v="0"/>
    <s v="Outdoor"/>
    <s v="Foumban"/>
    <s v="Noun"/>
    <s v="Malentouen"/>
    <x v="0"/>
    <n v="5.7295199999999999"/>
    <n v="11.128360000000001"/>
    <x v="0"/>
  </r>
  <r>
    <n v="79"/>
    <s v="OST_053"/>
    <s v="IHS_BAF_072"/>
    <s v="OST_053"/>
    <x v="0"/>
    <s v="Tonga"/>
    <x v="0"/>
    <s v="Outdoor"/>
    <s v="Bangangte"/>
    <s v="Nde"/>
    <s v="Tonga"/>
    <x v="0"/>
    <n v="4.9700930000000003"/>
    <n v="10.699873"/>
    <x v="0"/>
  </r>
  <r>
    <n v="80"/>
    <s v="T0075"/>
    <s v="IHS_BAF_014"/>
    <s v="T0075"/>
    <x v="0"/>
    <s v="Procure Building"/>
    <x v="0"/>
    <s v="Indoor"/>
    <s v="Bafoussam 2"/>
    <s v="MIFI"/>
    <s v="BAFOUSSAM"/>
    <x v="0"/>
    <n v="5.4891500000000004"/>
    <n v="10.407220000000001"/>
    <x v="1"/>
  </r>
  <r>
    <n v="81"/>
    <s v="T1451"/>
    <s v="IHS_MBD_007"/>
    <s v="T1451"/>
    <x v="0"/>
    <s v="Bagam"/>
    <x v="0"/>
    <s v="Outdoor"/>
    <s v="Bafoussam1"/>
    <s v="BAMBOUTOUS"/>
    <s v="Galim"/>
    <x v="0"/>
    <n v="5.6782500000000002"/>
    <n v="10.288819999999999"/>
    <x v="0"/>
  </r>
  <r>
    <n v="82"/>
    <s v="T1275"/>
    <s v="IHS_BAF_060"/>
    <s v="T1275"/>
    <x v="0"/>
    <s v="Batchingou"/>
    <x v="0"/>
    <s v="Outdoor"/>
    <s v="Bangangte"/>
    <s v="Nde"/>
    <s v="Bangangte"/>
    <x v="0"/>
    <n v="5.160228"/>
    <n v="10.390895"/>
    <x v="0"/>
  </r>
  <r>
    <n v="83"/>
    <s v="OST_010"/>
    <s v="IHS_BAF_071"/>
    <s v="OST_010"/>
    <x v="0"/>
    <s v="Bantoum"/>
    <x v="0"/>
    <s v="Indoor"/>
    <s v="Bangangte"/>
    <s v="Nde"/>
    <s v="Bangangte"/>
    <x v="0"/>
    <n v="5.0574719999999997"/>
    <n v="10.701167"/>
    <x v="0"/>
  </r>
  <r>
    <n v="84"/>
    <s v="T1454"/>
    <s v="IHS_BAF_057"/>
    <s v="T1454"/>
    <x v="0"/>
    <s v="BANGANGTE LYCEE CLASSIQUE"/>
    <x v="0"/>
    <s v="Outdoor"/>
    <s v="Bangangte"/>
    <s v="Nde"/>
    <s v="Bangangte"/>
    <x v="0"/>
    <n v="5.1352000000000002"/>
    <n v="10.512040000000001"/>
    <x v="0"/>
  </r>
  <r>
    <n v="85"/>
    <s v="OST_077"/>
    <s v="IHS_BAF_015"/>
    <s v="OST_077"/>
    <x v="0"/>
    <s v="Bfsam-Tougang-EEC"/>
    <x v="0"/>
    <s v="Outdoor"/>
    <s v="Bafoussam 3"/>
    <s v="MIFI"/>
    <s v="BAFOUSSAM"/>
    <x v="0"/>
    <n v="5.4918670000000001"/>
    <n v="10.419509"/>
    <x v="0"/>
  </r>
  <r>
    <n v="86"/>
    <s v="OST_036"/>
    <s v="IHS_BFG_014"/>
    <s v="OST_036"/>
    <x v="0"/>
    <s v="Bana-Centre"/>
    <x v="0"/>
    <s v="Outdoor"/>
    <s v="Bafang"/>
    <s v="HAUT-NKAM"/>
    <s v="BANA"/>
    <x v="0"/>
    <n v="5.1474099999999998"/>
    <n v="10.27028"/>
    <x v="0"/>
  </r>
  <r>
    <n v="87"/>
    <s v="T1490"/>
    <s v="IHS_BAF_036"/>
    <s v="T1490"/>
    <x v="0"/>
    <s v="Bansoa"/>
    <x v="0"/>
    <s v="Outdoor"/>
    <s v="Bafoussam1"/>
    <s v="MENOUA"/>
    <s v="PENKA MICHEL"/>
    <x v="0"/>
    <n v="5.4775140000000002"/>
    <n v="10.315049999999999"/>
    <x v="0"/>
  </r>
  <r>
    <n v="88"/>
    <s v="OST_013"/>
    <s v="IHS_BAF_048"/>
    <s v="OST_013"/>
    <x v="0"/>
    <s v="Yenon"/>
    <x v="0"/>
    <s v="Indoor"/>
    <s v="Bangangte"/>
    <s v="Nde"/>
    <s v="Bangangte"/>
    <x v="0"/>
    <n v="5.2722369999999996"/>
    <n v="10.443108000000001"/>
    <x v="0"/>
  </r>
  <r>
    <n v="89"/>
    <s v="T2751"/>
    <s v="IHS_BFG_172"/>
    <s v="T2751"/>
    <x v="0"/>
    <s v="KOUPA NKAGNAM        "/>
    <x v="0"/>
    <s v="Outdoor"/>
    <s v="Foumbot"/>
    <s v="Noun"/>
    <s v="Koutaba"/>
    <x v="0"/>
    <n v="5.7332780000000003"/>
    <n v="10.762"/>
    <x v="0"/>
  </r>
  <r>
    <n v="90"/>
    <s v="T0241"/>
    <s v="IHS_YND_446"/>
    <s v="T0241"/>
    <x v="0"/>
    <s v="Kalong"/>
    <x v="0"/>
    <s v="Indoor"/>
    <s v="Bafia"/>
    <s v="Mbam et inoubou"/>
    <s v="Kon-yambetta"/>
    <x v="0"/>
    <n v="4.8547700000000003"/>
    <n v="11.12049"/>
    <x v="0"/>
  </r>
  <r>
    <n v="91"/>
    <s v="T0833"/>
    <s v="IHS_YND_470"/>
    <s v="T0833"/>
    <x v="0"/>
    <s v="Nyokon"/>
    <x v="0"/>
    <s v="Outdoor"/>
    <s v="Bangangte"/>
    <s v="Mbam et inoubou"/>
    <s v="Makenene"/>
    <x v="0"/>
    <n v="4.9192970000000003"/>
    <n v="10.777011"/>
    <x v="0"/>
  </r>
  <r>
    <n v="92"/>
    <s v="OST_037"/>
    <s v="IHS_BAF_070"/>
    <s v="OST_037"/>
    <x v="0"/>
    <s v="Bazou"/>
    <x v="0"/>
    <s v="Indoor"/>
    <s v="Bangangte"/>
    <s v="Nde"/>
    <s v="Bazou"/>
    <x v="0"/>
    <n v="5.0455920000000001"/>
    <n v="10.478456"/>
    <x v="0"/>
  </r>
  <r>
    <n v="93"/>
    <s v="OST_033"/>
    <s v="IHS_BAF_061"/>
    <s v="OST_033"/>
    <x v="0"/>
    <s v="Batchingou"/>
    <x v="0"/>
    <s v="Outdoor"/>
    <s v="Bangangte"/>
    <s v="Nde"/>
    <s v="Bangangte"/>
    <x v="0"/>
    <n v="5.1721180000000002"/>
    <n v="10.386182"/>
    <x v="0"/>
  </r>
  <r>
    <n v="94"/>
    <s v="T1068"/>
    <s v="IHS_MBD_009"/>
    <s v="T1068"/>
    <x v="0"/>
    <s v="Bafounda"/>
    <x v="0"/>
    <s v="Outdoor"/>
    <s v="Bafoussam1"/>
    <s v="BAMBOUTOUS"/>
    <s v="MBOUDA"/>
    <x v="0"/>
    <n v="5.5786619999999996"/>
    <n v="10.300921000000001"/>
    <x v="0"/>
  </r>
  <r>
    <n v="95"/>
    <s v="T0554"/>
    <s v="IHS_BAF_031"/>
    <s v="T0554"/>
    <x v="0"/>
    <s v="Bafoussam Tayim"/>
    <x v="0"/>
    <s v="Outdoor"/>
    <s v="Bafoussam 3"/>
    <s v="MIFI"/>
    <s v="BAFOUSSAM"/>
    <x v="0"/>
    <n v="5.4788329999999998"/>
    <n v="10.468697000000001"/>
    <x v="0"/>
  </r>
  <r>
    <n v="96"/>
    <s v="OST_064"/>
    <s v="IHS_BAF_021"/>
    <s v="OST_064"/>
    <x v="0"/>
    <s v="Bfsam-Tougang"/>
    <x v="0"/>
    <s v="Outdoor"/>
    <s v="Bafoussam 3"/>
    <s v="MIFI"/>
    <s v="BAFOUSSAM"/>
    <x v="0"/>
    <n v="5.4901739999999997"/>
    <n v="10.445361999999999"/>
    <x v="0"/>
  </r>
  <r>
    <n v="97"/>
    <s v="OST_006"/>
    <s v="IHS_FBN_012"/>
    <s v="OST_006"/>
    <x v="0"/>
    <s v="Nkoundja"/>
    <x v="0"/>
    <s v="Indoor"/>
    <s v="Foumbot"/>
    <s v="Noun"/>
    <s v="Koutaba"/>
    <x v="0"/>
    <n v="5.6377170000000003"/>
    <n v="10.74"/>
    <x v="0"/>
  </r>
  <r>
    <n v="98"/>
    <s v="OST_063"/>
    <s v="IHS_BAF_027"/>
    <s v="OST_063"/>
    <x v="0"/>
    <s v="Bfsam-Baleng"/>
    <x v="0"/>
    <s v="Outdoor"/>
    <s v="Bafoussam 3"/>
    <s v="MIFI"/>
    <s v="BAFOUSSAM"/>
    <x v="0"/>
    <n v="5.507511"/>
    <n v="10.401437"/>
    <x v="0"/>
  </r>
  <r>
    <n v="99"/>
    <s v="OST_065"/>
    <s v="IHS_BAF_006"/>
    <s v="OST_065"/>
    <x v="0"/>
    <s v="bfsam-Kouogouo"/>
    <x v="0"/>
    <s v="Outdoor"/>
    <s v="Bafoussam 2"/>
    <s v="MIFI"/>
    <s v="BAFOUSSAM"/>
    <x v="0"/>
    <n v="5.4772150000000002"/>
    <n v="10.405362999999999"/>
    <x v="0"/>
  </r>
  <r>
    <n v="100"/>
    <s v="OST_051"/>
    <s v="IHS_BAF_046"/>
    <s v="OST_051"/>
    <x v="0"/>
    <s v="Bayangam"/>
    <x v="0"/>
    <s v="Outdoor"/>
    <s v="Bafoussam 2"/>
    <s v="Ndé"/>
    <s v="Bangangte"/>
    <x v="0"/>
    <n v="5.3122999999999996"/>
    <n v="10.4421"/>
    <x v="0"/>
  </r>
  <r>
    <n v="101"/>
    <s v="OST_067"/>
    <s v="IHS_BAF_039"/>
    <s v="OST_067"/>
    <x v="0"/>
    <s v="Bandjoun-Soung"/>
    <x v="0"/>
    <s v="Outdoor"/>
    <s v="Bafoussam 2"/>
    <s v="Koung-khi"/>
    <s v="Bandjoun"/>
    <x v="0"/>
    <n v="5.3665010000000004"/>
    <n v="10.410213000000001"/>
    <x v="0"/>
  </r>
  <r>
    <n v="102"/>
    <s v="T1276"/>
    <s v="IHS_BAF_067"/>
    <s v="T1276"/>
    <x v="0"/>
    <s v="Bassamba"/>
    <x v="0"/>
    <s v="Outdoor"/>
    <s v="Bangangte"/>
    <s v="Nde"/>
    <s v="Bassamba"/>
    <x v="0"/>
    <n v="5.0519689999999997"/>
    <n v="10.572457"/>
    <x v="0"/>
  </r>
  <r>
    <n v="103"/>
    <s v="T1036"/>
    <s v="IHS_BAF_052"/>
    <s v="T1036"/>
    <x v="0"/>
    <s v="Bangoua"/>
    <x v="0"/>
    <s v="Outdoor"/>
    <s v="Bangangte"/>
    <s v="Nde"/>
    <s v="Bangangte"/>
    <x v="0"/>
    <n v="5.2134830000000001"/>
    <n v="10.455859999999999"/>
    <x v="0"/>
  </r>
  <r>
    <n v="104"/>
    <s v="OST_100"/>
    <s v="IHS_BAF_010"/>
    <s v="OST_100"/>
    <x v="0"/>
    <s v="Bfsam-Q-Haoussa"/>
    <x v="0"/>
    <s v="Outdoor"/>
    <s v="Bafoussam 3"/>
    <s v="MIFI"/>
    <s v="BAFOUSSAM"/>
    <x v="0"/>
    <n v="5.4834370000000003"/>
    <n v="10.434514"/>
    <x v="0"/>
  </r>
  <r>
    <n v="105"/>
    <s v="T0831"/>
    <s v="IHS_BAF_051"/>
    <s v="T0831"/>
    <x v="0"/>
    <s v="Batie"/>
    <x v="0"/>
    <s v="Outdoor"/>
    <s v="Bafoussam 2"/>
    <s v="Hauts-plateaux"/>
    <s v="Baham"/>
    <x v="0"/>
    <n v="5.3072239999999997"/>
    <n v="10.290284"/>
    <x v="0"/>
  </r>
  <r>
    <n v="106"/>
    <s v="OST_066"/>
    <s v="IHS_BAF_009"/>
    <s v="OST_066"/>
    <x v="0"/>
    <s v="Bfsam-Eveche-Carrefour"/>
    <x v="0"/>
    <s v="Outdoor"/>
    <s v="Bafoussam 2"/>
    <s v="MIFI"/>
    <s v="BAFOUSSAM"/>
    <x v="0"/>
    <n v="5.4721970000000004"/>
    <n v="10.433311"/>
    <x v="0"/>
  </r>
  <r>
    <n v="107"/>
    <s v="T1446"/>
    <s v="IHS_BAF_025"/>
    <s v="T1446"/>
    <x v="0"/>
    <s v="BAFOUSSAM MARIE RURALE"/>
    <x v="0"/>
    <s v="Outdoor"/>
    <s v="Bafoussam 3"/>
    <s v="MIFI"/>
    <s v="BAFOUSSAM"/>
    <x v="0"/>
    <n v="5.4978999999999996"/>
    <n v="10.38805"/>
    <x v="0"/>
  </r>
  <r>
    <n v="108"/>
    <s v="OST_028"/>
    <s v="IHS_FBN_005"/>
    <s v="OST_028"/>
    <x v="0"/>
    <s v="Foumban-Kounga"/>
    <x v="0"/>
    <s v="Indoor"/>
    <s v="Foumban"/>
    <s v="Noun"/>
    <s v="Foumban"/>
    <x v="0"/>
    <n v="5.7304719999999998"/>
    <n v="10.880833000000001"/>
    <x v="0"/>
  </r>
  <r>
    <n v="109"/>
    <s v="OST_075"/>
    <s v="IHS_BAF_034"/>
    <s v="OST_075"/>
    <x v="0"/>
    <s v="bfsam-Ndjinga"/>
    <x v="0"/>
    <s v="Outdoor"/>
    <s v="Bafoussam 3"/>
    <s v="MIFI"/>
    <s v="BAFOUSSAM"/>
    <x v="0"/>
    <n v="5.4814119999999997"/>
    <n v="10.488811999999999"/>
    <x v="0"/>
  </r>
  <r>
    <n v="110"/>
    <s v="T0163"/>
    <s v="IHS_FBN_011"/>
    <s v="T0163"/>
    <x v="0"/>
    <s v="Koutaba"/>
    <x v="0"/>
    <s v="Indoor"/>
    <s v="Foumbot"/>
    <s v="Noun"/>
    <s v="Koutaba"/>
    <x v="0"/>
    <n v="5.64154"/>
    <n v="10.74681"/>
    <x v="0"/>
  </r>
  <r>
    <n v="111"/>
    <s v="OST_035"/>
    <s v="IHS_BAF_044"/>
    <s v="OST_035"/>
    <x v="0"/>
    <s v="Baham"/>
    <x v="0"/>
    <s v="Indoor"/>
    <s v="Bafoussam 2"/>
    <s v="Hauts-plateaux"/>
    <s v="Baham"/>
    <x v="0"/>
    <n v="5.3318139999999996"/>
    <n v="10.367323000000001"/>
    <x v="0"/>
  </r>
  <r>
    <n v="112"/>
    <s v="T0307"/>
    <s v="IHS_BAF_062"/>
    <s v="T0307"/>
    <x v="0"/>
    <s v="Bantoum"/>
    <x v="0"/>
    <s v="Indoor"/>
    <s v="Bangangte"/>
    <s v="Nde"/>
    <s v="Bangangte"/>
    <x v="0"/>
    <n v="5.0406519999999997"/>
    <n v="10.703117000000001"/>
    <x v="0"/>
  </r>
  <r>
    <n v="113"/>
    <s v="T0381"/>
    <s v="IHS_BAF_037"/>
    <s v="T0381"/>
    <x v="0"/>
    <s v="Bandjoun"/>
    <x v="0"/>
    <s v="Outdoor"/>
    <s v="Bafoussam 2"/>
    <s v="Koung-khi"/>
    <s v="Bandjoun"/>
    <x v="0"/>
    <n v="5.3795299999999999"/>
    <n v="10.413830000000001"/>
    <x v="0"/>
  </r>
  <r>
    <n v="114"/>
    <s v="T0106"/>
    <s v="IHS_BAF_056"/>
    <s v="T0106"/>
    <x v="0"/>
    <s v="Bangangte"/>
    <x v="0"/>
    <s v="Indoor"/>
    <s v="Bangangte"/>
    <s v="Nde"/>
    <s v="Bangangte"/>
    <x v="0"/>
    <n v="5.1404249999999996"/>
    <n v="10.528005"/>
    <x v="0"/>
  </r>
  <r>
    <n v="115"/>
    <s v="T0261"/>
    <s v="IHS_BAF_059"/>
    <s v="T0261"/>
    <x v="0"/>
    <s v="Bambit SDH"/>
    <x v="0"/>
    <s v="Indoor"/>
    <s v="Bangangte"/>
    <s v="Nde"/>
    <s v="Bangangte"/>
    <x v="0"/>
    <n v="5.1059099999999997"/>
    <n v="10.615589999999999"/>
    <x v="0"/>
  </r>
  <r>
    <n v="116"/>
    <s v="T0073"/>
    <s v="IHS_FBN_022"/>
    <s v="T0073"/>
    <x v="0"/>
    <s v="Ndoumbain"/>
    <x v="0"/>
    <s v="Indoor"/>
    <s v="Foumbot"/>
    <s v="Noun"/>
    <s v="Foumbot"/>
    <x v="0"/>
    <n v="5.5058699999999998"/>
    <n v="10.623670000000001"/>
    <x v="0"/>
  </r>
  <r>
    <n v="117"/>
    <s v="OST_071"/>
    <s v="IHS_MBD_002"/>
    <s v="OST_071"/>
    <x v="0"/>
    <s v="Mbouda-Lepi"/>
    <x v="0"/>
    <s v="Outdoor"/>
    <s v="Bafoussam1"/>
    <s v="BAMBOUTOUS"/>
    <s v="MBOUDA"/>
    <x v="0"/>
    <n v="5.6245000000000003"/>
    <n v="10.263444"/>
    <x v="0"/>
  </r>
  <r>
    <n v="118"/>
    <s v="OST_070"/>
    <s v="IHS_FBN_013"/>
    <s v="OST_070"/>
    <x v="0"/>
    <s v="Baigon"/>
    <x v="0"/>
    <s v="Outdoor"/>
    <s v="Foumbot"/>
    <s v="Noun"/>
    <s v="Foumbot"/>
    <x v="0"/>
    <n v="5.5726940000000003"/>
    <n v="10.680889000000001"/>
    <x v="0"/>
  </r>
  <r>
    <n v="119"/>
    <s v="T1493"/>
    <s v="IHS_BAF_001"/>
    <s v="T1493"/>
    <x v="0"/>
    <s v="TAMBA Building"/>
    <x v="0"/>
    <s v="Outdoor"/>
    <s v="Bafoussam 2"/>
    <s v="MIFI"/>
    <s v="BAFOUSSAM"/>
    <x v="0"/>
    <n v="5.4775499999999999"/>
    <n v="10.4169"/>
    <x v="1"/>
  </r>
  <r>
    <n v="120"/>
    <s v="OST_005"/>
    <s v="IHS_FBN_020"/>
    <s v="OST_005"/>
    <x v="0"/>
    <s v="Foumbot"/>
    <x v="0"/>
    <s v="Indoor"/>
    <s v="Foumbot"/>
    <s v="Noun"/>
    <s v="Foumbot"/>
    <x v="0"/>
    <n v="5.524953"/>
    <n v="10.640806"/>
    <x v="0"/>
  </r>
  <r>
    <n v="121"/>
    <s v="T1463"/>
    <s v="IHS_MBD_001"/>
    <s v="T1463"/>
    <x v="0"/>
    <s v="Mbouda SIK"/>
    <x v="0"/>
    <s v="Outdoor"/>
    <s v="Bafoussam1"/>
    <s v="BAMBOUTOUS"/>
    <s v="MBOUDA"/>
    <x v="0"/>
    <n v="5.625667"/>
    <n v="10.257528000000001"/>
    <x v="1"/>
  </r>
  <r>
    <n v="122"/>
    <s v="OST_135"/>
    <s v="IHS_BAF_101"/>
    <s v="OST_135"/>
    <x v="0"/>
    <s v="Bfsam-Bamendzi-II"/>
    <x v="0"/>
    <s v="Outdoor"/>
    <s v="Bafoussam 3"/>
    <s v="MIFI"/>
    <s v="BAFOUSSAM"/>
    <x v="0"/>
    <n v="5.4804469999999998"/>
    <n v="10.444324999999999"/>
    <x v="1"/>
  </r>
  <r>
    <n v="123"/>
    <s v="OST_111"/>
    <s v="IHS_BAF_007"/>
    <s v="OST_111"/>
    <x v="0"/>
    <s v="Bfsam-Q-Admin"/>
    <x v="0"/>
    <s v="Indoor"/>
    <s v="Bafoussam 3"/>
    <s v="MIFI"/>
    <s v="BAFOUSSAM"/>
    <x v="0"/>
    <n v="5.4703030000000004"/>
    <n v="10.407365"/>
    <x v="1"/>
  </r>
  <r>
    <n v="124"/>
    <s v="OST_137"/>
    <s v="IHS_FBN_100"/>
    <s v="OST_137"/>
    <x v="0"/>
    <s v="Foumban-Djisse-II (Foumban-Njiyouom)"/>
    <x v="0"/>
    <s v="Outdoor"/>
    <s v="Foumban"/>
    <s v="Noun"/>
    <s v="Foumban"/>
    <x v="0"/>
    <n v="5.7241669999999996"/>
    <n v="10.900528"/>
    <x v="1"/>
  </r>
  <r>
    <n v="125"/>
    <s v="OST_110"/>
    <s v="IHS_BAF_008"/>
    <s v="OST_110"/>
    <x v="0"/>
    <s v="Bfsam-Stade"/>
    <x v="0"/>
    <s v="Outdoor"/>
    <s v="Bafoussam 2"/>
    <s v="MIFI"/>
    <s v="BAFOUSSAM"/>
    <x v="0"/>
    <n v="5.4705000000000004"/>
    <n v="10.407166999999999"/>
    <x v="1"/>
  </r>
  <r>
    <n v="126"/>
    <s v="OST_170"/>
    <s v="IHS_BAF_310"/>
    <s v="OST_170"/>
    <x v="0"/>
    <s v="Bfsam Centre II"/>
    <x v="0"/>
    <s v="Outdoor"/>
    <s v="Bafoussam 3"/>
    <s v="MIFI"/>
    <s v="BAFOUSSAM"/>
    <x v="0"/>
    <n v="5.478961"/>
    <n v="10.418663"/>
    <x v="1"/>
  </r>
  <r>
    <n v="127"/>
    <s v="OST_120"/>
    <s v="IHS_BAF_024"/>
    <s v="OST_120"/>
    <x v="0"/>
    <s v="Bfsam-Dienso"/>
    <x v="0"/>
    <s v="Outdoor"/>
    <s v="Bafoussam 2"/>
    <s v="Bafoussam 3"/>
    <s v="BAFOUSSAM"/>
    <x v="0"/>
    <n v="5.4466939999999999"/>
    <n v="10.423693999999999"/>
    <x v="1"/>
  </r>
  <r>
    <n v="128"/>
    <s v="OST_018"/>
    <s v="IHS_BAF_055"/>
    <s v="OST_018"/>
    <x v="0"/>
    <s v="Bangangte-Ville"/>
    <x v="0"/>
    <s v="Indoor"/>
    <s v="Bangangte"/>
    <s v="Nde"/>
    <s v="Bangangte"/>
    <x v="0"/>
    <n v="5.14"/>
    <n v="10.524305999999999"/>
    <x v="1"/>
  </r>
  <r>
    <n v="129"/>
    <s v="OST_002"/>
    <s v="IHS_BAF_020"/>
    <s v="OST_002"/>
    <x v="0"/>
    <s v="bfsam-Kamkouop"/>
    <x v="0"/>
    <s v="Indoor"/>
    <s v="Bafoussam 3"/>
    <s v="MIFI"/>
    <s v="BAFOUSSAM"/>
    <x v="0"/>
    <n v="5.4944280000000001"/>
    <n v="10.3995"/>
    <x v="1"/>
  </r>
  <r>
    <n v="130"/>
    <s v="OST_107"/>
    <s v="IHS_BAF_005"/>
    <s v="OST_107"/>
    <x v="0"/>
    <s v="Bfsam-Nylon"/>
    <x v="0"/>
    <s v="Outdoor"/>
    <s v="Bafoussam 2"/>
    <s v="MIFI"/>
    <s v="BAFOUSSAM"/>
    <x v="0"/>
    <n v="5.4855559999999999"/>
    <n v="10.413971999999999"/>
    <x v="1"/>
  </r>
  <r>
    <n v="131"/>
    <s v="OST_134"/>
    <s v="IHS_BAF_100"/>
    <s v="OST_134"/>
    <x v="0"/>
    <s v="Bfsam-Gabon-Bar (Bfsam-Brasserie)"/>
    <x v="0"/>
    <s v="Outdoor"/>
    <s v="Bafoussam 2"/>
    <s v="MIFI"/>
    <s v="BAFOUSSAM"/>
    <x v="0"/>
    <n v="5.4621300000000002"/>
    <n v="10.409955999999999"/>
    <x v="1"/>
  </r>
  <r>
    <n v="132"/>
    <s v="OST_078"/>
    <s v="IHS_BAF_002"/>
    <s v="OST_078"/>
    <x v="0"/>
    <s v="Bfsam-Centre"/>
    <x v="0"/>
    <s v="Indoor"/>
    <s v="Bafoussam 3"/>
    <s v="MIFI"/>
    <s v="BAFOUSSAM"/>
    <x v="0"/>
    <n v="5.4786669999999997"/>
    <n v="10.414917000000001"/>
    <x v="1"/>
  </r>
  <r>
    <n v="133"/>
    <s v="OST_180"/>
    <s v="IHS_BFG_018"/>
    <s v="OST_180"/>
    <x v="0"/>
    <s v="Bagangte Center"/>
    <x v="0"/>
    <s v="Outdoor"/>
    <s v="Bangangte"/>
    <s v="Nde"/>
    <s v="Bangangte"/>
    <x v="0"/>
    <n v="5.1471150000000003"/>
    <n v="10.51994"/>
    <x v="1"/>
  </r>
  <r>
    <n v="134"/>
    <s v="T0832"/>
    <s v="IHS_FBN_009"/>
    <s v="T0832"/>
    <x v="0"/>
    <s v="Njimom"/>
    <x v="0"/>
    <s v="Outdoor"/>
    <s v="Foumban"/>
    <s v="Noun"/>
    <s v="Njimom"/>
    <x v="0"/>
    <n v="5.8249199999999997"/>
    <n v="10.945499999999999"/>
    <x v="0"/>
  </r>
  <r>
    <n v="135"/>
    <s v="CTR_278"/>
    <s v="IHS_YND_466"/>
    <s v="CTR_278"/>
    <x v="0"/>
    <s v="Ngoro"/>
    <x v="0"/>
    <s v="Outdoor"/>
    <s v="Bafia"/>
    <s v="Mbam et inoubou"/>
    <s v="Ngoro"/>
    <x v="0"/>
    <n v="4.9594009999999997"/>
    <n v="11.387579000000001"/>
    <x v="0"/>
  </r>
  <r>
    <n v="136"/>
    <s v="OST_057"/>
    <s v="IHS_FBN_024"/>
    <s v="OST_057"/>
    <x v="0"/>
    <s v="Massangam"/>
    <x v="0"/>
    <s v="Outdoor"/>
    <s v="Foumbot"/>
    <s v="Noun"/>
    <s v="Massangam"/>
    <x v="0"/>
    <n v="5.4272220000000004"/>
    <n v="11.015556"/>
    <x v="0"/>
  </r>
  <r>
    <n v="137"/>
    <s v="T1255"/>
    <s v="IHS_FBN_010"/>
    <s v="T1255"/>
    <x v="0"/>
    <s v="DOUMOUFE"/>
    <x v="0"/>
    <s v="Outdoor"/>
    <s v="Foumban"/>
    <s v="Noun"/>
    <s v="Njimom"/>
    <x v="0"/>
    <n v="5.8473800000000002"/>
    <n v="11.05672"/>
    <x v="0"/>
  </r>
  <r>
    <n v="138"/>
    <s v="CTR_277"/>
    <s v="IHS_YND_468"/>
    <s v="CTR_277"/>
    <x v="0"/>
    <s v="Deuk"/>
    <x v="0"/>
    <s v="Outdoor"/>
    <s v="Bafia"/>
    <s v="Mbam et inoubou"/>
    <s v="Deuk"/>
    <x v="0"/>
    <n v="4.9379499999999998"/>
    <n v="11.259641"/>
    <x v="0"/>
  </r>
  <r>
    <n v="139"/>
    <s v="CTR_091"/>
    <s v="IHS_YND_447"/>
    <s v="CTR_091"/>
    <x v="0"/>
    <s v="Bamoko"/>
    <x v="0"/>
    <s v="Indoor"/>
    <s v="Bafia"/>
    <s v="Mbam et inoubou"/>
    <s v="Kon-yambetta"/>
    <x v="0"/>
    <n v="4.8360219999999998"/>
    <n v="11.077894000000001"/>
    <x v="0"/>
  </r>
  <r>
    <n v="140"/>
    <s v="T1760"/>
    <s v="IHS_BAF_323"/>
    <s v="T1760"/>
    <x v="0"/>
    <s v="Bfsam Confiance"/>
    <x v="0"/>
    <s v="Outdoor"/>
    <s v="Bafoussam 3"/>
    <s v="MIFI"/>
    <s v="BAFOUSSAM"/>
    <x v="0"/>
    <n v="5.4730559999999997"/>
    <n v="10.426"/>
    <x v="1"/>
  </r>
  <r>
    <n v="141"/>
    <s v="OST_252"/>
    <s v="IHS_BAF_325"/>
    <s v="OST_252"/>
    <x v="0"/>
    <s v="Koundoum  (T0)"/>
    <x v="0"/>
    <s v="Outdoor"/>
    <s v="Foumbot"/>
    <s v="Noun"/>
    <s v="Foumban"/>
    <x v="0"/>
    <n v="5.6541699999999997"/>
    <n v="10.8042"/>
    <x v="0"/>
  </r>
  <r>
    <n v="142"/>
    <s v="T3103"/>
    <s v="IHS_BAF_315"/>
    <s v="T3103"/>
    <x v="0"/>
    <s v="BAFOUSSAM KOUEKONG"/>
    <x v="0"/>
    <s v="Outdoor"/>
    <s v="Foumbot"/>
    <s v="MIFI"/>
    <s v="BAFOUSSAM"/>
    <x v="0"/>
    <n v="5.4806140000000001"/>
    <n v="10.549125"/>
    <x v="0"/>
  </r>
  <r>
    <n v="143"/>
    <s v="T2453"/>
    <s v="IHS_BAF_328"/>
    <s v="T2453"/>
    <x v="0"/>
    <s v="BAFOUSSAM GOUACHE CARREFOUR"/>
    <x v="0"/>
    <s v="Outdoor"/>
    <s v="Bafoussam 3"/>
    <s v="MIFI"/>
    <s v="BAFOUSSAM"/>
    <x v="0"/>
    <n v="5.4892200000000004"/>
    <n v="10.395720000000001"/>
    <x v="1"/>
  </r>
  <r>
    <n v="144"/>
    <s v="T2412"/>
    <s v="IHS_BAF_331"/>
    <s v="T2412"/>
    <x v="0"/>
    <s v="Nkep"/>
    <x v="0"/>
    <s v="Outdoor"/>
    <s v="Bangangte"/>
    <s v="Nde"/>
    <s v="Bangou"/>
    <x v="0"/>
    <n v="5.181743"/>
    <n v="10.369114"/>
    <x v="0"/>
  </r>
  <r>
    <n v="145"/>
    <s v="T1286"/>
    <s v="IHS_BAF_332"/>
    <s v="T1286"/>
    <x v="0"/>
    <s v="Bangoulap"/>
    <x v="0"/>
    <s v="Outdoor"/>
    <s v="Bangangte"/>
    <s v="Nde"/>
    <s v="bangangte "/>
    <x v="0"/>
    <n v="5.1225120000000004"/>
    <n v="10.538926999999999"/>
    <x v="0"/>
  </r>
  <r>
    <n v="146"/>
    <s v="T1375"/>
    <s v="IHS_BAF_333"/>
    <s v="T1375"/>
    <x v="0"/>
    <s v="BAFOUSSAM BANENGO GBHS"/>
    <x v="0"/>
    <s v="Outdoor"/>
    <s v="Bafoussam 3"/>
    <s v="MIFI"/>
    <s v="BAFOUSSAM"/>
    <x v="0"/>
    <n v="5.4711980000000002"/>
    <n v="10.415765"/>
    <x v="1"/>
  </r>
  <r>
    <n v="147"/>
    <s v="T1417"/>
    <s v="IHS_FBN_111"/>
    <s v="T1417"/>
    <x v="0"/>
    <s v="FOUMBAN KOUNGA ENTRANCE"/>
    <x v="0"/>
    <s v="Outdoor"/>
    <s v="Foumban"/>
    <s v="Noun"/>
    <s v="Foumban"/>
    <x v="0"/>
    <n v="5.7090620000000003"/>
    <n v="10.862035000000001"/>
    <x v="0"/>
  </r>
  <r>
    <n v="148"/>
    <s v="T5034"/>
    <s v="IHS_FBN_112"/>
    <s v="T5034"/>
    <x v="0"/>
    <s v="Koutie"/>
    <x v="0"/>
    <s v="Outdoor"/>
    <s v="Foumban"/>
    <s v="Noun"/>
    <s v="Foumban"/>
    <x v="0"/>
    <n v="5.6468800000000003"/>
    <n v="10.887779999999999"/>
    <x v="0"/>
  </r>
  <r>
    <n v="149"/>
    <s v="T5038"/>
    <s v="IHS_MBD_022"/>
    <s v="T5038"/>
    <x v="0"/>
    <s v="Bamenjo"/>
    <x v="0"/>
    <s v="Outdoor"/>
    <s v="Bafoussam 1"/>
    <s v="Bamboutos"/>
    <s v="Mbouda"/>
    <x v="0"/>
    <n v="5.5597099999999999"/>
    <n v="10.28415"/>
    <x v="0"/>
  </r>
  <r>
    <n v="150"/>
    <s v="T5039"/>
    <s v="IHS_FBN_113"/>
    <s v="T5039"/>
    <x v="0"/>
    <s v="Foyet"/>
    <x v="0"/>
    <s v="Outdoor"/>
    <s v="Foumban"/>
    <s v="Noun"/>
    <s v="Foumban"/>
    <x v="0"/>
    <n v="5.8461860000000003"/>
    <n v="10.88687"/>
    <x v="0"/>
  </r>
  <r>
    <n v="151"/>
    <s v="T2215"/>
    <s v="IHS_BFG_022"/>
    <s v="T2215"/>
    <x v="0"/>
    <s v="Vallee de Bana"/>
    <x v="0"/>
    <s v="Outdoor"/>
    <s v="Bafang"/>
    <s v="HAUT-NKAM"/>
    <s v="Bana"/>
    <x v="0"/>
    <n v="5.1435750000000002"/>
    <n v="10.277202000000001"/>
    <x v="0"/>
  </r>
  <r>
    <n v="152"/>
    <s v="T1972"/>
    <s v="IHS_BAF_073"/>
    <s v="T1972"/>
    <x v="0"/>
    <s v="Bafoussam Banengo II"/>
    <x v="0"/>
    <s v="Outdoor"/>
    <s v="Bafoussam 3"/>
    <s v="MIFI"/>
    <s v="BAFOUSSAM"/>
    <x v="0"/>
    <n v="5.4559625"/>
    <n v="10.415249722"/>
    <x v="1"/>
  </r>
  <r>
    <n v="153"/>
    <s v="NRO_030"/>
    <s v="IHS_BMD_206"/>
    <s v="NRO_030"/>
    <x v="1"/>
    <s v="Zhoa"/>
    <x v="1"/>
    <s v="Outdoor"/>
    <s v="Bafut"/>
    <s v="MENCHUM"/>
    <s v="Zhoa"/>
    <x v="1"/>
    <n v="6.5311833330000004"/>
    <n v="10.199999999999999"/>
    <x v="0"/>
  </r>
  <r>
    <n v="154"/>
    <s v="T1668"/>
    <s v="IHS_BMD_2217"/>
    <s v="T1668"/>
    <x v="1"/>
    <s v="TATUM "/>
    <x v="1"/>
    <s v="Outdoor"/>
    <s v="Nkambe"/>
    <s v="BUI"/>
    <s v="Nkum"/>
    <x v="1"/>
    <n v="6.3445109999999998"/>
    <n v="10.770329"/>
    <x v="0"/>
  </r>
  <r>
    <n v="155"/>
    <s v="T1475"/>
    <s v="IHS_BMD_078"/>
    <s v="T1475"/>
    <x v="1"/>
    <s v="TADU"/>
    <x v="1"/>
    <s v="Outdoor"/>
    <s v="Kumbo"/>
    <s v="BUI"/>
    <s v="Tadu"/>
    <x v="1"/>
    <n v="6.2371800000000004"/>
    <n v="10.589529000000001"/>
    <x v="0"/>
  </r>
  <r>
    <n v="156"/>
    <s v="T2816"/>
    <s v="IHS_BMD_0065"/>
    <s v="T2816"/>
    <x v="1"/>
    <s v="Small Babanki"/>
    <x v="2"/>
    <s v="Outdoor"/>
    <s v="Bamenda 1"/>
    <s v="MEZAM"/>
    <s v="Tubah"/>
    <x v="1"/>
    <n v="5.9493330000000002"/>
    <n v="10.326582999999999"/>
    <x v="0"/>
  </r>
  <r>
    <n v="157"/>
    <s v="NRO_048"/>
    <s v="IHS_BMD_321"/>
    <s v="NRO_048"/>
    <x v="1"/>
    <s v="Sabga"/>
    <x v="1"/>
    <s v="Outdoor"/>
    <s v="Bamenda 1"/>
    <s v="MEZAM"/>
    <s v="Tubah"/>
    <x v="1"/>
    <n v="6.013814"/>
    <n v="10.320171999999999"/>
    <x v="0"/>
  </r>
  <r>
    <n v="158"/>
    <s v="T2836"/>
    <s v="IHS_BMD_2214"/>
    <s v="T2836"/>
    <x v="1"/>
    <s v="Pinyin Ngali"/>
    <x v="1"/>
    <s v="Outdoor"/>
    <s v="Bamenda 2"/>
    <s v="MEZAM"/>
    <s v="Tubah"/>
    <x v="1"/>
    <n v="5.807455"/>
    <n v="10.066274999999999"/>
    <x v="0"/>
  </r>
  <r>
    <n v="159"/>
    <s v="T2766"/>
    <s v="IHS_BMD_2216"/>
    <s v="T2766"/>
    <x v="1"/>
    <s v="NKOR"/>
    <x v="1"/>
    <s v="Outdoor"/>
    <s v="Nkambe"/>
    <s v="BUI"/>
    <s v="Nkor"/>
    <x v="1"/>
    <n v="6.3832649999999997"/>
    <n v="10.584664999999999"/>
    <x v="0"/>
  </r>
  <r>
    <n v="160"/>
    <s v="T1473"/>
    <s v="IHS_BMD_066"/>
    <s v="T1473"/>
    <x v="1"/>
    <s v="Nkar"/>
    <x v="1"/>
    <s v="Outdoor"/>
    <s v="Kumbo"/>
    <s v="BUI"/>
    <s v="Jakiri"/>
    <x v="1"/>
    <n v="6.0944444400000002"/>
    <n v="10.637861109999999"/>
    <x v="0"/>
  </r>
  <r>
    <n v="161"/>
    <s v="T1503"/>
    <s v="IHS_BMD_061"/>
    <s v="T1503"/>
    <x v="1"/>
    <s v="Njikwa town"/>
    <x v="1"/>
    <s v="Outdoor"/>
    <s v="Bamenda 2"/>
    <s v="Momo"/>
    <s v="Njikwa"/>
    <x v="1"/>
    <n v="6.1292249999999999"/>
    <n v="9.8565166669999993"/>
    <x v="0"/>
  </r>
  <r>
    <n v="162"/>
    <s v="T2823"/>
    <s v="IHS_BMD_2224"/>
    <s v="T2823"/>
    <x v="1"/>
    <s v="Nchum "/>
    <x v="1"/>
    <s v="Outdoor"/>
    <s v="Bafut"/>
    <s v="MEZAM"/>
    <s v="Bafut"/>
    <x v="1"/>
    <n v="6.1116429999999999"/>
    <n v="10.121765999999999"/>
    <x v="0"/>
  </r>
  <r>
    <n v="163"/>
    <s v="NRO_057"/>
    <s v="IHS_BMD_312"/>
    <s v="NRO_057"/>
    <x v="1"/>
    <s v="Mbonso"/>
    <x v="1"/>
    <s v="Outdoor"/>
    <s v="Nkambe"/>
    <s v="BUI"/>
    <s v="mbiame"/>
    <x v="1"/>
    <n v="6.2614080000000003"/>
    <n v="10.946337"/>
    <x v="0"/>
  </r>
  <r>
    <n v="164"/>
    <s v="T1465"/>
    <s v="IHS_BMD_087"/>
    <s v="T1465"/>
    <x v="1"/>
    <s v="MBIYEH"/>
    <x v="1"/>
    <s v="Outdoor"/>
    <s v="Nkambe"/>
    <s v="Donga Mantoum"/>
    <s v="Ndu"/>
    <x v="1"/>
    <n v="6.4542222200000001"/>
    <n v="10.754222220000001"/>
    <x v="0"/>
  </r>
  <r>
    <n v="165"/>
    <s v="NRO_236"/>
    <s v="IHS_BMD_091"/>
    <s v="NRO_236"/>
    <x v="1"/>
    <s v="Mbiame"/>
    <x v="1"/>
    <s v="Outdoor"/>
    <s v="Kumbo"/>
    <s v="BUI"/>
    <s v="Mbiame"/>
    <x v="1"/>
    <n v="6.1885469999999998"/>
    <n v="10.849605"/>
    <x v="0"/>
  </r>
  <r>
    <n v="166"/>
    <s v="T1831"/>
    <s v="IHS_BMD_2250"/>
    <s v="T1831"/>
    <x v="1"/>
    <s v="Mbengwi Water Tank "/>
    <x v="1"/>
    <s v="Outdoor"/>
    <s v="Bamenda 2"/>
    <s v="Momo"/>
    <s v="Mbengwi"/>
    <x v="1"/>
    <n v="5.9681240000000004"/>
    <n v="10.036383000000001"/>
    <x v="0"/>
  </r>
  <r>
    <n v="167"/>
    <s v="T1488"/>
    <s v="IHS_BMD_034"/>
    <s v="T1488"/>
    <x v="1"/>
    <s v="Mbengwi Mile 17"/>
    <x v="1"/>
    <s v="Outdoor"/>
    <s v="Bamenda 2"/>
    <s v="Momo"/>
    <s v="Mbengwi"/>
    <x v="1"/>
    <n v="6.0012160000000003"/>
    <n v="10.020552"/>
    <x v="0"/>
  </r>
  <r>
    <n v="168"/>
    <s v="T1167"/>
    <s v="IHS_BMD_016"/>
    <s v="T1167"/>
    <x v="1"/>
    <s v="MBATU"/>
    <x v="1"/>
    <s v="Outdoor"/>
    <s v="Bamenda 2"/>
    <s v="MEZAM"/>
    <s v="Bamenda 2"/>
    <x v="1"/>
    <n v="5.9347300000000001"/>
    <n v="10.13917"/>
    <x v="0"/>
  </r>
  <r>
    <n v="169"/>
    <s v="NRO_044"/>
    <s v="IHS_BMD_316"/>
    <s v="NRO_044"/>
    <x v="1"/>
    <s v="Lassin"/>
    <x v="1"/>
    <s v="Outdoor"/>
    <s v="Nkambe"/>
    <s v="BUI"/>
    <s v="Nkor"/>
    <x v="1"/>
    <n v="6.4422860000000002"/>
    <n v="10.620562"/>
    <x v="0"/>
  </r>
  <r>
    <n v="170"/>
    <s v="NRO_071"/>
    <s v="IHS_BMD_2212"/>
    <s v="NRO_071"/>
    <x v="1"/>
    <s v="Jikejem"/>
    <x v="1"/>
    <s v="Outdoor"/>
    <s v="Kumbo"/>
    <s v="BUI"/>
    <s v="Elak Oku"/>
    <x v="1"/>
    <n v="6.2407899999999996"/>
    <n v="10.465491999999999"/>
    <x v="0"/>
  </r>
  <r>
    <n v="171"/>
    <s v="T1814"/>
    <s v="IHS_BMD_2222"/>
    <s v="T1814"/>
    <x v="1"/>
    <s v="Fundong FM"/>
    <x v="1"/>
    <s v="Outdoor"/>
    <s v="Bamenda 1"/>
    <s v="Boyo"/>
    <s v="Fundong"/>
    <x v="1"/>
    <n v="6.2713609999999997"/>
    <n v="10.294694"/>
    <x v="0"/>
  </r>
  <r>
    <n v="172"/>
    <s v="NRO_043"/>
    <s v="IHS_BMD_325"/>
    <s v="NRO_043"/>
    <x v="1"/>
    <s v="Fonfuka"/>
    <x v="1"/>
    <s v="Outdoor"/>
    <s v="Nkambe"/>
    <s v="Boyo"/>
    <s v="Fonfuka"/>
    <x v="1"/>
    <n v="6.5345370000000003"/>
    <n v="10.478177000000001"/>
    <x v="0"/>
  </r>
  <r>
    <n v="173"/>
    <s v="NRO_234"/>
    <s v="IHS_BMD_092"/>
    <s v="NRO_234"/>
    <x v="1"/>
    <s v="Essu"/>
    <x v="2"/>
    <s v="Outdoor"/>
    <s v="Bafut"/>
    <s v="MENCHUM"/>
    <s v="Zhoa "/>
    <x v="1"/>
    <n v="6.56741668"/>
    <n v="10.09394447"/>
    <x v="0"/>
  </r>
  <r>
    <n v="174"/>
    <s v="T1485"/>
    <s v="IHS_BMD_059"/>
    <s v="T1485"/>
    <x v="1"/>
    <s v="Ebal"/>
    <x v="1"/>
    <s v="Outdoor"/>
    <s v="Kumbo"/>
    <s v="BUI"/>
    <s v="Elak Oku"/>
    <x v="1"/>
    <n v="6.1325000000000003"/>
    <n v="10.471014"/>
    <x v="0"/>
  </r>
  <r>
    <n v="175"/>
    <s v="NRO_046"/>
    <s v="IHS_BMD_318"/>
    <s v="NRO_046"/>
    <x v="1"/>
    <s v="DUMBU"/>
    <x v="1"/>
    <s v="Outdoor"/>
    <s v="Nkambe"/>
    <s v="Donga Mantoum"/>
    <s v="misaje"/>
    <x v="1"/>
    <n v="6.7075199999999997"/>
    <n v="10.50703"/>
    <x v="0"/>
  </r>
  <r>
    <n v="176"/>
    <s v="T1457"/>
    <s v="IHS_BAF_104"/>
    <s v="T1457"/>
    <x v="1"/>
    <s v="Binka/Bana"/>
    <x v="1"/>
    <s v="Outdoor"/>
    <s v="Nkambe"/>
    <s v="Donga Mantoum"/>
    <s v="Nkambe"/>
    <x v="1"/>
    <n v="6.5416939999999997"/>
    <n v="10.773250000000001"/>
    <x v="0"/>
  </r>
  <r>
    <n v="177"/>
    <s v="T1476"/>
    <s v="IHS_KMB_030"/>
    <s v="T1476"/>
    <x v="1"/>
    <s v="Big Babanki"/>
    <x v="1"/>
    <s v="Outdoor"/>
    <s v="Bamenda 1"/>
    <s v="Boyo"/>
    <s v="Tubah"/>
    <x v="1"/>
    <n v="6.1176500000000003"/>
    <n v="10.246167"/>
    <x v="0"/>
  </r>
  <r>
    <n v="178"/>
    <s v="NRO_233"/>
    <s v="IHS_BMD_079"/>
    <s v="NRO_233"/>
    <x v="1"/>
    <s v="Benakuma"/>
    <x v="1"/>
    <s v="Outdoor"/>
    <s v="Bafut"/>
    <s v="MENCHUM"/>
    <s v="Benakuma"/>
    <x v="1"/>
    <n v="6.4"/>
    <n v="9.8999999899999995"/>
    <x v="0"/>
  </r>
  <r>
    <n v="179"/>
    <s v="NRO_243"/>
    <s v="IHS_BMD_021"/>
    <s v="NRO_243"/>
    <x v="1"/>
    <s v="Bda-Mulang"/>
    <x v="1"/>
    <s v="Outdoor"/>
    <s v="Bamenda 3"/>
    <s v="MEZAM"/>
    <s v="Bamenda 2"/>
    <x v="1"/>
    <n v="5.9876199999999997"/>
    <n v="10.153187000000001"/>
    <x v="0"/>
  </r>
  <r>
    <n v="180"/>
    <s v="OST_186"/>
    <s v="IHS_BAF_322"/>
    <s v="OST_186"/>
    <x v="0"/>
    <s v="Bamenyam"/>
    <x v="1"/>
    <s v="Outdoor"/>
    <s v="Bafoussam1"/>
    <s v="BAMBOUTOUS"/>
    <s v="Galim"/>
    <x v="1"/>
    <n v="5.756589"/>
    <n v="10.31809"/>
    <x v="0"/>
  </r>
  <r>
    <n v="181"/>
    <s v="T1528"/>
    <s v="IHS_BMD_314"/>
    <s v="T1528"/>
    <x v="1"/>
    <s v="Bamenda Old Town"/>
    <x v="1"/>
    <s v="Outdoor"/>
    <s v="Bamenda 3"/>
    <s v="MEZAM"/>
    <s v="Bamenda 2"/>
    <x v="1"/>
    <n v="5.9529399999999999"/>
    <n v="10.1571"/>
    <x v="0"/>
  </r>
  <r>
    <n v="182"/>
    <s v="T1525"/>
    <s v="IHS_BMD_202"/>
    <s v="T1525"/>
    <x v="1"/>
    <s v="Bamenda Ntasen"/>
    <x v="1"/>
    <s v="Outdoor"/>
    <s v="Bamenda 3"/>
    <s v="MEZAM"/>
    <s v="Bamenda 2"/>
    <x v="1"/>
    <n v="5.9898379999999998"/>
    <n v="10.162345999999999"/>
    <x v="0"/>
  </r>
  <r>
    <n v="183"/>
    <s v="T1823"/>
    <s v="IHS_BMD_315"/>
    <s v="T1823"/>
    <x v="1"/>
    <s v="Bamenda Mile 8"/>
    <x v="1"/>
    <s v="Outdoor"/>
    <s v="Bafut"/>
    <s v="MEZAM"/>
    <s v="Bamenda 2"/>
    <x v="1"/>
    <n v="6.0102209999999996"/>
    <n v="10.133228000000001"/>
    <x v="0"/>
  </r>
  <r>
    <n v="184"/>
    <s v="T1460"/>
    <s v="IHS_BMD_018"/>
    <s v="T1460"/>
    <x v="1"/>
    <s v="Bamenda Kwe Pastoral Center"/>
    <x v="1"/>
    <s v="Outdoor"/>
    <s v="Bamenda 3"/>
    <s v="MEZAM"/>
    <s v="Bamenda 1"/>
    <x v="1"/>
    <n v="5.9357470000000001"/>
    <n v="10.162219"/>
    <x v="0"/>
  </r>
  <r>
    <n v="185"/>
    <s v="T1279"/>
    <s v="IHS_BMD_313"/>
    <s v="T1279"/>
    <x v="1"/>
    <s v="Bamenda Bujong"/>
    <x v="1"/>
    <s v="Outdoor"/>
    <s v="Bamenda 1"/>
    <s v="MEZAM"/>
    <s v="Bamenda 1"/>
    <x v="1"/>
    <n v="5.9401190000000001"/>
    <n v="10.197202000000001"/>
    <x v="0"/>
  </r>
  <r>
    <n v="186"/>
    <s v="T1509"/>
    <s v="IHS_BMD_142"/>
    <s v="T1509"/>
    <x v="1"/>
    <s v="Bamenda ATTIAH"/>
    <x v="1"/>
    <s v="Outdoor"/>
    <s v="Bamenda 2"/>
    <s v="MEZAM"/>
    <s v="Bamenda 2"/>
    <x v="1"/>
    <n v="5.9482299999999997"/>
    <n v="10.130345999999999"/>
    <x v="0"/>
  </r>
  <r>
    <n v="187"/>
    <s v="T1526"/>
    <s v="IHS_YND_503"/>
    <s v="T1526"/>
    <x v="1"/>
    <s v="BAMENDA ABANGOH"/>
    <x v="1"/>
    <s v="Outdoor"/>
    <s v="Bamenda 2"/>
    <s v="MEZAM"/>
    <s v="Bamenda 1"/>
    <x v="1"/>
    <n v="5.9370830000000003"/>
    <n v="10.150407"/>
    <x v="0"/>
  </r>
  <r>
    <n v="188"/>
    <s v="T1759"/>
    <s v="IHS_BMD_143"/>
    <s v="T1759"/>
    <x v="1"/>
    <s v="Bafut Swie Hill"/>
    <x v="1"/>
    <s v="Outdoor"/>
    <s v="Bafut"/>
    <s v="MEZAM"/>
    <s v="Bafut"/>
    <x v="1"/>
    <n v="6.0378600000000002"/>
    <n v="10.15"/>
    <x v="0"/>
  </r>
  <r>
    <n v="189"/>
    <s v="NRO_047"/>
    <s v="IHS_BMD_319"/>
    <s v="NRO_047"/>
    <x v="1"/>
    <s v="BAFMENG"/>
    <x v="1"/>
    <s v="Outdoor"/>
    <s v="Bamenda 1"/>
    <s v="Boyo"/>
    <s v="Zhoa"/>
    <x v="1"/>
    <n v="6.35433"/>
    <n v="10.239699999999999"/>
    <x v="0"/>
  </r>
  <r>
    <n v="190"/>
    <s v="NRO_051"/>
    <s v="IHS_BMD_2251"/>
    <s v="NRO_051"/>
    <x v="0"/>
    <s v="Bafanji"/>
    <x v="1"/>
    <s v="Outdoor"/>
    <s v="Bamenda 1"/>
    <s v="NGO-KETUNJIA"/>
    <s v="Balikumbat"/>
    <x v="1"/>
    <n v="5.8406929999999999"/>
    <n v="10.380815999999999"/>
    <x v="0"/>
  </r>
  <r>
    <n v="191"/>
    <s v="T2779"/>
    <s v="IHS_BMD_2220"/>
    <s v="T2779"/>
    <x v="1"/>
    <s v="Baba Babungo "/>
    <x v="1"/>
    <s v="Outdoor"/>
    <s v="Kumbo"/>
    <s v="NGO-KETUNJIA"/>
    <s v="Babessi"/>
    <x v="1"/>
    <n v="6.06911111111111"/>
    <n v="10.442305555555556"/>
    <x v="0"/>
  </r>
  <r>
    <n v="192"/>
    <s v="T2778"/>
    <s v="IHS_BMD_2213"/>
    <s v="T2778"/>
    <x v="1"/>
    <s v="AKUM"/>
    <x v="1"/>
    <s v="Outdoor"/>
    <s v="Bamenda 1"/>
    <s v="MEZAM"/>
    <s v="Santa"/>
    <x v="1"/>
    <n v="5.8855560000000002"/>
    <n v="10.158917000000001"/>
    <x v="0"/>
  </r>
  <r>
    <n v="193"/>
    <s v="NRO_231"/>
    <s v="IHS_BMD_098"/>
    <s v="NRO_231"/>
    <x v="1"/>
    <s v="Ako"/>
    <x v="1"/>
    <s v="Outdoor"/>
    <s v="Nkambe"/>
    <s v="Donga Mantoum"/>
    <s v="Ako"/>
    <x v="1"/>
    <n v="6.816719"/>
    <n v="10.71663"/>
    <x v="0"/>
  </r>
  <r>
    <n v="194"/>
    <s v="T2774"/>
    <s v="IHS_BMD_2225"/>
    <s v="T2774"/>
    <x v="1"/>
    <s v="Acha "/>
    <x v="1"/>
    <s v="Outdoor"/>
    <s v="Bamenda 2"/>
    <s v="Momo"/>
    <s v="Mbengwi"/>
    <x v="1"/>
    <n v="5.9881390000000003"/>
    <n v="9.9337219999999995"/>
    <x v="0"/>
  </r>
  <r>
    <n v="195"/>
    <s v="T1563"/>
    <s v="IHS_BMD_2215"/>
    <s v="T1563"/>
    <x v="1"/>
    <s v="ABUH "/>
    <x v="1"/>
    <s v="Outdoor"/>
    <s v="Bamenda 1"/>
    <s v="Boyo"/>
    <s v="Fundong"/>
    <x v="1"/>
    <n v="6.2965970000000002"/>
    <n v="10.33318"/>
    <x v="0"/>
  </r>
  <r>
    <n v="196"/>
    <s v="NRO_081"/>
    <s v="IHS_BMD_2229"/>
    <s v="NRO_081"/>
    <x v="1"/>
    <s v="Njinikom"/>
    <x v="1"/>
    <s v="Outdoor"/>
    <s v="Bamenda 1"/>
    <s v="Boyo"/>
    <s v="Njinikom"/>
    <x v="1"/>
    <n v="6.2242100000000002"/>
    <n v="10.307333"/>
    <x v="0"/>
  </r>
  <r>
    <n v="197"/>
    <s v="NRO_098"/>
    <s v="IHS_BMD_2252"/>
    <s v="NRO_098"/>
    <x v="1"/>
    <s v="Djottin"/>
    <x v="1"/>
    <s v="Outdoor"/>
    <s v="Kumbo"/>
    <s v="BUI"/>
    <s v="Nkor"/>
    <x v="1"/>
    <n v="6.2772199999999998"/>
    <n v="10.56278"/>
    <x v="0"/>
  </r>
  <r>
    <n v="198"/>
    <s v="T2735"/>
    <s v="IHS_BMD_0048"/>
    <s v="T2735"/>
    <x v="1"/>
    <s v="Ndop Catholic Church"/>
    <x v="1"/>
    <s v="Outdoor"/>
    <s v="Kumbo"/>
    <s v="NGO-KETUNJIA"/>
    <s v="Ndop"/>
    <x v="1"/>
    <n v="5.9846111110000004"/>
    <n v="10.458"/>
    <x v="0"/>
  </r>
  <r>
    <n v="199"/>
    <s v="T2828"/>
    <s v="IHS_BMD_0054"/>
    <s v="T2828"/>
    <x v="1"/>
    <s v="NKAMBE ENTRANCE"/>
    <x v="1"/>
    <s v="Outdoor"/>
    <s v="Nkambe"/>
    <s v="Donga Mantoum"/>
    <s v="Nkambe"/>
    <x v="1"/>
    <n v="6.5732390000000001"/>
    <n v="10.709175999999999"/>
    <x v="0"/>
  </r>
  <r>
    <n v="200"/>
    <s v="T1537"/>
    <s v="IHS_BMD_207"/>
    <s v="T1537"/>
    <x v="1"/>
    <s v="NDU COUNCIL"/>
    <x v="1"/>
    <s v="Outdoor"/>
    <s v="Nkambe"/>
    <s v="Donga Mantoum"/>
    <s v="Ndu"/>
    <x v="1"/>
    <n v="6.4269790000000002"/>
    <n v="10.790075"/>
    <x v="0"/>
  </r>
  <r>
    <n v="201"/>
    <s v="NRO_248"/>
    <s v="IHS_BMD_047"/>
    <s v="NRO_248"/>
    <x v="1"/>
    <s v="Awing"/>
    <x v="1"/>
    <s v="Outdoor"/>
    <s v="Bamenda 1"/>
    <s v="MEZAM"/>
    <s v="Santa"/>
    <x v="1"/>
    <n v="5.8502130000000001"/>
    <n v="10.244930999999999"/>
    <x v="0"/>
  </r>
  <r>
    <n v="202"/>
    <s v="T0352"/>
    <s v="IHS_BMD_020"/>
    <s v="T0352"/>
    <x v="1"/>
    <s v="Bamenda Upstation DCS"/>
    <x v="1"/>
    <s v="Indoor"/>
    <s v="Bamenda 3"/>
    <s v="MEZAM"/>
    <s v="Bamenda 1"/>
    <x v="1"/>
    <n v="5.9532040000000004"/>
    <n v="10.183572"/>
    <x v="0"/>
  </r>
  <r>
    <n v="203"/>
    <s v="T0643"/>
    <s v="IHS_BMD_006"/>
    <s v="T0643"/>
    <x v="1"/>
    <s v="Bamenda Catholic Church"/>
    <x v="1"/>
    <s v="Outdoor"/>
    <s v="Bamenda 2"/>
    <s v="MEZAM"/>
    <s v="Bamenda 2"/>
    <x v="1"/>
    <n v="5.9635670000000003"/>
    <n v="10.159238"/>
    <x v="0"/>
  </r>
  <r>
    <n v="204"/>
    <s v="T1280"/>
    <s v="IHS_BMD_0049"/>
    <s v="T1280"/>
    <x v="1"/>
    <s v="Ndu Mbakfu"/>
    <x v="1"/>
    <s v="Outdoor"/>
    <s v="Nkambe"/>
    <s v="Donga Mantoum"/>
    <s v="Ndu"/>
    <x v="1"/>
    <n v="6.4228059999999996"/>
    <n v="10.784388999999999"/>
    <x v="0"/>
  </r>
  <r>
    <n v="205"/>
    <s v="T1471"/>
    <s v="IHS_BMD_077"/>
    <s v="T1471"/>
    <x v="1"/>
    <s v="KIKAI"/>
    <x v="1"/>
    <s v="Outdoor"/>
    <s v="Kumbo"/>
    <s v="BUI"/>
    <s v="kumbo"/>
    <x v="1"/>
    <n v="6.2395833300000003"/>
    <n v="10.69488889"/>
    <x v="0"/>
  </r>
  <r>
    <n v="206"/>
    <s v="NRO_031"/>
    <s v="IHS_BMD_203"/>
    <s v="NRO_031"/>
    <x v="1"/>
    <s v="Bingo-IHS"/>
    <x v="1"/>
    <s v="Outdoor"/>
    <s v="Bamenda 1"/>
    <s v="Boyo"/>
    <s v="Belo"/>
    <x v="1"/>
    <n v="5.9597300000000004"/>
    <n v="10.166463"/>
    <x v="0"/>
  </r>
  <r>
    <n v="207"/>
    <s v="T1605"/>
    <s v="IHS_BMD_141"/>
    <s v="T1605"/>
    <x v="1"/>
    <s v="Bambui Roundabout"/>
    <x v="1"/>
    <s v="Outdoor"/>
    <s v="Bamenda 1"/>
    <s v="MEZAM"/>
    <s v="Tubah"/>
    <x v="1"/>
    <n v="6.0099340000000003"/>
    <n v="10.227228999999999"/>
    <x v="0"/>
  </r>
  <r>
    <n v="208"/>
    <s v="NRO_007"/>
    <s v="IHS_BMD_063"/>
    <s v="NRO_007"/>
    <x v="1"/>
    <s v="Wum"/>
    <x v="1"/>
    <s v="Indoor"/>
    <s v="Bafut"/>
    <s v="MENCHUM"/>
    <s v="Wum"/>
    <x v="1"/>
    <n v="6.3943027780000001"/>
    <n v="10.083888890000001"/>
    <x v="0"/>
  </r>
  <r>
    <n v="209"/>
    <s v="T0133"/>
    <s v="IHS_BMD_062"/>
    <s v="T0133"/>
    <x v="1"/>
    <s v="Wum"/>
    <x v="1"/>
    <s v="Indoor"/>
    <s v="Bafut"/>
    <s v="MENCHUM"/>
    <s v="Wum"/>
    <x v="1"/>
    <n v="6.3811"/>
    <n v="10.07868"/>
    <x v="0"/>
  </r>
  <r>
    <n v="210"/>
    <s v="T1442"/>
    <s v="IHS_BMD_005"/>
    <s v="T1442"/>
    <x v="1"/>
    <s v="T Junction"/>
    <x v="1"/>
    <s v="Outdoor"/>
    <s v="Bamenda 3"/>
    <s v="MEZAM"/>
    <s v="Bamenda 2"/>
    <x v="1"/>
    <n v="5.9520799999999996"/>
    <n v="10.152419999999999"/>
    <x v="1"/>
  </r>
  <r>
    <n v="211"/>
    <s v="T0111"/>
    <s v="IHS_BMD_001"/>
    <s v="T0111"/>
    <x v="1"/>
    <s v="NWCA"/>
    <x v="1"/>
    <s v="Indoor"/>
    <s v="Bamenda 3"/>
    <s v="MEZAM"/>
    <s v="Bamenda 2"/>
    <x v="1"/>
    <n v="5.958558"/>
    <n v="10.151246"/>
    <x v="1"/>
  </r>
  <r>
    <n v="212"/>
    <s v="T1444"/>
    <s v="IHS_BMD_014"/>
    <s v="T1444"/>
    <x v="1"/>
    <s v="Mulang"/>
    <x v="1"/>
    <s v="Outdoor"/>
    <s v="Bamenda 3"/>
    <s v="MEZAM"/>
    <s v="Bamenda 2"/>
    <x v="1"/>
    <n v="5.9743599999999999"/>
    <n v="10.1563"/>
    <x v="0"/>
  </r>
  <r>
    <n v="213"/>
    <s v="T1443"/>
    <s v="IHS_BMD_002"/>
    <s v="T1443"/>
    <x v="1"/>
    <s v="Evidence Building"/>
    <x v="1"/>
    <s v="Outdoor"/>
    <s v="Bamenda 3"/>
    <s v="MEZAM"/>
    <s v="Bamenda 2"/>
    <x v="1"/>
    <n v="5.9619400000000002"/>
    <n v="10.151759999999999"/>
    <x v="1"/>
  </r>
  <r>
    <n v="214"/>
    <s v="T0474"/>
    <s v="IHS_BMD_056"/>
    <s v="T0474"/>
    <x v="1"/>
    <s v="Bifang"/>
    <x v="1"/>
    <s v="Outdoor"/>
    <s v="Mamfe"/>
    <s v="Momo"/>
    <s v="Widikum"/>
    <x v="1"/>
    <n v="5.8850800000000003"/>
    <n v="9.7542799999999996"/>
    <x v="0"/>
  </r>
  <r>
    <n v="215"/>
    <s v="NRO_034"/>
    <s v="IHS_BMD_044"/>
    <s v="NRO_034"/>
    <x v="1"/>
    <s v="Balikumbat-Palais"/>
    <x v="1"/>
    <s v="Indoor"/>
    <s v="Bamenda 1"/>
    <s v="NGO-KETUNJIA"/>
    <s v="Balikumbat"/>
    <x v="1"/>
    <n v="5.8983930000000004"/>
    <n v="10.372153000000001"/>
    <x v="0"/>
  </r>
  <r>
    <n v="216"/>
    <s v="NRO_021"/>
    <s v="IHS_BMD_083"/>
    <s v="NRO_021"/>
    <x v="1"/>
    <s v="Ma"/>
    <x v="1"/>
    <s v="Indoor"/>
    <s v="Nkambe"/>
    <s v="BUI"/>
    <s v="Nkum"/>
    <x v="1"/>
    <n v="6.3106944440000001"/>
    <n v="10.726749999999999"/>
    <x v="0"/>
  </r>
  <r>
    <n v="217"/>
    <s v="T0430"/>
    <s v="IHS_BMD_074"/>
    <s v="T0430"/>
    <x v="1"/>
    <s v="Kumbo Bangam"/>
    <x v="1"/>
    <s v="Outdoor"/>
    <s v="Kumbo"/>
    <s v="BUI"/>
    <s v="Kumbo"/>
    <x v="1"/>
    <n v="6.1698240000000002"/>
    <n v="10.673164999999999"/>
    <x v="0"/>
  </r>
  <r>
    <n v="218"/>
    <s v="NRO_002"/>
    <s v="IHS_BMD_010"/>
    <s v="NRO_002"/>
    <x v="1"/>
    <s v="Ntumansah"/>
    <x v="1"/>
    <s v="Indoor"/>
    <s v="Bamenda 3"/>
    <s v="MEZAM"/>
    <s v="Bamenda 2"/>
    <x v="1"/>
    <n v="5.9709310000000002"/>
    <n v="10.140806"/>
    <x v="0"/>
  </r>
  <r>
    <n v="219"/>
    <s v="T0166"/>
    <s v="IHS_BMD_013"/>
    <s v="T0166"/>
    <x v="1"/>
    <s v="Ndamukong street"/>
    <x v="1"/>
    <s v="Indoor"/>
    <s v="Bamenda 2"/>
    <s v="MEZAM"/>
    <s v="Bamenda 2"/>
    <x v="1"/>
    <n v="5.9708550000000002"/>
    <n v="10.164631"/>
    <x v="0"/>
  </r>
  <r>
    <n v="220"/>
    <s v="T0436"/>
    <s v="IHS_BMD_023"/>
    <s v="T0436"/>
    <x v="1"/>
    <s v="Bamenda St Louis"/>
    <x v="1"/>
    <s v="Indoor"/>
    <s v="Bamenda 3"/>
    <s v="MEZAM"/>
    <s v="Bamenda 3"/>
    <x v="1"/>
    <n v="5.9811589999999999"/>
    <n v="10.178846999999999"/>
    <x v="0"/>
  </r>
  <r>
    <n v="221"/>
    <s v="T1441"/>
    <s v="IHS_BMD_003"/>
    <s v="T1441"/>
    <x v="1"/>
    <s v="GOSPEL RADIO"/>
    <x v="1"/>
    <s v="Outdoor"/>
    <s v="Bamenda 2"/>
    <s v="MEZAM"/>
    <s v="Bamenda 2"/>
    <x v="1"/>
    <n v="5.9593400000000001"/>
    <n v="10.14494"/>
    <x v="1"/>
  </r>
  <r>
    <n v="222"/>
    <s v="T1524"/>
    <s v="IHS_BMD_009"/>
    <s v="T1524"/>
    <x v="1"/>
    <s v="Bamenda Meta Quater"/>
    <x v="1"/>
    <s v="Outdoor"/>
    <s v="Bamenda 2"/>
    <s v="MEZAM"/>
    <s v="Bamenda 2"/>
    <x v="1"/>
    <n v="5.9420900000000003"/>
    <n v="10.15291"/>
    <x v="0"/>
  </r>
  <r>
    <n v="223"/>
    <s v="T0830"/>
    <s v="IHS_BMD_041"/>
    <s v="T0830"/>
    <x v="1"/>
    <s v="Bamessing"/>
    <x v="1"/>
    <s v="Outdoor"/>
    <s v="Bamenda 1"/>
    <s v="NGO-KETUNJIA"/>
    <s v="Ndop"/>
    <x v="1"/>
    <n v="5.99031"/>
    <n v="10.376480000000001"/>
    <x v="0"/>
  </r>
  <r>
    <n v="224"/>
    <s v="NRO_017"/>
    <s v="IHS_BMD_038"/>
    <s v="NRO_017"/>
    <x v="1"/>
    <s v="Bali"/>
    <x v="1"/>
    <s v="Indoor"/>
    <s v="Bamenda 2"/>
    <s v="MEZAM"/>
    <s v="Bali"/>
    <x v="1"/>
    <n v="5.8791859999999998"/>
    <n v="10.011922"/>
    <x v="0"/>
  </r>
  <r>
    <n v="225"/>
    <s v="T0962"/>
    <s v="IHS_BMD_058"/>
    <s v="T0962"/>
    <x v="1"/>
    <s v="Baba"/>
    <x v="1"/>
    <s v="Outdoor"/>
    <s v="Kumbo"/>
    <s v="NGO-KETUNJIA"/>
    <s v="Babessi"/>
    <x v="1"/>
    <n v="6.0702559999999997"/>
    <n v="10.487463"/>
    <x v="0"/>
  </r>
  <r>
    <n v="226"/>
    <s v="NRO_019"/>
    <s v="IHS_BMD_065"/>
    <s v="NRO_019"/>
    <x v="1"/>
    <s v="Jakiri"/>
    <x v="1"/>
    <s v="Indoor"/>
    <s v="Kumbo"/>
    <s v="BUI"/>
    <s v="Jakiri"/>
    <x v="1"/>
    <n v="6.083806"/>
    <n v="10.608499999999999"/>
    <x v="0"/>
  </r>
  <r>
    <n v="227"/>
    <s v="NRO_024"/>
    <s v="IHS_BMD_205"/>
    <s v="NRO_024"/>
    <x v="1"/>
    <s v="Babessi-T0"/>
    <x v="1"/>
    <s v="Outdoor"/>
    <s v="Kumbo"/>
    <s v="NGO-KETUNJIA"/>
    <s v="Babessi"/>
    <x v="1"/>
    <n v="6.332833333"/>
    <n v="10.58295833"/>
    <x v="0"/>
  </r>
  <r>
    <n v="228"/>
    <s v="T0149"/>
    <s v="IHS_BMD_064"/>
    <s v="T0149"/>
    <x v="1"/>
    <s v="Jakiri"/>
    <x v="1"/>
    <s v="Indoor"/>
    <s v="Kumbo"/>
    <s v="BUI"/>
    <s v="Jakiri"/>
    <x v="1"/>
    <n v="6.0825800000000001"/>
    <n v="10.60824"/>
    <x v="0"/>
  </r>
  <r>
    <n v="229"/>
    <s v="T0199"/>
    <s v="IHS_BMD_082"/>
    <s v="T0199"/>
    <x v="1"/>
    <s v="Mah BTS"/>
    <x v="1"/>
    <s v="Indoor"/>
    <s v="Nkambe"/>
    <s v="BUI"/>
    <s v="Nkum"/>
    <x v="1"/>
    <n v="6.3106299999999997"/>
    <n v="10.727040000000001"/>
    <x v="0"/>
  </r>
  <r>
    <n v="230"/>
    <s v="NRO_011"/>
    <s v="IHS_BMD_035"/>
    <s v="NRO_011"/>
    <x v="1"/>
    <s v="Mbengwi"/>
    <x v="1"/>
    <s v="Indoor"/>
    <s v="Bamenda 2"/>
    <s v="Momo"/>
    <s v="Mbengwi"/>
    <x v="1"/>
    <n v="6.0065030000000004"/>
    <n v="10.001763"/>
    <x v="0"/>
  </r>
  <r>
    <n v="231"/>
    <s v="T1817"/>
    <s v="IHS_BMD_144"/>
    <s v="T1817"/>
    <x v="1"/>
    <s v="Jakiri Church"/>
    <x v="1"/>
    <s v="Outdoor"/>
    <s v="Kumbo"/>
    <s v="BUI"/>
    <s v="Jakiri"/>
    <x v="1"/>
    <n v="6.0773165999999996"/>
    <n v="10.640361"/>
    <x v="0"/>
  </r>
  <r>
    <n v="232"/>
    <s v="T0301"/>
    <s v="IHS_BMD_033"/>
    <s v="T0301"/>
    <x v="1"/>
    <s v="Bafut"/>
    <x v="1"/>
    <s v="Indoor"/>
    <s v="Bafut"/>
    <s v="MEZAM"/>
    <s v="Bafut"/>
    <x v="1"/>
    <n v="6.0735999999999999"/>
    <n v="10.142670000000001"/>
    <x v="0"/>
  </r>
  <r>
    <n v="233"/>
    <s v="NRO_227"/>
    <s v="IHS_BMD_015"/>
    <s v="NRO_227"/>
    <x v="1"/>
    <s v="Bda-Chinde"/>
    <x v="1"/>
    <s v="Outdoor"/>
    <s v="Bamenda 2"/>
    <s v="MEZAM"/>
    <s v="Bamenda 2"/>
    <x v="1"/>
    <n v="5.9586490000000003"/>
    <n v="10.129381"/>
    <x v="0"/>
  </r>
  <r>
    <n v="234"/>
    <s v="NRO_229"/>
    <s v="IHS_BMD_024"/>
    <s v="NRO_229"/>
    <x v="1"/>
    <s v="Mendankwe"/>
    <x v="1"/>
    <s v="Outdoor"/>
    <s v="Bamenda 1"/>
    <s v="MEZAM"/>
    <s v="Bamenda 1"/>
    <x v="1"/>
    <n v="5.9335040000000001"/>
    <n v="10.183420999999999"/>
    <x v="0"/>
  </r>
  <r>
    <n v="235"/>
    <s v="NRO_006"/>
    <s v="IHS_BMD_043"/>
    <s v="NRO_006"/>
    <x v="1"/>
    <s v="Ndop"/>
    <x v="1"/>
    <s v="Indoor"/>
    <s v="Kumbo"/>
    <s v="NGO-KETUNJIA"/>
    <s v="Ndop"/>
    <x v="1"/>
    <n v="5.9846166670000001"/>
    <n v="10.43468333"/>
    <x v="0"/>
  </r>
  <r>
    <n v="236"/>
    <s v="NRO_010"/>
    <s v="IHS_BMD_050"/>
    <s v="NRO_010"/>
    <x v="1"/>
    <s v="Batibo"/>
    <x v="1"/>
    <s v="Outdoor"/>
    <s v="Bamenda 2"/>
    <s v="Momo"/>
    <s v="Batibo"/>
    <x v="1"/>
    <n v="5.8363839999999998"/>
    <n v="9.8830439999999999"/>
    <x v="0"/>
  </r>
  <r>
    <n v="237"/>
    <s v="T1576"/>
    <s v="IHS_BMD_030"/>
    <s v="T1576"/>
    <x v="1"/>
    <s v="Bambili University"/>
    <x v="1"/>
    <s v="Outdoor"/>
    <s v="Bamenda 1"/>
    <s v="MEZAM"/>
    <s v="tubah"/>
    <x v="1"/>
    <n v="6.0077199999999999"/>
    <n v="10.253880000000001"/>
    <x v="0"/>
  </r>
  <r>
    <n v="238"/>
    <s v="T1495"/>
    <s v="IHS_BMD_036"/>
    <s v="T1495"/>
    <x v="1"/>
    <s v="Bali Njenka"/>
    <x v="1"/>
    <s v="Outdoor"/>
    <s v="Bamenda 2"/>
    <s v="MEZAM"/>
    <s v="Bali"/>
    <x v="1"/>
    <n v="5.8916944439999996"/>
    <n v="10.02088889"/>
    <x v="0"/>
  </r>
  <r>
    <n v="239"/>
    <s v="T1910"/>
    <s v="IHS_BMD_012"/>
    <s v="T1910"/>
    <x v="1"/>
    <s v="Bamenda sisia quarter"/>
    <x v="1"/>
    <s v="Outdoor"/>
    <s v="Bamenda 3"/>
    <s v="MEZAM"/>
    <s v="Bamenda 2"/>
    <x v="1"/>
    <n v="5.9587719999999997"/>
    <n v="10.168169000000001"/>
    <x v="0"/>
  </r>
  <r>
    <n v="240"/>
    <s v="T1909"/>
    <s v="IHS_BMD_004"/>
    <s v="T1909"/>
    <x v="1"/>
    <s v="Bamenda hospital round about"/>
    <x v="1"/>
    <s v="Outdoor"/>
    <s v="Bamenda 2"/>
    <s v="MEZAM"/>
    <s v="Bamenda 2"/>
    <x v="1"/>
    <n v="5.9534719999999997"/>
    <n v="10.146556"/>
    <x v="1"/>
  </r>
  <r>
    <n v="241"/>
    <s v="T1326"/>
    <s v="IHS_BMD_011"/>
    <s v="T1326"/>
    <x v="1"/>
    <s v="Bamenda Ntarikon"/>
    <x v="1"/>
    <s v="Outdoor"/>
    <s v="Bamenda 3"/>
    <s v="MEZAM"/>
    <s v="Bamenda 2"/>
    <x v="1"/>
    <n v="5.9719709999999999"/>
    <n v="10.141662999999999"/>
    <x v="0"/>
  </r>
  <r>
    <n v="242"/>
    <s v="T1527"/>
    <s v="IHS_DLA_403"/>
    <s v="T1527"/>
    <x v="1"/>
    <s v="Bamenda Foncha Street"/>
    <x v="1"/>
    <s v="Outdoor"/>
    <s v="Bamenda 1"/>
    <s v="MEZAM"/>
    <s v="Bamenda 2"/>
    <x v="1"/>
    <n v="5.9725840000000003"/>
    <n v="10.173876"/>
    <x v="1"/>
  </r>
  <r>
    <n v="243"/>
    <s v="T2068"/>
    <s v="IHS_BMD_019"/>
    <s v="T2068"/>
    <x v="1"/>
    <s v="Bamenda Bus Station"/>
    <x v="1"/>
    <s v="Outdoor"/>
    <s v="Bamenda 3"/>
    <s v="MEZAM"/>
    <s v="Bamenda 1"/>
    <x v="1"/>
    <n v="5.9441670000000002"/>
    <n v="10.170555999999999"/>
    <x v="0"/>
  </r>
  <r>
    <n v="244"/>
    <s v="T1455"/>
    <s v="IHS_BMD_027"/>
    <s v="T1455"/>
    <x v="1"/>
    <s v="MANKON PALACE"/>
    <x v="1"/>
    <s v="Outdoor"/>
    <s v="Bafut"/>
    <s v="MEZAM"/>
    <s v="Bamenda 2"/>
    <x v="1"/>
    <n v="6.0110599999999996"/>
    <n v="10.11225"/>
    <x v="0"/>
  </r>
  <r>
    <n v="245"/>
    <s v="T1536"/>
    <s v="IHS_BMD_204"/>
    <s v="T1536"/>
    <x v="1"/>
    <s v="NDOP KAKE"/>
    <x v="1"/>
    <s v="Outdoor"/>
    <s v="Kumbo"/>
    <s v="NGO-KETUNJIA"/>
    <s v="Ndop"/>
    <x v="1"/>
    <n v="6.0013800000000002"/>
    <n v="10.44359"/>
    <x v="0"/>
  </r>
  <r>
    <n v="246"/>
    <s v="T0131"/>
    <s v="IHS_BMD_075"/>
    <s v="T0131"/>
    <x v="1"/>
    <s v="Kumbo"/>
    <x v="1"/>
    <s v="Indoor"/>
    <s v="Kumbo"/>
    <s v="BUI"/>
    <s v="kumbo"/>
    <x v="1"/>
    <n v="6.20106"/>
    <n v="10.70356"/>
    <x v="0"/>
  </r>
  <r>
    <n v="247"/>
    <s v="T0826"/>
    <s v="IHS_BMD_080"/>
    <s v="T0826"/>
    <x v="1"/>
    <s v="Elak Oku"/>
    <x v="1"/>
    <s v="Outdoor"/>
    <s v="Kumbo"/>
    <s v="BUI"/>
    <s v="Elak Oku"/>
    <x v="1"/>
    <n v="6.24871"/>
    <n v="10.50643"/>
    <x v="0"/>
  </r>
  <r>
    <n v="248"/>
    <s v="NRO_020"/>
    <s v="IHS_BMD_076"/>
    <s v="NRO_020"/>
    <x v="1"/>
    <s v="Kumbo-II"/>
    <x v="1"/>
    <s v="Indoor"/>
    <s v="Kumbo"/>
    <s v="BUI"/>
    <s v="kumbo"/>
    <x v="1"/>
    <n v="6.2024169999999996"/>
    <n v="10.703722000000001"/>
    <x v="0"/>
  </r>
  <r>
    <n v="249"/>
    <s v="NRO_013"/>
    <s v="IHS_BMD_081"/>
    <s v="NRO_013"/>
    <x v="1"/>
    <s v="Oku"/>
    <x v="1"/>
    <s v="Outdoor"/>
    <s v="Kumbo"/>
    <s v="BUI"/>
    <s v="Elak Oku"/>
    <x v="1"/>
    <n v="6.2387277780000003"/>
    <n v="10.498950000000001"/>
    <x v="0"/>
  </r>
  <r>
    <n v="250"/>
    <s v="T0614"/>
    <s v="IHS_BMD_051"/>
    <s v="T0614"/>
    <x v="1"/>
    <s v="Pinyin"/>
    <x v="1"/>
    <s v="Outdoor"/>
    <s v="Bamenda 2"/>
    <s v="MEZAM"/>
    <s v="Santa"/>
    <x v="1"/>
    <n v="5.7762250000000002"/>
    <n v="10.068580000000001"/>
    <x v="0"/>
  </r>
  <r>
    <n v="251"/>
    <s v="NRO_029"/>
    <s v="IHS_BMD_017"/>
    <s v="NRO_029"/>
    <x v="1"/>
    <s v="Mankon"/>
    <x v="1"/>
    <s v="Indoor"/>
    <s v="Bamenda 3"/>
    <s v="MEZAM"/>
    <s v="Bamenda 2"/>
    <x v="1"/>
    <n v="5.9838300000000002"/>
    <n v="10.129958"/>
    <x v="0"/>
  </r>
  <r>
    <n v="252"/>
    <s v="NRO_033"/>
    <s v="IHS_BMD_045"/>
    <s v="NRO_033"/>
    <x v="1"/>
    <s v="Balikumbat-Ville"/>
    <x v="1"/>
    <s v="Outdoor"/>
    <s v="Bamenda 1"/>
    <s v="NGO-KETUNJIA"/>
    <s v="Balikumbat"/>
    <x v="1"/>
    <n v="5.877891"/>
    <n v="10.389462"/>
    <x v="0"/>
  </r>
  <r>
    <n v="253"/>
    <s v="NRO_032"/>
    <s v="IHS_BMD_069"/>
    <s v="NRO_032"/>
    <x v="1"/>
    <s v="Belo"/>
    <x v="1"/>
    <s v="Outdoor"/>
    <s v="Bamenda 1"/>
    <s v="Boyo"/>
    <s v="belo"/>
    <x v="1"/>
    <n v="6.176361"/>
    <n v="10.341443999999999"/>
    <x v="0"/>
  </r>
  <r>
    <n v="254"/>
    <s v="T1053"/>
    <s v="IHS_BMD_068"/>
    <s v="T1053"/>
    <x v="1"/>
    <s v="Vikovi"/>
    <x v="1"/>
    <s v="Outdoor"/>
    <s v="Kumbo"/>
    <s v="BUI"/>
    <s v="Jakiri"/>
    <x v="1"/>
    <n v="6.1369899999999999"/>
    <n v="10.58663"/>
    <x v="0"/>
  </r>
  <r>
    <n v="255"/>
    <s v="T0642"/>
    <s v="IHS_BMD_029"/>
    <s v="T0642"/>
    <x v="1"/>
    <s v="Tubah"/>
    <x v="1"/>
    <s v="Outdoor"/>
    <s v="Bamenda 1"/>
    <s v="MEZAM"/>
    <s v="tubah"/>
    <x v="1"/>
    <n v="6.01844"/>
    <n v="10.241580000000001"/>
    <x v="0"/>
  </r>
  <r>
    <n v="256"/>
    <s v="T1040"/>
    <s v="IHS_MBD_012"/>
    <s v="T1040"/>
    <x v="1"/>
    <s v="Kombou"/>
    <x v="1"/>
    <s v="Outdoor"/>
    <s v="Bafoussam1"/>
    <s v="BAMBOUTOUS"/>
    <s v="Babadjou"/>
    <x v="1"/>
    <n v="5.7354200000000004"/>
    <n v="10.14756"/>
    <x v="0"/>
  </r>
  <r>
    <n v="257"/>
    <s v="T1066"/>
    <s v="IHS_BMD_067"/>
    <s v="T1066"/>
    <x v="1"/>
    <s v="Sop"/>
    <x v="1"/>
    <s v="Outdoor"/>
    <s v="Kumbo"/>
    <s v="BUI"/>
    <s v="Jakiri"/>
    <x v="1"/>
    <n v="6.1365400000000001"/>
    <n v="10.64364"/>
    <x v="0"/>
  </r>
  <r>
    <n v="258"/>
    <s v="NRO_222"/>
    <s v="IHS_BMD_026"/>
    <s v="NRO_222"/>
    <x v="1"/>
    <s v="Nkwein-Ntambang"/>
    <x v="1"/>
    <s v="Outdoor"/>
    <s v="Bamenda 1"/>
    <s v="MEZAM"/>
    <s v="Bamenda 3"/>
    <x v="1"/>
    <n v="5.9953599999999998"/>
    <n v="10.200519999999999"/>
    <x v="0"/>
  </r>
  <r>
    <n v="259"/>
    <s v="T0165"/>
    <s v="IHS_BMD_049"/>
    <s v="T0165"/>
    <x v="1"/>
    <s v="Batibo"/>
    <x v="1"/>
    <s v="Indoor"/>
    <s v="Bamenda 2"/>
    <s v="MEZAM"/>
    <s v="Batibo"/>
    <x v="1"/>
    <n v="5.8348899999999997"/>
    <n v="9.8834199999999992"/>
    <x v="0"/>
  </r>
  <r>
    <n v="260"/>
    <s v="T1501"/>
    <s v="IHS_BMD_022"/>
    <s v="T1501"/>
    <x v="1"/>
    <s v="Bamenda GTTC"/>
    <x v="1"/>
    <s v="Outdoor"/>
    <s v="Bamenda 1"/>
    <s v="MEZAM"/>
    <s v="Bamenda 2"/>
    <x v="1"/>
    <n v="5.9683529999999996"/>
    <n v="10.181889"/>
    <x v="0"/>
  </r>
  <r>
    <n v="261"/>
    <s v="SUO_010"/>
    <s v="IHS_BMD_032"/>
    <s v="SUO_010"/>
    <x v="1"/>
    <s v="Bambili"/>
    <x v="1"/>
    <s v="Indoor"/>
    <s v="Bamenda 1"/>
    <s v="MEZAM"/>
    <s v="Bali"/>
    <x v="1"/>
    <n v="5.9980900000000004"/>
    <n v="10.284319999999999"/>
    <x v="0"/>
  </r>
  <r>
    <n v="262"/>
    <s v="T0560"/>
    <s v="IHS_BMD_071"/>
    <s v="T0560"/>
    <x v="1"/>
    <s v="Babanki"/>
    <x v="1"/>
    <s v="Outdoor"/>
    <s v="Bamenda 1"/>
    <s v="Boyo"/>
    <s v="Tubah"/>
    <x v="1"/>
    <n v="6.139024"/>
    <n v="10.256549"/>
    <x v="0"/>
  </r>
  <r>
    <n v="263"/>
    <s v="T0126"/>
    <s v="IHS_BMD_031"/>
    <s v="T0126"/>
    <x v="1"/>
    <s v="Bambili Hill"/>
    <x v="1"/>
    <s v="Indoor"/>
    <s v="Bamenda 1"/>
    <s v="MEZAM"/>
    <s v="tubah"/>
    <x v="1"/>
    <n v="5.9980140000000004"/>
    <n v="10.284268000000001"/>
    <x v="0"/>
  </r>
  <r>
    <n v="264"/>
    <s v="T0562"/>
    <s v="IHS_BMD_046"/>
    <s v="T0562"/>
    <x v="1"/>
    <s v="Awing"/>
    <x v="1"/>
    <s v="Outdoor"/>
    <s v="Bamenda 1"/>
    <s v="MEZAM"/>
    <s v="santa"/>
    <x v="1"/>
    <n v="5.8503340000000001"/>
    <n v="10.244092999999999"/>
    <x v="0"/>
  </r>
  <r>
    <n v="265"/>
    <s v="T0161"/>
    <s v="IHS_BMD_039"/>
    <s v="T0161"/>
    <x v="1"/>
    <s v="SAR/SM Santa"/>
    <x v="1"/>
    <s v="Indoor"/>
    <s v="Bamenda 3"/>
    <s v="MEZAM"/>
    <s v="Santa"/>
    <x v="1"/>
    <n v="5.8020569999999996"/>
    <n v="10.159784"/>
    <x v="0"/>
  </r>
  <r>
    <n v="266"/>
    <s v="T0164"/>
    <s v="IHS_BMD_037"/>
    <s v="T0164"/>
    <x v="1"/>
    <s v="Bali"/>
    <x v="1"/>
    <s v="Indoor"/>
    <s v="Bamenda 2"/>
    <s v="MEZAM"/>
    <s v="Bali"/>
    <x v="1"/>
    <n v="5.8794149999999998"/>
    <n v="10.011998"/>
    <x v="0"/>
  </r>
  <r>
    <n v="267"/>
    <s v="NRO_015"/>
    <s v="IHS_BMD_073"/>
    <s v="NRO_015"/>
    <x v="1"/>
    <s v="Fundong"/>
    <x v="1"/>
    <s v="Indoor"/>
    <s v="Bamenda 1"/>
    <s v="Boyo"/>
    <s v="Fundong"/>
    <x v="1"/>
    <n v="6.2943499999999997"/>
    <n v="10.268331"/>
    <x v="0"/>
  </r>
  <r>
    <n v="268"/>
    <s v="T0487"/>
    <s v="IHS_BMD_070"/>
    <s v="T0487"/>
    <x v="1"/>
    <s v="Belo-Njinikom"/>
    <x v="1"/>
    <s v="Outdoor"/>
    <s v="Bamenda 1"/>
    <s v="Boyo"/>
    <s v="Belo"/>
    <x v="1"/>
    <n v="6.1810809999999998"/>
    <n v="10.287743000000001"/>
    <x v="0"/>
  </r>
  <r>
    <n v="269"/>
    <s v="T0132"/>
    <s v="IHS_BMD_072"/>
    <s v="T0132"/>
    <x v="1"/>
    <s v="Muchemni Fundong"/>
    <x v="1"/>
    <s v="Indoor"/>
    <s v="Bamenda 1"/>
    <s v="Boyo"/>
    <s v="Fundong"/>
    <x v="1"/>
    <n v="6.2548000000000004"/>
    <n v="10.261240000000001"/>
    <x v="0"/>
  </r>
  <r>
    <n v="270"/>
    <s v="T0100"/>
    <s v="IHS_BMD_042"/>
    <s v="T0100"/>
    <x v="1"/>
    <s v="Ndop"/>
    <x v="1"/>
    <s v="Indoor"/>
    <s v="Kumbo"/>
    <s v="NGO-KETUNJIA"/>
    <s v="Ndop"/>
    <x v="1"/>
    <n v="5.9823399999999998"/>
    <n v="10.4354"/>
    <x v="0"/>
  </r>
  <r>
    <n v="271"/>
    <s v="T0167"/>
    <s v="IHS_BMD_085"/>
    <s v="T0167"/>
    <x v="1"/>
    <s v="NDU Baptist church"/>
    <x v="1"/>
    <s v="Indoor"/>
    <s v="Nkambe"/>
    <s v="NGO-KETUNJIA"/>
    <s v="Ndu"/>
    <x v="1"/>
    <n v="6.4209259999999997"/>
    <n v="10.796643"/>
    <x v="0"/>
  </r>
  <r>
    <n v="272"/>
    <s v="NRO_009"/>
    <s v="IHS_BMD_086"/>
    <s v="NRO_009"/>
    <x v="1"/>
    <s v="Ndu"/>
    <x v="1"/>
    <s v="Indoor"/>
    <s v="Nkambe"/>
    <s v="Donga Mantoum"/>
    <s v="Ndu"/>
    <x v="1"/>
    <n v="6.420833333"/>
    <n v="10.796611110000001"/>
    <x v="0"/>
  </r>
  <r>
    <n v="273"/>
    <s v="T0360"/>
    <s v="IHS_BMD_007"/>
    <s v="T0360"/>
    <x v="1"/>
    <s v="Nitob"/>
    <x v="1"/>
    <s v="Indoor"/>
    <s v="Bamenda 2"/>
    <s v="MEZAM"/>
    <s v="Bamenda 2"/>
    <x v="1"/>
    <n v="5.9553890000000003"/>
    <n v="10.135904"/>
    <x v="0"/>
  </r>
  <r>
    <n v="274"/>
    <s v="T0558"/>
    <s v="IHS_BMD_028"/>
    <s v="T0558"/>
    <x v="1"/>
    <s v="Bamenda jerusalem"/>
    <x v="1"/>
    <s v="Outdoor"/>
    <s v="Bamenda 2"/>
    <s v="MEZAM"/>
    <s v="Bali"/>
    <x v="1"/>
    <n v="5.9113800000000003"/>
    <n v="10.14087"/>
    <x v="0"/>
  </r>
  <r>
    <n v="275"/>
    <s v="OST_113"/>
    <s v="IHS_BMD_025"/>
    <s v="OST_113"/>
    <x v="1"/>
    <s v="Bda-Titam-Naka"/>
    <x v="1"/>
    <s v="Outdoor"/>
    <s v="Bamenda 2"/>
    <s v="MEZAM"/>
    <s v="Bamenda 2"/>
    <x v="1"/>
    <n v="5.9276939999999998"/>
    <n v="10.117972"/>
    <x v="0"/>
  </r>
  <r>
    <n v="276"/>
    <s v="NRO_226"/>
    <s v="IHS_BMD_008"/>
    <s v="NRO_226"/>
    <x v="1"/>
    <s v="Bda-Nitop-II"/>
    <x v="1"/>
    <s v="Outdoor"/>
    <s v="Bamenda 2"/>
    <s v="MEZAM"/>
    <s v="Bamenda 2"/>
    <x v="1"/>
    <n v="5.9473330000000004"/>
    <n v="10.140389000000001"/>
    <x v="0"/>
  </r>
  <r>
    <n v="277"/>
    <s v="T1510"/>
    <s v="IHS_BMD_138"/>
    <s v="T1510"/>
    <x v="1"/>
    <s v="Bambili Round About"/>
    <x v="1"/>
    <s v="Outdoor"/>
    <s v="Bamenda 1"/>
    <s v="MEZAM"/>
    <s v="Tubah"/>
    <x v="1"/>
    <n v="6.00488"/>
    <n v="10.255388"/>
    <x v="1"/>
  </r>
  <r>
    <n v="278"/>
    <s v="OST_109"/>
    <s v="IHS_BMD_093"/>
    <s v="OST_109"/>
    <x v="0"/>
    <s v="Bfsam-Akwa"/>
    <x v="1"/>
    <s v="Outdoor"/>
    <s v="Bafoussam 2"/>
    <s v="MIFI"/>
    <s v="BAFOUSSAM"/>
    <x v="1"/>
    <n v="6.4742499999999996"/>
    <n v="10.419917"/>
    <x v="1"/>
  </r>
  <r>
    <n v="279"/>
    <s v="T1056"/>
    <s v="IHS_BMD_055"/>
    <s v="T1056"/>
    <x v="1"/>
    <s v="Tiben"/>
    <x v="1"/>
    <s v="Outdoor"/>
    <s v="Bamenda 2"/>
    <s v="Momo"/>
    <s v="Widikum"/>
    <x v="1"/>
    <n v="5.8486700000000003"/>
    <n v="9.81297"/>
    <x v="0"/>
  </r>
  <r>
    <n v="280"/>
    <s v="T1041"/>
    <s v="IHS_BMD_048"/>
    <s v="T1041"/>
    <x v="1"/>
    <s v="MBEKONG1041"/>
    <x v="1"/>
    <s v="Outdoor"/>
    <s v="Bafut"/>
    <s v="MENCHUM"/>
    <s v="Bafut"/>
    <x v="1"/>
    <n v="6.2010079999999999"/>
    <n v="10.06452"/>
    <x v="0"/>
  </r>
  <r>
    <n v="281"/>
    <s v="T0873"/>
    <s v="IHS_BMD_054"/>
    <s v="T0873"/>
    <x v="1"/>
    <s v="Befang"/>
    <x v="1"/>
    <s v="Outdoor"/>
    <s v="Bafut"/>
    <s v="MENCHUM"/>
    <s v="Benakuma"/>
    <x v="1"/>
    <n v="6.3379099999999999"/>
    <n v="9.9917700000000007"/>
    <x v="0"/>
  </r>
  <r>
    <n v="282"/>
    <s v="T1042"/>
    <s v="IHS_BMD_053"/>
    <s v="T1042"/>
    <x v="1"/>
    <s v="Aguli"/>
    <x v="1"/>
    <s v="Outdoor"/>
    <s v="Bafut"/>
    <s v="MENCHUM"/>
    <s v="Wum"/>
    <x v="1"/>
    <n v="6.2899950000000002"/>
    <n v="10.036151"/>
    <x v="0"/>
  </r>
  <r>
    <n v="283"/>
    <s v="T1055"/>
    <s v="IHS_BMD_088"/>
    <s v="T1055"/>
    <x v="1"/>
    <s v="Mbot"/>
    <x v="1"/>
    <s v="Outdoor"/>
    <s v="Nkambe"/>
    <s v="Donga Mantoum"/>
    <s v="Nkambe"/>
    <x v="1"/>
    <n v="6.48055"/>
    <n v="10.747643"/>
    <x v="0"/>
  </r>
  <r>
    <n v="284"/>
    <s v="NRO_246"/>
    <s v="IHS_BMD_089"/>
    <s v="NRO_246"/>
    <x v="1"/>
    <s v="Mbot"/>
    <x v="1"/>
    <s v="Outdoor"/>
    <s v="Nkambe"/>
    <s v="Donga Mantoum"/>
    <s v="Nkambe"/>
    <x v="1"/>
    <n v="6.4807920000000001"/>
    <n v="10.747964"/>
    <x v="0"/>
  </r>
  <r>
    <n v="285"/>
    <s v="NRO_219"/>
    <s v="IHS_BMD_057"/>
    <s v="NRO_219"/>
    <x v="1"/>
    <s v="Widikum"/>
    <x v="1"/>
    <s v="Outdoor"/>
    <s v="Mamfe"/>
    <s v="Momo"/>
    <s v="Widikum"/>
    <x v="1"/>
    <n v="5.8885277780000003"/>
    <n v="9.7561666670000005"/>
    <x v="0"/>
  </r>
  <r>
    <n v="286"/>
    <s v="NRO_245"/>
    <s v="IHS_BMD_084"/>
    <s v="NRO_245"/>
    <x v="1"/>
    <s v="Ntumbaw"/>
    <x v="1"/>
    <s v="Outdoor"/>
    <s v="Nkambe"/>
    <s v="Donga Mantoum"/>
    <s v="Ndu"/>
    <x v="1"/>
    <n v="6.3617499999999998"/>
    <n v="10.863111"/>
    <x v="0"/>
  </r>
  <r>
    <n v="287"/>
    <s v="NRO_238"/>
    <s v="IHS_BMD_090"/>
    <s v="NRO_238"/>
    <x v="1"/>
    <s v="Nkor"/>
    <x v="1"/>
    <s v="Outdoor"/>
    <s v="Nkambe"/>
    <s v="BUI"/>
    <s v="Nkor"/>
    <x v="1"/>
    <n v="6.35"/>
    <n v="10.566667000000001"/>
    <x v="0"/>
  </r>
  <r>
    <n v="288"/>
    <s v="NRO_237"/>
    <s v="IHS_BMD_095"/>
    <s v="NRO_237"/>
    <x v="1"/>
    <s v="Misaje"/>
    <x v="1"/>
    <s v="Outdoor"/>
    <s v="Nkambe"/>
    <s v="Donga Mantoum"/>
    <s v="Misaje"/>
    <x v="1"/>
    <n v="6.5666667099999998"/>
    <n v="10.55000004"/>
    <x v="0"/>
  </r>
  <r>
    <n v="289"/>
    <s v="NRO_218"/>
    <s v="IHS_BMD_060"/>
    <s v="NRO_218"/>
    <x v="1"/>
    <s v="Andek"/>
    <x v="1"/>
    <s v="Outdoor"/>
    <s v="Bamenda 2"/>
    <s v="Momo"/>
    <s v="Andek"/>
    <x v="1"/>
    <n v="5.9758100000000001"/>
    <n v="9.8425039999999999"/>
    <x v="0"/>
  </r>
  <r>
    <n v="290"/>
    <s v="T1971"/>
    <s v="IHS_BMD_329"/>
    <s v="T1971"/>
    <x v="1"/>
    <s v="Bambili Campus"/>
    <x v="1"/>
    <s v="Outdoor"/>
    <s v="Bamenda 1"/>
    <s v="MEZAM"/>
    <s v="Tubah"/>
    <x v="1"/>
    <n v="6.0135899999999998"/>
    <n v="10.253880000000001"/>
    <x v="0"/>
  </r>
  <r>
    <n v="291"/>
    <s v="T1883"/>
    <s v="IHS_BMD_332"/>
    <s v="T1883"/>
    <x v="1"/>
    <s v="BAMENDA NCHUOBUH"/>
    <x v="1"/>
    <s v="Outdoor"/>
    <s v="Bamenda 3"/>
    <s v="MEZAM"/>
    <s v="Bamenda 2"/>
    <x v="1"/>
    <n v="5.9655279999999999"/>
    <n v="10.127889"/>
    <x v="0"/>
  </r>
  <r>
    <n v="292"/>
    <s v="T0992"/>
    <s v="IHS_BMD_331"/>
    <s v="T0992"/>
    <x v="1"/>
    <s v="BAMENDA GRA"/>
    <x v="1"/>
    <s v="Outdoor"/>
    <s v="Bamenda 3"/>
    <s v="MEZAM"/>
    <s v="Bamenda 1"/>
    <x v="1"/>
    <n v="5.9516109999999998"/>
    <n v="10.174803000000001"/>
    <x v="0"/>
  </r>
  <r>
    <n v="293"/>
    <s v="T2729"/>
    <s v="IHS_BMD_326"/>
    <s v="T2729"/>
    <x v="1"/>
    <s v="ACHA TUGI"/>
    <x v="1"/>
    <s v="Outdoor"/>
    <s v="Bamenda 2"/>
    <s v="Momo"/>
    <s v="Andek"/>
    <x v="1"/>
    <n v="6.0813670000000002"/>
    <n v="9.8916029999999999"/>
    <x v="0"/>
  </r>
  <r>
    <n v="294"/>
    <s v="T1859"/>
    <s v="IHS_BMD_333"/>
    <s v="T1859"/>
    <x v="1"/>
    <s v="Bamenda Mile4"/>
    <x v="1"/>
    <s v="Outdoor"/>
    <s v="Bamenda 1"/>
    <s v="MEZAM"/>
    <s v="Bamenda 3"/>
    <x v="1"/>
    <n v="5.9875400000000001"/>
    <n v="10.18276"/>
    <x v="0"/>
  </r>
  <r>
    <n v="295"/>
    <s v="T1983"/>
    <s v="IHS_BMD_328"/>
    <s v="T1983"/>
    <x v="1"/>
    <s v="Nkun-Ngwo School"/>
    <x v="1"/>
    <s v="Outdoor"/>
    <s v="Bamenda 2"/>
    <s v="Momo"/>
    <s v="Njikwa"/>
    <x v="1"/>
    <n v="6.0952999999999999"/>
    <n v="9.8102999999999998"/>
    <x v="0"/>
  </r>
  <r>
    <n v="296"/>
    <s v="T1879"/>
    <s v="IHS_BMD_330"/>
    <s v="T1879"/>
    <x v="1"/>
    <s v="Bamenda Blue Moon"/>
    <x v="1"/>
    <s v="Outdoor"/>
    <s v="Bamenda 3"/>
    <s v="MEZAM"/>
    <s v="Bamenda 1"/>
    <x v="1"/>
    <n v="5.9276109999999997"/>
    <n v="10.155730999999999"/>
    <x v="0"/>
  </r>
  <r>
    <n v="297"/>
    <s v="T3464"/>
    <s v="IHS_BMD_327"/>
    <s v="T3464"/>
    <x v="1"/>
    <s v="Tugi Tugi"/>
    <x v="1"/>
    <s v="Outdoor"/>
    <s v="Bamenda 2"/>
    <s v="Momo"/>
    <s v="Andek"/>
    <x v="1"/>
    <n v="6.0576472222222204"/>
    <n v="9.9035111111111096"/>
    <x v="0"/>
  </r>
  <r>
    <n v="298"/>
    <s v="T2473"/>
    <s v="IHS_BMD_334"/>
    <s v="T2473"/>
    <x v="1"/>
    <s v="Bamenda Small Mankon"/>
    <x v="1"/>
    <s v="Outdoor"/>
    <s v="Bamenda 3"/>
    <s v="MEZAM"/>
    <s v="Bamenda 2"/>
    <x v="1"/>
    <n v="5.9689769999999998"/>
    <n v="10.147043"/>
    <x v="1"/>
  </r>
  <r>
    <n v="299"/>
    <s v="T3204"/>
    <s v="IHS_BMD_336"/>
    <s v="T3204"/>
    <x v="1"/>
    <s v="BAMBILI CAMPUS 2"/>
    <x v="1"/>
    <s v="Outdoor"/>
    <s v="Bamenda 1"/>
    <s v="MEZAM"/>
    <s v="Tubah"/>
    <x v="1"/>
    <n v="6.0106729999999997"/>
    <n v="10.241841000000001"/>
    <x v="0"/>
  </r>
  <r>
    <n v="300"/>
    <s v="T3221"/>
    <s v="IHS_BMD_335"/>
    <s v="T3221"/>
    <x v="1"/>
    <s v="BAMENDA MENTEH"/>
    <x v="1"/>
    <s v="Outdoor"/>
    <s v="Bamenda 1"/>
    <s v="MEZAM"/>
    <s v="Bamenda 3"/>
    <x v="1"/>
    <n v="5.9736729999999998"/>
    <n v="10.199527"/>
    <x v="0"/>
  </r>
  <r>
    <n v="301"/>
    <s v="T1943"/>
    <s v="IHS_MBD_020"/>
    <s v="T1943"/>
    <x v="0"/>
    <s v="Kombou Tonchi"/>
    <x v="0"/>
    <s v="Outdoor"/>
    <s v="Bafoussam1"/>
    <s v="Bamboutos"/>
    <s v="Mbouda"/>
    <x v="1"/>
    <n v="5.7216779999999998"/>
    <n v="10.182003"/>
    <x v="0"/>
  </r>
  <r>
    <n v="302"/>
    <s v="T4503"/>
    <s v="IHS_BMD_341"/>
    <s v="T4503"/>
    <x v="1"/>
    <s v="Pinyin Menka quarter"/>
    <x v="1"/>
    <s v="Outdoor"/>
    <s v="Bamenda 2"/>
    <s v="MEZAM"/>
    <s v="Bamenda 2"/>
    <x v="1"/>
    <n v="5.7739000000000003"/>
    <n v="10.105029999999999"/>
    <x v="0"/>
  </r>
  <r>
    <n v="303"/>
    <s v="T4803"/>
    <s v="IHS_BMD_342"/>
    <s v="T4803"/>
    <x v="1"/>
    <s v="Waikov"/>
    <x v="1"/>
    <s v="Outdoor"/>
    <s v="Kumbo"/>
    <s v="BUI"/>
    <s v="Nkum"/>
    <x v="1"/>
    <n v="6.2932430000000004"/>
    <n v="10.786978"/>
    <x v="0"/>
  </r>
  <r>
    <n v="304"/>
    <s v="T4859"/>
    <s v="IHS_BMD_343"/>
    <s v="T4859"/>
    <x v="1"/>
    <s v="Wossing"/>
    <x v="1"/>
    <s v="Outdoor"/>
    <s v="Bamenda"/>
    <s v="MEZAM"/>
    <s v="Bali"/>
    <x v="1"/>
    <n v="5.9220569999999997"/>
    <n v="10.068813"/>
    <x v="0"/>
  </r>
  <r>
    <n v="305"/>
    <s v="T4680"/>
    <s v="IHS_BMD_345"/>
    <s v="T4680"/>
    <x v="1"/>
    <s v="Koubokam"/>
    <x v="1"/>
    <s v="Outdoor"/>
    <s v="Kumbo"/>
    <s v="BUI"/>
    <s v="Jakiri"/>
    <x v="1"/>
    <n v="6.0379100000000001"/>
    <n v="10.68852"/>
    <x v="0"/>
  </r>
  <r>
    <n v="306"/>
    <s v="T4640"/>
    <s v="IHS_BMD_346"/>
    <s v="T4640"/>
    <x v="1"/>
    <s v="Bamali"/>
    <x v="1"/>
    <s v="Outdoor"/>
    <s v="Kumbo"/>
    <s v=" Ngoketunjia"/>
    <s v="Ndop"/>
    <x v="1"/>
    <n v="5.9220499999999996"/>
    <n v="10.435627999999999"/>
    <x v="0"/>
  </r>
  <r>
    <n v="307"/>
    <s v="T4872"/>
    <s v="IHS_BMD_347"/>
    <s v="T4872"/>
    <x v="1"/>
    <s v="NDZENG"/>
    <x v="1"/>
    <s v="Outdoor"/>
    <s v="Kumbo"/>
    <s v="BUI"/>
    <s v="Nkum"/>
    <x v="1"/>
    <n v="6.2248000000000001"/>
    <n v="10.792870000000001"/>
    <x v="0"/>
  </r>
  <r>
    <n v="308"/>
    <s v="T4873"/>
    <s v="IHS_BMD_348"/>
    <s v="T4873"/>
    <x v="1"/>
    <s v="TAKUI"/>
    <x v="1"/>
    <s v="Outdoor"/>
    <s v="Kumbo"/>
    <s v="BUI"/>
    <s v="Nkum"/>
    <x v="1"/>
    <n v="6.2639480000000001"/>
    <n v="10.751713000000001"/>
    <x v="0"/>
  </r>
  <r>
    <n v="309"/>
    <s v="T4575"/>
    <s v="IHS_BMD_349"/>
    <s v="T4575"/>
    <x v="1"/>
    <s v="Alabukam Mankon"/>
    <x v="1"/>
    <s v="Outdoor"/>
    <s v="Bamenda 2"/>
    <s v="MEZAM"/>
    <s v="Bamenda 2"/>
    <x v="1"/>
    <n v="5.97044"/>
    <n v="10.088900000000001"/>
    <x v="0"/>
  </r>
  <r>
    <n v="310"/>
    <s v="T4559"/>
    <s v="IHS_BMD_350"/>
    <s v="T4559"/>
    <x v="1"/>
    <s v="Makanikong Palace"/>
    <x v="1"/>
    <s v="Outdoor"/>
    <s v="Bamenda"/>
    <s v="MEZAM"/>
    <s v="Bafut"/>
    <x v="1"/>
    <n v="6.1054199999999996"/>
    <n v="10.084680000000001"/>
    <x v="0"/>
  </r>
  <r>
    <n v="311"/>
    <s v="T1000"/>
    <s v="IHS_BMD_352"/>
    <s v="T1000"/>
    <x v="1"/>
    <s v="Bamenda Balewa"/>
    <x v="1"/>
    <s v="Outdoor"/>
    <s v="Bamenda 3"/>
    <s v="MEZAM"/>
    <s v="Bamenda 3"/>
    <x v="1"/>
    <n v="5.9759260000000003"/>
    <n v="10.180094"/>
    <x v="0"/>
  </r>
  <r>
    <n v="312"/>
    <s v="T1048"/>
    <s v="IHS_BMD_353"/>
    <s v="T1048"/>
    <x v="1"/>
    <s v="Bamenda GRA 2"/>
    <x v="0"/>
    <s v="Outdoor"/>
    <s v="Bamenda 3"/>
    <s v="MEZAM"/>
    <s v="Bamenda 1"/>
    <x v="1"/>
    <n v="5.9571310000000004"/>
    <n v="10.179076"/>
    <x v="0"/>
  </r>
  <r>
    <n v="313"/>
    <s v="T1439"/>
    <s v="IHS_BMD_355"/>
    <s v="T1439"/>
    <x v="1"/>
    <s v="NKONTCHEP"/>
    <x v="1"/>
    <s v="Outdoor"/>
    <s v="Nkambe"/>
    <s v="Donga Mantoum"/>
    <s v="Nkambe"/>
    <x v="1"/>
    <n v="6.6634250000000002"/>
    <n v="10.76455"/>
    <x v="0"/>
  </r>
  <r>
    <n v="314"/>
    <s v="T5030"/>
    <s v="IHS_BMD_356"/>
    <s v="T5030"/>
    <x v="1"/>
    <s v="Sajocah"/>
    <x v="1"/>
    <s v="Outdoor"/>
    <s v="Bafut"/>
    <s v="MEZAM"/>
    <s v="Bafut"/>
    <x v="1"/>
    <n v="6.0658079999999996"/>
    <n v="10.101448"/>
    <x v="0"/>
  </r>
  <r>
    <n v="315"/>
    <s v="T5037"/>
    <s v="IHS_MBD_024"/>
    <s v="T5037"/>
    <x v="0"/>
    <s v="Balepo"/>
    <x v="0"/>
    <s v="Outdoor"/>
    <s v="Bafoussam 1"/>
    <s v="Bamboutos"/>
    <s v="Babadjou"/>
    <x v="1"/>
    <n v="5.71136"/>
    <n v="10.158250000000001"/>
    <x v="0"/>
  </r>
  <r>
    <n v="316"/>
    <s v="T5029"/>
    <s v="IHS_BMD_357"/>
    <s v="T5029"/>
    <x v="1"/>
    <s v="Weh"/>
    <x v="1"/>
    <s v="Outdoor"/>
    <s v="Bafut"/>
    <s v="MENCHUM"/>
    <s v="Wum"/>
    <x v="1"/>
    <n v="6.4580330000000004"/>
    <n v="10.122539"/>
    <x v="0"/>
  </r>
  <r>
    <n v="317"/>
    <s v="T2253"/>
    <s v="IHS_BMD_359"/>
    <s v="T2253"/>
    <x v="1"/>
    <s v="Bamenda Pinyi Quarter"/>
    <x v="0"/>
    <s v="Outdoor"/>
    <s v="Bamenda 2"/>
    <s v="MEZAM"/>
    <s v="Bamenda 2"/>
    <x v="1"/>
    <n v="5.962987"/>
    <n v="10.134845"/>
    <x v="0"/>
  </r>
  <r>
    <n v="318"/>
    <s v="T2261"/>
    <s v="IHS_BMD_361"/>
    <s v="T2261"/>
    <x v="1"/>
    <s v="Bamenda Mbomassa"/>
    <x v="0"/>
    <s v="Outdoor"/>
    <s v="Bamenda 2"/>
    <s v="MEZAM"/>
    <s v="Bamenda 2"/>
    <x v="1"/>
    <n v="5.9411949999999996"/>
    <n v="10.135865000000001"/>
    <x v="0"/>
  </r>
  <r>
    <n v="319"/>
    <s v="T2266"/>
    <s v="IHS_BMD_362"/>
    <s v="T2266"/>
    <x v="1"/>
    <s v="Bamenda Belem Shumas"/>
    <x v="0"/>
    <s v="Outdoor"/>
    <s v="Bamenda 2"/>
    <s v="MEZAM"/>
    <s v="Bamenda 3"/>
    <x v="1"/>
    <n v="6.0002599999999999"/>
    <n v="10.20966"/>
    <x v="0"/>
  </r>
  <r>
    <n v="320"/>
    <s v="T2247"/>
    <s v="IHS_BMD_363"/>
    <s v="T2247"/>
    <x v="1"/>
    <s v="Bamenda 2 council"/>
    <x v="0"/>
    <s v="Outdoor"/>
    <s v="Bamenda 2"/>
    <s v="MEZAM"/>
    <s v="Bamenda 3"/>
    <x v="1"/>
    <n v="5.9759690000000001"/>
    <n v="10.121524000000001"/>
    <x v="0"/>
  </r>
  <r>
    <n v="321"/>
    <s v="T2250"/>
    <s v="IHS_BMD_360"/>
    <s v="T2250"/>
    <x v="1"/>
    <s v="BAMENDA Mancho Street"/>
    <x v="0"/>
    <s v="Outdoor"/>
    <s v="Bamenda 2"/>
    <s v="MEZAM"/>
    <s v="Bamenda 2"/>
    <x v="1"/>
    <n v="5.9533959999999997"/>
    <n v="10.141564000000001"/>
    <x v="1"/>
  </r>
  <r>
    <n v="322"/>
    <s v="OST_092"/>
    <s v="IHS_NGD_096"/>
    <s v="OST_092"/>
    <x v="2"/>
    <s v="Taram-FH"/>
    <x v="0"/>
    <s v="Indoor"/>
    <s v="Tibati"/>
    <s v="TIBATI"/>
    <s v="BANYO"/>
    <x v="2"/>
    <n v="6.7066109999999997"/>
    <n v="11.779889000000001"/>
    <x v="0"/>
  </r>
  <r>
    <n v="323"/>
    <s v="T1518"/>
    <s v="IHS_BMD_2223"/>
    <s v="T1518"/>
    <x v="1"/>
    <s v="SONGKOLONG "/>
    <x v="1"/>
    <s v="Outdoor"/>
    <s v="Foumban"/>
    <s v="Mayo Banyo"/>
    <s v="Bankim"/>
    <x v="2"/>
    <n v="6.4088060000000002"/>
    <n v="11.318972"/>
    <x v="0"/>
  </r>
  <r>
    <n v="324"/>
    <s v="NRO_056"/>
    <s v="IHS_BMD_320"/>
    <s v="NRO_056"/>
    <x v="1"/>
    <s v="NTEM"/>
    <x v="1"/>
    <s v="Outdoor"/>
    <s v="Nkambe"/>
    <s v="Donga Mantoum"/>
    <s v="Nwa"/>
    <x v="2"/>
    <n v="6.3082799999999999"/>
    <n v="11.030340000000001"/>
    <x v="0"/>
  </r>
  <r>
    <n v="325"/>
    <s v="T1642"/>
    <s v="IHS_FBN_104"/>
    <s v="T1642"/>
    <x v="0"/>
    <s v="Ngambe Tikar"/>
    <x v="0"/>
    <s v="Outdoor"/>
    <s v="Foumban"/>
    <s v="MBAM ET KIM"/>
    <s v="Ngambe tikar"/>
    <x v="2"/>
    <n v="5.7818889999999996"/>
    <n v="11.489750000000001"/>
    <x v="0"/>
  </r>
  <r>
    <n v="326"/>
    <s v="CTR_303"/>
    <s v="IHS_YND_477"/>
    <s v="CTR_303"/>
    <x v="2"/>
    <s v="Mbam"/>
    <x v="0"/>
    <s v="Outdoor"/>
    <s v="Tibati"/>
    <s v="TIBATI"/>
    <s v="YOKO"/>
    <x v="2"/>
    <n v="5.9923500000000001"/>
    <n v="12.391995"/>
    <x v="0"/>
  </r>
  <r>
    <n v="327"/>
    <s v="T1821"/>
    <s v="IHS_NGD_102"/>
    <s v="T1821"/>
    <x v="2"/>
    <s v="Mayo Baleo Ville"/>
    <x v="0"/>
    <s v="Outdoor"/>
    <s v="Tibati"/>
    <s v="TIBATI"/>
    <s v="MAYO BALEO"/>
    <x v="2"/>
    <n v="7.6575829999999998"/>
    <n v="12.334389"/>
    <x v="0"/>
  </r>
  <r>
    <n v="328"/>
    <s v="CTR_301"/>
    <s v="IHS_YND_460"/>
    <s v="CTR_301"/>
    <x v="3"/>
    <s v="Matsari"/>
    <x v="0"/>
    <s v="Outdoor"/>
    <s v="N'TUI"/>
    <s v="MBAM ET KIM"/>
    <s v="YOKO"/>
    <x v="2"/>
    <n v="5.3701100000000004"/>
    <n v="12.271540999999999"/>
    <x v="0"/>
  </r>
  <r>
    <n v="329"/>
    <s v="CTR_302"/>
    <s v="IHS_YND_476"/>
    <s v="CTR_302"/>
    <x v="2"/>
    <s v="Doume-Centre"/>
    <x v="0"/>
    <s v="Outdoor"/>
    <s v="Tibati"/>
    <s v="TIBATI"/>
    <s v="YOKO"/>
    <x v="2"/>
    <n v="5.8946100000000001"/>
    <n v="12.281280000000001"/>
    <x v="0"/>
  </r>
  <r>
    <n v="330"/>
    <s v="ADM_128"/>
    <s v="IHS_NGD_228"/>
    <s v="ADM_128"/>
    <x v="2"/>
    <s v="Dogba-Ngd"/>
    <x v="0"/>
    <s v="Outdoor"/>
    <s v="Tibati"/>
    <s v="TIBATI"/>
    <s v="MAYO BALEO"/>
    <x v="2"/>
    <n v="7.6469360000000002"/>
    <n v="12.389979"/>
    <x v="0"/>
  </r>
  <r>
    <n v="331"/>
    <s v="T0812"/>
    <s v="IHS_NGD_092"/>
    <s v="T0812"/>
    <x v="2"/>
    <s v="Darasalam"/>
    <x v="0"/>
    <s v="Outdoor"/>
    <s v="Tibati"/>
    <s v="TIBATI"/>
    <s v="BANYO"/>
    <x v="2"/>
    <n v="6.656193"/>
    <n v="12.061108000000001"/>
    <x v="0"/>
  </r>
  <r>
    <n v="332"/>
    <s v="NRO_045"/>
    <s v="IHS_BMD_317"/>
    <s v="NRO_045"/>
    <x v="1"/>
    <s v="ABUENSHIE"/>
    <x v="1"/>
    <s v="Outdoor"/>
    <s v="Nkambe"/>
    <s v="Donga Mantoum"/>
    <s v="Ako"/>
    <x v="2"/>
    <n v="6.9556100000000001"/>
    <n v="10.71881"/>
    <x v="0"/>
  </r>
  <r>
    <n v="333"/>
    <s v="NRO_096"/>
    <s v="IHS_BMD_2238"/>
    <s v="NRO_096"/>
    <x v="1"/>
    <s v="Kwaja"/>
    <x v="0"/>
    <s v="Outdoor"/>
    <s v="Nkambe"/>
    <s v="Donga Mantoum"/>
    <s v="Nwa"/>
    <x v="2"/>
    <n v="6.6481199999999996"/>
    <n v="11.04256"/>
    <x v="0"/>
  </r>
  <r>
    <n v="334"/>
    <s v="T0379"/>
    <s v="IHS_YND_473"/>
    <s v="T0379"/>
    <x v="3"/>
    <s v="Yoko"/>
    <x v="0"/>
    <s v="Indoor"/>
    <s v="N'TUI"/>
    <s v="MBAM ET KIM"/>
    <s v="YOKO"/>
    <x v="2"/>
    <n v="5.5391779999999997"/>
    <n v="12.317745"/>
    <x v="0"/>
  </r>
  <r>
    <n v="335"/>
    <s v="T0723"/>
    <s v="IHS_NGD_091"/>
    <s v="T0723"/>
    <x v="2"/>
    <s v="Mbakaou"/>
    <x v="0"/>
    <s v="Outdoor"/>
    <s v="Tibati"/>
    <s v="TIBATI"/>
    <s v="TIBATI"/>
    <x v="2"/>
    <n v="6.3110799999999996"/>
    <n v="12.7965"/>
    <x v="0"/>
  </r>
  <r>
    <n v="336"/>
    <s v="OST_027"/>
    <s v="IHS_FBN_102"/>
    <s v="OST_027"/>
    <x v="0"/>
    <s v="Lamape"/>
    <x v="0"/>
    <s v="Outdoor"/>
    <s v="Foumban"/>
    <s v="Mayo Banyo"/>
    <s v="Magba"/>
    <x v="2"/>
    <n v="6.0504300000000004"/>
    <n v="11.291411999999999"/>
    <x v="0"/>
  </r>
  <r>
    <n v="337"/>
    <s v="T2107"/>
    <s v="IHS_YND_536"/>
    <s v="T2107"/>
    <x v="1"/>
    <s v=" ATTA"/>
    <x v="1"/>
    <s v="Outdoor"/>
    <s v="Foumban"/>
    <s v="Mayo Banyo"/>
    <s v="Bankim"/>
    <x v="2"/>
    <n v="6.4658329999999999"/>
    <n v="11.30917"/>
    <x v="0"/>
  </r>
  <r>
    <n v="338"/>
    <s v="CTR_335"/>
    <s v="IHS_YND_474"/>
    <s v="CTR_335"/>
    <x v="3"/>
    <s v="Yoko"/>
    <x v="0"/>
    <s v="Outdoor"/>
    <s v="N'TUI"/>
    <s v="MBAM ET KIM"/>
    <s v="YOKO"/>
    <x v="2"/>
    <n v="5.539167"/>
    <n v="12.317805999999999"/>
    <x v="0"/>
  </r>
  <r>
    <n v="339"/>
    <s v="T0431"/>
    <s v="IHS_NGD_094"/>
    <s v="T0431"/>
    <x v="2"/>
    <s v="Banyo Town"/>
    <x v="0"/>
    <s v="Indoor"/>
    <s v="Tibati"/>
    <s v="TIBATI"/>
    <s v="BANYO"/>
    <x v="2"/>
    <n v="6.7491399999999997"/>
    <n v="11.80564"/>
    <x v="1"/>
  </r>
  <r>
    <n v="340"/>
    <s v="T0324"/>
    <s v="IHS_NGD_095"/>
    <s v="T0324"/>
    <x v="2"/>
    <s v="Banyo"/>
    <x v="0"/>
    <s v="Indoor"/>
    <s v="Tibati"/>
    <s v="TIBATI"/>
    <s v="BANYO"/>
    <x v="2"/>
    <n v="6.7080000000000002"/>
    <n v="11.779"/>
    <x v="0"/>
  </r>
  <r>
    <n v="341"/>
    <s v="ADM_012"/>
    <s v="IHS_NGD_101"/>
    <s v="ADM_012"/>
    <x v="0"/>
    <s v="Bankim"/>
    <x v="0"/>
    <s v="Indoor"/>
    <s v="Foumban"/>
    <s v="Mayo Banyo"/>
    <s v="Bankim"/>
    <x v="2"/>
    <n v="6.0834000000000001"/>
    <n v="11.471778"/>
    <x v="0"/>
  </r>
  <r>
    <n v="342"/>
    <s v="ADM_105"/>
    <s v="IHS_NGD_084"/>
    <s v="ADM_105"/>
    <x v="2"/>
    <s v="Tibati Market"/>
    <x v="0"/>
    <s v="Outdoor"/>
    <s v="Tibati"/>
    <s v="TIBATI"/>
    <s v="TIBATI"/>
    <x v="2"/>
    <n v="6.4664169999999999"/>
    <n v="12.626194"/>
    <x v="0"/>
  </r>
  <r>
    <n v="343"/>
    <s v="ADM_044"/>
    <s v="IHS_NGD_083"/>
    <s v="ADM_044"/>
    <x v="2"/>
    <s v="Tibati-II"/>
    <x v="0"/>
    <s v="Indoor"/>
    <s v="Tibati"/>
    <s v="TIBATI"/>
    <s v="TIBATI"/>
    <x v="2"/>
    <n v="6.4791670000000003"/>
    <n v="12.607250000000001"/>
    <x v="0"/>
  </r>
  <r>
    <n v="344"/>
    <s v="T1009"/>
    <s v="IHS_NGD_063"/>
    <s v="T1009"/>
    <x v="2"/>
    <s v="Wadjiri"/>
    <x v="0"/>
    <s v="Outdoor"/>
    <s v="Tibati"/>
    <s v="TIBATI"/>
    <s v="TIBATI"/>
    <x v="2"/>
    <n v="6.7843900000000001"/>
    <n v="12.62387"/>
    <x v="0"/>
  </r>
  <r>
    <n v="345"/>
    <s v="NRO_230"/>
    <s v="IHS_BMD_096"/>
    <s v="NRO_230"/>
    <x v="1"/>
    <s v="Sabongari-NRO"/>
    <x v="1"/>
    <s v="Outdoor"/>
    <s v="Nkambe"/>
    <s v="Donga Mantoum"/>
    <s v="Nwa"/>
    <x v="2"/>
    <n v="6.3856109999999999"/>
    <n v="11.165082999999999"/>
    <x v="0"/>
  </r>
  <r>
    <n v="346"/>
    <s v="T1256"/>
    <s v="IHS_NGD_085"/>
    <s v="T1256"/>
    <x v="2"/>
    <s v="Meidjamba"/>
    <x v="0"/>
    <s v="Outdoor"/>
    <s v="Tibati"/>
    <s v="TIBATI"/>
    <s v="TIBATI"/>
    <x v="2"/>
    <n v="6.3372510000000002"/>
    <n v="12.555187999999999"/>
    <x v="0"/>
  </r>
  <r>
    <n v="347"/>
    <s v="T0743"/>
    <s v="IHS_NGD_098"/>
    <s v="T0743"/>
    <x v="0"/>
    <s v="Mayo Darle"/>
    <x v="0"/>
    <s v="Outdoor"/>
    <s v="Foumban"/>
    <s v="Mayo Banyo"/>
    <s v="Mayo darle"/>
    <x v="2"/>
    <n v="6.4863099999999996"/>
    <n v="11.56549"/>
    <x v="0"/>
  </r>
  <r>
    <n v="348"/>
    <s v="T1008"/>
    <s v="IHS_NGD_064"/>
    <s v="T1008"/>
    <x v="2"/>
    <s v="KOBA1008"/>
    <x v="0"/>
    <s v="Outdoor"/>
    <s v="Tibati"/>
    <s v="TIBATI"/>
    <s v="TIBATI"/>
    <x v="2"/>
    <n v="6.6571290000000003"/>
    <n v="12.569858"/>
    <x v="0"/>
  </r>
  <r>
    <n v="349"/>
    <s v="T1032"/>
    <s v="IHS_NGD_059"/>
    <s v="T1032"/>
    <x v="2"/>
    <s v="Doualayel"/>
    <x v="0"/>
    <s v="Outdoor"/>
    <s v="Tibati"/>
    <s v="TIBATI"/>
    <s v="MARTAP"/>
    <x v="2"/>
    <n v="7.0201500000000001"/>
    <n v="12.64629"/>
    <x v="0"/>
  </r>
  <r>
    <n v="350"/>
    <s v="T1063"/>
    <s v="IHS_NGD_089"/>
    <s v="T1063"/>
    <x v="2"/>
    <s v="Mbantimbang"/>
    <x v="0"/>
    <s v="Outdoor"/>
    <s v="Tibati"/>
    <s v="TIBATI"/>
    <s v="TIBATI"/>
    <x v="2"/>
    <n v="6.1586400000000001"/>
    <n v="12.47822"/>
    <x v="0"/>
  </r>
  <r>
    <n v="351"/>
    <s v="T1253"/>
    <s v="IHS_NGD_093"/>
    <s v="T1253"/>
    <x v="2"/>
    <s v="MBAMTI"/>
    <x v="0"/>
    <s v="Outdoor"/>
    <s v="Tibati"/>
    <s v="TIBATI"/>
    <s v="BANYO"/>
    <x v="2"/>
    <n v="6.7180559999999998"/>
    <n v="11.936389"/>
    <x v="0"/>
  </r>
  <r>
    <n v="352"/>
    <s v="T1254"/>
    <s v="IHS_NGD_097"/>
    <s v="T1254"/>
    <x v="2"/>
    <s v="BON MARCHE"/>
    <x v="0"/>
    <s v="Outdoor"/>
    <s v="Tibati"/>
    <s v="TIBATI"/>
    <s v="BANYO"/>
    <x v="2"/>
    <n v="6.6026100000000003"/>
    <n v="11.63467"/>
    <x v="0"/>
  </r>
  <r>
    <n v="353"/>
    <s v="T0811"/>
    <s v="IHS_NGD_086"/>
    <s v="T0811"/>
    <x v="2"/>
    <s v="Wada"/>
    <x v="0"/>
    <s v="Outdoor"/>
    <s v="Tibati"/>
    <s v="TIBATI"/>
    <s v="TIBATI"/>
    <x v="2"/>
    <n v="6.5324989999999996"/>
    <n v="12.378031"/>
    <x v="0"/>
  </r>
  <r>
    <n v="354"/>
    <s v="T0327"/>
    <s v="IHS_NGD_100"/>
    <s v="T0327"/>
    <x v="0"/>
    <s v="Pangari"/>
    <x v="0"/>
    <s v="Indoor"/>
    <s v="Foumban"/>
    <s v="Mayo Banyo"/>
    <s v="Mayo darle"/>
    <x v="2"/>
    <n v="6.3443100000000001"/>
    <n v="11.61402"/>
    <x v="0"/>
  </r>
  <r>
    <n v="355"/>
    <s v="T0734"/>
    <s v="IHS_BMD_208"/>
    <s v="T0734"/>
    <x v="1"/>
    <s v="Nwa OCM "/>
    <x v="1"/>
    <s v="Outdoor"/>
    <s v="Nkambe"/>
    <s v="Donga Mantoum"/>
    <s v="Nwa"/>
    <x v="2"/>
    <n v="6.4783730000000004"/>
    <n v="11.063392"/>
    <x v="0"/>
  </r>
  <r>
    <n v="356"/>
    <s v="NRO_012"/>
    <s v="IHS_BMD_097"/>
    <s v="NRO_012"/>
    <x v="1"/>
    <s v="Nwa"/>
    <x v="1"/>
    <s v="Indoor"/>
    <s v="Nkambe"/>
    <s v="Donga Mantoum"/>
    <s v="Nwa"/>
    <x v="2"/>
    <n v="6.4797500000000001"/>
    <n v="11.063917"/>
    <x v="0"/>
  </r>
  <r>
    <n v="357"/>
    <s v="T1062"/>
    <s v="IHS_YND_475"/>
    <s v="T1062"/>
    <x v="3"/>
    <s v="Ngoum"/>
    <x v="0"/>
    <s v="Outdoor"/>
    <s v="N'TUI"/>
    <s v="MBAM ET KIM"/>
    <s v="YOKO"/>
    <x v="2"/>
    <n v="5.7734310000000004"/>
    <n v="12.405530000000001"/>
    <x v="0"/>
  </r>
  <r>
    <n v="358"/>
    <s v="ADM_055"/>
    <s v="IHS_NGD_090"/>
    <s v="ADM_055"/>
    <x v="2"/>
    <s v="Mbantinbang-FH"/>
    <x v="0"/>
    <s v="Outdoor"/>
    <s v="Tibati"/>
    <s v="TIBATI"/>
    <s v="TIBATI"/>
    <x v="2"/>
    <n v="6.1638060000000001"/>
    <n v="12.477805999999999"/>
    <x v="0"/>
  </r>
  <r>
    <n v="359"/>
    <s v="ADM_043"/>
    <s v="IHS_NGD_088"/>
    <s v="ADM_043"/>
    <x v="2"/>
    <s v="Mayo-Tolere-I"/>
    <x v="0"/>
    <s v="Indoor"/>
    <s v="Tibati"/>
    <s v="TIBATI"/>
    <s v="BANYO"/>
    <x v="2"/>
    <n v="6.6143770000000002"/>
    <n v="12.167878"/>
    <x v="0"/>
  </r>
  <r>
    <n v="360"/>
    <s v="T0328"/>
    <s v="IHS_NGD_087"/>
    <s v="T0328"/>
    <x v="2"/>
    <s v="Mayo-Tolere"/>
    <x v="0"/>
    <s v="Indoor"/>
    <s v="Tibati"/>
    <s v="TIBATI"/>
    <s v="BANYO"/>
    <x v="2"/>
    <n v="6.60182"/>
    <n v="12.171602999999999"/>
    <x v="0"/>
  </r>
  <r>
    <n v="361"/>
    <s v="OST_093"/>
    <s v="IHS_NGD_099"/>
    <s v="OST_093"/>
    <x v="0"/>
    <s v="Mayo-Djinga-FH"/>
    <x v="0"/>
    <s v="Indoor"/>
    <s v="Foumban"/>
    <s v="Mayo Banyo"/>
    <s v="Mayo darle"/>
    <x v="2"/>
    <n v="6.4118060000000003"/>
    <n v="11.579611"/>
    <x v="0"/>
  </r>
  <r>
    <n v="362"/>
    <s v="T1007"/>
    <s v="IHS_NGD_074"/>
    <s v="T1007"/>
    <x v="2"/>
    <s v="MAAKOLA"/>
    <x v="0"/>
    <s v="Outdoor"/>
    <s v="Tibati"/>
    <s v="TIBATI"/>
    <s v="NGAOUNDAL"/>
    <x v="2"/>
    <n v="6.5778299999999996"/>
    <n v="12.740572"/>
    <x v="0"/>
  </r>
  <r>
    <n v="363"/>
    <s v="ADM_024"/>
    <s v="IHS_NGD_060"/>
    <s v="ADM_024"/>
    <x v="2"/>
    <s v="Galim-Tignere"/>
    <x v="0"/>
    <s v="Outdoor"/>
    <s v="Tibati"/>
    <s v="TIBATI"/>
    <s v="GALIM TIGNERE"/>
    <x v="2"/>
    <n v="7.090992"/>
    <n v="12.476749"/>
    <x v="0"/>
  </r>
  <r>
    <n v="364"/>
    <s v="T1216"/>
    <s v="IHS_NGD_234"/>
    <s v="T1216"/>
    <x v="2"/>
    <s v="Tibati Market New"/>
    <x v="0"/>
    <s v="Indoor"/>
    <s v="Tibati"/>
    <s v="TIBATI"/>
    <s v="TIBATI"/>
    <x v="2"/>
    <n v="6.4654299999999996"/>
    <n v="12.62649"/>
    <x v="0"/>
  </r>
  <r>
    <n v="365"/>
    <s v="T1602"/>
    <s v="IHS_NGD_229"/>
    <s v="T1602"/>
    <x v="2"/>
    <s v="DJOA"/>
    <x v="0"/>
    <s v="Outdoor"/>
    <s v="Tibati"/>
    <s v="TIBATI"/>
    <s v="TIBATI"/>
    <x v="2"/>
    <n v="6.5131139999999998"/>
    <n v="12.478317000000001"/>
    <x v="0"/>
  </r>
  <r>
    <n v="366"/>
    <s v="T0222"/>
    <s v="IHS_NGD_231"/>
    <s v="T0222"/>
    <x v="2"/>
    <s v="SAMBO LABO"/>
    <x v="0"/>
    <s v="Outdoor"/>
    <s v="Tibati"/>
    <s v="TIBATI"/>
    <s v="BANYO"/>
    <x v="2"/>
    <n v="7.0679689999999997"/>
    <n v="11.980188999999999"/>
    <x v="0"/>
  </r>
  <r>
    <n v="367"/>
    <s v="T1621"/>
    <s v="IHS_NGD_238"/>
    <s v="T1621"/>
    <x v="2"/>
    <s v="Tela"/>
    <x v="0"/>
    <s v="Outdoor"/>
    <s v="Tibati"/>
    <s v="Djerem"/>
    <s v="Tibati"/>
    <x v="2"/>
    <n v="6.5259140000000002"/>
    <n v="12.614929"/>
    <x v="0"/>
  </r>
  <r>
    <n v="368"/>
    <s v="T1885"/>
    <s v="IHS_NGD_237"/>
    <s v="T1885"/>
    <x v="2"/>
    <s v="Bingari"/>
    <x v="0"/>
    <s v="Outdoor"/>
    <s v="Tibati"/>
    <s v="Djerem"/>
    <s v="Tibati"/>
    <x v="2"/>
    <n v="6.5528015000000002"/>
    <n v="12.3154298"/>
    <x v="0"/>
  </r>
  <r>
    <n v="369"/>
    <s v="T1947"/>
    <s v="IHS_NGD_240"/>
    <s v="T1947"/>
    <x v="2"/>
    <s v="Labare"/>
    <x v="0"/>
    <s v="Outdoor"/>
    <s v="Tibati"/>
    <s v="Mayo-Banyo"/>
    <s v="Banyo"/>
    <x v="2"/>
    <n v="6.7046390000000002"/>
    <n v="11.91661"/>
    <x v="0"/>
  </r>
  <r>
    <n v="370"/>
    <s v="T1386"/>
    <s v="IHS_NGD_246"/>
    <s v="T1386"/>
    <x v="2"/>
    <s v="Banyo Wouroum"/>
    <x v="0"/>
    <s v="Outdoor"/>
    <s v="Tibati"/>
    <s v="Banyo "/>
    <s v="Mayo Banyo "/>
    <x v="2"/>
    <n v="6.755776"/>
    <n v="11.822793000000001"/>
    <x v="0"/>
  </r>
  <r>
    <n v="371"/>
    <s v="T1433"/>
    <s v="IHS_NGD_247"/>
    <s v="T1433"/>
    <x v="0"/>
    <s v="BANKIM WATER TANK"/>
    <x v="0"/>
    <s v="Outdoor"/>
    <s v="Foumban"/>
    <s v="Mayo Banyo"/>
    <s v="Bankim"/>
    <x v="2"/>
    <n v="6.0878300000000003"/>
    <n v="11.498201999999999"/>
    <x v="0"/>
  </r>
  <r>
    <n v="372"/>
    <s v="T1895"/>
    <s v="IHS_NGD_106"/>
    <s v="T1895"/>
    <x v="2"/>
    <s v="Tibati 3"/>
    <x v="0"/>
    <s v="Outdoor"/>
    <s v="Tibati"/>
    <s v="TIBATI"/>
    <s v="TIBATI"/>
    <x v="2"/>
    <n v="6.4719610000000003"/>
    <n v="12.623745"/>
    <x v="0"/>
  </r>
  <r>
    <n v="373"/>
    <s v="T2058"/>
    <s v="IHS_NGD_107"/>
    <s v="T2058"/>
    <x v="2"/>
    <s v="Galim Tignere 2"/>
    <x v="0"/>
    <s v="Outdoor"/>
    <m/>
    <s v="FARO ET DEO"/>
    <s v="GALIM TIGNERE"/>
    <x v="2"/>
    <n v="7.0979530000000004"/>
    <n v="12.473915"/>
    <x v="0"/>
  </r>
  <r>
    <n v="374"/>
    <s v="EST_116"/>
    <s v="IHS_BER_160"/>
    <s v="EST_116"/>
    <x v="4"/>
    <s v="Tongo Ngandinma"/>
    <x v="0"/>
    <s v="Outdoor"/>
    <s v="Garoua Boulai"/>
    <s v="LOM-ET-DJEREM"/>
    <s v="Goura"/>
    <x v="3"/>
    <n v="5.1848270000000003"/>
    <n v="14.000816"/>
    <x v="0"/>
  </r>
  <r>
    <n v="375"/>
    <s v="T1808"/>
    <s v="IHS_BER_105"/>
    <s v="T1808"/>
    <x v="4"/>
    <s v="SFID NDENG"/>
    <x v="0"/>
    <s v="Outdoor"/>
    <s v="Yokadouma"/>
    <s v="Yokadouma (Mboumba et Ngoko) "/>
    <s v="Sfdi deng "/>
    <x v="3"/>
    <n v="3.7863699999999998"/>
    <n v="14.993912"/>
    <x v="0"/>
  </r>
  <r>
    <n v="376"/>
    <s v="T2143"/>
    <s v="IHS_BER_106"/>
    <s v="T2143"/>
    <x v="4"/>
    <s v="SALAPOUMBE VILLE"/>
    <x v="0"/>
    <s v="Outdoor"/>
    <s v="Yokadouma"/>
    <s v="Yokadouma (Mboumba et Ngoko) "/>
    <s v="Salapoumbe "/>
    <x v="3"/>
    <n v="2.6364169999999998"/>
    <n v="15.368528"/>
    <x v="0"/>
  </r>
  <r>
    <n v="377"/>
    <s v="EST_114"/>
    <s v="IHS_BER_159"/>
    <s v="EST_114"/>
    <x v="4"/>
    <s v="Ouli"/>
    <x v="0"/>
    <s v="Outdoor"/>
    <s v="Batouri"/>
    <s v="Batouri (Kadey) "/>
    <s v="Kette "/>
    <x v="3"/>
    <n v="5.19977"/>
    <n v="14.555227"/>
    <x v="0"/>
  </r>
  <r>
    <n v="378"/>
    <s v="T0591"/>
    <s v="IHS_YND_458"/>
    <s v="T0591"/>
    <x v="4"/>
    <s v="Minta"/>
    <x v="0"/>
    <s v="Outdoor"/>
    <s v="Nanga Eboko"/>
    <s v="HAUTE-SANAGA "/>
    <s v="Minta"/>
    <x v="3"/>
    <n v="4.5658950000000003"/>
    <n v="12.831797"/>
    <x v="0"/>
  </r>
  <r>
    <n v="379"/>
    <s v="T2133"/>
    <s v="IHS_BER_104"/>
    <s v="T2133"/>
    <x v="4"/>
    <s v="MINDOUROU  GRUMCAM"/>
    <x v="0"/>
    <s v="Outdoor"/>
    <s v="Batouri"/>
    <s v="Batouri (Kadey) "/>
    <s v="Mindourou Grumcam "/>
    <x v="3"/>
    <n v="4.1020000000000003"/>
    <n v="14.574638999999999"/>
    <x v="0"/>
  </r>
  <r>
    <n v="380"/>
    <s v="T0916"/>
    <s v="IHS_SGM_024"/>
    <s v="T0916"/>
    <x v="5"/>
    <s v="Meveme"/>
    <x v="0"/>
    <s v="Outdoor"/>
    <s v="Djoum"/>
    <s v="DJA-ET-LOBO"/>
    <s v="COMMUNE DE MINTOM"/>
    <x v="3"/>
    <n v="2.6893099999999999"/>
    <n v="13.18544"/>
    <x v="0"/>
  </r>
  <r>
    <n v="381"/>
    <s v="EST_074"/>
    <s v="IHS_BER_050"/>
    <s v="EST_074"/>
    <x v="4"/>
    <s v="Mazabe"/>
    <x v="0"/>
    <s v="Outdoor"/>
    <s v="Abong Mbang"/>
    <s v="HAUT-NYONG"/>
    <s v="ABONGMBANG"/>
    <x v="3"/>
    <n v="4.0102909999999996"/>
    <n v="13.004276000000001"/>
    <x v="0"/>
  </r>
  <r>
    <n v="382"/>
    <s v="EST_072"/>
    <s v="IHS_BER_015"/>
    <s v="EST_072"/>
    <x v="4"/>
    <s v="Longtimbi"/>
    <x v="0"/>
    <s v="Outdoor"/>
    <s v="Bertoua"/>
    <s v="LOM-ET-DJEREM"/>
    <s v="Bertoua 1"/>
    <x v="3"/>
    <n v="4.4727499999999996"/>
    <n v="13.620556000000001"/>
    <x v="0"/>
  </r>
  <r>
    <n v="383"/>
    <s v="EST_071"/>
    <s v="IHS_BER_023"/>
    <s v="EST_071"/>
    <x v="4"/>
    <s v="Kouen"/>
    <x v="0"/>
    <s v="Outdoor"/>
    <s v="Abong Mbang"/>
    <s v="HAUT-NYONG"/>
    <s v="DIMAKO"/>
    <x v="3"/>
    <n v="4.3124719999999996"/>
    <n v="13.507417"/>
    <x v="0"/>
  </r>
  <r>
    <n v="384"/>
    <s v="T1222"/>
    <s v="IHS_BER_014"/>
    <s v="T1222"/>
    <x v="4"/>
    <s v="KOUBA"/>
    <x v="0"/>
    <s v="Outdoor"/>
    <s v="Bertoua"/>
    <s v="LOM-ET-DJEREM"/>
    <s v="Mandjou"/>
    <x v="3"/>
    <n v="4.6361619999999997"/>
    <n v="13.778363000000001"/>
    <x v="0"/>
  </r>
  <r>
    <n v="385"/>
    <s v="EST_115"/>
    <s v="IHS_BER_152"/>
    <s v="EST_115"/>
    <x v="4"/>
    <s v="Kika"/>
    <x v="0"/>
    <s v="Outdoor"/>
    <s v="Yokadouma"/>
    <s v=" Yokadouma (Mboumba et Ngoko)"/>
    <s v="Moloundou "/>
    <x v="3"/>
    <n v="2.2778999999999998"/>
    <n v="15.34802"/>
    <x v="0"/>
  </r>
  <r>
    <n v="386"/>
    <s v="T1664"/>
    <s v="IHS_BER_051"/>
    <s v="T1664"/>
    <x v="4"/>
    <s v="Goura"/>
    <x v="0"/>
    <s v="Outdoor"/>
    <s v="Garoua Boulai"/>
    <s v="LOM-ET-DJEREM"/>
    <s v="Goura"/>
    <x v="3"/>
    <n v="4.884315"/>
    <n v="14.241692"/>
    <x v="0"/>
  </r>
  <r>
    <n v="387"/>
    <s v="EST_101"/>
    <s v="IHS_BER_157"/>
    <s v="EST_101"/>
    <x v="4"/>
    <s v="GBITI"/>
    <x v="0"/>
    <s v="Outdoor"/>
    <s v="Batouri"/>
    <s v="Batouri (Kadey) "/>
    <s v="Kette "/>
    <x v="3"/>
    <n v="4.6994179999999997"/>
    <n v="14.709052"/>
    <x v="0"/>
  </r>
  <r>
    <n v="388"/>
    <s v="T2119"/>
    <s v="IHS_BER_102"/>
    <s v="T2119"/>
    <x v="4"/>
    <s v="DOUMETAING VILLE"/>
    <x v="0"/>
    <s v="Outdoor"/>
    <s v="Abong Mbang"/>
    <s v="HAUT-NYONG"/>
    <s v="Nguelemedouka"/>
    <x v="3"/>
    <n v="4.3394630000000003"/>
    <n v="13.103797"/>
    <x v="0"/>
  </r>
  <r>
    <n v="389"/>
    <s v="T2002"/>
    <s v="IHS_BER_103"/>
    <s v="T2002"/>
    <x v="4"/>
    <s v="DENG DENG"/>
    <x v="0"/>
    <s v="Outdoor"/>
    <s v="Bertoua"/>
    <s v="Lom et Djerem "/>
    <s v="BELABO"/>
    <x v="3"/>
    <n v="5.1926670000000001"/>
    <n v="13.525722"/>
    <x v="0"/>
  </r>
  <r>
    <n v="390"/>
    <s v="EST_096"/>
    <s v="IHS_BER_156"/>
    <s v="EST_096"/>
    <x v="4"/>
    <s v="BOUBARA"/>
    <x v="0"/>
    <s v="Outdoor"/>
    <s v="Batouri"/>
    <s v="Batouri ( Kadey) "/>
    <s v="Kette"/>
    <x v="3"/>
    <n v="4.711417"/>
    <n v="14.592556"/>
    <x v="0"/>
  </r>
  <r>
    <n v="391"/>
    <s v="T2111"/>
    <s v="IHS_YND_534"/>
    <s v="T2111"/>
    <x v="4"/>
    <s v="BIBEY ( MENGUE -BIBEY)"/>
    <x v="0"/>
    <s v="Outdoor"/>
    <s v="Nanga Eboko"/>
    <s v="HAUTE-SANAGA "/>
    <s v="Bibey"/>
    <x v="3"/>
    <n v="4.8650739999999999"/>
    <n v="12.835894"/>
    <x v="0"/>
  </r>
  <r>
    <n v="392"/>
    <s v="T1405"/>
    <s v="IHS_BER_286"/>
    <s v="T1405"/>
    <x v="4"/>
    <s v="Bertoua Mokolo"/>
    <x v="0"/>
    <s v="Outdoor"/>
    <s v="Bertoua"/>
    <s v="LOM-ET-DJEREM"/>
    <s v="Bertoua 2"/>
    <x v="3"/>
    <n v="4.5829120000000003"/>
    <n v="13.681293"/>
    <x v="0"/>
  </r>
  <r>
    <n v="393"/>
    <s v="EST_025"/>
    <s v="IHS_BER_100"/>
    <s v="EST_025"/>
    <x v="4"/>
    <s v="Bertoua-Camp-SIC_IHS"/>
    <x v="0"/>
    <s v="Outdoor"/>
    <s v="Bertoua"/>
    <s v="Bertoua (Lom et djerem) "/>
    <s v="Bertoua 1"/>
    <x v="3"/>
    <n v="4.5831090000000003"/>
    <n v="13.669368"/>
    <x v="0"/>
  </r>
  <r>
    <n v="394"/>
    <s v="EST_032"/>
    <s v="IHS_BER_009"/>
    <s v="EST_032"/>
    <x v="4"/>
    <s v="Bertoua-Kano"/>
    <x v="0"/>
    <s v="Outdoor"/>
    <s v="Bertoua"/>
    <s v="LOM-ET-DJEREM"/>
    <s v="MANDJOU"/>
    <x v="3"/>
    <n v="4.5874870000000003"/>
    <n v="13.727865"/>
    <x v="0"/>
  </r>
  <r>
    <n v="395"/>
    <s v="T1624"/>
    <s v="IHS_BER_040"/>
    <s v="T1624"/>
    <x v="4"/>
    <s v="ABONG MBANG TOWN"/>
    <x v="0"/>
    <s v="Outdoor"/>
    <s v="Abong Mbang"/>
    <s v="HAUT-NYONG"/>
    <s v="ABONGMBANG"/>
    <x v="3"/>
    <n v="4.0113029999999998"/>
    <n v="13.183552000000001"/>
    <x v="0"/>
  </r>
  <r>
    <n v="396"/>
    <s v="T1634"/>
    <s v="IHS_BER_008"/>
    <s v="T1634"/>
    <x v="4"/>
    <s v="BERTOUA KOUME"/>
    <x v="0"/>
    <s v="Outdoor"/>
    <s v="Bertoua"/>
    <s v="LOM-ET-DJEREM"/>
    <s v="Bertoua 1"/>
    <x v="3"/>
    <n v="4.5628099999999998"/>
    <n v="13.65113"/>
    <x v="0"/>
  </r>
  <r>
    <n v="397"/>
    <s v="T1046"/>
    <s v="IHS_YND_467"/>
    <s v="T1046"/>
    <x v="4"/>
    <s v="Nguen Mimbang"/>
    <x v="0"/>
    <s v="Outdoor"/>
    <s v="Nanga Eboko"/>
    <s v="HAUTE-SANAGA "/>
    <s v="Minta"/>
    <x v="3"/>
    <n v="4.6094330000000001"/>
    <n v="13.130236999999999"/>
    <x v="0"/>
  </r>
  <r>
    <n v="398"/>
    <s v="T1632"/>
    <s v="IHS_BER_074"/>
    <s v="T1632"/>
    <x v="4"/>
    <s v="Yokadouma 2"/>
    <x v="0"/>
    <s v="Outdoor"/>
    <s v="Yokadouma"/>
    <s v="BOUMBA-ET-NGOKO"/>
    <s v="YOKADOUMA"/>
    <x v="3"/>
    <n v="3.5266000000000002"/>
    <n v="15.0512"/>
    <x v="0"/>
  </r>
  <r>
    <n v="399"/>
    <s v="T0489"/>
    <s v="IHS_BER_081"/>
    <s v="T0489"/>
    <x v="4"/>
    <s v="Lokomo"/>
    <x v="0"/>
    <s v="Indoor"/>
    <s v="Yokadouma"/>
    <s v="Yokadouma (Mboumba et Ngoko) "/>
    <s v="Salapoumbe "/>
    <x v="3"/>
    <n v="2.6892299999999998"/>
    <n v="15.4604"/>
    <x v="0"/>
  </r>
  <r>
    <n v="400"/>
    <s v="T0681"/>
    <s v="IHS_BER_018"/>
    <s v="T0681"/>
    <x v="4"/>
    <s v="Fio"/>
    <x v="0"/>
    <s v="Outdoor"/>
    <s v="Bertoua"/>
    <s v="KADEY"/>
    <s v="MANDJOU"/>
    <x v="3"/>
    <n v="4.5047819999999996"/>
    <n v="13.977182000000001"/>
    <x v="0"/>
  </r>
  <r>
    <n v="401"/>
    <s v="T1676"/>
    <s v="IHS_BUA_100"/>
    <s v="T1676"/>
    <x v="4"/>
    <s v="Bertoua Hopital"/>
    <x v="0"/>
    <s v="Outdoor"/>
    <s v="Bertoua"/>
    <s v="LOM-ET-DJEREM"/>
    <s v="Bertoua 2"/>
    <x v="3"/>
    <n v="4.5628820000000001"/>
    <n v="13.696778"/>
    <x v="0"/>
  </r>
  <r>
    <n v="402"/>
    <s v="T1016"/>
    <s v="IHS_BER_049"/>
    <s v="T1016"/>
    <x v="4"/>
    <s v="Bamako"/>
    <x v="0"/>
    <s v="Outdoor"/>
    <s v="Abong Mbang"/>
    <s v="HAUT-NYONG"/>
    <s v="ABONGMBANG"/>
    <x v="3"/>
    <n v="4.010872"/>
    <n v="13.063677"/>
    <x v="0"/>
  </r>
  <r>
    <n v="403"/>
    <s v="EST_017"/>
    <s v="IHS_BER_064"/>
    <s v="EST_017"/>
    <x v="3"/>
    <s v="Atok"/>
    <x v="0"/>
    <s v="Indoor"/>
    <s v="Akonolinga"/>
    <s v="HAUT-NYONG"/>
    <s v="ATOK"/>
    <x v="3"/>
    <n v="3.9936180000000001"/>
    <n v="12.775784"/>
    <x v="0"/>
  </r>
  <r>
    <n v="404"/>
    <s v="T0232"/>
    <s v="IHS_BER_025"/>
    <s v="T0232"/>
    <x v="4"/>
    <s v="Tikondi"/>
    <x v="0"/>
    <s v="Indoor"/>
    <s v="Batouri"/>
    <s v="KADEY"/>
    <s v="BATOURI"/>
    <x v="3"/>
    <n v="4.4625700000000004"/>
    <n v="14.141220000000001"/>
    <x v="0"/>
  </r>
  <r>
    <n v="405"/>
    <s v="T0151"/>
    <s v="IHS_BER_032"/>
    <s v="T0151"/>
    <x v="4"/>
    <s v="Batouri Kako"/>
    <x v="0"/>
    <s v="Indoor"/>
    <s v="Batouri"/>
    <s v="BOUMBA-ET-NGOKO"/>
    <s v="BATOURI"/>
    <x v="3"/>
    <n v="4.4371400000000003"/>
    <n v="14.36679"/>
    <x v="0"/>
  </r>
  <r>
    <n v="406"/>
    <s v="T0650"/>
    <s v="IHS_BER_005"/>
    <s v="T0650"/>
    <x v="4"/>
    <s v="Bertoua Hill"/>
    <x v="0"/>
    <s v="Outdoor"/>
    <s v="Bertoua"/>
    <s v="LOM-ET-DJEREM"/>
    <s v="Bertoua 2"/>
    <x v="3"/>
    <n v="4.5953499999999998"/>
    <n v="13.683579999999999"/>
    <x v="0"/>
  </r>
  <r>
    <n v="407"/>
    <s v="EST_082"/>
    <s v="IHS_BER_048"/>
    <s v="EST_082"/>
    <x v="4"/>
    <s v="Bagofit"/>
    <x v="0"/>
    <s v="Outdoor"/>
    <s v="Abong Mbang"/>
    <s v="HAUT-NYONG"/>
    <s v="ABONGMBANG"/>
    <x v="3"/>
    <n v="4.012194"/>
    <n v="13.102888999999999"/>
    <x v="0"/>
  </r>
  <r>
    <n v="408"/>
    <s v="T1601"/>
    <s v="IHS_BER_140"/>
    <s v="T1601"/>
    <x v="4"/>
    <s v="Bertoua Bindia"/>
    <x v="0"/>
    <s v="Outdoor"/>
    <s v="Bertoua"/>
    <s v="Lom et Djerem "/>
    <s v="Bertoua 2"/>
    <x v="3"/>
    <n v="4.582255"/>
    <n v="13.742837"/>
    <x v="0"/>
  </r>
  <r>
    <n v="409"/>
    <s v="T0902"/>
    <s v="IHS_BER_036"/>
    <s v="T0902"/>
    <x v="4"/>
    <s v="Paki"/>
    <x v="0"/>
    <s v="Outdoor"/>
    <s v="Abong Mbang"/>
    <s v="HAUT-NYONG"/>
    <s v="DOUME"/>
    <x v="3"/>
    <n v="4.2061640000000002"/>
    <n v="13.399851"/>
    <x v="0"/>
  </r>
  <r>
    <n v="410"/>
    <s v="EST_008"/>
    <s v="IHS_BER_033"/>
    <s v="EST_008"/>
    <x v="4"/>
    <s v="Djangane"/>
    <x v="0"/>
    <s v="Indoor"/>
    <s v="Bertoua"/>
    <s v="LOM-ET-DJEREM"/>
    <s v="BELABO"/>
    <x v="3"/>
    <n v="4.8370329999999999"/>
    <n v="13.35773"/>
    <x v="0"/>
  </r>
  <r>
    <n v="411"/>
    <s v="EST_003"/>
    <s v="IHS_BER_021"/>
    <s v="EST_003"/>
    <x v="4"/>
    <s v="Bouam"/>
    <x v="0"/>
    <s v="Indoor"/>
    <s v="Bertoua"/>
    <s v="LOM-ET-DJEREM"/>
    <s v="Diang"/>
    <x v="3"/>
    <n v="4.5702220000000002"/>
    <n v="13.435889"/>
    <x v="0"/>
  </r>
  <r>
    <n v="412"/>
    <s v="T0054"/>
    <s v="IHS_BER_027"/>
    <s v="T0054"/>
    <x v="4"/>
    <s v="Doume"/>
    <x v="0"/>
    <s v="Indoor"/>
    <s v="Abong Mbang"/>
    <s v="HAUT-NYONG"/>
    <s v="DOUME"/>
    <x v="3"/>
    <n v="4.2421899999999999"/>
    <n v="13.453965"/>
    <x v="0"/>
  </r>
  <r>
    <n v="413"/>
    <s v="EST_108"/>
    <s v="IHS_BER_151"/>
    <s v="EST_108"/>
    <x v="4"/>
    <s v="Bertoua Q Admin"/>
    <x v="0"/>
    <s v="Outdoor"/>
    <s v="Bertoua"/>
    <s v="Bertoua (Lom et Djerem) "/>
    <s v="Bertoua 1"/>
    <x v="3"/>
    <n v="4.5722699999999996"/>
    <n v="13.6678"/>
    <x v="0"/>
  </r>
  <r>
    <n v="414"/>
    <s v="T0297"/>
    <s v="IHS_BER_006"/>
    <s v="T0297"/>
    <x v="4"/>
    <s v="Enia Bertoua"/>
    <x v="0"/>
    <s v="Indoor"/>
    <s v="Bertoua"/>
    <s v="LOM-ET-DJEREM"/>
    <s v="Bertoua 2"/>
    <x v="3"/>
    <n v="4.5804140000000002"/>
    <n v="13.709025"/>
    <x v="0"/>
  </r>
  <r>
    <n v="415"/>
    <s v="EST_087"/>
    <s v="IHS_BER_007"/>
    <s v="EST_087"/>
    <x v="4"/>
    <s v="Bertoua-Dabadi"/>
    <x v="0"/>
    <s v="Outdoor"/>
    <s v="Bertoua"/>
    <s v="LOM-ET-DJEREM"/>
    <s v="Bertoua 1"/>
    <x v="3"/>
    <n v="4.5667499999999999"/>
    <n v="13.650083"/>
    <x v="1"/>
  </r>
  <r>
    <n v="416"/>
    <s v="T1541"/>
    <s v="IHS_BER_010"/>
    <s v="T1541"/>
    <x v="4"/>
    <s v="Mandjou"/>
    <x v="0"/>
    <s v="Outdoor"/>
    <s v="Bertoua"/>
    <s v="LOM-ET-DJEREM"/>
    <s v="MANDJOU"/>
    <x v="3"/>
    <n v="4.5951389999999996"/>
    <n v="13.741220999999999"/>
    <x v="0"/>
  </r>
  <r>
    <n v="417"/>
    <s v="T1617"/>
    <s v="IHS_BER_107"/>
    <s v="T1617"/>
    <x v="4"/>
    <s v="bertoua Birpondo"/>
    <x v="0"/>
    <s v="Outdoor"/>
    <s v="Bertoua"/>
    <s v="Bertoua (Lom et Djerem) "/>
    <s v="Bertoua 1"/>
    <x v="3"/>
    <n v="4.5940760000000003"/>
    <n v="13.671739000000001"/>
    <x v="0"/>
  </r>
  <r>
    <n v="418"/>
    <s v="T0154"/>
    <s v="IHS_BER_034"/>
    <s v="T0154"/>
    <x v="4"/>
    <s v="Belabo"/>
    <x v="0"/>
    <s v="Indoor"/>
    <s v="Bertoua"/>
    <s v="LOM-ET-DJEREM"/>
    <s v="BELABO"/>
    <x v="3"/>
    <n v="4.9085299999999998"/>
    <n v="13.298385"/>
    <x v="0"/>
  </r>
  <r>
    <n v="419"/>
    <s v="EST_051"/>
    <s v="IHS_BER_004"/>
    <s v="EST_051"/>
    <x v="4"/>
    <s v="Bertoua-Ngaikada"/>
    <x v="0"/>
    <s v="Outdoor"/>
    <s v="Bertoua"/>
    <s v="LOM-ET-DJEREM"/>
    <s v="Bertoua 2"/>
    <x v="3"/>
    <n v="4.5694999999999997"/>
    <n v="13.702833"/>
    <x v="0"/>
  </r>
  <r>
    <n v="420"/>
    <s v="EST_020"/>
    <s v="IHS_BER_028"/>
    <s v="EST_020"/>
    <x v="4"/>
    <s v="Doume"/>
    <x v="0"/>
    <s v="Indoor"/>
    <s v="Abong Mbang"/>
    <s v="HAUT-NYONG"/>
    <s v="DOUME"/>
    <x v="3"/>
    <n v="4.2455080000000001"/>
    <n v="13.436278"/>
    <x v="0"/>
  </r>
  <r>
    <n v="421"/>
    <s v="T0427"/>
    <s v="IHS_BER_001"/>
    <s v="T0427"/>
    <x v="4"/>
    <s v="Bertoua DC"/>
    <x v="0"/>
    <s v="Indoor"/>
    <s v="Bertoua"/>
    <s v="LOM-ET-DJEREM"/>
    <s v="Bertoua 2"/>
    <x v="3"/>
    <n v="4.5748699999999998"/>
    <n v="13.68188"/>
    <x v="1"/>
  </r>
  <r>
    <n v="422"/>
    <s v="EST_079"/>
    <s v="IHS_BER_002"/>
    <s v="EST_079"/>
    <x v="4"/>
    <s v="Bertoua-Tigaza"/>
    <x v="0"/>
    <s v="Outdoor"/>
    <s v="Bertoua"/>
    <s v="LOM-ET-DJEREM"/>
    <s v="BERTOUA "/>
    <x v="3"/>
    <n v="4.5658269999999996"/>
    <n v="13.681137"/>
    <x v="0"/>
  </r>
  <r>
    <n v="423"/>
    <s v="T1758"/>
    <s v="IHS_BER_146"/>
    <s v="T1758"/>
    <x v="4"/>
    <s v="Bertoua Enia 2"/>
    <x v="0"/>
    <s v="Outdoor"/>
    <s v="Bertoua"/>
    <s v="Lom et Djerem "/>
    <s v="Bertoua 2"/>
    <x v="3"/>
    <n v="4.5842749999999999"/>
    <n v="13.699157"/>
    <x v="0"/>
  </r>
  <r>
    <n v="424"/>
    <s v="T0672"/>
    <s v="IHS_BER_011"/>
    <s v="T0672"/>
    <x v="4"/>
    <s v="Bonis"/>
    <x v="0"/>
    <s v="Outdoor"/>
    <s v="Bertoua"/>
    <s v="LOM-ET-DJEREM"/>
    <s v="Bertoua 1"/>
    <x v="3"/>
    <n v="4.55091"/>
    <n v="13.61664"/>
    <x v="0"/>
  </r>
  <r>
    <n v="425"/>
    <s v="T1604"/>
    <s v="IHS_BER_127"/>
    <s v="T1604"/>
    <x v="4"/>
    <s v="Batouri 2"/>
    <x v="0"/>
    <s v="Outdoor"/>
    <s v="Batouri"/>
    <s v="Batouri (Kadey) "/>
    <s v="Batouri "/>
    <x v="3"/>
    <n v="4.4348099999999997"/>
    <n v="14.348018"/>
    <x v="0"/>
  </r>
  <r>
    <n v="426"/>
    <s v="EST_075"/>
    <s v="IHS_BER_013"/>
    <s v="EST_075"/>
    <x v="4"/>
    <s v="Ndemba"/>
    <x v="0"/>
    <s v="Outdoor"/>
    <s v="Bertoua"/>
    <s v="LOM-ET-DJEREM"/>
    <s v="MANDJOU"/>
    <x v="3"/>
    <n v="4.5655559999999999"/>
    <n v="13.829333"/>
    <x v="0"/>
  </r>
  <r>
    <n v="427"/>
    <s v="T0229"/>
    <s v="IHS_BER_037"/>
    <s v="T0229"/>
    <x v="4"/>
    <s v="Nkoum"/>
    <x v="0"/>
    <s v="Indoor"/>
    <s v="Abong Mbang"/>
    <s v="HAUT-NYONG"/>
    <s v="ABONGMBANG"/>
    <x v="3"/>
    <n v="4.1669499999999999"/>
    <n v="13.29461"/>
    <x v="0"/>
  </r>
  <r>
    <n v="428"/>
    <s v="T0909"/>
    <s v="IHS_BER_039"/>
    <s v="T0909"/>
    <x v="4"/>
    <s v="Djende"/>
    <x v="0"/>
    <s v="Outdoor"/>
    <s v="Abong Mbang"/>
    <s v="HAUT-NYONG"/>
    <s v="ABONGMBANG"/>
    <x v="3"/>
    <n v="4.0724330000000002"/>
    <n v="13.216856"/>
    <x v="0"/>
  </r>
  <r>
    <n v="429"/>
    <s v="EST_019"/>
    <s v="IHS_BER_020"/>
    <s v="EST_019"/>
    <x v="4"/>
    <s v="Dimako"/>
    <x v="0"/>
    <s v="Indoor"/>
    <s v="Bertoua"/>
    <s v="HAUT-NYONG"/>
    <s v="Dimako"/>
    <x v="3"/>
    <n v="4.3759639999999997"/>
    <n v="13.586667"/>
    <x v="0"/>
  </r>
  <r>
    <n v="430"/>
    <s v="T0739"/>
    <s v="IHS_BER_076"/>
    <s v="T0739"/>
    <x v="4"/>
    <s v="Nguelemendouka"/>
    <x v="0"/>
    <s v="Outdoor"/>
    <s v="Abong Mbang"/>
    <s v="HAUT-NYONG"/>
    <s v="Nguelemedouka"/>
    <x v="3"/>
    <n v="4.3932799999999999"/>
    <n v="12.926769999999999"/>
    <x v="0"/>
  </r>
  <r>
    <n v="431"/>
    <s v="EST_010"/>
    <s v="IHS_BER_080"/>
    <s v="EST_010"/>
    <x v="4"/>
    <s v="Lomie"/>
    <x v="0"/>
    <s v="Indoor"/>
    <s v="Abong Mbang"/>
    <s v="HAUT-NYONG"/>
    <s v="Lomie "/>
    <x v="3"/>
    <n v="3.1653470000000001"/>
    <n v="13.620278000000001"/>
    <x v="0"/>
  </r>
  <r>
    <n v="432"/>
    <s v="T0048"/>
    <s v="IHS_BER_019"/>
    <s v="T0048"/>
    <x v="4"/>
    <s v="Dimako"/>
    <x v="0"/>
    <s v="Indoor"/>
    <s v="Bertoua"/>
    <s v="HAUT-NYONG"/>
    <s v="Dimako"/>
    <x v="3"/>
    <n v="4.3830559999999998"/>
    <n v="13.581154"/>
    <x v="0"/>
  </r>
  <r>
    <n v="433"/>
    <s v="EST_036"/>
    <s v="IHS_BER_041"/>
    <s v="EST_036"/>
    <x v="4"/>
    <s v="Abong-Mbang-II"/>
    <x v="0"/>
    <s v="Indoor"/>
    <s v="Abong Mbang"/>
    <s v="HAUT-NYONG"/>
    <s v="ABONGMBANG"/>
    <x v="3"/>
    <n v="3.9994529999999999"/>
    <n v="13.180543"/>
    <x v="0"/>
  </r>
  <r>
    <n v="434"/>
    <s v="EST_022"/>
    <s v="IHS_BER_038"/>
    <s v="EST_022"/>
    <x v="4"/>
    <s v="Nkoum"/>
    <x v="0"/>
    <s v="Indoor"/>
    <s v="Abong Mbang"/>
    <s v="HAUT-NYONG"/>
    <s v="ABONGMBANG"/>
    <x v="3"/>
    <n v="4.1651790000000002"/>
    <n v="13.292535000000001"/>
    <x v="0"/>
  </r>
  <r>
    <n v="435"/>
    <s v="EST_024"/>
    <s v="IHS_BER_077"/>
    <s v="EST_024"/>
    <x v="4"/>
    <s v="Nguelemendouka-FH"/>
    <x v="0"/>
    <s v="Outdoor"/>
    <s v="Abong Mbang"/>
    <s v="HAUT-NYONG"/>
    <s v="Nguelemedouka"/>
    <x v="3"/>
    <n v="4.3921609999999998"/>
    <n v="12.924780999999999"/>
    <x v="0"/>
  </r>
  <r>
    <n v="436"/>
    <s v="EST_057"/>
    <s v="IHS_YND_449"/>
    <s v="EST_057"/>
    <x v="3"/>
    <s v="Kobdombo"/>
    <x v="0"/>
    <s v="Outdoor"/>
    <s v="Akonolinga"/>
    <s v="NYONG-ET-MFOUMOU "/>
    <s v="ENDOM"/>
    <x v="3"/>
    <n v="4.0451949999999997"/>
    <n v="12.742241"/>
    <x v="0"/>
  </r>
  <r>
    <n v="437"/>
    <s v="T0738"/>
    <s v="IHS_BER_022"/>
    <s v="T0738"/>
    <x v="4"/>
    <s v="Diang"/>
    <x v="0"/>
    <s v="Outdoor"/>
    <s v="Bertoua"/>
    <s v="LOM-ET-DJEREM"/>
    <s v="Diang"/>
    <x v="3"/>
    <n v="4.5790800000000003"/>
    <n v="13.348292000000001"/>
    <x v="0"/>
  </r>
  <r>
    <n v="438"/>
    <s v="T1902"/>
    <s v="IHS_SGM_027"/>
    <s v="T1902"/>
    <x v="5"/>
    <s v="Nkolmeyos"/>
    <x v="0"/>
    <s v="Outdoor"/>
    <s v="Djoum"/>
    <s v="DJA-ET-LOBO"/>
    <s v="COMMUNE DE MINTOM"/>
    <x v="3"/>
    <n v="2.3821699999999999"/>
    <n v="13.408300000000001"/>
    <x v="0"/>
  </r>
  <r>
    <n v="439"/>
    <s v="T1903"/>
    <s v="IHS_SGM_028"/>
    <s v="T1903"/>
    <x v="5"/>
    <s v="Mokom"/>
    <x v="0"/>
    <s v="Outdoor"/>
    <s v="Djoum"/>
    <s v="DJA-ET-LOBO"/>
    <s v="COMMUNE DE MINTOM"/>
    <x v="3"/>
    <n v="2.22763"/>
    <n v="13.510070000000001"/>
    <x v="0"/>
  </r>
  <r>
    <n v="440"/>
    <s v="T1904"/>
    <s v="IHS_BER_085"/>
    <s v="T1904"/>
    <x v="5"/>
    <s v="Makamekouma"/>
    <x v="0"/>
    <s v="Outdoor"/>
    <s v="Djoum"/>
    <s v="Haut-Nyong  "/>
    <s v="  Ngoyla"/>
    <x v="3"/>
    <n v="2.19719"/>
    <n v="13.74174"/>
    <x v="0"/>
  </r>
  <r>
    <n v="441"/>
    <s v="T1145"/>
    <s v="IHS_BER_054"/>
    <s v="T1145"/>
    <x v="4"/>
    <s v="Lom Pangar"/>
    <x v="0"/>
    <s v="Outdoor"/>
    <s v="Bertoua"/>
    <s v="LOM-ET-DJEREM"/>
    <s v="BELABO"/>
    <x v="3"/>
    <n v="5.3718620000000001"/>
    <n v="13.490098"/>
    <x v="0"/>
  </r>
  <r>
    <n v="442"/>
    <s v="T1144"/>
    <s v="IHS_BER_052"/>
    <s v="T1144"/>
    <x v="4"/>
    <s v="Kolomine"/>
    <x v="0"/>
    <s v="Outdoor"/>
    <s v="Garoua Boulai"/>
    <s v="LOM-ET-DJEREM"/>
    <s v="Goura"/>
    <x v="3"/>
    <n v="4.9976580000000004"/>
    <n v="14.381155"/>
    <x v="0"/>
  </r>
  <r>
    <n v="443"/>
    <s v="T0907"/>
    <s v="IHS_BER_062"/>
    <s v="T0907"/>
    <x v="4"/>
    <s v="Bigoens"/>
    <x v="0"/>
    <s v="Outdoor"/>
    <s v="Abong Mbang"/>
    <s v="HAUT-NYONG"/>
    <s v="ABONGMBANG"/>
    <x v="3"/>
    <n v="4.0009600000000001"/>
    <n v="12.925414999999999"/>
    <x v="0"/>
  </r>
  <r>
    <n v="444"/>
    <s v="T1074"/>
    <s v="IHS_BER_026"/>
    <s v="T1074"/>
    <x v="4"/>
    <s v="Badongoue"/>
    <x v="0"/>
    <s v="Outdoor"/>
    <s v="Batouri"/>
    <s v="KADEY"/>
    <s v="BATOURI"/>
    <x v="3"/>
    <n v="4.406612"/>
    <n v="14.229778"/>
    <x v="0"/>
  </r>
  <r>
    <n v="445"/>
    <s v="T1901"/>
    <s v="IHS_SGM_026"/>
    <s v="T1901"/>
    <x v="5"/>
    <s v="Akom Centre Hill"/>
    <x v="0"/>
    <s v="Outdoor"/>
    <s v="Djoum"/>
    <s v="DJA-ET-LOBO"/>
    <s v="COMMUNE DE MINTOM"/>
    <x v="3"/>
    <n v="2.6310289999999998"/>
    <n v="13.312939999999999"/>
    <x v="0"/>
  </r>
  <r>
    <n v="446"/>
    <s v="T0384"/>
    <s v="IHS_BER_044"/>
    <s v="T0384"/>
    <x v="4"/>
    <s v="Gomala"/>
    <x v="0"/>
    <s v="Outdoor"/>
    <s v="Batouri"/>
    <s v="KADEY"/>
    <s v="KENTZOU"/>
    <x v="3"/>
    <n v="4.3303099999999999"/>
    <n v="14.83357"/>
    <x v="0"/>
  </r>
  <r>
    <n v="447"/>
    <s v="T1320"/>
    <s v="IHS_BER_012"/>
    <s v="T1320"/>
    <x v="5"/>
    <s v="SANBI"/>
    <x v="0"/>
    <s v="Outdoor"/>
    <s v="Bertoua"/>
    <s v="LOM-ET-DJEREM"/>
    <s v="mandjou"/>
    <x v="3"/>
    <n v="4.5703379999999996"/>
    <n v="13.79133"/>
    <x v="0"/>
  </r>
  <r>
    <n v="448"/>
    <s v="T0780"/>
    <s v="IHS_BER_079"/>
    <s v="T0780"/>
    <x v="4"/>
    <s v="Nkamona Hill"/>
    <x v="0"/>
    <s v="Outdoor"/>
    <s v="Abong Mbang"/>
    <s v="HAUT-NYONG"/>
    <s v=" Lomie"/>
    <x v="3"/>
    <n v="3.2681439999999999"/>
    <n v="13.846781999999999"/>
    <x v="0"/>
  </r>
  <r>
    <n v="449"/>
    <s v="T1231"/>
    <s v="IHS_BER_059"/>
    <s v="T1231"/>
    <x v="4"/>
    <s v="Yola"/>
    <x v="0"/>
    <s v="Outdoor"/>
    <s v="Yokadouma"/>
    <s v="BOUMBA-ET-NGOKO"/>
    <s v="NDELELE"/>
    <x v="3"/>
    <n v="4.0302699999999998"/>
    <n v="15.02003"/>
    <x v="0"/>
  </r>
  <r>
    <n v="450"/>
    <s v="T1069"/>
    <s v="IHS_YND_455"/>
    <s v="T1069"/>
    <x v="4"/>
    <s v="Nkombong"/>
    <x v="0"/>
    <s v="Outdoor"/>
    <s v="Nanga Eboko"/>
    <s v="HAUTE-SANAGA "/>
    <s v="Nanga Eboko"/>
    <x v="3"/>
    <n v="4.6750319999999999"/>
    <n v="12.551557000000001"/>
    <x v="0"/>
  </r>
  <r>
    <n v="451"/>
    <s v="T0490"/>
    <s v="IHS_BER_075"/>
    <s v="T0490"/>
    <x v="4"/>
    <s v="Ngola"/>
    <x v="0"/>
    <s v="Outdoor"/>
    <s v="Yokadouma"/>
    <s v="BOUMBA-ET-NGOKO"/>
    <s v="YOKADOUMA"/>
    <x v="3"/>
    <n v="3.3214899999999998"/>
    <n v="15.31142"/>
    <x v="0"/>
  </r>
  <r>
    <n v="452"/>
    <s v="EST_054"/>
    <s v="IHS_BER_046"/>
    <s v="EST_054"/>
    <x v="4"/>
    <s v="Ndokayo"/>
    <x v="0"/>
    <s v="Indoor"/>
    <s v="Garoua Boulai"/>
    <s v="LOM-ET-DJEREM"/>
    <s v="BETARE OYA"/>
    <x v="3"/>
    <n v="5.4952030000000001"/>
    <n v="14.151427999999999"/>
    <x v="0"/>
  </r>
  <r>
    <n v="453"/>
    <s v="T0248"/>
    <s v="IHS_BER_045"/>
    <s v="T0248"/>
    <x v="4"/>
    <s v="Ndokayo"/>
    <x v="0"/>
    <s v="Indoor"/>
    <s v="Garoua Boulai"/>
    <s v="LOM-ET-DJEREM"/>
    <s v="BETARE OYA"/>
    <x v="3"/>
    <n v="5.4956699999999996"/>
    <n v="14.150840000000001"/>
    <x v="0"/>
  </r>
  <r>
    <n v="454"/>
    <s v="T0385"/>
    <s v="IHS_BER_060"/>
    <s v="T0385"/>
    <x v="4"/>
    <s v="Ndelele"/>
    <x v="0"/>
    <s v="Outdoor"/>
    <s v="Yokadouma"/>
    <s v="BOUMBA-ET-NGOKO"/>
    <s v="NDELELE"/>
    <x v="3"/>
    <n v="4.0482129999999996"/>
    <n v="14.918008"/>
    <x v="0"/>
  </r>
  <r>
    <n v="455"/>
    <s v="T1044"/>
    <s v="IHS_YND_457"/>
    <s v="T1044"/>
    <x v="4"/>
    <s v="Ndandouck"/>
    <x v="0"/>
    <s v="Outdoor"/>
    <s v="Nanga Eboko"/>
    <s v="HAUTE-SANAGA "/>
    <s v="Minta"/>
    <x v="3"/>
    <n v="4.59443"/>
    <n v="12.697252000000001"/>
    <x v="0"/>
  </r>
  <r>
    <n v="456"/>
    <s v="EST_015"/>
    <s v="IHS_BER_082"/>
    <s v="EST_015"/>
    <x v="4"/>
    <s v="Moloundou"/>
    <x v="0"/>
    <s v="Indoor"/>
    <s v="Yokadouma"/>
    <s v="Yokadouma (Mboumba et ngoko) "/>
    <s v="Moloundou "/>
    <x v="3"/>
    <n v="2.0476079999999999"/>
    <n v="15.225778"/>
    <x v="0"/>
  </r>
  <r>
    <n v="457"/>
    <s v="T0315"/>
    <s v="IHS_SGM_025"/>
    <s v="T0315"/>
    <x v="5"/>
    <s v="Mintom"/>
    <x v="0"/>
    <s v="Indoor"/>
    <s v="Djoum"/>
    <s v="DJA-ET-LOBO"/>
    <s v="COMMUNE DE MINTOM"/>
    <x v="3"/>
    <n v="2.6954530000000001"/>
    <n v="13.288270000000001"/>
    <x v="0"/>
  </r>
  <r>
    <n v="458"/>
    <s v="EST_012"/>
    <s v="IHS_BER_073"/>
    <s v="EST_012"/>
    <x v="4"/>
    <s v="Mindourou"/>
    <x v="0"/>
    <s v="Indoor"/>
    <s v="Abong Mbang"/>
    <s v="KADEY"/>
    <s v="MINDOUROU"/>
    <x v="3"/>
    <n v="3.5718429999999999"/>
    <n v="13.399944"/>
    <x v="0"/>
  </r>
  <r>
    <n v="459"/>
    <s v="EST_046"/>
    <s v="IHS_BER_072"/>
    <s v="EST_046"/>
    <x v="4"/>
    <s v="Messamena"/>
    <x v="0"/>
    <s v="Outdoor"/>
    <s v="Abong Mbang"/>
    <s v="HAUT-NYONG"/>
    <s v="MESSAMENA"/>
    <x v="3"/>
    <n v="3.7356280000000002"/>
    <n v="12.828688"/>
    <x v="0"/>
  </r>
  <r>
    <n v="460"/>
    <s v="EST_053"/>
    <s v="IHS_BER_030"/>
    <s v="EST_053"/>
    <x v="4"/>
    <s v="Mbele-Mbeke"/>
    <x v="0"/>
    <s v="Indoor"/>
    <s v="Garoua Boulai"/>
    <s v="LOM-ET-DJEREM"/>
    <s v="Goura"/>
    <x v="3"/>
    <n v="5.0577569999999996"/>
    <n v="14.037787"/>
    <x v="0"/>
  </r>
  <r>
    <n v="461"/>
    <s v="T0201"/>
    <s v="IHS_BER_029"/>
    <s v="T0201"/>
    <x v="4"/>
    <s v="Mbele Mbeke"/>
    <x v="0"/>
    <s v="Indoor"/>
    <s v="Garoua Boulai"/>
    <s v="LOM-ET-DJEREM"/>
    <s v="Goura"/>
    <x v="3"/>
    <n v="5.0574170000000001"/>
    <n v="14.038582999999999"/>
    <x v="0"/>
  </r>
  <r>
    <n v="462"/>
    <s v="EST_011"/>
    <s v="IHS_BER_055"/>
    <s v="EST_011"/>
    <x v="4"/>
    <s v="Mbang"/>
    <x v="0"/>
    <s v="Indoor"/>
    <s v="Batouri"/>
    <s v="KADEY"/>
    <s v="MBANG"/>
    <x v="3"/>
    <n v="3.9682240000000002"/>
    <n v="14.269698999999999"/>
    <x v="0"/>
  </r>
  <r>
    <n v="463"/>
    <s v="T0610"/>
    <s v="IHS_BER_083"/>
    <s v="T0610"/>
    <x v="5"/>
    <s v="Mballam"/>
    <x v="0"/>
    <s v="Outdoor"/>
    <s v="Djoum"/>
    <s v="Haut-Nyong "/>
    <s v=" Ngoyla"/>
    <x v="3"/>
    <n v="2.2298100000000001"/>
    <n v="13.86411"/>
    <x v="0"/>
  </r>
  <r>
    <n v="464"/>
    <s v="T0846"/>
    <s v="IHS_BER_024"/>
    <s v="T0846"/>
    <x v="4"/>
    <s v="Letta Rock"/>
    <x v="0"/>
    <s v="Outdoor"/>
    <s v="Bertoua"/>
    <s v="LOM-ET-DJEREM"/>
    <s v="Mandjou"/>
    <x v="3"/>
    <n v="4.9221069999999996"/>
    <n v="13.838283000000001"/>
    <x v="0"/>
  </r>
  <r>
    <n v="465"/>
    <s v="EST_045"/>
    <s v="IHS_BER_053"/>
    <s v="EST_045"/>
    <x v="4"/>
    <s v="Kette"/>
    <x v="0"/>
    <s v="Outdoor"/>
    <s v="Batouri"/>
    <s v="KADEY"/>
    <s v="KETTE"/>
    <x v="3"/>
    <n v="4.8880559999999997"/>
    <n v="14.544055999999999"/>
    <x v="0"/>
  </r>
  <r>
    <n v="466"/>
    <s v="EST_016"/>
    <s v="IHS_BER_058"/>
    <s v="EST_016"/>
    <x v="4"/>
    <s v="Kenzou"/>
    <x v="0"/>
    <s v="Indoor"/>
    <s v="Batouri"/>
    <s v="KADEY"/>
    <s v="KENTZOU"/>
    <x v="3"/>
    <n v="4.1767779999999997"/>
    <n v="15.032306"/>
    <x v="0"/>
  </r>
  <r>
    <n v="467"/>
    <s v="T0387"/>
    <s v="IHS_BER_057"/>
    <s v="T0387"/>
    <x v="4"/>
    <s v="Kentzou"/>
    <x v="0"/>
    <s v="Indoor"/>
    <s v="Batouri"/>
    <s v="KADEY"/>
    <s v="KENTZOU"/>
    <x v="3"/>
    <n v="4.1713399999999998"/>
    <n v="15.030373000000001"/>
    <x v="0"/>
  </r>
  <r>
    <n v="468"/>
    <s v="EST_048"/>
    <s v="IHS_BER_061"/>
    <s v="EST_048"/>
    <x v="4"/>
    <s v="Gari-Gombo"/>
    <x v="0"/>
    <s v="Outdoor"/>
    <s v="Yokadouma"/>
    <s v="BOUMBA-ET-NGOKO"/>
    <s v="GARIGOMBO"/>
    <x v="3"/>
    <n v="3.9268209999999999"/>
    <n v="15.114776000000001"/>
    <x v="0"/>
  </r>
  <r>
    <n v="469"/>
    <s v="T1021"/>
    <s v="IHS_BER_042"/>
    <s v="T1021"/>
    <x v="4"/>
    <s v="Garga Sarali"/>
    <x v="0"/>
    <s v="Outdoor"/>
    <s v="Garoua Boulai"/>
    <s v="LOM-ET-DJEREM"/>
    <s v="Goura"/>
    <x v="3"/>
    <n v="5.2988249999999999"/>
    <n v="14.026668000000001"/>
    <x v="0"/>
  </r>
  <r>
    <n v="470"/>
    <s v="T1220"/>
    <s v="IHS_BER_035"/>
    <s v="T1220"/>
    <x v="4"/>
    <s v="Djira"/>
    <x v="0"/>
    <s v="Outdoor"/>
    <s v="Batouri"/>
    <s v="KADEY"/>
    <s v="Batouri"/>
    <x v="3"/>
    <n v="4.4560469999999999"/>
    <n v="14.461987000000001"/>
    <x v="0"/>
  </r>
  <r>
    <n v="471"/>
    <s v="EST_056"/>
    <s v="IHS_BER_017"/>
    <s v="EST_056"/>
    <x v="4"/>
    <s v="Brigaya"/>
    <x v="0"/>
    <s v="Indoor"/>
    <s v="Bertoua"/>
    <s v="LOM-ET-DJEREM"/>
    <s v="MANDJOU"/>
    <x v="3"/>
    <n v="4.6964090000000001"/>
    <n v="13.832781000000001"/>
    <x v="0"/>
  </r>
  <r>
    <n v="472"/>
    <s v="T0212"/>
    <s v="IHS_BER_016"/>
    <s v="T0212"/>
    <x v="4"/>
    <s v="Brigaya"/>
    <x v="0"/>
    <s v="Indoor"/>
    <s v="Bertoua"/>
    <s v="LOM-ET-DJEREM"/>
    <s v="Mandjou"/>
    <x v="3"/>
    <n v="4.6964199999999998"/>
    <n v="13.832808999999999"/>
    <x v="0"/>
  </r>
  <r>
    <n v="473"/>
    <s v="T0383"/>
    <s v="IHS_BER_043"/>
    <s v="T0383"/>
    <x v="4"/>
    <s v="Borongoue"/>
    <x v="0"/>
    <s v="Indoor"/>
    <s v="Batouri"/>
    <s v="KADEY"/>
    <s v="Batouri"/>
    <x v="3"/>
    <n v="4.3894650000000004"/>
    <n v="14.594251999999999"/>
    <x v="0"/>
  </r>
  <r>
    <n v="474"/>
    <s v="T0230"/>
    <s v="IHS_BER_063"/>
    <s v="T0230"/>
    <x v="3"/>
    <s v="Atok"/>
    <x v="0"/>
    <s v="Indoor"/>
    <s v="Akonolinga"/>
    <s v="HAUT-NYONG"/>
    <s v="ATOK"/>
    <x v="3"/>
    <n v="3.9998680000000002"/>
    <n v="12.781851"/>
    <x v="0"/>
  </r>
  <r>
    <n v="475"/>
    <s v="T1633"/>
    <s v="IHS_BER_161"/>
    <s v="T1633"/>
    <x v="4"/>
    <s v="ANGOSAS"/>
    <x v="0"/>
    <s v="Outdoor"/>
    <s v="Abong Mbang"/>
    <s v="HAUT-NYONG"/>
    <s v="Angosas"/>
    <x v="3"/>
    <n v="4.0785999999999998"/>
    <n v="13.000400000000001"/>
    <x v="0"/>
  </r>
  <r>
    <n v="476"/>
    <s v="T0767"/>
    <s v="IHS_BER_163"/>
    <s v="T0767"/>
    <x v="4"/>
    <s v="NGUELEBOK"/>
    <x v="0"/>
    <s v="Outdoor"/>
    <s v="Batouri"/>
    <s v="KADEY"/>
    <s v="Nguelebock"/>
    <x v="3"/>
    <n v="4.2725280000000003"/>
    <n v="14.050193999999999"/>
    <x v="0"/>
  </r>
  <r>
    <n v="477"/>
    <s v="T3354"/>
    <s v="IHS_BER_162"/>
    <s v="T3354"/>
    <x v="4"/>
    <s v="Kagnol"/>
    <x v="0"/>
    <s v="Outdoor"/>
    <s v="Batouri"/>
    <s v="KADEY"/>
    <s v="Nguelebock"/>
    <x v="3"/>
    <n v="4.0692259999999996"/>
    <n v="14.048299999999999"/>
    <x v="0"/>
  </r>
  <r>
    <n v="478"/>
    <s v="T3202"/>
    <s v="IHS_BER_288"/>
    <s v="T3202"/>
    <x v="4"/>
    <s v="Batouri Trypano"/>
    <x v="0"/>
    <s v="Outdoor"/>
    <s v="Batouri"/>
    <s v="Kadey"/>
    <s v="Batouri"/>
    <x v="3"/>
    <n v="4.4509720000000002"/>
    <n v="14.371389000000001"/>
    <x v="0"/>
  </r>
  <r>
    <n v="479"/>
    <s v="T3238"/>
    <s v="IHS_BER_294"/>
    <s v="T3238"/>
    <x v="4"/>
    <s v="Bertoua mokolo 4"/>
    <x v="0"/>
    <s v="Outdoor"/>
    <s v="Bertoua"/>
    <s v="Lom-et-Djerem"/>
    <s v="Bertoua 1"/>
    <x v="3"/>
    <n v="4.6088259999999996"/>
    <n v="13.675572000000001"/>
    <x v="0"/>
  </r>
  <r>
    <n v="480"/>
    <s v="T2620"/>
    <s v="IHS_SGM_114"/>
    <s v="T2620"/>
    <x v="5"/>
    <s v="Lele"/>
    <x v="0"/>
    <s v="Outdoor"/>
    <s v="Djoum"/>
    <s v="Dja et Lobo"/>
    <s v="Mintom"/>
    <x v="3"/>
    <n v="2.3178999999999998"/>
    <n v="13.414199999999999"/>
    <x v="0"/>
  </r>
  <r>
    <n v="481"/>
    <s v="T2621"/>
    <s v="IHS_SGM_115"/>
    <s v="T2621"/>
    <x v="5"/>
    <s v="NTENYING2"/>
    <x v="0"/>
    <s v="Outdoor"/>
    <s v="Djoum"/>
    <s v="Dja-et-Lobo"/>
    <s v="Mintom"/>
    <x v="3"/>
    <n v="2.1872919999999998"/>
    <n v="13.65634"/>
    <x v="0"/>
  </r>
  <r>
    <n v="482"/>
    <s v="T3222"/>
    <s v="IHS_BER_293"/>
    <s v="T3222"/>
    <x v="4"/>
    <s v="Kentsou Entrance"/>
    <x v="0"/>
    <s v="Outdoor"/>
    <s v="Batouri"/>
    <s v="Kadey"/>
    <s v="YOKADOUMA"/>
    <x v="3"/>
    <n v="4.1816433000000002"/>
    <n v="15.0236283"/>
    <x v="0"/>
  </r>
  <r>
    <n v="483"/>
    <s v="T3241"/>
    <s v="IHS_BER_295"/>
    <s v="T3241"/>
    <x v="4"/>
    <s v="Bertoua Koume VT"/>
    <x v="0"/>
    <s v="Outdoor"/>
    <s v="Bertoua"/>
    <s v="LOM et DJEREM"/>
    <s v="Bertoua 1"/>
    <x v="3"/>
    <n v="4.5567000000000002"/>
    <n v="13.634600000000001"/>
    <x v="0"/>
  </r>
  <r>
    <n v="484"/>
    <s v="T3203"/>
    <s v="IHS_BER_289"/>
    <s v="T3203"/>
    <x v="4"/>
    <s v="Yokadouma 3"/>
    <x v="0"/>
    <s v="Outdoor"/>
    <s v="Yokadouma"/>
    <s v="WOURI"/>
    <s v="Douala 3"/>
    <x v="3"/>
    <n v="3.513414"/>
    <n v="15.047088"/>
    <x v="0"/>
  </r>
  <r>
    <n v="485"/>
    <s v="T2784"/>
    <s v="IHS_SGM_118"/>
    <s v="T2784"/>
    <x v="5"/>
    <s v="Djoum-Atok"/>
    <x v="0"/>
    <s v="Outdoor"/>
    <s v="Abong Mbang"/>
    <s v="HAUT-NYONG"/>
    <s v="ABONGMBANG"/>
    <x v="3"/>
    <n v="4.0080277999999998"/>
    <n v="12.8443889"/>
    <x v="0"/>
  </r>
  <r>
    <n v="486"/>
    <s v="T2757"/>
    <s v="IHS_BER_298"/>
    <s v="T2757"/>
    <x v="4"/>
    <s v="Ndamano"/>
    <x v="0"/>
    <s v="Outdoor"/>
    <s v="Batouri"/>
    <s v="KADEY"/>
    <s v="Nguelebock"/>
    <x v="3"/>
    <n v="4.2588699999999999"/>
    <n v="14.644130000000001"/>
    <x v="0"/>
  </r>
  <r>
    <n v="487"/>
    <s v="T2802"/>
    <s v="IHS_BER_299"/>
    <s v="T2802"/>
    <x v="4"/>
    <s v="Sangale"/>
    <x v="0"/>
    <s v="Outdoor"/>
    <s v="Yokadouma"/>
    <s v="kadey"/>
    <s v="NDELELE"/>
    <x v="3"/>
    <n v="4.1668079999999996"/>
    <n v="14.822471"/>
    <x v="0"/>
  </r>
  <r>
    <n v="488"/>
    <s v="T3244"/>
    <s v="IHS_BER_301"/>
    <s v="T3244"/>
    <x v="4"/>
    <s v="Batouri Sambo 2 Scierie "/>
    <x v="0"/>
    <s v="Outdoor"/>
    <s v="Batouri"/>
    <s v="Kadey"/>
    <s v="Batouri"/>
    <x v="3"/>
    <n v="4.4424682999999998"/>
    <n v="14.351566699999999"/>
    <x v="0"/>
  </r>
  <r>
    <n v="489"/>
    <s v="T1315"/>
    <s v="IHS_BER_304"/>
    <s v="T1315"/>
    <x v="4"/>
    <s v="Bertoua 2 Catholic church"/>
    <x v="0"/>
    <s v="Outdoor"/>
    <s v="Bertoua"/>
    <s v="Lom et Djerem "/>
    <s v="Bertoua 2"/>
    <x v="3"/>
    <n v="4.5528890000000004"/>
    <n v="13.686737000000001"/>
    <x v="0"/>
  </r>
  <r>
    <n v="490"/>
    <s v="T1318"/>
    <s v="IHS_BER_305"/>
    <s v="T1318"/>
    <x v="4"/>
    <s v="Batouri admin qter"/>
    <x v="0"/>
    <s v="Outdoor"/>
    <s v="Batouri"/>
    <s v="KADEY "/>
    <s v=" Batouri"/>
    <x v="3"/>
    <n v="4.4218000000000002"/>
    <n v="14.355600000000001"/>
    <x v="0"/>
  </r>
  <r>
    <n v="491"/>
    <s v="T1355"/>
    <s v="IHS_BER_306"/>
    <s v="T1355"/>
    <x v="4"/>
    <s v="Batouri Kambele"/>
    <x v="0"/>
    <s v="Outdoor"/>
    <s v="Batouri"/>
    <s v=" KADEY"/>
    <s v=" Batouri"/>
    <x v="3"/>
    <n v="4.4485130000000002"/>
    <n v="14.372099"/>
    <x v="0"/>
  </r>
  <r>
    <n v="492"/>
    <s v="T1368"/>
    <s v="IHS_BER_307"/>
    <s v="T1368"/>
    <x v="4"/>
    <s v="Ndokayo 2"/>
    <x v="0"/>
    <s v="Outdoor"/>
    <s v="Garoua Boulai"/>
    <s v="Lom et Djerem"/>
    <s v="BETARE OYA"/>
    <x v="3"/>
    <n v="5.5097069999999997"/>
    <n v="14.106161999999999"/>
    <x v="0"/>
  </r>
  <r>
    <n v="493"/>
    <s v="T1379"/>
    <s v="IHS_BER_308"/>
    <s v="T1379"/>
    <x v="4"/>
    <s v="Mandjou Lycee technique"/>
    <x v="0"/>
    <s v="Outdoor"/>
    <s v="Bertoua"/>
    <s v="Lom et Djerem "/>
    <s v="Mandjou "/>
    <x v="3"/>
    <n v="4.5846410000000004"/>
    <n v="13.73644"/>
    <x v="0"/>
  </r>
  <r>
    <n v="494"/>
    <s v="T2424"/>
    <s v="IHS_BER_309"/>
    <s v="T2424"/>
    <x v="4"/>
    <s v="Batouri Kambolepi"/>
    <x v="0"/>
    <s v="Outdoor"/>
    <s v="Batouri"/>
    <s v="KADEY"/>
    <s v="BATOURI"/>
    <x v="3"/>
    <n v="4.4388629999999996"/>
    <n v="14.382213"/>
    <x v="0"/>
  </r>
  <r>
    <n v="495"/>
    <s v="SUO_070"/>
    <s v="IHS_BUA_047"/>
    <s v="SUO_070"/>
    <x v="6"/>
    <s v="Yoke"/>
    <x v="2"/>
    <s v="Outdoor"/>
    <s v="Buea"/>
    <s v="FAKO"/>
    <s v="Muyuka"/>
    <x v="4"/>
    <n v="4.3199170000000002"/>
    <n v="9.4300280000000001"/>
    <x v="0"/>
  </r>
  <r>
    <n v="496"/>
    <s v="T1780"/>
    <s v="IHS_BUA_167"/>
    <s v="T1780"/>
    <x v="6"/>
    <s v="Tole Tea"/>
    <x v="1"/>
    <s v="Outdoor"/>
    <s v="Buea"/>
    <s v="FAKO"/>
    <s v="Buea"/>
    <x v="4"/>
    <n v="4.1245200000000004"/>
    <n v="9.2476299999999991"/>
    <x v="0"/>
  </r>
  <r>
    <n v="497"/>
    <s v="T1693"/>
    <s v="IHS_BUA_011"/>
    <s v="T1693"/>
    <x v="6"/>
    <s v="Tole 2"/>
    <x v="1"/>
    <s v="Outdoor"/>
    <s v="Buea"/>
    <s v="FAKO"/>
    <s v="Buea"/>
    <x v="4"/>
    <n v="4.1463429999999999"/>
    <n v="9.2511530000000004"/>
    <x v="0"/>
  </r>
  <r>
    <n v="498"/>
    <s v="T1321"/>
    <s v="IHS_BUA_126"/>
    <s v="T1321"/>
    <x v="6"/>
    <s v="MUTENGUENE Q12"/>
    <x v="1"/>
    <s v="Outdoor"/>
    <s v="Mutenguene"/>
    <s v="FAKO"/>
    <s v="TIKO"/>
    <x v="4"/>
    <n v="4.092657"/>
    <n v="9.3193400000000004"/>
    <x v="0"/>
  </r>
  <r>
    <n v="499"/>
    <s v="SUO_064"/>
    <s v="IHS_BUA_032"/>
    <s v="SUO_064"/>
    <x v="6"/>
    <s v="Mutengene-Qter8"/>
    <x v="1"/>
    <s v="Outdoor"/>
    <s v="Mutenguene"/>
    <s v="FAKO"/>
    <s v="TIKO"/>
    <x v="4"/>
    <n v="4.0897220000000001"/>
    <n v="9.3243329999999993"/>
    <x v="0"/>
  </r>
  <r>
    <n v="500"/>
    <s v="T0783"/>
    <s v="IHS_LMB_028"/>
    <s v="T0783"/>
    <x v="6"/>
    <s v="Mutengene OMBE"/>
    <x v="1"/>
    <s v="Outdoor"/>
    <s v="Mutenguene"/>
    <s v="FAKO"/>
    <s v="TIKO"/>
    <x v="4"/>
    <n v="4.0782100000000003"/>
    <n v="9.2765079999999998"/>
    <x v="0"/>
  </r>
  <r>
    <n v="501"/>
    <s v="T1800"/>
    <s v="IHS_BUA_054"/>
    <s v="T1800"/>
    <x v="6"/>
    <s v="Munyenge Trouble"/>
    <x v="1"/>
    <s v="Outdoor"/>
    <s v="Buea"/>
    <s v="FAKO"/>
    <s v="Muyuka"/>
    <x v="4"/>
    <n v="4.4045833329999997"/>
    <n v="9.1268055560000008"/>
    <x v="0"/>
  </r>
  <r>
    <n v="502"/>
    <s v="T1887"/>
    <s v="IHS_BUA_101"/>
    <s v="T1887"/>
    <x v="6"/>
    <s v="Munyenge Bafia"/>
    <x v="1"/>
    <s v="Outdoor"/>
    <s v="Buea"/>
    <s v="FAKO"/>
    <s v="Muyuka"/>
    <x v="4"/>
    <n v="4.3542019999999999"/>
    <n v="9.3152460000000001"/>
    <x v="0"/>
  </r>
  <r>
    <n v="503"/>
    <s v="T1692"/>
    <s v="IHS_BUA_020"/>
    <s v="T1692"/>
    <x v="6"/>
    <s v="MILE 16 BUEA"/>
    <x v="1"/>
    <s v="Outdoor"/>
    <s v="Buea"/>
    <s v="FAKO"/>
    <s v="BUEA"/>
    <x v="4"/>
    <n v="4.1396439999999997"/>
    <n v="9.3027750000000005"/>
    <x v="0"/>
  </r>
  <r>
    <n v="504"/>
    <s v="T1798"/>
    <s v="IHS_BUA_050"/>
    <s v="T1798"/>
    <x v="6"/>
    <s v="Ekata"/>
    <x v="1"/>
    <s v="Outdoor"/>
    <s v="Buea"/>
    <s v="FAKO"/>
    <s v="Muyuka"/>
    <x v="4"/>
    <n v="4.328786"/>
    <n v="9.3554340000000007"/>
    <x v="0"/>
  </r>
  <r>
    <n v="505"/>
    <s v="T1177"/>
    <s v="IHS_BUA_163"/>
    <s v="T1177"/>
    <x v="6"/>
    <s v="Buea Hospital         "/>
    <x v="1"/>
    <s v="Outdoor"/>
    <s v="Buea"/>
    <s v="FAKO"/>
    <s v="Buea"/>
    <x v="4"/>
    <n v="4.1497539999999997"/>
    <n v="9.2372060000000005"/>
    <x v="0"/>
  </r>
  <r>
    <n v="506"/>
    <s v="T1694"/>
    <s v="IHS_BUA_026"/>
    <s v="T1694"/>
    <x v="6"/>
    <s v="BOVA2"/>
    <x v="1"/>
    <s v="Outdoor"/>
    <s v="Buea"/>
    <s v="FAKO"/>
    <s v="Buea"/>
    <x v="4"/>
    <n v="4.1886099999999997"/>
    <n v="9.2621680000000008"/>
    <x v="0"/>
  </r>
  <r>
    <n v="507"/>
    <s v="SUO_025"/>
    <s v="IHS_BUA_102"/>
    <s v="SUO_025"/>
    <x v="6"/>
    <s v="Bova- Bokombo _IHS"/>
    <x v="1"/>
    <s v="Outdoor"/>
    <s v="Buea"/>
    <s v="FAKO"/>
    <s v="Muyuka"/>
    <x v="4"/>
    <n v="4.4303055599999999"/>
    <n v="9.2111111099999992"/>
    <x v="0"/>
  </r>
  <r>
    <n v="508"/>
    <s v="SUO_132"/>
    <s v="IHS_BUA_154"/>
    <s v="SUO_132"/>
    <x v="6"/>
    <s v="bonakanda"/>
    <x v="1"/>
    <s v="Outdoor"/>
    <s v="Buea"/>
    <s v="FAKO"/>
    <s v="Buea"/>
    <x v="4"/>
    <n v="4.2024020000000002"/>
    <n v="9.2718579999999999"/>
    <x v="0"/>
  </r>
  <r>
    <n v="509"/>
    <s v="T1581"/>
    <s v="IHS_BUA_160"/>
    <s v="T1581"/>
    <x v="6"/>
    <s v="Bai Kuke"/>
    <x v="1"/>
    <s v="Outdoor"/>
    <s v="Ekondo Titi"/>
    <s v="FAKO"/>
    <s v="Mbonge"/>
    <x v="4"/>
    <n v="4.4568830000000004"/>
    <n v="9.1439869999999992"/>
    <x v="0"/>
  </r>
  <r>
    <n v="510"/>
    <s v="T1781-1"/>
    <s v="IHS_BUA_034"/>
    <s v="T1781-1"/>
    <x v="6"/>
    <s v="Ekona II "/>
    <x v="2"/>
    <s v="Outdoor"/>
    <s v="Buea"/>
    <m/>
    <s v="Ekona"/>
    <x v="4"/>
    <n v="4.2299439999999997"/>
    <n v="9.3305279999999993"/>
    <x v="1"/>
  </r>
  <r>
    <n v="511"/>
    <s v="T1725"/>
    <s v="IHS_BUA_131"/>
    <s v="T1725"/>
    <x v="6"/>
    <s v="MILE16 BOLIFAMBA"/>
    <x v="1"/>
    <s v="Outdoor"/>
    <s v="Buea"/>
    <s v="FAKO"/>
    <s v="BUEA"/>
    <x v="4"/>
    <n v="4.1398060000000001"/>
    <n v="9.3119169999999993"/>
    <x v="0"/>
  </r>
  <r>
    <n v="512"/>
    <s v="T1310"/>
    <s v="IHS_BUA_164"/>
    <s v="T1310"/>
    <x v="6"/>
    <s v="Malende"/>
    <x v="1"/>
    <s v="Outdoor"/>
    <s v="Buea"/>
    <s v="FAKO"/>
    <s v="Muyuka"/>
    <x v="4"/>
    <n v="4.3433060000000001"/>
    <n v="9.4309440000000002"/>
    <x v="0"/>
  </r>
  <r>
    <n v="513"/>
    <s v="T0300"/>
    <s v="IHS_BUA_017"/>
    <s v="T0300"/>
    <x v="6"/>
    <s v="Bomaka Mile 17"/>
    <x v="1"/>
    <s v="Indoor"/>
    <s v="Buea"/>
    <s v="FAKO"/>
    <s v="Buea"/>
    <x v="4"/>
    <n v="4.1518350000000002"/>
    <n v="9.2998419999999999"/>
    <x v="0"/>
  </r>
  <r>
    <n v="514"/>
    <s v="T0419"/>
    <s v="IHS_BUA_001"/>
    <s v="T0419"/>
    <x v="6"/>
    <s v="Buea University"/>
    <x v="1"/>
    <s v="Indoor"/>
    <s v="Buea"/>
    <s v="FAKO"/>
    <s v="Buea"/>
    <x v="4"/>
    <n v="4.1581320000000002"/>
    <n v="9.2700840000000007"/>
    <x v="1"/>
  </r>
  <r>
    <n v="515"/>
    <s v="T0559"/>
    <s v="IHS_BUA_033"/>
    <s v="T0559"/>
    <x v="6"/>
    <s v="Ekona"/>
    <x v="1"/>
    <s v="Outdoor"/>
    <s v="Buea"/>
    <s v="FAKO"/>
    <s v="Ekona"/>
    <x v="4"/>
    <n v="4.2267900000000003"/>
    <n v="9.3391400000000004"/>
    <x v="0"/>
  </r>
  <r>
    <n v="516"/>
    <s v="T0671"/>
    <s v="IHS_BUA_028"/>
    <s v="T0671"/>
    <x v="6"/>
    <s v="Mile 14"/>
    <x v="1"/>
    <s v="Outdoor"/>
    <s v="Buea"/>
    <s v="FAKO"/>
    <s v="Buea"/>
    <x v="4"/>
    <n v="4.1232090000000001"/>
    <n v="9.3093489999999992"/>
    <x v="0"/>
  </r>
  <r>
    <n v="517"/>
    <s v="SUO_004"/>
    <s v="IHS_BUA_037"/>
    <s v="SUO_004"/>
    <x v="6"/>
    <s v="Tiko"/>
    <x v="1"/>
    <s v="Indoor"/>
    <s v="Mutenguene"/>
    <s v="FAKO"/>
    <s v="TIKO"/>
    <x v="4"/>
    <n v="4.0751869999999997"/>
    <n v="9.3678310000000007"/>
    <x v="0"/>
  </r>
  <r>
    <n v="518"/>
    <s v="T0438"/>
    <s v="IHS_BUA_015"/>
    <s v="T0438"/>
    <x v="6"/>
    <s v="Bokwango"/>
    <x v="1"/>
    <s v="Outdoor"/>
    <s v="Buea"/>
    <s v="FAKO"/>
    <s v="Buea"/>
    <x v="4"/>
    <n v="4.1372150000000003"/>
    <n v="9.2298880000000008"/>
    <x v="0"/>
  </r>
  <r>
    <n v="519"/>
    <s v="T0069"/>
    <s v="IHS_BUA_006"/>
    <s v="T0069"/>
    <x v="6"/>
    <s v="Great Soppo"/>
    <x v="1"/>
    <s v="Indoor"/>
    <s v="Buea"/>
    <s v="FAKO"/>
    <s v="Buea"/>
    <x v="4"/>
    <n v="4.1579959999999998"/>
    <n v="9.2541790000000006"/>
    <x v="0"/>
  </r>
  <r>
    <n v="520"/>
    <s v="SUO_007"/>
    <s v="IHS_BUA_002"/>
    <s v="SUO_007"/>
    <x v="6"/>
    <s v="Buea-Orange"/>
    <x v="1"/>
    <s v="Indoor"/>
    <s v="Buea"/>
    <s v="FAKO"/>
    <s v="Buea"/>
    <x v="4"/>
    <n v="4.1595610000000001"/>
    <n v="9.2694109999999998"/>
    <x v="0"/>
  </r>
  <r>
    <n v="521"/>
    <s v="SUO_077"/>
    <s v="IHS_BUA_021"/>
    <s v="SUO_077"/>
    <x v="6"/>
    <s v="Buea-David-Square"/>
    <x v="1"/>
    <s v="Outdoor"/>
    <s v="Buea"/>
    <s v="FAKO"/>
    <s v="Buea"/>
    <x v="4"/>
    <n v="4.1676390000000003"/>
    <n v="9.3018330000000002"/>
    <x v="1"/>
  </r>
  <r>
    <n v="522"/>
    <s v="SUO_062"/>
    <s v="IHS_BUA_005"/>
    <s v="SUO_062"/>
    <x v="6"/>
    <s v="Buea-Universite"/>
    <x v="1"/>
    <s v="Outdoor"/>
    <s v="Buea"/>
    <s v="FAKO"/>
    <s v="Buea"/>
    <x v="4"/>
    <n v="4.1551669999999996"/>
    <n v="9.2875829999999997"/>
    <x v="0"/>
  </r>
  <r>
    <n v="523"/>
    <s v="SUO_063"/>
    <s v="IHS_BUA_009"/>
    <s v="SUO_063"/>
    <x v="6"/>
    <s v="Buea-Centre-Ville"/>
    <x v="1"/>
    <s v="Outdoor"/>
    <s v="Buea"/>
    <s v="FAKO"/>
    <s v="Buea"/>
    <x v="4"/>
    <n v="4.1539440000000001"/>
    <n v="9.2433610000000002"/>
    <x v="0"/>
  </r>
  <r>
    <n v="524"/>
    <s v="T1877"/>
    <s v="IHS_YND_500"/>
    <s v="T1877"/>
    <x v="6"/>
    <s v="Buea Soppo University"/>
    <x v="1"/>
    <s v="Outdoor"/>
    <s v="Buea"/>
    <s v="FAKO"/>
    <s v="Buea"/>
    <x v="4"/>
    <n v="4.1509169999999997"/>
    <n v="9.2831670000000006"/>
    <x v="0"/>
  </r>
  <r>
    <n v="525"/>
    <s v="SUO_012"/>
    <s v="IHS_BUA_043"/>
    <s v="SUO_012"/>
    <x v="6"/>
    <s v="Muyuka"/>
    <x v="1"/>
    <s v="Outdoor"/>
    <s v="Buea"/>
    <s v="FAKO"/>
    <s v="Muyuka"/>
    <x v="4"/>
    <n v="4.2823609999999999"/>
    <n v="9.3962219999999999"/>
    <x v="0"/>
  </r>
  <r>
    <n v="526"/>
    <s v="T0545"/>
    <s v="IHS_BUA_014"/>
    <s v="T0545"/>
    <x v="6"/>
    <s v="Buea Town"/>
    <x v="1"/>
    <s v="Outdoor"/>
    <s v="Buea"/>
    <s v="FAKO"/>
    <s v="Buea"/>
    <x v="4"/>
    <n v="4.1685910000000002"/>
    <n v="9.2498249999999995"/>
    <x v="0"/>
  </r>
  <r>
    <n v="527"/>
    <s v="T0266"/>
    <s v="IHS_BUA_038"/>
    <s v="T0266"/>
    <x v="6"/>
    <s v="Tiko Stadium"/>
    <x v="1"/>
    <s v="Indoor"/>
    <s v="Mutenguene"/>
    <s v="FAKO"/>
    <s v="TIKO"/>
    <x v="4"/>
    <n v="4.0697799999999997"/>
    <n v="9.3678159999999995"/>
    <x v="0"/>
  </r>
  <r>
    <n v="528"/>
    <s v="T1788"/>
    <s v="IHS_BUA_036"/>
    <s v="T1788"/>
    <x v="6"/>
    <s v="Tiko Long Street"/>
    <x v="1"/>
    <s v="Outdoor"/>
    <s v="Mutenguene"/>
    <s v="FAKO"/>
    <s v="TIKO"/>
    <x v="4"/>
    <n v="4.0749750000000002"/>
    <n v="9.3614099999999993"/>
    <x v="0"/>
  </r>
  <r>
    <n v="529"/>
    <s v="T1135"/>
    <s v="IHS_BUA_003"/>
    <s v="T1135"/>
    <x v="6"/>
    <s v="Buea Boduma"/>
    <x v="1"/>
    <s v="Outdoor"/>
    <s v="Buea"/>
    <s v="FAKO"/>
    <s v="Buea"/>
    <x v="4"/>
    <n v="4.1577989999999998"/>
    <n v="9.2640589999999996"/>
    <x v="1"/>
  </r>
  <r>
    <n v="530"/>
    <s v="T1695"/>
    <s v="IHS_BUA_008"/>
    <s v="T1695"/>
    <x v="6"/>
    <s v="Moliko (Buea SC 2)"/>
    <x v="1"/>
    <s v="Outdoor"/>
    <s v="Buea"/>
    <s v="FAKO"/>
    <s v="Buea"/>
    <x v="4"/>
    <n v="4.1584000000000003"/>
    <n v="9.2934599999999996"/>
    <x v="0"/>
  </r>
  <r>
    <n v="531"/>
    <s v="T1777"/>
    <s v="IHS_BUA_024"/>
    <s v="T1777"/>
    <x v="6"/>
    <s v="Bokwaï"/>
    <x v="1"/>
    <s v="Outdoor"/>
    <s v="Buea"/>
    <s v="FAKO"/>
    <s v="Buea"/>
    <x v="4"/>
    <n v="4.1705560000000004"/>
    <n v="9.2731110000000001"/>
    <x v="0"/>
  </r>
  <r>
    <n v="532"/>
    <s v="T1778"/>
    <s v="IHS_BUA_013"/>
    <s v="T1778"/>
    <x v="6"/>
    <s v="Buea G.R.A."/>
    <x v="1"/>
    <s v="Outdoor"/>
    <s v="Buea"/>
    <s v="FAKO"/>
    <s v="Buea"/>
    <x v="4"/>
    <n v="4.1496389999999996"/>
    <n v="9.2246389999999998"/>
    <x v="0"/>
  </r>
  <r>
    <n v="533"/>
    <s v="T1307"/>
    <s v="IHS_BUA_048"/>
    <s v="T1307"/>
    <x v="6"/>
    <s v="Penda boko"/>
    <x v="1"/>
    <s v="Outdoor"/>
    <s v="Mbanga"/>
    <s v="MOUNGO"/>
    <s v="MBANGA"/>
    <x v="4"/>
    <n v="4.2704370000000003"/>
    <n v="9.4467580000000009"/>
    <x v="0"/>
  </r>
  <r>
    <n v="534"/>
    <s v="T1174"/>
    <s v="IHS_BUA_155"/>
    <s v="T1174"/>
    <x v="6"/>
    <s v="Tiko LIKOMBA Q6"/>
    <x v="1"/>
    <s v="Outdoor"/>
    <s v="Mutenguene"/>
    <s v="FAKO"/>
    <s v="TIKO"/>
    <x v="4"/>
    <n v="4.0908300000000004"/>
    <n v="9.3461499999999997"/>
    <x v="0"/>
  </r>
  <r>
    <n v="535"/>
    <s v="T1782"/>
    <s v="IHS_BUA_029"/>
    <s v="T1782"/>
    <x v="6"/>
    <s v="Mutengene Maternity"/>
    <x v="1"/>
    <s v="Outdoor"/>
    <s v="Mutenguene"/>
    <s v="FAKO"/>
    <s v="TIKO"/>
    <x v="4"/>
    <n v="4.0935740000000003"/>
    <n v="9.3141990000000003"/>
    <x v="0"/>
  </r>
  <r>
    <n v="536"/>
    <s v="T1696"/>
    <s v="IHS_BUA_004"/>
    <s v="T1696"/>
    <x v="6"/>
    <s v="Molyko"/>
    <x v="1"/>
    <s v="Outdoor"/>
    <s v="Buea"/>
    <s v="FAKO"/>
    <s v="Buea"/>
    <x v="4"/>
    <n v="4.1586970000000001"/>
    <n v="9.2819149999999997"/>
    <x v="1"/>
  </r>
  <r>
    <n v="537"/>
    <s v="T1796"/>
    <s v="IHS_BUA_027"/>
    <s v="T1796"/>
    <x v="6"/>
    <s v="Bokova"/>
    <x v="1"/>
    <s v="Outdoor"/>
    <s v="Buea"/>
    <s v="FAKO"/>
    <s v="Buea"/>
    <x v="4"/>
    <n v="4.192361"/>
    <n v="9.2783890000000007"/>
    <x v="0"/>
  </r>
  <r>
    <n v="538"/>
    <s v="T1176"/>
    <s v="IHS_BUA_162"/>
    <s v="T1176"/>
    <x v="6"/>
    <s v="Buea Bomaka 2 (Buea Park)"/>
    <x v="1"/>
    <s v="Outdoor"/>
    <s v="Buea"/>
    <s v="FAKO"/>
    <s v="Buea"/>
    <x v="4"/>
    <n v="4.1538069999999996"/>
    <n v="9.3040870000000009"/>
    <x v="0"/>
  </r>
  <r>
    <n v="539"/>
    <s v="T0782"/>
    <s v="IHS_BUA_007"/>
    <s v="T0782"/>
    <x v="6"/>
    <s v="Buea Service Center"/>
    <x v="1"/>
    <s v="Outdoor"/>
    <s v="Buea"/>
    <s v="FAKO"/>
    <s v="Buea"/>
    <x v="4"/>
    <n v="4.1537319999999998"/>
    <n v="9.2917400000000008"/>
    <x v="0"/>
  </r>
  <r>
    <n v="540"/>
    <s v="T1779"/>
    <s v="IHS_BUA_012"/>
    <s v="T1779"/>
    <x v="6"/>
    <s v="GSS BUEA TOWN"/>
    <x v="1"/>
    <s v="Outdoor"/>
    <s v="Buea"/>
    <s v="FAKO"/>
    <s v="Buea"/>
    <x v="4"/>
    <n v="4.1604789999999996"/>
    <n v="9.237641"/>
    <x v="0"/>
  </r>
  <r>
    <n v="541"/>
    <s v="T1288"/>
    <s v="IHS_LMB_109"/>
    <s v="T1288"/>
    <x v="6"/>
    <s v="Tiko Junction"/>
    <x v="1"/>
    <s v="Outdoor"/>
    <s v="Mutenguene"/>
    <s v="FAKO"/>
    <s v="TIKO"/>
    <x v="4"/>
    <n v="4.0841390000000004"/>
    <n v="9.3573330000000006"/>
    <x v="0"/>
  </r>
  <r>
    <n v="542"/>
    <s v="T1786"/>
    <s v="IHS_BUA_044"/>
    <s v="T1786"/>
    <x v="6"/>
    <s v="Muyuka Beach Bush"/>
    <x v="1"/>
    <s v="Outdoor"/>
    <s v="Buea"/>
    <s v="FAKO"/>
    <s v="Muyuka"/>
    <x v="4"/>
    <n v="4.2892780000000004"/>
    <n v="9.4137219999999999"/>
    <x v="0"/>
  </r>
  <r>
    <n v="543"/>
    <s v="T1239"/>
    <s v="IHS_BUA_157"/>
    <s v="T1239"/>
    <x v="6"/>
    <s v="Buea Sandpitt"/>
    <x v="1"/>
    <s v="Outdoor"/>
    <s v="Buea"/>
    <s v="FAKO"/>
    <s v="Buea"/>
    <x v="4"/>
    <n v="4.1488339999999999"/>
    <n v="9.2602679999999999"/>
    <x v="0"/>
  </r>
  <r>
    <n v="544"/>
    <s v="T1789"/>
    <s v="IHS_BUA_039"/>
    <s v="T1789"/>
    <x v="6"/>
    <s v="Tiko Market"/>
    <x v="1"/>
    <s v="Outdoor"/>
    <s v="Mutenguene"/>
    <s v="FAKO"/>
    <s v="TIKO"/>
    <x v="4"/>
    <n v="4.0655089999999996"/>
    <n v="9.3717740000000003"/>
    <x v="0"/>
  </r>
  <r>
    <n v="545"/>
    <s v="T1846"/>
    <s v="IHS_BUA_046"/>
    <s v="T1846"/>
    <x v="6"/>
    <s v="Muyuka-Yoke"/>
    <x v="2"/>
    <s v="Outdoor"/>
    <s v="Buea"/>
    <s v="FAKO"/>
    <s v="Muyuka"/>
    <x v="4"/>
    <n v="4.3024170000000002"/>
    <n v="9.4290000000000003"/>
    <x v="0"/>
  </r>
  <r>
    <n v="546"/>
    <s v="T0068"/>
    <s v="IHS_BUA_031"/>
    <s v="T0068"/>
    <x v="6"/>
    <s v="Mutenguene"/>
    <x v="1"/>
    <s v="Indoor"/>
    <s v="Mutenguene"/>
    <s v="FAKO"/>
    <s v="TIKO"/>
    <x v="4"/>
    <n v="4.0899039999999998"/>
    <n v="9.3190059999999999"/>
    <x v="0"/>
  </r>
  <r>
    <n v="547"/>
    <s v="T1784"/>
    <s v="IHS_BUA_016"/>
    <s v="T1784"/>
    <x v="6"/>
    <s v="Buea Kouma"/>
    <x v="1"/>
    <s v="Outdoor"/>
    <s v="Buea"/>
    <s v="FAKO"/>
    <s v="Buea"/>
    <x v="4"/>
    <n v="4.134639"/>
    <n v="9.2190560000000001"/>
    <x v="0"/>
  </r>
  <r>
    <n v="548"/>
    <s v="T0665"/>
    <s v="IHS_BUA_010"/>
    <s v="T0665"/>
    <x v="6"/>
    <s v="Tole"/>
    <x v="1"/>
    <s v="Outdoor"/>
    <s v="Buea"/>
    <s v="FAKO"/>
    <s v="Buea"/>
    <x v="4"/>
    <n v="4.1433330000000002"/>
    <n v="9.2432499999999997"/>
    <x v="0"/>
  </r>
  <r>
    <n v="549"/>
    <s v="T0128"/>
    <s v="IHS_LMB_026"/>
    <s v="T0128"/>
    <x v="6"/>
    <s v="Idenau"/>
    <x v="1"/>
    <s v="Indoor"/>
    <s v="Limbe"/>
    <s v="FAKO"/>
    <s v="LIMBE 2"/>
    <x v="4"/>
    <n v="4.211652"/>
    <n v="8.9892730000000007"/>
    <x v="0"/>
  </r>
  <r>
    <n v="550"/>
    <s v="T0660"/>
    <s v="IHS_BUA_022"/>
    <s v="T0660"/>
    <x v="6"/>
    <s v="Muea"/>
    <x v="1"/>
    <s v="Outdoor"/>
    <s v="Buea"/>
    <s v="FAKO"/>
    <s v="Buea"/>
    <x v="4"/>
    <n v="4.1704679999999996"/>
    <n v="9.3013899999999996"/>
    <x v="1"/>
  </r>
  <r>
    <n v="551"/>
    <s v="T0794"/>
    <s v="IHS_BUA_049"/>
    <s v="T0794"/>
    <x v="6"/>
    <s v="CDC Mondoni"/>
    <x v="1"/>
    <s v="Outdoor"/>
    <s v="Mutenguene"/>
    <s v="FAKO"/>
    <s v="TIKO"/>
    <x v="4"/>
    <n v="4.1880480000000002"/>
    <n v="9.4106070000000006"/>
    <x v="0"/>
  </r>
  <r>
    <n v="552"/>
    <s v="LIT_178"/>
    <s v="IHS_BUA_041"/>
    <s v="LIT_178"/>
    <x v="6"/>
    <s v="Missellele"/>
    <x v="1"/>
    <s v="Outdoor"/>
    <s v="Mutenguene"/>
    <s v="FAKO"/>
    <s v="TIKO"/>
    <x v="4"/>
    <n v="4.1328060000000004"/>
    <n v="9.4430829999999997"/>
    <x v="0"/>
  </r>
  <r>
    <n v="553"/>
    <s v="SUO_038"/>
    <s v="IHS_BUA_023"/>
    <s v="SUO_038"/>
    <x v="6"/>
    <s v="Muea"/>
    <x v="1"/>
    <s v="Outdoor"/>
    <s v="Buea"/>
    <s v="FAKO"/>
    <s v="Buea"/>
    <x v="4"/>
    <n v="4.1790250000000002"/>
    <n v="9.3054659999999991"/>
    <x v="0"/>
  </r>
  <r>
    <n v="554"/>
    <s v="T0119"/>
    <s v="IHS_BUA_045"/>
    <s v="T0119"/>
    <x v="6"/>
    <s v="G.B.H.S-Muyuka"/>
    <x v="1"/>
    <s v="Indoor"/>
    <s v="Buea"/>
    <s v="FAKO"/>
    <s v="Muyuka"/>
    <x v="4"/>
    <n v="4.2992780000000002"/>
    <n v="9.4153889999999993"/>
    <x v="0"/>
  </r>
  <r>
    <n v="555"/>
    <s v="T1730"/>
    <s v="IHS_BUA_019"/>
    <s v="T1730"/>
    <x v="6"/>
    <s v="WONYA MAVIO"/>
    <x v="1"/>
    <s v="Outdoor"/>
    <s v="Buea"/>
    <s v="FAKO"/>
    <s v="Buea"/>
    <x v="4"/>
    <n v="4.1587180000000004"/>
    <n v="9.3043560000000003"/>
    <x v="0"/>
  </r>
  <r>
    <n v="556"/>
    <s v="SUO_033"/>
    <s v="IHS_BUA_018"/>
    <s v="SUO_033"/>
    <x v="6"/>
    <s v="Buea-Entree"/>
    <x v="1"/>
    <s v="Outdoor"/>
    <s v="Buea"/>
    <s v="FAKO"/>
    <s v="Buea"/>
    <x v="4"/>
    <n v="4.1523890000000003"/>
    <n v="9.3001310000000004"/>
    <x v="0"/>
  </r>
  <r>
    <n v="557"/>
    <s v="SUO_005"/>
    <s v="IHS_BUA_030"/>
    <s v="SUO_005"/>
    <x v="6"/>
    <s v="Mutengene"/>
    <x v="1"/>
    <s v="Indoor"/>
    <s v="Mutenguene"/>
    <s v="FAKO"/>
    <s v="TIKO"/>
    <x v="4"/>
    <n v="4.0906190000000002"/>
    <n v="9.3171689999999998"/>
    <x v="0"/>
  </r>
  <r>
    <n v="558"/>
    <s v="T0664"/>
    <s v="IHS_BUA_035"/>
    <s v="T0664"/>
    <x v="6"/>
    <s v="Likomba"/>
    <x v="1"/>
    <s v="Outdoor"/>
    <s v="Mutenguene"/>
    <s v="FAKO"/>
    <s v="TIKO"/>
    <x v="4"/>
    <n v="4.0880429999999999"/>
    <n v="9.3507379999999998"/>
    <x v="1"/>
  </r>
  <r>
    <n v="559"/>
    <s v="T1332"/>
    <s v="IHS_BUA_051"/>
    <s v="T1332"/>
    <x v="6"/>
    <s v="Muyengue 2"/>
    <x v="1"/>
    <s v="Outdoor"/>
    <s v="Buea"/>
    <s v="FAKO"/>
    <s v="Muyuka"/>
    <x v="4"/>
    <n v="4.4011500000000003"/>
    <n v="9.2701700000000002"/>
    <x v="0"/>
  </r>
  <r>
    <n v="560"/>
    <s v="T0590"/>
    <s v="IHS_BUA_042"/>
    <s v="T0590"/>
    <x v="6"/>
    <s v="Keme"/>
    <x v="1"/>
    <s v="Outdoor"/>
    <s v="Mutenguene"/>
    <s v="FAKO"/>
    <s v="TIKO"/>
    <x v="4"/>
    <n v="4.1330200000000001"/>
    <n v="9.4644879999999993"/>
    <x v="0"/>
  </r>
  <r>
    <n v="561"/>
    <s v="T1944"/>
    <s v="IHS_KMB_043"/>
    <s v="T1944"/>
    <x v="6"/>
    <s v="Illoani"/>
    <x v="1"/>
    <s v="Outdoor"/>
    <s v="Ekondo Titi"/>
    <s v="NDIAN"/>
    <s v="Mbonge"/>
    <x v="4"/>
    <n v="4.5040833300000003"/>
    <n v="9.0225277800000008"/>
    <x v="0"/>
  </r>
  <r>
    <n v="562"/>
    <s v="T1221"/>
    <s v="IHS_BUA_040"/>
    <s v="T1221"/>
    <x v="6"/>
    <s v="CDC DELMONTE Junction"/>
    <x v="1"/>
    <s v="Outdoor"/>
    <s v="Mutenguene"/>
    <s v="FAKO"/>
    <s v="TIKO"/>
    <x v="4"/>
    <n v="4.1253859999999998"/>
    <n v="9.4067679999999996"/>
    <x v="0"/>
  </r>
  <r>
    <n v="563"/>
    <s v="T0789"/>
    <s v="IHS_LMB_027"/>
    <s v="T0789"/>
    <x v="6"/>
    <s v="Bomana"/>
    <x v="1"/>
    <s v="Outdoor"/>
    <s v="Limbe"/>
    <s v="FAKO"/>
    <s v="LIMBE 2"/>
    <x v="4"/>
    <n v="4.3010555559999997"/>
    <n v="9.0648888890000006"/>
    <x v="0"/>
  </r>
  <r>
    <n v="564"/>
    <s v="T0730"/>
    <s v="IHS_KMB_044"/>
    <s v="T0730"/>
    <x v="6"/>
    <s v="Boa CDC"/>
    <x v="1"/>
    <s v="Outdoor"/>
    <s v="Ekondo Titi"/>
    <s v="NDIAN"/>
    <s v="Mbonge"/>
    <x v="4"/>
    <n v="4.438722222"/>
    <n v="8.9601944440000008"/>
    <x v="0"/>
  </r>
  <r>
    <n v="565"/>
    <s v="T3781"/>
    <s v="IHS_BUA_169"/>
    <s v="T3781"/>
    <x v="6"/>
    <s v="Ekona Q3A"/>
    <x v="1"/>
    <s v="Outdoor"/>
    <s v="Buea"/>
    <s v="FAKO"/>
    <s v="Ekona"/>
    <x v="4"/>
    <n v="4.2237609999999997"/>
    <n v="9.3354060000000008"/>
    <x v="0"/>
  </r>
  <r>
    <n v="566"/>
    <s v="T3105"/>
    <s v="IHS_BUA_171"/>
    <s v="T3105"/>
    <x v="6"/>
    <s v="MOUNTAIN HOTEL"/>
    <x v="1"/>
    <s v="Outdoor"/>
    <s v="Buea"/>
    <s v="FAKO"/>
    <s v="Buea"/>
    <x v="4"/>
    <n v="4.1500500000000002"/>
    <n v="9.2297600000000006"/>
    <x v="1"/>
  </r>
  <r>
    <n v="567"/>
    <s v="T0690"/>
    <s v="IHS_BUA_174"/>
    <s v="T0690"/>
    <x v="6"/>
    <s v="MOLYKO PARAMOUNT STREET"/>
    <x v="1"/>
    <s v="Outdoor"/>
    <s v="Buea"/>
    <s v="FAKO"/>
    <s v="Buea"/>
    <x v="4"/>
    <n v="4.1595599999999999"/>
    <n v="9.2867219999999993"/>
    <x v="0"/>
  </r>
  <r>
    <n v="568"/>
    <s v="T3118"/>
    <s v="IHS_BUA_170"/>
    <s v="T3118"/>
    <x v="6"/>
    <s v="BUEA UB Lamp"/>
    <x v="1"/>
    <s v="Outdoor"/>
    <s v="Buea"/>
    <s v="FAKO"/>
    <s v="Buea"/>
    <x v="4"/>
    <n v="4.1471099999999996"/>
    <n v="9.2881800000000005"/>
    <x v="0"/>
  </r>
  <r>
    <n v="569"/>
    <s v="T1192"/>
    <s v="IHS_BUA_173"/>
    <s v="T1192"/>
    <x v="6"/>
    <s v="Buea Wokoko"/>
    <x v="1"/>
    <s v="Outdoor"/>
    <s v="Buea"/>
    <s v="FAKO"/>
    <s v="Buea"/>
    <x v="4"/>
    <n v="4.154083"/>
    <n v="9.2770279999999996"/>
    <x v="1"/>
  </r>
  <r>
    <n v="570"/>
    <s v="T3224"/>
    <s v="IHS_BUA_176"/>
    <s v="T3224"/>
    <x v="6"/>
    <s v="BUEA SALVATION PHARMACY"/>
    <x v="1"/>
    <s v="Outdoor"/>
    <s v="Buea"/>
    <s v="Fako"/>
    <s v="Buea"/>
    <x v="4"/>
    <n v="4.1482700000000001"/>
    <n v="9.2940699999999996"/>
    <x v="1"/>
  </r>
  <r>
    <n v="571"/>
    <s v="T3207"/>
    <s v="IHS_BUA_178"/>
    <s v="T3207"/>
    <x v="6"/>
    <s v="BUEA DIRTY SOUTH"/>
    <x v="0"/>
    <s v="Outdoor"/>
    <s v="Buea"/>
    <s v="Fako"/>
    <s v="Buea"/>
    <x v="4"/>
    <n v="4.1541180000000004"/>
    <n v="9.2605310000000003"/>
    <x v="1"/>
  </r>
  <r>
    <n v="572"/>
    <s v="T3210"/>
    <s v="IHS_BUA_177"/>
    <s v="T3210"/>
    <x v="6"/>
    <s v="MOLYKO IYA AVENUE"/>
    <x v="1"/>
    <s v="Outdoor"/>
    <s v="Buea"/>
    <s v="Fako"/>
    <s v="Buea"/>
    <x v="4"/>
    <n v="4.1570549999999997"/>
    <n v="9.2855469999999993"/>
    <x v="1"/>
  </r>
  <r>
    <n v="573"/>
    <s v="T4849"/>
    <s v="IHS_BUA_182"/>
    <s v="T4849"/>
    <x v="6"/>
    <s v="Mondoni native"/>
    <x v="1"/>
    <s v="Outdoor"/>
    <s v="Mutenguene"/>
    <s v="Fako"/>
    <s v="Tiko"/>
    <x v="4"/>
    <n v="4.1849400000000001"/>
    <n v="9.4735899999999997"/>
    <x v="0"/>
  </r>
  <r>
    <n v="574"/>
    <s v="T1001"/>
    <s v="IHS_BUA_183"/>
    <s v="T1001"/>
    <x v="6"/>
    <s v="Buea Campaing street"/>
    <x v="0"/>
    <s v="Outdoor"/>
    <s v="Buea"/>
    <s v="FAKO"/>
    <s v="BUEA"/>
    <x v="4"/>
    <n v="4.1614909999999998"/>
    <n v="9.2459641999999995"/>
    <x v="1"/>
  </r>
  <r>
    <n v="575"/>
    <s v="T1159"/>
    <s v="IHS_BUA_184"/>
    <s v="T1159"/>
    <x v="6"/>
    <s v="MUTENGENE ATLANTA STREET"/>
    <x v="0"/>
    <s v="Outdoor"/>
    <s v="Mutenguene"/>
    <s v="FAKO"/>
    <s v="MUTENGENE"/>
    <x v="4"/>
    <n v="4.0831150000000003"/>
    <n v="9.3143539999999998"/>
    <x v="0"/>
  </r>
  <r>
    <n v="576"/>
    <s v="T1229"/>
    <s v="IHS_BUA_185"/>
    <s v="T1229"/>
    <x v="6"/>
    <s v="Tiko main market"/>
    <x v="0"/>
    <s v="Outdoor"/>
    <s v="Mutenguene"/>
    <s v="FAKO"/>
    <s v="TIKO"/>
    <x v="4"/>
    <n v="4.0627849999999999"/>
    <n v="9.3635699999999993"/>
    <x v="0"/>
  </r>
  <r>
    <n v="577"/>
    <s v="T1962"/>
    <s v="IHS_BUA_186"/>
    <s v="T1962"/>
    <x v="6"/>
    <s v="BUEA CATHEDRAL"/>
    <x v="0"/>
    <s v="Outdoor"/>
    <s v="Buea"/>
    <s v="Fako"/>
    <s v="Buea"/>
    <x v="4"/>
    <n v="4.1682090000000001"/>
    <n v="9.2784820000000003"/>
    <x v="0"/>
  </r>
  <r>
    <n v="578"/>
    <s v="T2556"/>
    <s v="IHS_LMB_030"/>
    <s v="T2556"/>
    <x v="6"/>
    <s v="Tiko Holfoth Layout"/>
    <x v="0"/>
    <s v="Outdoor"/>
    <s v="Mutenguene"/>
    <e v="#REF!"/>
    <s v="Tiko"/>
    <x v="4"/>
    <n v="4.0680529999999999"/>
    <n v="9.3588470000000008"/>
    <x v="0"/>
  </r>
  <r>
    <n v="579"/>
    <s v="T2793"/>
    <s v="IHS_LMB_031"/>
    <s v="T2793"/>
    <x v="6"/>
    <s v="BITINGUI"/>
    <x v="0"/>
    <s v="Outdoor"/>
    <s v="Buea"/>
    <s v="Fako"/>
    <s v="Buea"/>
    <x v="4"/>
    <n v="4.1776299999999997"/>
    <n v="9.2801939999999998"/>
    <x v="0"/>
  </r>
  <r>
    <n v="580"/>
    <s v="T1707"/>
    <s v="IHS_DLA_417"/>
    <s v="T1707"/>
    <x v="7"/>
    <s v="Yansoki"/>
    <x v="0"/>
    <s v="Outdoor"/>
    <s v="Yassa"/>
    <s v="WOURI"/>
    <s v="Douala 3"/>
    <x v="5"/>
    <n v="3.9766650000000001"/>
    <n v="9.7918050000000001"/>
    <x v="0"/>
  </r>
  <r>
    <n v="581"/>
    <s v="T2025"/>
    <s v="IHS_MBG_026"/>
    <s v="T2025"/>
    <x v="6"/>
    <s v="NDOULOU(Abo SOUTH / Mukulang)"/>
    <x v="0"/>
    <s v="Outdoor"/>
    <s v="Mbanga"/>
    <s v="MOUNGO"/>
    <s v="bonalea"/>
    <x v="5"/>
    <n v="4.293838"/>
    <n v="9.6697369999999996"/>
    <x v="0"/>
  </r>
  <r>
    <n v="582"/>
    <s v="LIT_227"/>
    <s v="IHS_DLA_296"/>
    <s v="LIT_227"/>
    <x v="7"/>
    <s v="Missole"/>
    <x v="0"/>
    <s v="Outdoor"/>
    <s v="Edea"/>
    <s v="SANAGA-MARITIME"/>
    <s v="Dibamba"/>
    <x v="5"/>
    <n v="3.971635"/>
    <n v="9.9267920000000007"/>
    <x v="0"/>
  </r>
  <r>
    <n v="583"/>
    <s v="T1339"/>
    <s v="IHS_DLA_473"/>
    <s v="T1339"/>
    <x v="7"/>
    <s v="MBANGA PONGO 2"/>
    <x v="0"/>
    <s v="Outdoor"/>
    <s v="Yassa"/>
    <s v="WOURI"/>
    <s v="Douala 3"/>
    <x v="5"/>
    <n v="3.9698310000000001"/>
    <n v="9.7450810000000008"/>
    <x v="0"/>
  </r>
  <r>
    <n v="584"/>
    <s v="LIT_167"/>
    <s v="IHS_DLA_411"/>
    <s v="LIT_167"/>
    <x v="7"/>
    <s v="Makepe-Ecole-Sira"/>
    <x v="0"/>
    <s v="Outdoor"/>
    <s v="Beedi"/>
    <s v="WOURI"/>
    <s v="Douala 5"/>
    <x v="5"/>
    <n v="4.0826390000000004"/>
    <n v="9.7485560000000007"/>
    <x v="1"/>
  </r>
  <r>
    <n v="585"/>
    <s v="LIT_397"/>
    <s v="IHS_DLA_222"/>
    <s v="LIT_397"/>
    <x v="7"/>
    <s v="Makepe-Chefferie"/>
    <x v="0"/>
    <s v="Outdoor"/>
    <s v="Beedi"/>
    <s v="WOURI"/>
    <s v="Douala 5"/>
    <x v="5"/>
    <n v="4.0749000000000004"/>
    <n v="9.7532689999999995"/>
    <x v="1"/>
  </r>
  <r>
    <n v="586"/>
    <s v="T1359"/>
    <s v="IHS_DLA_468"/>
    <s v="T1359"/>
    <x v="7"/>
    <s v="MABANDA 3"/>
    <x v="0"/>
    <s v="Outdoor"/>
    <s v="Bonaberi 1"/>
    <s v="WOURI"/>
    <s v="Douala 4"/>
    <x v="5"/>
    <n v="4.0620279999999998"/>
    <n v="9.6610829999999996"/>
    <x v="0"/>
  </r>
  <r>
    <n v="587"/>
    <s v="T1173"/>
    <s v="IHS_BUA_166"/>
    <s v="T1173"/>
    <x v="6"/>
    <s v="BONAKOH"/>
    <x v="1"/>
    <s v="Outdoor"/>
    <s v="Mutenguene"/>
    <s v="FAKO"/>
    <s v="TIKO"/>
    <x v="5"/>
    <n v="4.1451529999999996"/>
    <n v="9.5065469999999994"/>
    <x v="0"/>
  </r>
  <r>
    <n v="588"/>
    <s v="T1732"/>
    <s v="IHS_DLA_423"/>
    <s v="T1732"/>
    <x v="7"/>
    <s v="Bonaberi Isenbeck"/>
    <x v="0"/>
    <s v="Outdoor"/>
    <s v="Bonaberi 2"/>
    <s v="WOURI"/>
    <s v="Douala 4"/>
    <x v="5"/>
    <n v="4.1094869999999997"/>
    <n v="9.6173140000000004"/>
    <x v="0"/>
  </r>
  <r>
    <n v="589"/>
    <s v="LIT_450"/>
    <s v="IHS_DLA_452"/>
    <s v="LIT_450"/>
    <x v="7"/>
    <s v="Quartier Gentil "/>
    <x v="0"/>
    <s v="Outdoor"/>
    <s v="Ndogbong"/>
    <s v="WOURI"/>
    <s v="Douala 3"/>
    <x v="5"/>
    <n v="4.0495700000000001"/>
    <n v="9.7297399999999996"/>
    <x v="1"/>
  </r>
  <r>
    <n v="590"/>
    <s v="LIT_410"/>
    <s v="IHS_DLA_427"/>
    <s v="LIT_410"/>
    <x v="7"/>
    <s v="Bonapriso Vanitex New "/>
    <x v="0"/>
    <s v="Outdoor"/>
    <s v="BONAPRISO"/>
    <s v="WOURI"/>
    <s v="Douala 1"/>
    <x v="5"/>
    <n v="4.0247580000000003"/>
    <n v="9.7015499999999992"/>
    <x v="1"/>
  </r>
  <r>
    <n v="591"/>
    <s v="T1187"/>
    <s v="IHS_DLA_469"/>
    <s v="T1187"/>
    <x v="7"/>
    <s v="MABANDA 4"/>
    <x v="0"/>
    <s v="Outdoor"/>
    <s v="Bonaberi 1"/>
    <s v="WOURI"/>
    <s v="Douala 4"/>
    <x v="5"/>
    <n v="4.0705830000000001"/>
    <n v="9.6499159999999993"/>
    <x v="0"/>
  </r>
  <r>
    <n v="592"/>
    <s v="LIT_445"/>
    <s v="IHS_DLA_449"/>
    <s v="LIT_445"/>
    <x v="7"/>
    <s v="Nyalla crf Mpome"/>
    <x v="0"/>
    <s v="Outdoor"/>
    <s v="Ndogbong"/>
    <s v="WOURI"/>
    <s v="Douala 3"/>
    <x v="5"/>
    <n v="4.0266700000000002"/>
    <n v="9.7850269999999995"/>
    <x v="1"/>
  </r>
  <r>
    <n v="593"/>
    <s v="T1365"/>
    <s v="IHS_DLA_470"/>
    <s v="T1365"/>
    <x v="7"/>
    <s v="Makepe Decharge 2 "/>
    <x v="0"/>
    <s v="Outdoor"/>
    <s v="BEPENDA"/>
    <s v="WOURI"/>
    <s v="Douala 5"/>
    <x v="5"/>
    <n v="4.0723060000000002"/>
    <n v="9.7335829999999994"/>
    <x v="0"/>
  </r>
  <r>
    <n v="594"/>
    <s v="LIT_454"/>
    <s v="IHS_DLA_450"/>
    <s v="LIT_454"/>
    <x v="7"/>
    <s v="Kotto Eglise EPC"/>
    <x v="0"/>
    <s v="Outdoor"/>
    <s v="Kotto"/>
    <s v="WOURI"/>
    <s v="Douala 5"/>
    <x v="5"/>
    <n v="4.0908329999999999"/>
    <n v="9.7586110000000001"/>
    <x v="1"/>
  </r>
  <r>
    <n v="595"/>
    <s v="LIT_447"/>
    <s v="IHS_DLA_440"/>
    <s v="LIT_447"/>
    <x v="7"/>
    <s v="PK10 II Genie Militare"/>
    <x v="0"/>
    <s v="Outdoor"/>
    <s v="PK12"/>
    <s v="WOURI"/>
    <s v="Douala 3"/>
    <x v="5"/>
    <n v="4.04277"/>
    <n v="9.7795199999999998"/>
    <x v="1"/>
  </r>
  <r>
    <n v="596"/>
    <s v="T1098"/>
    <s v="IHS_DLA_289"/>
    <s v="T1098"/>
    <x v="7"/>
    <s v="PK17 University"/>
    <x v="0"/>
    <s v="Outdoor"/>
    <s v="PK12"/>
    <s v="WOURI"/>
    <s v="Douala 3"/>
    <x v="5"/>
    <n v="4.0913750000000002"/>
    <n v="9.8086929999999999"/>
    <x v="0"/>
  </r>
  <r>
    <n v="597"/>
    <s v="LIT_128"/>
    <s v="IHS_DLA_246"/>
    <s v="LIT_128"/>
    <x v="7"/>
    <s v="G-Militaire"/>
    <x v="0"/>
    <s v="Indoor"/>
    <s v="PK12"/>
    <s v="WOURI"/>
    <s v="Douala 3"/>
    <x v="5"/>
    <n v="4.0534999999999997"/>
    <n v="9.7788299999999992"/>
    <x v="0"/>
  </r>
  <r>
    <n v="598"/>
    <s v="LIT_448"/>
    <s v="IHS_DLA_451"/>
    <s v="LIT_448"/>
    <x v="7"/>
    <s v="PK13-II-TO"/>
    <x v="0"/>
    <s v="Outdoor"/>
    <s v="PK12"/>
    <s v="WOURI"/>
    <s v="Douala 5"/>
    <x v="5"/>
    <n v="4.0803700000000003"/>
    <n v="9.7886900000000008"/>
    <x v="1"/>
  </r>
  <r>
    <n v="599"/>
    <s v="LIT_222"/>
    <s v="IHS_DLA_175"/>
    <s v="LIT_222"/>
    <x v="7"/>
    <s v="Oyak"/>
    <x v="0"/>
    <s v="Indoor"/>
    <s v="Bilongue"/>
    <s v="WOURI"/>
    <s v="Douala 3"/>
    <x v="5"/>
    <n v="4.0232950000000001"/>
    <n v="9.74831"/>
    <x v="0"/>
  </r>
  <r>
    <n v="600"/>
    <s v="T0214"/>
    <s v="IHS_DLA_167"/>
    <s v="T0214"/>
    <x v="7"/>
    <s v="Soboum"/>
    <x v="0"/>
    <s v="Indoor"/>
    <s v="Bilongue"/>
    <s v="WOURI"/>
    <s v="Douala 3"/>
    <x v="5"/>
    <n v="4.0175099999999997"/>
    <n v="9.7346520000000005"/>
    <x v="1"/>
  </r>
  <r>
    <n v="601"/>
    <s v="T0333"/>
    <s v="IHS_DLA_279"/>
    <s v="T0333"/>
    <x v="7"/>
    <s v="Ndoghem PK12"/>
    <x v="0"/>
    <s v="Indoor"/>
    <s v="PK12"/>
    <s v="WOURI"/>
    <s v="Douala 3"/>
    <x v="5"/>
    <n v="4.0658500000000002"/>
    <n v="9.7916600000000003"/>
    <x v="0"/>
  </r>
  <r>
    <n v="602"/>
    <s v="LIT_275"/>
    <s v="IHS_DLA_276"/>
    <s v="LIT_275"/>
    <x v="7"/>
    <s v="Logpom-Sodikombo"/>
    <x v="0"/>
    <s v="Outdoor"/>
    <s v="PK12"/>
    <s v="WOURI"/>
    <s v="Douala 5"/>
    <x v="5"/>
    <n v="4.0822000000000003"/>
    <n v="9.7861999999999991"/>
    <x v="0"/>
  </r>
  <r>
    <n v="603"/>
    <s v="T0497"/>
    <s v="IHS_DLA_171"/>
    <s v="T0497"/>
    <x v="7"/>
    <s v="Bassa Zone Industrielle"/>
    <x v="0"/>
    <s v="Indoor"/>
    <s v="Ndogbong"/>
    <s v="WOURI"/>
    <s v="Douala 4"/>
    <x v="5"/>
    <n v="4.026141"/>
    <n v="9.7454809999999998"/>
    <x v="0"/>
  </r>
  <r>
    <n v="604"/>
    <s v="LIT_280"/>
    <s v="IHS_DLA_268"/>
    <s v="LIT_280"/>
    <x v="7"/>
    <s v="Songa-Boko"/>
    <x v="0"/>
    <s v="Outdoor"/>
    <s v="Yassa"/>
    <s v="WOURI"/>
    <s v="Douala 3"/>
    <x v="5"/>
    <n v="3.9801639999999998"/>
    <n v="9.7644059999999993"/>
    <x v="0"/>
  </r>
  <r>
    <n v="605"/>
    <s v="T0396"/>
    <s v="IHS_DLA_182"/>
    <s v="T0396"/>
    <x v="7"/>
    <s v="Bonamouang"/>
    <x v="0"/>
    <s v="Indoor"/>
    <s v="BEPENDA"/>
    <s v="WOURI"/>
    <s v="Douala 5"/>
    <x v="5"/>
    <n v="4.0824689999999997"/>
    <n v="9.7199720000000003"/>
    <x v="1"/>
  </r>
  <r>
    <n v="606"/>
    <s v="T0866"/>
    <s v="IHS_DLA_159"/>
    <s v="T0866"/>
    <x v="7"/>
    <s v="Yongyong Makepe"/>
    <x v="0"/>
    <s v="Outdoor"/>
    <s v="BEPENDA"/>
    <s v="WOURI"/>
    <s v="Douala 5"/>
    <x v="5"/>
    <n v="4.0657899999999998"/>
    <n v="9.7326099999999993"/>
    <x v="1"/>
  </r>
  <r>
    <n v="607"/>
    <s v="T0599"/>
    <s v="IHS_DLA_064"/>
    <s v="T0599"/>
    <x v="7"/>
    <s v="Bonadoumbe"/>
    <x v="0"/>
    <s v="Outdoor"/>
    <s v="BONAPRISO"/>
    <s v="WOURI"/>
    <s v="Douala 1"/>
    <x v="5"/>
    <n v="4.0268969999999999"/>
    <n v="9.7017299999999995"/>
    <x v="1"/>
  </r>
  <r>
    <n v="608"/>
    <s v="LIT_187"/>
    <s v="IHS_BNB_041"/>
    <s v="LIT_187"/>
    <x v="6"/>
    <s v="Dibombari"/>
    <x v="0"/>
    <s v="Outdoor"/>
    <s v="Mbanga"/>
    <s v="MOUNGO"/>
    <s v="DIBOMBARI"/>
    <x v="5"/>
    <n v="4.1792220000000002"/>
    <n v="9.6555560000000007"/>
    <x v="0"/>
  </r>
  <r>
    <n v="609"/>
    <s v="LIT_023"/>
    <s v="IHS_DLA_088"/>
    <s v="LIT_023"/>
    <x v="7"/>
    <s v="Minoterie"/>
    <x v="0"/>
    <s v="Indoor"/>
    <s v="BONAPRISO"/>
    <s v="WOURI"/>
    <s v="Douala 1"/>
    <x v="5"/>
    <n v="4.0363920000000002"/>
    <n v="9.6801779999999997"/>
    <x v="1"/>
  </r>
  <r>
    <n v="610"/>
    <s v="T1946"/>
    <s v="IHS_DLA_282"/>
    <s v="T1946"/>
    <x v="7"/>
    <s v="Mbanga bakoko"/>
    <x v="0"/>
    <s v="Outdoor"/>
    <s v="Yassa"/>
    <s v="WOURI"/>
    <s v="Douala 3"/>
    <x v="5"/>
    <n v="4.0052779999999997"/>
    <n v="9.7941109999999991"/>
    <x v="0"/>
  </r>
  <r>
    <n v="611"/>
    <s v="LIT_406"/>
    <s v="IHS_DLA_147"/>
    <s v="LIT_406"/>
    <x v="7"/>
    <s v="Ndokoti-Brasseries"/>
    <x v="0"/>
    <s v="Outdoor"/>
    <s v="Ndogbong"/>
    <s v="WOURI"/>
    <s v="Douala 3"/>
    <x v="5"/>
    <n v="4.0437779999999997"/>
    <n v="9.7476389999999995"/>
    <x v="1"/>
  </r>
  <r>
    <n v="612"/>
    <s v="T0398"/>
    <s v="IHS_DLA_125"/>
    <s v="T0398"/>
    <x v="7"/>
    <s v="Ndokoti"/>
    <x v="0"/>
    <s v="Indoor"/>
    <s v="Ndogbong"/>
    <s v="WOURI"/>
    <s v="Douala 4"/>
    <x v="5"/>
    <n v="4.0427989999999996"/>
    <n v="9.7397200000000002"/>
    <x v="1"/>
  </r>
  <r>
    <n v="613"/>
    <s v="T0503"/>
    <s v="IHS_DLA_134"/>
    <s v="T0503"/>
    <x v="7"/>
    <s v="Deido Plage"/>
    <x v="0"/>
    <s v="Outdoor"/>
    <s v="AKWA"/>
    <s v="WOURI"/>
    <s v="Douala 1"/>
    <x v="5"/>
    <n v="4.0680500000000004"/>
    <n v="9.7100200000000001"/>
    <x v="1"/>
  </r>
  <r>
    <n v="614"/>
    <s v="LIT_151"/>
    <s v="IHS_DLA_402"/>
    <s v="LIT_151"/>
    <x v="7"/>
    <s v="Base-elf-new"/>
    <x v="0"/>
    <s v="Outdoor"/>
    <s v="Bonaberi 1"/>
    <s v="WOURI"/>
    <s v="Douala 1"/>
    <x v="5"/>
    <n v="4.0716390000000002"/>
    <n v="9.6979170000000003"/>
    <x v="0"/>
  </r>
  <r>
    <n v="615"/>
    <s v="LIT_365"/>
    <s v="IHS_DLA_284"/>
    <s v="LIT_365"/>
    <x v="7"/>
    <s v="Yambong"/>
    <x v="0"/>
    <s v="Outdoor"/>
    <s v="Yassa"/>
    <s v="WOURI"/>
    <s v="Douala 3"/>
    <x v="5"/>
    <n v="4.019889"/>
    <n v="9.8055830000000004"/>
    <x v="0"/>
  </r>
  <r>
    <n v="616"/>
    <s v="T0022"/>
    <s v="IHS_DLA_109"/>
    <s v="T0022"/>
    <x v="7"/>
    <s v="Tergal Quarter"/>
    <x v="0"/>
    <s v="Indoor"/>
    <s v="St Michel"/>
    <s v="WOURI"/>
    <s v="Douala 3"/>
    <x v="5"/>
    <n v="4.0328390000000001"/>
    <n v="9.7344069999999991"/>
    <x v="0"/>
  </r>
  <r>
    <n v="617"/>
    <s v="T0336"/>
    <s v="IHS_BNB_038"/>
    <s v="T0336"/>
    <x v="6"/>
    <s v="Babenga"/>
    <x v="0"/>
    <s v="Indoor"/>
    <s v="Mbanga"/>
    <s v="MOUNGO"/>
    <s v="DIBOMBARI"/>
    <x v="5"/>
    <n v="4.1094949999999999"/>
    <n v="9.5713849999999994"/>
    <x v="0"/>
  </r>
  <r>
    <n v="618"/>
    <s v="T0016"/>
    <s v="IHS_BNB_026"/>
    <s v="T0016"/>
    <x v="7"/>
    <s v="Bonaberi Warehouse"/>
    <x v="0"/>
    <s v="Indoor"/>
    <s v="Bonaberi 2"/>
    <s v="WOURI"/>
    <s v="Douala 4"/>
    <x v="5"/>
    <n v="4.1037929999999996"/>
    <n v="9.6256769999999996"/>
    <x v="0"/>
  </r>
  <r>
    <n v="619"/>
    <s v="LIT_017"/>
    <s v="IHS_BNB_104"/>
    <s v="LIT_017"/>
    <x v="7"/>
    <s v="Bberi-Chateau"/>
    <x v="0"/>
    <s v="Indoor"/>
    <s v="Bonaberi 2"/>
    <s v="WOURI"/>
    <s v="Douala 4"/>
    <x v="5"/>
    <n v="4.0961109999999996"/>
    <n v="9.6540280000000003"/>
    <x v="1"/>
  </r>
  <r>
    <n v="620"/>
    <s v="T0082"/>
    <s v="IHS_DLA_000"/>
    <s v="T0082"/>
    <x v="7"/>
    <s v="Chefferie Akwa"/>
    <x v="0"/>
    <s v="Indoor"/>
    <s v="AKWA"/>
    <s v="WOURI"/>
    <s v="Douala 2"/>
    <x v="5"/>
    <n v="4.0485629999999997"/>
    <n v="9.7009229999999995"/>
    <x v="1"/>
  </r>
  <r>
    <n v="621"/>
    <s v="T0084"/>
    <s v="IHS_DLA_085"/>
    <s v="T0084"/>
    <x v="7"/>
    <s v="Sea-port"/>
    <x v="0"/>
    <s v="Indoor"/>
    <s v="BONAPRISO"/>
    <s v="WOURI"/>
    <s v="Douala 1"/>
    <x v="5"/>
    <n v="4.0398750000000003"/>
    <n v="9.6822820000000007"/>
    <x v="0"/>
  </r>
  <r>
    <n v="622"/>
    <s v="LIT_038"/>
    <s v="IHS_DLA_242"/>
    <s v="LIT_038"/>
    <x v="7"/>
    <s v="Ndogp-Lycee"/>
    <x v="0"/>
    <s v="Indoor"/>
    <s v="Yassa"/>
    <s v="WOURI"/>
    <s v="Douala 3"/>
    <x v="5"/>
    <n v="4.0105000000000004"/>
    <n v="9.7677189999999996"/>
    <x v="0"/>
  </r>
  <r>
    <n v="623"/>
    <s v="T0062"/>
    <s v="IHS_DLA_241"/>
    <s v="T0062"/>
    <x v="7"/>
    <s v="Ndogpassi"/>
    <x v="0"/>
    <s v="Indoor"/>
    <s v="Yassa"/>
    <s v="WOURI"/>
    <s v="Douala 3"/>
    <x v="5"/>
    <n v="4.0021000000000004"/>
    <n v="9.7674099999999999"/>
    <x v="0"/>
  </r>
  <r>
    <n v="624"/>
    <s v="T0597"/>
    <s v="IHS_BNB_007"/>
    <s v="T0597"/>
    <x v="7"/>
    <s v="Ngwelle"/>
    <x v="0"/>
    <s v="Outdoor"/>
    <s v="Bonaberi 2"/>
    <s v="WOURI"/>
    <s v="Douala 4"/>
    <x v="5"/>
    <n v="4.0863719999999999"/>
    <n v="9.6548499999999997"/>
    <x v="1"/>
  </r>
  <r>
    <n v="625"/>
    <s v="LIT_079"/>
    <s v="IHS_DLA_054"/>
    <s v="LIT_079"/>
    <x v="7"/>
    <s v="Koloko"/>
    <x v="0"/>
    <s v="Indoor"/>
    <s v="BONAPRISO"/>
    <s v="WOURI"/>
    <s v="Douala 2"/>
    <x v="5"/>
    <n v="4.0290160000000004"/>
    <n v="9.7019990000000007"/>
    <x v="1"/>
  </r>
  <r>
    <n v="626"/>
    <s v="LIT_432"/>
    <s v="IHS_DLA_435"/>
    <s v="LIT_432"/>
    <x v="7"/>
    <s v="Ndogbong Guiness"/>
    <x v="0"/>
    <s v="Outdoor"/>
    <s v="BEPENDA"/>
    <s v="WOURI"/>
    <s v="Douala 3"/>
    <x v="5"/>
    <n v="4.052028"/>
    <n v="9.7413059999999998"/>
    <x v="1"/>
  </r>
  <r>
    <n v="627"/>
    <s v="LIT_009"/>
    <s v="IHS_DLA_076"/>
    <s v="LIT_009"/>
    <x v="7"/>
    <s v="La-Rose"/>
    <x v="0"/>
    <s v="Indoor"/>
    <s v="BONAPRISO"/>
    <s v="WOURI"/>
    <s v="Douala 1"/>
    <x v="5"/>
    <n v="4.0414250000000003"/>
    <n v="9.6864129999999999"/>
    <x v="1"/>
  </r>
  <r>
    <n v="628"/>
    <s v="T0112"/>
    <s v="IHS_BNB_010"/>
    <s v="T0112"/>
    <x v="7"/>
    <s v="Sodiko"/>
    <x v="0"/>
    <s v="Indoor"/>
    <s v="Bonaberi 1"/>
    <s v="WOURI"/>
    <s v="Douala 4"/>
    <x v="5"/>
    <n v="4.0920829999999997"/>
    <n v="9.6622219999999999"/>
    <x v="0"/>
  </r>
  <r>
    <n v="629"/>
    <s v="T0020"/>
    <s v="IHS_DLA_124"/>
    <s v="T0020"/>
    <x v="7"/>
    <s v="Cite Bassa"/>
    <x v="0"/>
    <s v="Indoor"/>
    <s v="Ndogbong"/>
    <s v="WOURI"/>
    <s v="Douala 3"/>
    <x v="5"/>
    <n v="4.0472780000000004"/>
    <n v="9.7314439999999998"/>
    <x v="0"/>
  </r>
  <r>
    <n v="630"/>
    <s v="T0624"/>
    <s v="IHS_DLA_093"/>
    <s v="T0624"/>
    <x v="7"/>
    <s v="Babylone"/>
    <x v="0"/>
    <s v="Outdoor"/>
    <s v="St Michel"/>
    <s v="WOURI"/>
    <s v="Douala 2"/>
    <x v="5"/>
    <n v="4.0285700000000002"/>
    <n v="9.7150300000000005"/>
    <x v="1"/>
  </r>
  <r>
    <n v="631"/>
    <s v="LIT_076"/>
    <s v="IHS_DLA_128"/>
    <s v="LIT_076"/>
    <x v="7"/>
    <s v="Nylon"/>
    <x v="0"/>
    <s v="Indoor"/>
    <s v="St Michel"/>
    <s v="WOURI"/>
    <s v="Douala 3"/>
    <x v="5"/>
    <n v="4.0264899999999999"/>
    <n v="9.7335499999999993"/>
    <x v="1"/>
  </r>
  <r>
    <n v="632"/>
    <s v="T0052"/>
    <s v="IHS_DLA_189"/>
    <s v="T0052"/>
    <x v="7"/>
    <s v="Makepe Decharge"/>
    <x v="0"/>
    <s v="Indoor"/>
    <s v="Beedi"/>
    <s v="WOURI"/>
    <s v="Douala 5"/>
    <x v="5"/>
    <n v="4.0665399999999998"/>
    <n v="9.7397500000000008"/>
    <x v="0"/>
  </r>
  <r>
    <n v="633"/>
    <s v="T0421"/>
    <s v="IHS_DLA_132"/>
    <s v="T0421"/>
    <x v="7"/>
    <s v="COAF"/>
    <x v="0"/>
    <s v="Outdoor"/>
    <s v="AKWA"/>
    <s v="WOURI"/>
    <s v="Douala 1"/>
    <x v="5"/>
    <n v="4.0630559999999996"/>
    <n v="9.7130829999999992"/>
    <x v="1"/>
  </r>
  <r>
    <n v="634"/>
    <s v="T0446"/>
    <s v="IHS_DLA_243"/>
    <s v="T0446"/>
    <x v="7"/>
    <s v="Boko Plage"/>
    <x v="0"/>
    <s v="Outdoor"/>
    <s v="Yassa"/>
    <s v="WOURI"/>
    <s v="Douala 3"/>
    <x v="5"/>
    <n v="3.9928889999999999"/>
    <n v="9.7678329999999995"/>
    <x v="1"/>
  </r>
  <r>
    <n v="635"/>
    <s v="T0453"/>
    <s v="IHS_DLA_129"/>
    <s v="T0453"/>
    <x v="7"/>
    <s v="Nylon"/>
    <x v="0"/>
    <s v="Outdoor"/>
    <s v="St Michel"/>
    <s v="WOURI"/>
    <s v="Douala 3"/>
    <x v="5"/>
    <n v="4.025722"/>
    <n v="9.7320949999999993"/>
    <x v="1"/>
  </r>
  <r>
    <n v="636"/>
    <s v="T0443"/>
    <s v="IHS_DLA_162"/>
    <s v="T0443"/>
    <x v="7"/>
    <s v="Socaver Ndongbong"/>
    <x v="0"/>
    <s v="Outdoor"/>
    <s v="BEPENDA"/>
    <s v="WOURI"/>
    <s v="Douala 3"/>
    <x v="5"/>
    <n v="4.0476700000000001"/>
    <n v="9.74864"/>
    <x v="1"/>
  </r>
  <r>
    <n v="637"/>
    <s v="T0451"/>
    <s v="IHS_DLA_099"/>
    <s v="T0451"/>
    <x v="7"/>
    <s v="AGIP"/>
    <x v="0"/>
    <s v="Outdoor"/>
    <s v="St Michel"/>
    <s v="WOURI"/>
    <s v="Douala 1"/>
    <x v="5"/>
    <n v="4.04955"/>
    <n v="9.7194800000000008"/>
    <x v="1"/>
  </r>
  <r>
    <n v="638"/>
    <s v="T0418"/>
    <s v="IHS_DLA_144"/>
    <s v="T0418"/>
    <x v="7"/>
    <s v="ESSEC"/>
    <x v="0"/>
    <s v="Outdoor"/>
    <s v="BEPENDA"/>
    <s v="WOURI"/>
    <s v="Douala 3"/>
    <x v="5"/>
    <n v="4.0542999999999996"/>
    <n v="9.7373999999999992"/>
    <x v="1"/>
  </r>
  <r>
    <n v="639"/>
    <s v="T0452"/>
    <s v="IHS_BNB_012"/>
    <s v="T0452"/>
    <x v="7"/>
    <s v="Sodiko Gare Routiere"/>
    <x v="0"/>
    <s v="Outdoor"/>
    <s v="Bonaberi 2"/>
    <s v="WOURI"/>
    <s v="Douala 4"/>
    <x v="5"/>
    <n v="4.0953840000000001"/>
    <n v="9.6490650000000002"/>
    <x v="1"/>
  </r>
  <r>
    <n v="640"/>
    <s v="LIT_094"/>
    <s v="IHS_BNB_017"/>
    <s v="LIT_094"/>
    <x v="7"/>
    <s v="Mabanda"/>
    <x v="0"/>
    <s v="Outdoor"/>
    <s v="Bonaberi 1"/>
    <s v="WOURI"/>
    <s v="Douala 4"/>
    <x v="5"/>
    <n v="4.0709439999999999"/>
    <n v="9.6656940000000002"/>
    <x v="1"/>
  </r>
  <r>
    <n v="641"/>
    <s v="T0372"/>
    <s v="IHS_DLA_160"/>
    <s v="T0372"/>
    <x v="7"/>
    <s v="Bonamoussongo"/>
    <x v="0"/>
    <s v="Indoor"/>
    <s v="BEPENDA"/>
    <s v="WOURI"/>
    <s v="Douala 5"/>
    <x v="5"/>
    <n v="4.0697599999999996"/>
    <n v="9.7254000000000005"/>
    <x v="1"/>
  </r>
  <r>
    <n v="642"/>
    <s v="T0275"/>
    <s v="IHS_BNB_030"/>
    <s v="T0275"/>
    <x v="7"/>
    <s v="Mabanda"/>
    <x v="0"/>
    <s v="Indoor"/>
    <s v="Bonaberi 1"/>
    <s v="WOURI"/>
    <s v="Douala 4"/>
    <x v="5"/>
    <n v="4.0690799999999996"/>
    <n v="9.6567600000000002"/>
    <x v="0"/>
  </r>
  <r>
    <n v="643"/>
    <s v="LIT_294"/>
    <s v="IHS_DLA_033"/>
    <s v="LIT_294"/>
    <x v="7"/>
    <s v="Ngodi"/>
    <x v="0"/>
    <s v="Outdoor"/>
    <s v="AKWA"/>
    <s v="WOURI"/>
    <s v="Douala 2"/>
    <x v="5"/>
    <n v="4.0512980000000001"/>
    <n v="9.7068390000000004"/>
    <x v="1"/>
  </r>
  <r>
    <n v="644"/>
    <s v="T1272"/>
    <s v="IHS_DLA_030"/>
    <s v="T1272"/>
    <x v="7"/>
    <s v="NEW BELL CASINO"/>
    <x v="0"/>
    <s v="Outdoor"/>
    <s v="St Michel"/>
    <s v="WOURI"/>
    <s v="Douala 2"/>
    <x v="5"/>
    <n v="4.0329499999999996"/>
    <n v="9.7189499999999995"/>
    <x v="1"/>
  </r>
  <r>
    <n v="645"/>
    <s v="T1260"/>
    <s v="IHS_DLA_248"/>
    <s v="T1260"/>
    <x v="7"/>
    <s v="MBENGUE CITY"/>
    <x v="0"/>
    <s v="Outdoor"/>
    <s v="BEPENDA"/>
    <s v="WOURI"/>
    <s v="Douala 5"/>
    <x v="5"/>
    <n v="4.0601099999999999"/>
    <n v="9.7784499999999994"/>
    <x v="0"/>
  </r>
  <r>
    <n v="646"/>
    <s v="LIT_403"/>
    <s v="IHS_DLA_247"/>
    <s v="LIT_403"/>
    <x v="7"/>
    <s v="PK10-Soeurs-Dominicaines"/>
    <x v="0"/>
    <s v="Outdoor"/>
    <s v="PK12"/>
    <s v="WOURI"/>
    <s v="Douala 3"/>
    <x v="5"/>
    <n v="4.05525"/>
    <n v="9.7758889999999994"/>
    <x v="0"/>
  </r>
  <r>
    <n v="647"/>
    <s v="T1273"/>
    <s v="IHS_DLA_079"/>
    <s v="T1273"/>
    <x v="7"/>
    <s v="ARMEE DE L'AIR"/>
    <x v="0"/>
    <s v="Outdoor"/>
    <s v="St Michel"/>
    <s v="WOURI"/>
    <s v="Douala 1"/>
    <x v="5"/>
    <n v="4.0199429999999996"/>
    <n v="9.7043300000000006"/>
    <x v="1"/>
  </r>
  <r>
    <n v="648"/>
    <s v="LIT_362"/>
    <s v="IHS_BNB_031"/>
    <s v="LIT_362"/>
    <x v="7"/>
    <s v="Bonabappe-II"/>
    <x v="0"/>
    <s v="Outdoor"/>
    <s v="Bonaberi 1"/>
    <s v="WOURI"/>
    <s v="Douala 4"/>
    <x v="5"/>
    <n v="4.0802240000000003"/>
    <n v="9.6829560000000008"/>
    <x v="1"/>
  </r>
  <r>
    <n v="649"/>
    <s v="T0864"/>
    <s v="IHS_DLA_227"/>
    <s v="T0864"/>
    <x v="7"/>
    <s v="Bonamoussadi Careffour"/>
    <x v="0"/>
    <s v="Outdoor"/>
    <s v="Kotto"/>
    <s v="WOURI"/>
    <s v="Douala 5"/>
    <x v="5"/>
    <n v="4.0866939999999996"/>
    <n v="9.7450829999999993"/>
    <x v="1"/>
  </r>
  <r>
    <n v="650"/>
    <s v="T0865"/>
    <s v="IHS_DLA_186"/>
    <s v="T0865"/>
    <x v="7"/>
    <s v="Bonamoussadi Sable"/>
    <x v="0"/>
    <s v="Outdoor"/>
    <s v="Kotto"/>
    <s v="WOURI"/>
    <s v="Douala 5"/>
    <x v="5"/>
    <n v="4.0827220000000004"/>
    <n v="9.7272499999999997"/>
    <x v="1"/>
  </r>
  <r>
    <n v="651"/>
    <s v="T1129"/>
    <s v="IHS_BNB_027"/>
    <s v="T1129"/>
    <x v="7"/>
    <s v="Bonadale 2"/>
    <x v="0"/>
    <s v="Outdoor"/>
    <s v="Bonaberi 2"/>
    <s v="WOURI"/>
    <s v="Douala 4"/>
    <x v="5"/>
    <n v="4.1081859999999999"/>
    <n v="9.6449689999999997"/>
    <x v="0"/>
  </r>
  <r>
    <n v="652"/>
    <s v="LIT_358"/>
    <s v="IHS_DLA_273"/>
    <s v="LIT_358"/>
    <x v="7"/>
    <s v="Bonangang"/>
    <x v="0"/>
    <s v="Outdoor"/>
    <s v="Kotto"/>
    <s v="WOURI"/>
    <s v="Douala 5"/>
    <x v="5"/>
    <n v="4.1047700000000003"/>
    <n v="9.7439549999999997"/>
    <x v="0"/>
  </r>
  <r>
    <n v="653"/>
    <s v="T1387"/>
    <s v="IHS_DLA_252"/>
    <s v="T1387"/>
    <x v="7"/>
    <s v="Makepe2"/>
    <x v="0"/>
    <s v="Outdoor"/>
    <s v="Kotto"/>
    <s v="WOURI"/>
    <s v="Douala 5"/>
    <x v="5"/>
    <n v="4.0768599999999999"/>
    <n v="9.7631300000000003"/>
    <x v="0"/>
  </r>
  <r>
    <n v="654"/>
    <s v="T1723"/>
    <s v="IHS_DLA_155"/>
    <s v="T1723"/>
    <x v="7"/>
    <s v="Makepe Maturite"/>
    <x v="0"/>
    <s v="Outdoor"/>
    <s v="Ndogbong"/>
    <s v="WOURI"/>
    <s v="Douala 5"/>
    <x v="5"/>
    <n v="4.058611"/>
    <n v="9.734"/>
    <x v="1"/>
  </r>
  <r>
    <n v="655"/>
    <s v="T1097"/>
    <s v="IHS_DLA_205"/>
    <s v="T1097"/>
    <x v="7"/>
    <s v="PK9 VALLEE"/>
    <x v="0"/>
    <s v="Outdoor"/>
    <s v="PK12"/>
    <s v="WOURI"/>
    <s v="Douala 3"/>
    <x v="5"/>
    <n v="4.0467779999999998"/>
    <n v="9.7680559999999996"/>
    <x v="1"/>
  </r>
  <r>
    <n v="656"/>
    <s v="T1706"/>
    <s v="IHS_MBG_015"/>
    <s v="T1706"/>
    <x v="7"/>
    <s v="Marche deido"/>
    <x v="0"/>
    <s v="Outdoor"/>
    <s v="AKWA"/>
    <s v="WOURI"/>
    <s v="Douala 1"/>
    <x v="5"/>
    <n v="4.0586330000000004"/>
    <n v="9.7152499999999993"/>
    <x v="1"/>
  </r>
  <r>
    <n v="657"/>
    <s v="LIT_377"/>
    <s v="IHS_BNB_022"/>
    <s v="LIT_377"/>
    <x v="7"/>
    <s v="Ngwelle-II"/>
    <x v="0"/>
    <s v="Outdoor"/>
    <s v="Bonaberi 2"/>
    <s v="WOURI"/>
    <s v="Douala 4"/>
    <x v="5"/>
    <n v="4.0845779999999996"/>
    <n v="9.646528"/>
    <x v="1"/>
  </r>
  <r>
    <n v="658"/>
    <s v="LIT_340"/>
    <s v="IHS_DLA_110"/>
    <s v="LIT_340"/>
    <x v="7"/>
    <s v="Brazz-Tergal"/>
    <x v="0"/>
    <s v="Outdoor"/>
    <s v="Bilongue"/>
    <s v="WOURI"/>
    <s v="Douala 3"/>
    <x v="5"/>
    <n v="4.0284079999999998"/>
    <n v="9.7302459999999993"/>
    <x v="0"/>
  </r>
  <r>
    <n v="659"/>
    <s v="LIT_361"/>
    <s v="IHS_BNB_029"/>
    <s v="LIT_361"/>
    <x v="7"/>
    <s v="Grand-Hangar-II"/>
    <x v="0"/>
    <s v="Outdoor"/>
    <s v="Bonaberi 2"/>
    <s v="WOURI"/>
    <s v="Douala 4"/>
    <x v="5"/>
    <n v="4.0790829999999998"/>
    <n v="9.6495280000000001"/>
    <x v="0"/>
  </r>
  <r>
    <n v="660"/>
    <s v="LIT_271"/>
    <s v="IHS_DLA_288"/>
    <s v="LIT_271"/>
    <x v="7"/>
    <s v="PK15"/>
    <x v="0"/>
    <s v="Outdoor"/>
    <s v="PK12"/>
    <s v="WOURI"/>
    <s v="Douala 3"/>
    <x v="5"/>
    <n v="4.0888900000000001"/>
    <n v="9.7992100000000004"/>
    <x v="0"/>
  </r>
  <r>
    <n v="661"/>
    <s v="LIT_270"/>
    <s v="IHS_DLA_286"/>
    <s v="LIT_270"/>
    <x v="7"/>
    <s v="Zone-Papass"/>
    <x v="0"/>
    <s v="Outdoor"/>
    <s v="PK12"/>
    <s v="WOURI"/>
    <s v="Douala 3"/>
    <x v="5"/>
    <n v="4.0768599999999999"/>
    <n v="9.80166"/>
    <x v="0"/>
  </r>
  <r>
    <n v="662"/>
    <s v="LIT_274"/>
    <s v="IHS_DLA_275"/>
    <s v="LIT_274"/>
    <x v="7"/>
    <s v="Logpom-II"/>
    <x v="0"/>
    <s v="Outdoor"/>
    <s v="BEPENDA"/>
    <s v="WOURI"/>
    <s v="Douala 5"/>
    <x v="5"/>
    <n v="4.0945"/>
    <n v="9.764367"/>
    <x v="0"/>
  </r>
  <r>
    <n v="663"/>
    <s v="T2003"/>
    <s v="IHS_DLA_047"/>
    <s v="T2003"/>
    <x v="7"/>
    <s v="Akwa Camtel new"/>
    <x v="0"/>
    <s v="Indoor"/>
    <s v="BONAPRISO"/>
    <s v="WOURI"/>
    <s v="Douala 1"/>
    <x v="5"/>
    <n v="4.0449999999999999"/>
    <n v="9.6935000000000002"/>
    <x v="1"/>
  </r>
  <r>
    <n v="664"/>
    <s v="LIT_051"/>
    <s v="IHS_BNB_040"/>
    <s v="LIT_051"/>
    <x v="6"/>
    <s v="Nkapa"/>
    <x v="0"/>
    <s v="Indoor"/>
    <s v="Mbanga"/>
    <s v="MOUNGO"/>
    <s v="DIBOMBARI"/>
    <x v="5"/>
    <n v="4.1734"/>
    <n v="9.5930420000000005"/>
    <x v="0"/>
  </r>
  <r>
    <n v="665"/>
    <s v="T0063"/>
    <s v="IHS_DLA_008"/>
    <s v="T0063"/>
    <x v="7"/>
    <s v="Galerie Tayou"/>
    <x v="0"/>
    <s v="Indoor"/>
    <s v="AKWA"/>
    <s v="WOURI"/>
    <s v="Douala 1"/>
    <x v="5"/>
    <n v="4.0424499999999997"/>
    <n v="9.7041629999999994"/>
    <x v="1"/>
  </r>
  <r>
    <n v="666"/>
    <s v="LIT_054"/>
    <s v="IHS_DLA_136"/>
    <s v="LIT_054"/>
    <x v="7"/>
    <s v="Gd-Moulin"/>
    <x v="0"/>
    <s v="Indoor"/>
    <s v="AKWA"/>
    <s v="WOURI"/>
    <s v="Douala 1"/>
    <x v="5"/>
    <n v="4.0615560000000004"/>
    <n v="9.7193889999999996"/>
    <x v="1"/>
  </r>
  <r>
    <n v="667"/>
    <s v="LIT_060"/>
    <s v="IHS_DLA_090"/>
    <s v="LIT_060"/>
    <x v="7"/>
    <s v="Bpriso-ASECNA"/>
    <x v="0"/>
    <s v="Indoor"/>
    <s v="BONAPRISO"/>
    <s v="WOURI"/>
    <s v="Douala 2"/>
    <x v="5"/>
    <n v="4.0229169999999996"/>
    <n v="9.6945560000000004"/>
    <x v="1"/>
  </r>
  <r>
    <n v="668"/>
    <s v="LIT_085"/>
    <s v="IHS_DLA_096"/>
    <s v="LIT_085"/>
    <x v="7"/>
    <s v="Bonantone"/>
    <x v="0"/>
    <s v="Indoor"/>
    <s v="AKWA"/>
    <s v="WOURI"/>
    <s v="Douala 1"/>
    <x v="5"/>
    <n v="4.060333"/>
    <n v="9.7084440000000001"/>
    <x v="0"/>
  </r>
  <r>
    <n v="669"/>
    <s v="T0513"/>
    <s v="IHS_DLA_269"/>
    <s v="T0513"/>
    <x v="7"/>
    <s v="Kambo"/>
    <x v="0"/>
    <s v="Outdoor"/>
    <s v="Yassa"/>
    <s v="WOURI"/>
    <s v="Douala 3"/>
    <x v="5"/>
    <n v="4.0227300000000001"/>
    <n v="9.7881800000000005"/>
    <x v="0"/>
  </r>
  <r>
    <n v="670"/>
    <s v="LIT_025"/>
    <s v="IHS_DLA_058"/>
    <s v="LIT_025"/>
    <x v="7"/>
    <s v="Tsekenis"/>
    <x v="0"/>
    <s v="Indoor"/>
    <s v="BONAPRISO"/>
    <s v="WOURI"/>
    <s v="Douala 1"/>
    <x v="5"/>
    <n v="4.0490560000000002"/>
    <n v="9.6936110000000006"/>
    <x v="1"/>
  </r>
  <r>
    <n v="671"/>
    <s v="LIT_291"/>
    <s v="IHS_BNB_004"/>
    <s v="LIT_291"/>
    <x v="7"/>
    <s v="Grand-Hangar"/>
    <x v="0"/>
    <s v="Outdoor"/>
    <s v="Bonaberi 1"/>
    <s v="WOURI"/>
    <s v="Douala 4"/>
    <x v="5"/>
    <n v="4.0809439999999997"/>
    <n v="9.6593889999999991"/>
    <x v="0"/>
  </r>
  <r>
    <n v="672"/>
    <s v="T1702"/>
    <s v="IHS_DLA_168"/>
    <s v="T1702"/>
    <x v="7"/>
    <s v="NEW TOWN  AEROPORT"/>
    <x v="0"/>
    <s v="Outdoor"/>
    <s v="Bilongue"/>
    <s v="WOURI"/>
    <s v="Douala 3"/>
    <x v="5"/>
    <n v="4.0104889999999997"/>
    <n v="9.7263359999999999"/>
    <x v="0"/>
  </r>
  <r>
    <n v="673"/>
    <s v="T1703"/>
    <s v="IHS_DLA_239"/>
    <s v="T1703"/>
    <x v="7"/>
    <s v="BOKO"/>
    <x v="0"/>
    <s v="Outdoor"/>
    <s v="Yassa"/>
    <s v="WOURI"/>
    <s v="Douala 2"/>
    <x v="5"/>
    <n v="3.9966300000000001"/>
    <n v="9.7588500000000007"/>
    <x v="0"/>
  </r>
  <r>
    <n v="674"/>
    <s v="T1795"/>
    <s v="IHS_DLA_041"/>
    <s v="T1795"/>
    <x v="7"/>
    <s v="Nkolmondo"/>
    <x v="0"/>
    <s v="Outdoor"/>
    <s v="BONAPRISO"/>
    <s v="WOURI"/>
    <s v="Douala 1"/>
    <x v="5"/>
    <n v="4.0334009999999996"/>
    <n v="9.7017439999999997"/>
    <x v="1"/>
  </r>
  <r>
    <n v="675"/>
    <s v="LIT_276"/>
    <s v="IHS_DLA_260"/>
    <s v="LIT_276"/>
    <x v="7"/>
    <s v="Logpom-Kosovo"/>
    <x v="0"/>
    <s v="Outdoor"/>
    <s v="Beedi"/>
    <s v="WOURI"/>
    <s v="Douala 5"/>
    <x v="5"/>
    <n v="4.0733670000000002"/>
    <n v="9.7739999999999991"/>
    <x v="0"/>
  </r>
  <r>
    <n v="676"/>
    <s v="LIT_292"/>
    <s v="IHS_DLA_237"/>
    <s v="LIT_292"/>
    <x v="7"/>
    <s v="Ndogp-Bloc-13"/>
    <x v="0"/>
    <s v="Outdoor"/>
    <s v="Bilongue"/>
    <s v="WOURI"/>
    <s v="Douala 3"/>
    <x v="5"/>
    <n v="4.0177870000000002"/>
    <n v="9.768103"/>
    <x v="0"/>
  </r>
  <r>
    <n v="677"/>
    <s v="T1274"/>
    <s v="IHS_DLA_166"/>
    <s v="T1274"/>
    <x v="7"/>
    <s v="Oyack"/>
    <x v="0"/>
    <s v="Outdoor"/>
    <s v="Bilongue"/>
    <s v="WOURI"/>
    <s v="Douala 3"/>
    <x v="5"/>
    <n v="4.0224849999999996"/>
    <n v="9.7390450000000008"/>
    <x v="0"/>
  </r>
  <r>
    <n v="678"/>
    <s v="T1294"/>
    <s v="IHS_DLA_011"/>
    <s v="T1294"/>
    <x v="7"/>
    <s v="Marche Congo"/>
    <x v="0"/>
    <s v="Outdoor"/>
    <s v="AKWA"/>
    <s v="WOURI"/>
    <s v="Douala 1"/>
    <x v="5"/>
    <n v="4.0409600000000001"/>
    <n v="9.7013700000000007"/>
    <x v="1"/>
  </r>
  <r>
    <n v="679"/>
    <s v="T1700"/>
    <s v="IHS_BNB_024"/>
    <s v="T1700"/>
    <x v="7"/>
    <s v="NKOMBA 2"/>
    <x v="0"/>
    <s v="Outdoor"/>
    <s v="Bonaberi 1"/>
    <s v="WOURI"/>
    <s v="Douala 4"/>
    <x v="5"/>
    <n v="4.06616"/>
    <n v="9.6668000000000003"/>
    <x v="0"/>
  </r>
  <r>
    <n v="680"/>
    <s v="LIT_370"/>
    <s v="IHS_DLA_204"/>
    <s v="LIT_370"/>
    <x v="7"/>
    <s v="PK9"/>
    <x v="0"/>
    <s v="Outdoor"/>
    <s v="PK12"/>
    <s v="WOURI"/>
    <s v="Douala 3"/>
    <x v="5"/>
    <n v="4.0465559999999998"/>
    <n v="9.7662220000000008"/>
    <x v="1"/>
  </r>
  <r>
    <n v="681"/>
    <s v="LIT_311"/>
    <s v="IHS_DLA_116"/>
    <s v="LIT_311"/>
    <x v="7"/>
    <s v="Camatrans-New"/>
    <x v="0"/>
    <s v="Outdoor"/>
    <s v="BONAPRISO"/>
    <s v="WOURI"/>
    <s v="Douala 2"/>
    <x v="5"/>
    <n v="4.0219889999999996"/>
    <n v="9.6700420000000005"/>
    <x v="0"/>
  </r>
  <r>
    <n v="682"/>
    <s v="T1698"/>
    <s v="IHS_BNB_036"/>
    <s v="T1698"/>
    <x v="7"/>
    <s v="Minkwele"/>
    <x v="0"/>
    <s v="Outdoor"/>
    <s v="Bonaberi 2"/>
    <s v="WOURI"/>
    <s v="Douala 4"/>
    <x v="5"/>
    <n v="4.1054529999999998"/>
    <n v="9.5960479999999997"/>
    <x v="0"/>
  </r>
  <r>
    <n v="683"/>
    <s v="LIT_297"/>
    <s v="IHS_DLA_290"/>
    <s v="LIT_297"/>
    <x v="7"/>
    <s v="Lendi-Entree"/>
    <x v="0"/>
    <s v="Outdoor"/>
    <s v="Kotto"/>
    <s v="WOURI"/>
    <s v="Douala 5"/>
    <x v="5"/>
    <n v="4.1101679999999998"/>
    <n v="9.7705610000000007"/>
    <x v="0"/>
  </r>
  <r>
    <n v="684"/>
    <s v="T1930"/>
    <s v="IHS_DLA_412"/>
    <s v="T1930"/>
    <x v="7"/>
    <s v="Dibom 2"/>
    <x v="0"/>
    <s v="Outdoor"/>
    <s v="Bilongue"/>
    <s v="WOURI"/>
    <s v="Douala 3"/>
    <x v="5"/>
    <n v="4.01119"/>
    <n v="9.7503320000000002"/>
    <x v="0"/>
  </r>
  <r>
    <n v="685"/>
    <s v="T0179"/>
    <s v="IHS_DLA_271"/>
    <s v="T0179"/>
    <x v="7"/>
    <s v="Mbangue"/>
    <x v="0"/>
    <s v="Indoor"/>
    <s v="Beedi"/>
    <s v="WOURI"/>
    <s v="Douala 5"/>
    <x v="5"/>
    <n v="4.1009890000000002"/>
    <n v="9.7501920000000002"/>
    <x v="0"/>
  </r>
  <r>
    <n v="686"/>
    <s v="T0439"/>
    <s v="IHS_DLA_220"/>
    <s v="T0439"/>
    <x v="7"/>
    <s v="Malangue"/>
    <x v="0"/>
    <s v="Outdoor"/>
    <s v="Beedi"/>
    <s v="WOURI"/>
    <s v="Douala 5"/>
    <x v="5"/>
    <n v="4.065194"/>
    <n v="9.7612500000000004"/>
    <x v="1"/>
  </r>
  <r>
    <n v="687"/>
    <s v="T1735"/>
    <s v="IHS_BNB_037"/>
    <s v="T1735"/>
    <x v="6"/>
    <s v="BEKOKO"/>
    <x v="0"/>
    <s v="Outdoor"/>
    <s v="Mbanga"/>
    <s v="MOUNGO"/>
    <s v="DIBOMBARI"/>
    <x v="5"/>
    <n v="4.1267170000000002"/>
    <n v="9.5877490000000005"/>
    <x v="0"/>
  </r>
  <r>
    <n v="688"/>
    <s v="LIT_299"/>
    <s v="IHS_DLA_165"/>
    <s v="LIT_299"/>
    <x v="7"/>
    <s v="Oyack-Lycee"/>
    <x v="0"/>
    <s v="Outdoor"/>
    <s v="Bilongue"/>
    <s v="WOURI"/>
    <s v="Douala 3"/>
    <x v="5"/>
    <n v="4.0283720000000001"/>
    <n v="9.7420770000000001"/>
    <x v="0"/>
  </r>
  <r>
    <n v="689"/>
    <s v="T0448"/>
    <s v="IHS_DLA_115"/>
    <s v="T0448"/>
    <x v="7"/>
    <s v="Essengue"/>
    <x v="0"/>
    <s v="Outdoor"/>
    <s v="BONAPRISO"/>
    <s v="WOURI"/>
    <s v="Douala 1"/>
    <x v="5"/>
    <n v="4.0231250000000003"/>
    <n v="9.6696930000000005"/>
    <x v="0"/>
  </r>
  <r>
    <n v="690"/>
    <s v="T0450"/>
    <s v="IHS_DLA_198"/>
    <s v="T0450"/>
    <x v="7"/>
    <s v="Logbaba"/>
    <x v="0"/>
    <s v="Outdoor"/>
    <s v="Beedi"/>
    <s v="WOURI"/>
    <s v="Douala 3"/>
    <x v="5"/>
    <n v="4.0380500000000001"/>
    <n v="9.7605299999999993"/>
    <x v="1"/>
  </r>
  <r>
    <n v="691"/>
    <s v="LIT_400"/>
    <s v="IHS_DLA_229"/>
    <s v="LIT_400"/>
    <x v="7"/>
    <s v="Bonawon"/>
    <x v="0"/>
    <s v="Outdoor"/>
    <s v="Kotto"/>
    <s v="WOURI"/>
    <s v="Douala 5"/>
    <x v="5"/>
    <n v="4.0984569999999998"/>
    <n v="9.7313410000000005"/>
    <x v="1"/>
  </r>
  <r>
    <n v="692"/>
    <s v="LIT_384"/>
    <s v="IHS_DLA_261"/>
    <s v="LIT_384"/>
    <x v="7"/>
    <s v="Emene-City"/>
    <x v="0"/>
    <s v="Outdoor"/>
    <s v="PK12"/>
    <s v="WOURI"/>
    <s v="Douala 5"/>
    <x v="5"/>
    <n v="4.0703300000000002"/>
    <n v="9.7823600000000006"/>
    <x v="0"/>
  </r>
  <r>
    <n v="693"/>
    <s v="LIT_347"/>
    <s v="IHS_DLA_117"/>
    <s v="LIT_347"/>
    <x v="7"/>
    <s v="Base-Navale"/>
    <x v="0"/>
    <s v="Outdoor"/>
    <s v="BONAPRISO"/>
    <s v="WOURI"/>
    <s v="Douala 1"/>
    <x v="5"/>
    <n v="4.027228"/>
    <n v="9.6660140000000006"/>
    <x v="0"/>
  </r>
  <r>
    <n v="694"/>
    <s v="T1797"/>
    <s v="IHS_BNB_020"/>
    <s v="T1797"/>
    <x v="7"/>
    <s v="Sodiko 2"/>
    <x v="0"/>
    <s v="Outdoor"/>
    <s v="Bonaberi 2"/>
    <s v="WOURI"/>
    <s v="Douala 4"/>
    <x v="5"/>
    <n v="4.0962899999999998"/>
    <n v="9.6590279999999993"/>
    <x v="0"/>
  </r>
  <r>
    <n v="695"/>
    <s v="LIT_364"/>
    <s v="IHS_BNB_023"/>
    <s v="LIT_364"/>
    <x v="7"/>
    <s v="Bonamatoumbe-II"/>
    <x v="0"/>
    <s v="Outdoor"/>
    <s v="Bonaberi 1"/>
    <s v="WOURI"/>
    <s v="Douala 4"/>
    <x v="5"/>
    <n v="4.0979970000000003"/>
    <n v="9.6608420000000006"/>
    <x v="1"/>
  </r>
  <r>
    <n v="696"/>
    <s v="LIT_249"/>
    <s v="IHS_DLA_250"/>
    <s v="LIT_249"/>
    <x v="7"/>
    <s v="PK12-Marche"/>
    <x v="0"/>
    <s v="Outdoor"/>
    <s v="PK12"/>
    <s v="WOURI"/>
    <s v="Douala 3"/>
    <x v="5"/>
    <n v="4.0629020000000002"/>
    <n v="9.7869729999999997"/>
    <x v="0"/>
  </r>
  <r>
    <n v="697"/>
    <s v="T1932"/>
    <s v="IHS_DLA_409"/>
    <s v="T1932"/>
    <x v="7"/>
    <s v="Mabanda 2"/>
    <x v="0"/>
    <s v="Outdoor"/>
    <s v="Bonaberi 1"/>
    <s v="WOURI"/>
    <s v="Douala 4"/>
    <x v="5"/>
    <n v="4.0763579999999999"/>
    <n v="9.6563689999999998"/>
    <x v="0"/>
  </r>
  <r>
    <n v="698"/>
    <s v="T1701"/>
    <s v="IHS_BNB_011"/>
    <s v="T1701"/>
    <x v="7"/>
    <s v="FORET BAR MABANDA"/>
    <x v="0"/>
    <s v="Outdoor"/>
    <s v="Bonaberi 1"/>
    <s v="WOURI"/>
    <s v="Douala 4"/>
    <x v="5"/>
    <n v="4.0754900000000003"/>
    <n v="9.6631599999999995"/>
    <x v="0"/>
  </r>
  <r>
    <n v="699"/>
    <s v="T0447"/>
    <s v="IHS_DLA_009"/>
    <s v="T0447"/>
    <x v="7"/>
    <s v="Ngodi Akwa Sapeur"/>
    <x v="0"/>
    <s v="Outdoor"/>
    <s v="AKWA"/>
    <s v="WOURI"/>
    <s v="Douala 1"/>
    <x v="5"/>
    <n v="4.0453000000000001"/>
    <n v="9.7067499999999995"/>
    <x v="1"/>
  </r>
  <r>
    <n v="700"/>
    <s v="LIT_409"/>
    <s v="IHS_DLA_238"/>
    <s v="LIT_409"/>
    <x v="7"/>
    <s v="Ndogpassi-Lycee-II"/>
    <x v="0"/>
    <s v="Outdoor"/>
    <s v="Yassa"/>
    <s v="WOURI"/>
    <s v="Douala 3"/>
    <x v="5"/>
    <n v="4.0044719999999998"/>
    <n v="9.7620559999999994"/>
    <x v="1"/>
  </r>
  <r>
    <n v="701"/>
    <s v="LIT_441"/>
    <s v="IHS_DLA_436"/>
    <s v="LIT_441"/>
    <x v="7"/>
    <s v="Ngo njo (PK11-II)"/>
    <x v="0"/>
    <s v="Outdoor"/>
    <s v="PK12"/>
    <s v="WOURI"/>
    <s v="Douala 3"/>
    <x v="5"/>
    <n v="4.050465"/>
    <n v="9.7978400000000008"/>
    <x v="1"/>
  </r>
  <r>
    <n v="702"/>
    <s v="T1122"/>
    <s v="IHS_NKS_020"/>
    <s v="T1122"/>
    <x v="7"/>
    <s v="Douala Bogongo"/>
    <x v="0"/>
    <s v="Outdoor"/>
    <s v="Bilongue"/>
    <s v="WOURI"/>
    <s v="Douala 3"/>
    <x v="5"/>
    <n v="4.0075700000000003"/>
    <n v="9.7437699999999996"/>
    <x v="1"/>
  </r>
  <r>
    <n v="703"/>
    <s v="LIT_401"/>
    <s v="IHS_DLA_156"/>
    <s v="LIT_401"/>
    <x v="7"/>
    <s v="Makepe-Maturite"/>
    <x v="0"/>
    <s v="Outdoor"/>
    <s v="Ndogbong"/>
    <s v="WOURI"/>
    <s v="Douala 5"/>
    <x v="5"/>
    <n v="4.058605"/>
    <n v="9.734"/>
    <x v="1"/>
  </r>
  <r>
    <n v="704"/>
    <s v="T1922"/>
    <s v="IHS_DLA_410"/>
    <s v="T1922"/>
    <x v="7"/>
    <s v="Bobongo ITBA"/>
    <x v="0"/>
    <s v="Outdoor"/>
    <s v="Bilongue"/>
    <s v="WOURI"/>
    <s v="Douala 3"/>
    <x v="5"/>
    <n v="4.0084999999999997"/>
    <n v="9.7371189999999999"/>
    <x v="0"/>
  </r>
  <r>
    <n v="705"/>
    <s v="LIT_346"/>
    <s v="IHS_BNB_028"/>
    <s v="LIT_346"/>
    <x v="7"/>
    <s v="Bberi-Abattoir"/>
    <x v="0"/>
    <s v="Outdoor"/>
    <s v="Bonaberi 2"/>
    <s v="WOURI"/>
    <s v="Douala 4"/>
    <x v="5"/>
    <n v="4.1124229999999997"/>
    <n v="9.6449420000000003"/>
    <x v="0"/>
  </r>
  <r>
    <n v="706"/>
    <s v="LIT_433"/>
    <s v="IHS_DLA_441"/>
    <s v="LIT_433"/>
    <x v="7"/>
    <s v="Bonaloka Entrée     "/>
    <x v="0"/>
    <s v="Outdoor"/>
    <s v="Bilongue"/>
    <s v="WOURI"/>
    <s v="Douala 3"/>
    <x v="5"/>
    <n v="4.0201099999999999"/>
    <n v="9.7235700000000005"/>
    <x v="1"/>
  </r>
  <r>
    <n v="707"/>
    <s v="T1935"/>
    <s v="IHS_BNB_101"/>
    <s v="T1935"/>
    <x v="7"/>
    <s v="Ndobo"/>
    <x v="0"/>
    <s v="Indoor"/>
    <s v="Bonaberi 2"/>
    <s v="WOURI"/>
    <s v="Douala 4"/>
    <x v="5"/>
    <n v="4.1020560000000001"/>
    <n v="9.6314139999999995"/>
    <x v="0"/>
  </r>
  <r>
    <n v="708"/>
    <s v="LIT_439"/>
    <s v="IHS_DLA_437"/>
    <s v="LIT_439"/>
    <x v="7"/>
    <s v="Nkololoun II"/>
    <x v="0"/>
    <s v="Outdoor"/>
    <s v="St Michel"/>
    <s v="WOURI"/>
    <s v="Douala 2"/>
    <x v="5"/>
    <n v="4.0369849999999996"/>
    <n v="9.7167080000000006"/>
    <x v="1"/>
  </r>
  <r>
    <n v="709"/>
    <s v="LIT_451"/>
    <s v="IHS_DLA_439"/>
    <s v="LIT_451"/>
    <x v="7"/>
    <s v="Bilongue II "/>
    <x v="0"/>
    <s v="Outdoor"/>
    <s v="Bilongue"/>
    <s v="WOURI"/>
    <s v="Douala 3"/>
    <x v="5"/>
    <n v="4.0144330000000004"/>
    <n v="9.7447169999999996"/>
    <x v="1"/>
  </r>
  <r>
    <n v="710"/>
    <s v="T2121"/>
    <s v="IHS_DLA_029"/>
    <s v="T2121"/>
    <x v="7"/>
    <s v="Auberge PK5"/>
    <x v="0"/>
    <s v="Outdoor"/>
    <s v="St Michel"/>
    <s v="WOURI"/>
    <s v="Douala 2"/>
    <x v="5"/>
    <n v="4.0419229999999997"/>
    <n v="9.7205870000000001"/>
    <x v="1"/>
  </r>
  <r>
    <n v="711"/>
    <s v="LIT_205"/>
    <s v="IHS_DLA_208"/>
    <s v="LIT_205"/>
    <x v="7"/>
    <s v="Ndogp-St-Nicolas"/>
    <x v="0"/>
    <s v="Indoor"/>
    <s v="Bilongue"/>
    <s v="WOURI"/>
    <s v="Douala 3"/>
    <x v="5"/>
    <n v="4.0193830000000004"/>
    <n v="9.7576210000000003"/>
    <x v="0"/>
  </r>
  <r>
    <n v="712"/>
    <s v="LIT_449"/>
    <s v="IHS_DLA_431"/>
    <s v="LIT_449"/>
    <x v="7"/>
    <s v="Malangue IHS"/>
    <x v="0"/>
    <s v="Outdoor"/>
    <s v="Beedi"/>
    <s v="WOURI"/>
    <s v="Douala 5"/>
    <x v="5"/>
    <n v="4.062538"/>
    <n v="9.7630239999999997"/>
    <x v="1"/>
  </r>
  <r>
    <n v="713"/>
    <s v="LIT_440"/>
    <s v="IHS_DLA_430"/>
    <s v="LIT_440"/>
    <x v="7"/>
    <s v="Logpom Denver City"/>
    <x v="0"/>
    <s v="Outdoor"/>
    <s v="Beedi"/>
    <s v="WOURI"/>
    <s v="Douala 5"/>
    <x v="5"/>
    <n v="4.0845840000000004"/>
    <n v="9.7783510000000007"/>
    <x v="1"/>
  </r>
  <r>
    <n v="714"/>
    <s v="LIT_392"/>
    <s v="IHS_DLA_287"/>
    <s v="LIT_392"/>
    <x v="7"/>
    <s v="Bomkoul"/>
    <x v="0"/>
    <s v="Outdoor"/>
    <s v="PK12"/>
    <s v="WOURI"/>
    <s v="Douala 5"/>
    <x v="5"/>
    <n v="4.0898500000000002"/>
    <n v="9.7834800000000008"/>
    <x v="0"/>
  </r>
  <r>
    <n v="715"/>
    <s v="LIT_059"/>
    <s v="IHS_DLA_263"/>
    <s v="LIT_059"/>
    <x v="7"/>
    <s v="Nyalla"/>
    <x v="0"/>
    <s v="Indoor"/>
    <s v="Ndogbong"/>
    <s v="WOURI"/>
    <s v="Douala 3"/>
    <x v="5"/>
    <n v="4.0339169999999998"/>
    <n v="9.7826939999999993"/>
    <x v="1"/>
  </r>
  <r>
    <n v="716"/>
    <s v="T1699"/>
    <s v="IHS_DLA_191"/>
    <s v="T1699"/>
    <x v="7"/>
    <s v="Ndogbong 2"/>
    <x v="0"/>
    <s v="Outdoor"/>
    <s v="BEPENDA"/>
    <s v="WOURI"/>
    <s v="Douala 5"/>
    <x v="5"/>
    <n v="4.0635560000000002"/>
    <n v="9.7456940000000003"/>
    <x v="0"/>
  </r>
  <r>
    <n v="717"/>
    <s v="T1728"/>
    <s v="IHS_DLA_179"/>
    <s v="T1728"/>
    <x v="7"/>
    <s v="Bepanda Casmando"/>
    <x v="0"/>
    <s v="Outdoor"/>
    <s v="BEPENDA"/>
    <s v="WOURI"/>
    <s v="Douala 5"/>
    <x v="5"/>
    <n v="4.0693890000000001"/>
    <n v="9.7299439999999997"/>
    <x v="1"/>
  </r>
  <r>
    <n v="718"/>
    <s v="T1708"/>
    <s v="IHS_DLA_244"/>
    <s v="T1708"/>
    <x v="7"/>
    <s v="NDOGPASSI PAYS BAS"/>
    <x v="0"/>
    <s v="Outdoor"/>
    <s v="Yassa"/>
    <s v="WOURI"/>
    <s v="Douala 3"/>
    <x v="5"/>
    <n v="4.0212500000000002"/>
    <n v="9.7739899999999995"/>
    <x v="0"/>
  </r>
  <r>
    <n v="719"/>
    <s v="T0332"/>
    <s v="IHS_DLA_301"/>
    <s v="T0332"/>
    <x v="7"/>
    <s v="Ndogpassi II"/>
    <x v="0"/>
    <s v="Indoor"/>
    <s v="Bilongue"/>
    <s v="WOURI"/>
    <s v="Douala 3"/>
    <x v="5"/>
    <n v="4.0233499999999998"/>
    <n v="9.7637900000000002"/>
    <x v="0"/>
  </r>
  <r>
    <n v="720"/>
    <s v="T1785"/>
    <s v="IHS_MBG_021"/>
    <s v="T1785"/>
    <x v="6"/>
    <s v="Souza Market"/>
    <x v="1"/>
    <s v="Outdoor"/>
    <s v="Mbanga"/>
    <s v="MOUNGO"/>
    <s v="bonalea"/>
    <x v="5"/>
    <n v="4.2341449999999998"/>
    <n v="9.6163720000000001"/>
    <x v="0"/>
  </r>
  <r>
    <n v="721"/>
    <s v="T0867"/>
    <s v="IHS_BNB_005"/>
    <s v="T0867"/>
    <x v="7"/>
    <s v="BONABERI MICHELIN 867"/>
    <x v="0"/>
    <s v="Indoor"/>
    <s v="Bonaberi 1"/>
    <s v="WOURI"/>
    <s v="Douala 4"/>
    <x v="5"/>
    <n v="4.0838999999999999"/>
    <n v="9.6588499999999993"/>
    <x v="0"/>
  </r>
  <r>
    <n v="722"/>
    <s v="T1128"/>
    <s v="IHS_DLA_274"/>
    <s v="T1128"/>
    <x v="7"/>
    <s v="Kotto Village"/>
    <x v="0"/>
    <s v="Outdoor"/>
    <s v="Kotto"/>
    <s v="WOURI"/>
    <s v="Douala 5"/>
    <x v="5"/>
    <n v="4.0941200000000002"/>
    <n v="9.7621199999999995"/>
    <x v="1"/>
  </r>
  <r>
    <n v="723"/>
    <s v="T0025"/>
    <s v="IHS_DLA_232"/>
    <s v="T0025"/>
    <x v="7"/>
    <s v="Makepe Evangelic Church"/>
    <x v="0"/>
    <s v="Indoor"/>
    <s v="Beedi"/>
    <s v="WOURI"/>
    <s v="Douala 5"/>
    <x v="5"/>
    <n v="4.0822500000000002"/>
    <n v="9.7552000000000003"/>
    <x v="0"/>
  </r>
  <r>
    <n v="724"/>
    <s v="LIT_055"/>
    <s v="IHS_DLA_092"/>
    <s v="LIT_055"/>
    <x v="7"/>
    <s v="Ancien-Aeroport"/>
    <x v="0"/>
    <s v="Indoor"/>
    <s v="St Michel"/>
    <s v="WOURI"/>
    <s v="Douala 1"/>
    <x v="5"/>
    <n v="4.0176639999999999"/>
    <n v="9.7058579999999992"/>
    <x v="1"/>
  </r>
  <r>
    <n v="725"/>
    <s v="T0061"/>
    <s v="IHS_DLA_016"/>
    <s v="T0061"/>
    <x v="7"/>
    <s v="Aristha Hotel"/>
    <x v="0"/>
    <s v="Indoor"/>
    <s v="St Michel"/>
    <s v="WOURI"/>
    <s v="Douala 2"/>
    <x v="5"/>
    <n v="4.038475"/>
    <n v="9.7119219999999995"/>
    <x v="1"/>
  </r>
  <r>
    <n v="726"/>
    <s v="T0598"/>
    <s v="IHS_DLA_146"/>
    <s v="T0598"/>
    <x v="7"/>
    <s v="Total Ndokotti"/>
    <x v="0"/>
    <s v="Outdoor"/>
    <s v="Ndogbong"/>
    <s v="WOURI"/>
    <s v="Douala 3"/>
    <x v="5"/>
    <n v="4.0439999999999996"/>
    <n v="9.7477219999999996"/>
    <x v="1"/>
  </r>
  <r>
    <n v="727"/>
    <s v="LIT_127"/>
    <s v="IHS_DLA_234"/>
    <s v="LIT_127"/>
    <x v="7"/>
    <s v="Beedi"/>
    <x v="0"/>
    <s v="Indoor"/>
    <s v="Beedi"/>
    <s v="WOURI"/>
    <s v="Douala 5"/>
    <x v="5"/>
    <n v="4.0643609999999999"/>
    <n v="9.7677779999999998"/>
    <x v="0"/>
  </r>
  <r>
    <n v="728"/>
    <s v="LIT_256"/>
    <s v="IHS_DLA_219"/>
    <s v="LIT_256"/>
    <x v="7"/>
    <s v="Beedi-Hte-Tension"/>
    <x v="0"/>
    <s v="Outdoor"/>
    <s v="Beedi"/>
    <s v="WOURI"/>
    <s v="Douala 5"/>
    <x v="5"/>
    <n v="4.0585000000000004"/>
    <n v="9.7684440000000006"/>
    <x v="0"/>
  </r>
  <r>
    <n v="729"/>
    <s v="LIT_459"/>
    <s v="IHS_DLA_476"/>
    <s v="LIT_459"/>
    <x v="7"/>
    <s v="Bep An 2000 (Gd Moulin II)"/>
    <x v="0"/>
    <s v="Outdoor"/>
    <s v="AKWA"/>
    <s v="WOURI"/>
    <s v="Douala 5"/>
    <x v="5"/>
    <n v="4.0656670000000004"/>
    <n v="9.7229720000000004"/>
    <x v="1"/>
  </r>
  <r>
    <n v="730"/>
    <s v="LIT_425"/>
    <s v="IHS_DLA_173"/>
    <s v="LIT_425"/>
    <x v="7"/>
    <s v="Bilongue"/>
    <x v="0"/>
    <s v="Outdoor"/>
    <s v="Bilongue"/>
    <s v="WOURI"/>
    <s v="Douala 3"/>
    <x v="5"/>
    <n v="4.0095320000000001"/>
    <n v="9.7415260000000004"/>
    <x v="1"/>
  </r>
  <r>
    <n v="731"/>
    <s v="LIT_096"/>
    <s v="IHS_DLA_015"/>
    <s v="LIT_096"/>
    <x v="7"/>
    <s v="NR-PK5"/>
    <x v="0"/>
    <s v="Indoor"/>
    <s v="St Michel"/>
    <s v="WOURI"/>
    <s v="Douala 2"/>
    <x v="5"/>
    <n v="4.0411349999999997"/>
    <n v="9.7169690000000006"/>
    <x v="1"/>
  </r>
  <r>
    <n v="732"/>
    <s v="LIT_411"/>
    <s v="IHS_DLA_034"/>
    <s v="LIT_411"/>
    <x v="7"/>
    <s v="Ngodi-Cimetiere"/>
    <x v="0"/>
    <s v="Outdoor"/>
    <s v="AKWA"/>
    <s v="WOURI"/>
    <s v="Douala 1"/>
    <x v="5"/>
    <n v="4.0461689999999999"/>
    <n v="9.7083919999999999"/>
    <x v="1"/>
  </r>
  <r>
    <n v="733"/>
    <s v="T0856"/>
    <s v="IHS_DLA_426"/>
    <s v="T0856"/>
    <x v="7"/>
    <s v="Logbaba Plateau"/>
    <x v="0"/>
    <s v="Outdoor"/>
    <s v="Beedi"/>
    <s v="WOURI"/>
    <s v="Douala 3"/>
    <x v="5"/>
    <n v="4.0291940000000004"/>
    <n v="9.7558050000000005"/>
    <x v="0"/>
  </r>
  <r>
    <n v="734"/>
    <s v="T1928"/>
    <s v="IHS_DLA_308"/>
    <s v="T1928"/>
    <x v="7"/>
    <s v="Carrefour BASSONG"/>
    <x v="0"/>
    <s v="Outdoor"/>
    <s v="Beedi"/>
    <s v="WOURI"/>
    <s v="Douala 5"/>
    <x v="5"/>
    <n v="4.0816689999999998"/>
    <n v="9.7711500000000004"/>
    <x v="1"/>
  </r>
  <r>
    <n v="735"/>
    <s v="T1729"/>
    <s v="IHS_DLA_149"/>
    <s v="T1729"/>
    <x v="7"/>
    <s v="Bonabassem"/>
    <x v="0"/>
    <s v="Outdoor"/>
    <s v="AKWA"/>
    <s v="WOURI"/>
    <s v="Douala 1"/>
    <x v="5"/>
    <n v="4.0710829999999998"/>
    <n v="9.7142499999999998"/>
    <x v="1"/>
  </r>
  <r>
    <n v="736"/>
    <s v="LIT_221"/>
    <s v="IHS_DLA_161"/>
    <s v="LIT_221"/>
    <x v="7"/>
    <s v="Ndogbong-IUT"/>
    <x v="0"/>
    <s v="Outdoor"/>
    <s v="BEPENDA"/>
    <s v="WOURI"/>
    <s v="Douala 5"/>
    <x v="5"/>
    <n v="4.0541859999999996"/>
    <n v="9.7456110000000002"/>
    <x v="0"/>
  </r>
  <r>
    <n v="737"/>
    <s v="T1940"/>
    <s v="IHS_BNB_100"/>
    <s v="T1940"/>
    <x v="7"/>
    <s v="ngwelle 2"/>
    <x v="0"/>
    <s v="Outdoor"/>
    <s v="Bonaberi 2"/>
    <s v="WOURI"/>
    <s v="Douala 4"/>
    <x v="5"/>
    <n v="4.0941029999999996"/>
    <n v="9.6398580000000003"/>
    <x v="0"/>
  </r>
  <r>
    <n v="738"/>
    <s v="T2519"/>
    <s v="IHS_DLA_213"/>
    <s v="T2519"/>
    <x v="7"/>
    <s v="Ndogbong plateau"/>
    <x v="0"/>
    <s v="Outdoor"/>
    <s v="BEPENDA"/>
    <s v="WOURI"/>
    <s v="Douala 5"/>
    <x v="5"/>
    <n v="4.0640689999999999"/>
    <n v="9.7531099999999995"/>
    <x v="1"/>
  </r>
  <r>
    <n v="739"/>
    <s v="T0374"/>
    <s v="IHS_DLA_200"/>
    <s v="T0374"/>
    <x v="7"/>
    <s v="Cite des Palmiers"/>
    <x v="0"/>
    <s v="Indoor"/>
    <s v="Beedi"/>
    <s v="WOURI"/>
    <s v="Douala 5"/>
    <x v="5"/>
    <n v="4.0518999999999998"/>
    <n v="9.7609960000000004"/>
    <x v="0"/>
  </r>
  <r>
    <n v="740"/>
    <s v="LIT_058"/>
    <s v="IHS_DLA_203"/>
    <s v="LIT_058"/>
    <x v="7"/>
    <s v="Logbaba"/>
    <x v="0"/>
    <s v="Indoor"/>
    <s v="Beedi"/>
    <s v="WOURI"/>
    <s v="Douala 3"/>
    <x v="5"/>
    <n v="4.0387500000000003"/>
    <n v="9.7620559999999994"/>
    <x v="1"/>
  </r>
  <r>
    <n v="741"/>
    <s v="T0516"/>
    <s v="IHS_DLA_121"/>
    <s v="T0516"/>
    <x v="7"/>
    <s v="Bepanda Stade"/>
    <x v="0"/>
    <s v="Outdoor"/>
    <s v="AKWA"/>
    <s v="WOURI"/>
    <s v="Douala 5"/>
    <x v="5"/>
    <n v="4.0547709999999997"/>
    <n v="9.7240490000000008"/>
    <x v="1"/>
  </r>
  <r>
    <n v="742"/>
    <s v="LIT_117"/>
    <s v="IHS_DLA_295"/>
    <s v="LIT_117"/>
    <x v="7"/>
    <s v="Ndogkeng"/>
    <x v="0"/>
    <s v="Indoor"/>
    <s v="PK12"/>
    <s v="WOURI"/>
    <s v="Douala 5"/>
    <x v="5"/>
    <n v="4.1600149999999996"/>
    <n v="9.8414950000000001"/>
    <x v="0"/>
  </r>
  <r>
    <n v="743"/>
    <s v="T0376"/>
    <s v="IHS_DLA_251"/>
    <s v="T0376"/>
    <x v="7"/>
    <s v="Logpom"/>
    <x v="0"/>
    <s v="Indoor"/>
    <s v="Beedi"/>
    <s v="WOURI"/>
    <s v="Douala 5"/>
    <x v="5"/>
    <n v="4.0724400000000003"/>
    <n v="9.7696799999999993"/>
    <x v="0"/>
  </r>
  <r>
    <n v="744"/>
    <s v="LIT_106"/>
    <s v="IHS_DLA_223"/>
    <s v="LIT_106"/>
    <x v="7"/>
    <s v="Denver"/>
    <x v="0"/>
    <s v="Indoor"/>
    <s v="Kotto"/>
    <s v="WOURI"/>
    <s v="Douala 5"/>
    <x v="5"/>
    <n v="4.091183"/>
    <n v="9.7359589999999994"/>
    <x v="1"/>
  </r>
  <r>
    <n v="745"/>
    <s v="T0392"/>
    <s v="IHS_DLA_211"/>
    <s v="T0392"/>
    <x v="7"/>
    <s v="Cite Berge"/>
    <x v="0"/>
    <s v="Indoor"/>
    <s v="Bilongue"/>
    <s v="WOURI"/>
    <s v="Douala 3"/>
    <x v="5"/>
    <n v="4.0032649999999999"/>
    <n v="9.7485979999999994"/>
    <x v="1"/>
  </r>
  <r>
    <n v="746"/>
    <s v="T1130"/>
    <s v="IHS_DLA_196"/>
    <s v="T1130"/>
    <x v="7"/>
    <s v="PK8 OCM"/>
    <x v="0"/>
    <s v="Outdoor"/>
    <s v="Beedi"/>
    <s v="WOURI"/>
    <s v="Douala 5"/>
    <x v="5"/>
    <n v="4.0459719999999999"/>
    <n v="9.7566109999999995"/>
    <x v="0"/>
  </r>
  <r>
    <n v="747"/>
    <s v="LIT_260"/>
    <s v="IHS_BNB_021"/>
    <s v="LIT_260"/>
    <x v="7"/>
    <s v="Ndobo-Rail"/>
    <x v="0"/>
    <s v="Outdoor"/>
    <s v="Bonaberi 2"/>
    <s v="WOURI"/>
    <s v="Douala 4"/>
    <x v="5"/>
    <n v="4.0983330000000002"/>
    <n v="9.6417219999999997"/>
    <x v="0"/>
  </r>
  <r>
    <n v="748"/>
    <s v="LIT_283"/>
    <s v="IHS_DLA_210"/>
    <s v="LIT_283"/>
    <x v="7"/>
    <s v="Ndogpassi-III"/>
    <x v="0"/>
    <s v="Outdoor"/>
    <s v="Bilongue"/>
    <s v="WOURI"/>
    <s v="Douala 3"/>
    <x v="5"/>
    <n v="4.0085290000000002"/>
    <n v="9.7568000000000001"/>
    <x v="0"/>
  </r>
  <r>
    <n v="749"/>
    <s v="LIT_080"/>
    <s v="IHS_DLA_188"/>
    <s v="LIT_080"/>
    <x v="7"/>
    <s v="Mak-Missoke"/>
    <x v="0"/>
    <s v="Indoor"/>
    <s v="Beedi"/>
    <s v="WOURI"/>
    <s v="Douala 5"/>
    <x v="5"/>
    <n v="4.0643060000000002"/>
    <n v="9.739611"/>
    <x v="0"/>
  </r>
  <r>
    <n v="750"/>
    <s v="T0018"/>
    <s v="IHS_DLA_192"/>
    <s v="T0018"/>
    <x v="7"/>
    <s v="Ndogbong"/>
    <x v="0"/>
    <s v="Indoor"/>
    <s v="BEPENDA"/>
    <s v="WOURI"/>
    <s v="Douala 5"/>
    <x v="5"/>
    <n v="4.0555199999999996"/>
    <n v="9.7501899999999999"/>
    <x v="0"/>
  </r>
  <r>
    <n v="751"/>
    <s v="LIT_264"/>
    <s v="IHS_DLA_194"/>
    <s v="LIT_264"/>
    <x v="7"/>
    <s v="Ndogbong-Vallee"/>
    <x v="0"/>
    <s v="Outdoor"/>
    <s v="BEPENDA"/>
    <s v="WOURI"/>
    <s v="Douala 5"/>
    <x v="5"/>
    <n v="4.0581670000000001"/>
    <n v="9.7544439999999994"/>
    <x v="0"/>
  </r>
  <r>
    <n v="752"/>
    <s v="T0857"/>
    <s v="IHS_DLA_184"/>
    <s v="T0857"/>
    <x v="7"/>
    <s v="BEPANDA SAFARI 857 1800"/>
    <x v="0"/>
    <s v="Indoor"/>
    <s v="BEPENDA"/>
    <s v="WOURI"/>
    <s v="Douala 5"/>
    <x v="5"/>
    <n v="4.0759999999999996"/>
    <n v="9.7308800000000009"/>
    <x v="0"/>
  </r>
  <r>
    <n v="753"/>
    <s v="T0517"/>
    <s v="IHS_DLA_206"/>
    <s v="T0517"/>
    <x v="7"/>
    <s v="Song Kot"/>
    <x v="0"/>
    <s v="Outdoor"/>
    <s v="Ndogbong"/>
    <s v="WOURI"/>
    <s v="Douala 3"/>
    <x v="5"/>
    <n v="4.0352699999999997"/>
    <n v="9.7702600000000004"/>
    <x v="0"/>
  </r>
  <r>
    <n v="754"/>
    <s v="LIT_198"/>
    <s v="IHS_DLA_267"/>
    <s v="LIT_198"/>
    <x v="7"/>
    <s v="Cogefar"/>
    <x v="0"/>
    <s v="Indoor"/>
    <s v="Yassa"/>
    <s v="WOURI"/>
    <s v="Douala 3"/>
    <x v="5"/>
    <n v="3.9927220000000001"/>
    <n v="9.7871670000000002"/>
    <x v="0"/>
  </r>
  <r>
    <n v="755"/>
    <s v="T2295"/>
    <s v="IHS_DLA_225"/>
    <s v="T2295"/>
    <x v="7"/>
    <s v="New Bonamoussadi"/>
    <x v="0"/>
    <s v="Outdoor"/>
    <s v="Kotto"/>
    <s v="WOURI"/>
    <s v="Douala 5"/>
    <x v="5"/>
    <n v="4.0889150000000001"/>
    <n v="9.7425529999999991"/>
    <x v="1"/>
  </r>
  <r>
    <n v="756"/>
    <s v="T0060"/>
    <s v="IHS_DLA_035"/>
    <s v="T0060"/>
    <x v="7"/>
    <s v="Tout Pour Moto"/>
    <x v="0"/>
    <s v="Indoor"/>
    <s v="AKWA"/>
    <s v="WOURI"/>
    <s v="Douala 1"/>
    <x v="5"/>
    <n v="4.0548900000000003"/>
    <n v="9.7060499999999994"/>
    <x v="1"/>
  </r>
  <r>
    <n v="757"/>
    <s v="T0512"/>
    <s v="IHS_DLA_285"/>
    <s v="T0512"/>
    <x v="7"/>
    <s v="PK 14 Market"/>
    <x v="0"/>
    <s v="Outdoor"/>
    <s v="PK12"/>
    <s v="WOURI"/>
    <s v="Douala 3"/>
    <x v="5"/>
    <n v="4.0839749999999997"/>
    <n v="9.7950949999999999"/>
    <x v="1"/>
  </r>
  <r>
    <n v="758"/>
    <s v="T0618"/>
    <s v="IHS_DLA_169"/>
    <s v="T0618"/>
    <x v="7"/>
    <s v="Bonaloka"/>
    <x v="0"/>
    <s v="Outdoor"/>
    <s v="Bilongue"/>
    <s v="WOURI"/>
    <s v="Douala 3"/>
    <x v="5"/>
    <n v="4.0102320000000002"/>
    <n v="9.7327320000000004"/>
    <x v="1"/>
  </r>
  <r>
    <n v="759"/>
    <s v="T0367"/>
    <s v="IHS_DLA_013"/>
    <s v="T0367"/>
    <x v="7"/>
    <s v="Mboppi Market"/>
    <x v="0"/>
    <s v="Indoor"/>
    <s v="AKWA"/>
    <s v="WOURI"/>
    <s v="Douala 1"/>
    <x v="5"/>
    <n v="4.0474899999999998"/>
    <n v="9.7120700000000006"/>
    <x v="1"/>
  </r>
  <r>
    <n v="760"/>
    <s v="T0511"/>
    <s v="IHS_BNB_034"/>
    <s v="T0511"/>
    <x v="7"/>
    <s v="Bonandalle"/>
    <x v="0"/>
    <s v="Outdoor"/>
    <s v="Bonaberi 2"/>
    <s v="WOURI"/>
    <s v="Douala 4"/>
    <x v="5"/>
    <n v="4.1163660000000002"/>
    <n v="9.6583240000000004"/>
    <x v="0"/>
  </r>
  <r>
    <n v="761"/>
    <s v="T0625"/>
    <s v="IHS_DLA_230"/>
    <s v="T0625"/>
    <x v="7"/>
    <s v="Bonamoussadi3"/>
    <x v="0"/>
    <s v="Outdoor"/>
    <s v="Kotto"/>
    <s v="WOURI"/>
    <s v="Douala 5"/>
    <x v="5"/>
    <n v="4.0949210000000003"/>
    <n v="9.7414900000000006"/>
    <x v="1"/>
  </r>
  <r>
    <n v="762"/>
    <s v="T0445"/>
    <s v="IHS_DLA_174"/>
    <s v="T0445"/>
    <x v="7"/>
    <s v="Bilongue"/>
    <x v="0"/>
    <s v="Outdoor"/>
    <s v="Bilongue"/>
    <s v="WOURI"/>
    <s v="Douala 3"/>
    <x v="5"/>
    <n v="4.0168900000000001"/>
    <n v="9.7467419999999994"/>
    <x v="1"/>
  </r>
  <r>
    <n v="763"/>
    <s v="LIT_217"/>
    <s v="IHS_DLA_126"/>
    <s v="LIT_217"/>
    <x v="7"/>
    <s v="Ndokoti-New"/>
    <x v="0"/>
    <s v="Outdoor"/>
    <s v="Ndogbong"/>
    <s v="WOURI"/>
    <s v="Douala 3"/>
    <x v="5"/>
    <n v="4.0418060000000002"/>
    <n v="9.7399170000000002"/>
    <x v="0"/>
  </r>
  <r>
    <n v="764"/>
    <s v="LIT_210"/>
    <s v="IHS_DLA_415"/>
    <s v="LIT_210"/>
    <x v="7"/>
    <s v="Logpom-H-Soeurs"/>
    <x v="0"/>
    <s v="Outdoor"/>
    <s v="Beedi"/>
    <s v="WOURI"/>
    <s v="Douala 5"/>
    <x v="5"/>
    <n v="4.0797230000000004"/>
    <n v="9.7656340000000004"/>
    <x v="1"/>
  </r>
  <r>
    <n v="765"/>
    <s v="LIT_255"/>
    <s v="IHS_DLA_195"/>
    <s v="LIT_255"/>
    <x v="7"/>
    <s v="PK8"/>
    <x v="0"/>
    <s v="Outdoor"/>
    <s v="Beedi"/>
    <s v="WOURI"/>
    <s v="Douala 5"/>
    <x v="5"/>
    <n v="4.0473889999999999"/>
    <n v="9.7568330000000003"/>
    <x v="0"/>
  </r>
  <r>
    <n v="766"/>
    <s v="LIT_243"/>
    <s v="IHS_BNB_006"/>
    <s v="LIT_243"/>
    <x v="7"/>
    <s v="Bberi-Centre"/>
    <x v="0"/>
    <s v="Outdoor"/>
    <s v="Bonaberi 2"/>
    <s v="WOURI"/>
    <s v="Douala 4"/>
    <x v="5"/>
    <n v="4.0861879999999999"/>
    <n v="9.6639330000000001"/>
    <x v="0"/>
  </r>
  <r>
    <n v="767"/>
    <s v="T0626"/>
    <s v="IHS_DLA_151"/>
    <s v="T0626"/>
    <x v="7"/>
    <s v="Bonamouti"/>
    <x v="0"/>
    <s v="Outdoor"/>
    <s v="AKWA"/>
    <s v="WOURI"/>
    <s v="Douala 4"/>
    <x v="5"/>
    <n v="4.0706110000000004"/>
    <n v="9.7181390000000007"/>
    <x v="1"/>
  </r>
  <r>
    <n v="768"/>
    <s v="LIT_250"/>
    <s v="IHS_DLA_212"/>
    <s v="LIT_250"/>
    <x v="7"/>
    <s v="Bobongo"/>
    <x v="0"/>
    <s v="Outdoor"/>
    <s v="Bilongue"/>
    <s v="WOURI"/>
    <s v="Douala 3"/>
    <x v="5"/>
    <n v="4.0024629999999997"/>
    <n v="9.7451690000000006"/>
    <x v="0"/>
  </r>
  <r>
    <n v="769"/>
    <s v="LIT_240"/>
    <s v="IHS_DLA_240"/>
    <s v="LIT_240"/>
    <x v="7"/>
    <s v="Boko-Douala"/>
    <x v="0"/>
    <s v="Outdoor"/>
    <s v="Yassa"/>
    <s v="WOURI"/>
    <s v="Douala 3"/>
    <x v="5"/>
    <n v="3.9973610000000002"/>
    <n v="9.7638060000000007"/>
    <x v="0"/>
  </r>
  <r>
    <n v="770"/>
    <s v="T0368"/>
    <s v="IHS_DLA_068"/>
    <s v="T0368"/>
    <x v="7"/>
    <s v="Brazzaville"/>
    <x v="0"/>
    <s v="Indoor"/>
    <s v="Bilongue"/>
    <s v="WOURI"/>
    <s v="Douala 3"/>
    <x v="5"/>
    <n v="4.0325100000000003"/>
    <n v="9.7254339999999999"/>
    <x v="1"/>
  </r>
  <r>
    <n v="771"/>
    <s v="T0622"/>
    <s v="IHS_DLA_258"/>
    <s v="T0622"/>
    <x v="7"/>
    <s v="Logpom Andem"/>
    <x v="0"/>
    <s v="Outdoor"/>
    <s v="Beedi"/>
    <s v="WOURI"/>
    <s v="Douala 5"/>
    <x v="5"/>
    <n v="4.0866300000000004"/>
    <n v="9.7660099999999996"/>
    <x v="1"/>
  </r>
  <r>
    <n v="772"/>
    <s v="LIT_268"/>
    <s v="IHS_DLA_114"/>
    <s v="LIT_268"/>
    <x v="7"/>
    <s v="Youpwe"/>
    <x v="0"/>
    <s v="Outdoor"/>
    <s v="BONAPRISO"/>
    <s v="WOURI"/>
    <s v="Douala 1"/>
    <x v="5"/>
    <n v="4.0082870000000002"/>
    <n v="9.7011719999999997"/>
    <x v="0"/>
  </r>
  <r>
    <n v="773"/>
    <s v="T0666"/>
    <s v="IHS_BNB_042"/>
    <s v="T0666"/>
    <x v="6"/>
    <s v="Dibombari"/>
    <x v="0"/>
    <s v="Outdoor"/>
    <s v="Mbanga"/>
    <s v="MOUNGO"/>
    <s v="DIBOMBARI"/>
    <x v="5"/>
    <n v="4.1803800000000004"/>
    <n v="9.662623"/>
    <x v="0"/>
  </r>
  <r>
    <n v="774"/>
    <s v="LIT_083"/>
    <s v="IHS_DLA_164"/>
    <s v="LIT_083"/>
    <x v="7"/>
    <s v="ZI-Bassa"/>
    <x v="0"/>
    <s v="Indoor"/>
    <s v="Ndogbong"/>
    <s v="WOURI"/>
    <s v="Douala 7"/>
    <x v="5"/>
    <n v="4.0344439999999997"/>
    <n v="9.7480279999999997"/>
    <x v="0"/>
  </r>
  <r>
    <n v="775"/>
    <s v="LIT_263"/>
    <s v="IHS_DLA_127"/>
    <s v="LIT_263"/>
    <x v="7"/>
    <s v="CCC"/>
    <x v="0"/>
    <s v="Outdoor"/>
    <s v="Ndogbong"/>
    <s v="WOURI"/>
    <s v="Douala 3"/>
    <x v="5"/>
    <n v="4.0383420000000001"/>
    <n v="9.7410110000000003"/>
    <x v="0"/>
  </r>
  <r>
    <n v="776"/>
    <s v="T1704"/>
    <s v="IHS_DLA_097"/>
    <s v="T1704"/>
    <x v="7"/>
    <s v="Valle bessengue"/>
    <x v="0"/>
    <s v="Outdoor"/>
    <s v="AKWA"/>
    <s v="WOURI"/>
    <s v="Douala 3"/>
    <x v="5"/>
    <n v="4.0565559999999996"/>
    <n v="9.7115279999999995"/>
    <x v="1"/>
  </r>
  <r>
    <n v="777"/>
    <s v="LIT_290"/>
    <s v="IHS_BNB_009"/>
    <s v="LIT_290"/>
    <x v="7"/>
    <s v="Bonabappe"/>
    <x v="0"/>
    <s v="Outdoor"/>
    <s v="Bonaberi 1"/>
    <s v="WOURI"/>
    <s v="Douala 4"/>
    <x v="5"/>
    <n v="4.0744999999999996"/>
    <n v="9.6761599999999994"/>
    <x v="0"/>
  </r>
  <r>
    <n v="778"/>
    <s v="T0859"/>
    <s v="IHS_DLA_014"/>
    <s v="T0859"/>
    <x v="7"/>
    <s v="Camp Yabassi"/>
    <x v="0"/>
    <s v="Outdoor"/>
    <s v="St Michel"/>
    <s v="WOURI"/>
    <s v="Douala 2"/>
    <x v="5"/>
    <n v="4.0422399999999996"/>
    <n v="9.7153299999999998"/>
    <x v="1"/>
  </r>
  <r>
    <n v="779"/>
    <s v="T0858"/>
    <s v="IHS_DLA_180"/>
    <s v="T0858"/>
    <x v="7"/>
    <s v="Bonewonda"/>
    <x v="0"/>
    <s v="Outdoor"/>
    <s v="BEPENDA"/>
    <s v="WOURI"/>
    <s v="Douala 5"/>
    <x v="5"/>
    <n v="4.0772599999999999"/>
    <n v="9.7233499999999999"/>
    <x v="1"/>
  </r>
  <r>
    <n v="780"/>
    <s v="LIT_300"/>
    <s v="IHS_DLA_130"/>
    <s v="LIT_300"/>
    <x v="7"/>
    <s v="Song-Mahop"/>
    <x v="0"/>
    <s v="Outdoor"/>
    <s v="Bilongue"/>
    <s v="WOURI"/>
    <s v="Douala 3"/>
    <x v="5"/>
    <n v="4.0169300000000003"/>
    <n v="9.7304499999999994"/>
    <x v="0"/>
  </r>
  <r>
    <n v="781"/>
    <s v="T0863"/>
    <s v="IHS_DLA_142"/>
    <s v="T0863"/>
    <x v="7"/>
    <s v="MOBIL GUINNESS 863"/>
    <x v="0"/>
    <s v="Outdoor"/>
    <s v="AKWA"/>
    <s v="WOURI"/>
    <s v="Douala 5"/>
    <x v="5"/>
    <n v="4.0490399999999998"/>
    <n v="9.74"/>
    <x v="1"/>
  </r>
  <r>
    <n v="782"/>
    <s v="LIT_343"/>
    <s v="IHS_DLA_264"/>
    <s v="LIT_343"/>
    <x v="7"/>
    <s v="Nyalla-Kilimandjaro"/>
    <x v="0"/>
    <s v="Outdoor"/>
    <s v="Ndogbong"/>
    <s v="WOURI"/>
    <s v="Douala 3"/>
    <x v="5"/>
    <n v="4.0239050000000001"/>
    <n v="9.7802600000000002"/>
    <x v="0"/>
  </r>
  <r>
    <n v="783"/>
    <s v="LIT_339"/>
    <s v="IHS_DLA_266"/>
    <s v="LIT_339"/>
    <x v="7"/>
    <s v="Cogefar-II"/>
    <x v="0"/>
    <s v="Outdoor"/>
    <s v="Yassa"/>
    <s v="WOURI"/>
    <s v="Douala 3"/>
    <x v="5"/>
    <n v="3.996"/>
    <n v="9.7754999999999992"/>
    <x v="0"/>
  </r>
  <r>
    <n v="784"/>
    <s v="LIT_111"/>
    <s v="IHS_MBG_010"/>
    <s v="LIT_111"/>
    <x v="6"/>
    <s v="Kompigna"/>
    <x v="0"/>
    <s v="Indoor"/>
    <s v="Mbanga"/>
    <s v="MOUNGO"/>
    <s v="MBANGA"/>
    <x v="5"/>
    <n v="4.3446670000000003"/>
    <n v="9.5813330000000008"/>
    <x v="0"/>
  </r>
  <r>
    <n v="785"/>
    <s v="T0077"/>
    <s v="IHS_BNB_039"/>
    <s v="T0077"/>
    <x v="6"/>
    <s v="Bomonogare"/>
    <x v="0"/>
    <s v="Indoor"/>
    <s v="Mbanga"/>
    <s v="MOUNGO"/>
    <s v="DIBOMBARI"/>
    <x v="5"/>
    <n v="4.1654970000000002"/>
    <n v="9.6001010000000004"/>
    <x v="0"/>
  </r>
  <r>
    <n v="786"/>
    <s v="LIT_110"/>
    <s v="IHS_DLA_302"/>
    <s v="LIT_110"/>
    <x v="7"/>
    <s v="Yabassi"/>
    <x v="0"/>
    <s v="Indoor"/>
    <s v="PK12"/>
    <s v="NKAM"/>
    <s v="yabassi"/>
    <x v="5"/>
    <n v="4.4548170000000002"/>
    <n v="9.9791899999999991"/>
    <x v="0"/>
  </r>
  <r>
    <n v="787"/>
    <s v="T0305"/>
    <s v="IHS_DLA_303"/>
    <s v="T0305"/>
    <x v="7"/>
    <s v="Yabassi"/>
    <x v="0"/>
    <s v="Indoor"/>
    <s v="PK12"/>
    <s v="NKAM"/>
    <s v="yabassi"/>
    <x v="5"/>
    <n v="4.454923"/>
    <n v="9.9785629999999994"/>
    <x v="0"/>
  </r>
  <r>
    <n v="788"/>
    <s v="T0244"/>
    <s v="IHS_MBG_020"/>
    <s v="T0244"/>
    <x v="6"/>
    <s v="Souza"/>
    <x v="1"/>
    <s v="Indoor"/>
    <s v="Mbanga"/>
    <s v="MOUNGO"/>
    <s v="BONALEA"/>
    <x v="5"/>
    <n v="4.2418649999999998"/>
    <n v="9.6093740000000007"/>
    <x v="0"/>
  </r>
  <r>
    <n v="789"/>
    <s v="LIT_074"/>
    <s v="IHS_DLA_177"/>
    <s v="LIT_074"/>
    <x v="7"/>
    <s v="Bonewonda"/>
    <x v="0"/>
    <s v="Indoor"/>
    <s v="BEPENDA"/>
    <s v="WOURI"/>
    <s v="Douala 5"/>
    <x v="5"/>
    <n v="4.0762499999999999"/>
    <n v="9.7217780000000005"/>
    <x v="1"/>
  </r>
  <r>
    <n v="790"/>
    <s v="T0424"/>
    <s v="IHS_DLA_253"/>
    <s v="T0424"/>
    <x v="7"/>
    <s v="Bonamoussadi2"/>
    <x v="0"/>
    <s v="Outdoor"/>
    <s v="Kotto"/>
    <s v="WOURI"/>
    <s v="Douala 1"/>
    <x v="5"/>
    <n v="4.10168"/>
    <n v="9.7352129999999999"/>
    <x v="1"/>
  </r>
  <r>
    <n v="791"/>
    <s v="T0634"/>
    <s v="IHS_BNB_013"/>
    <s v="T0634"/>
    <x v="7"/>
    <s v="Bonaminkano"/>
    <x v="0"/>
    <s v="Outdoor"/>
    <s v="Bonaberi 1"/>
    <s v="WOURI"/>
    <s v="Douala 4"/>
    <x v="5"/>
    <n v="4.0794980000000001"/>
    <n v="9.6787600000000005"/>
    <x v="1"/>
  </r>
  <r>
    <n v="792"/>
    <s v="LIT_203"/>
    <s v="IHS_BNB_032"/>
    <s v="LIT_203"/>
    <x v="7"/>
    <s v="Bonamatoumbe"/>
    <x v="0"/>
    <s v="Indoor"/>
    <s v="Bonaberi 1"/>
    <s v="WOURI"/>
    <s v="Douala 4"/>
    <x v="5"/>
    <n v="4.0966940000000003"/>
    <n v="9.6676389999999994"/>
    <x v="1"/>
  </r>
  <r>
    <n v="793"/>
    <s v="T0507"/>
    <s v="IHS_DLA_157"/>
    <s v="T0507"/>
    <x v="7"/>
    <s v="Douala University"/>
    <x v="0"/>
    <s v="Outdoor"/>
    <s v="BEPENDA"/>
    <s v="WOURI"/>
    <s v="Douala 3"/>
    <x v="5"/>
    <n v="4.0593399999999997"/>
    <n v="9.73766"/>
    <x v="1"/>
  </r>
  <r>
    <n v="794"/>
    <s v="T0502-1"/>
    <s v="IHS_DLA_256"/>
    <s v="T0502-1"/>
    <x v="7"/>
    <s v="Kotto"/>
    <x v="0"/>
    <s v="Off Air "/>
    <s v="Kotto"/>
    <s v="WOURI"/>
    <s v="Douala 5"/>
    <x v="5"/>
    <n v="4.0929339999999996"/>
    <n v="9.7504030000000004"/>
    <x v="2"/>
  </r>
  <r>
    <n v="795"/>
    <s v="T0499"/>
    <s v="IHS_DLA_224"/>
    <s v="T0499"/>
    <x v="7"/>
    <s v="Denver"/>
    <x v="0"/>
    <s v="Outdoor"/>
    <s v="Kotto"/>
    <s v="WOURI"/>
    <s v="Douala 5"/>
    <x v="5"/>
    <n v="4.0927049999999996"/>
    <n v="9.7349599999999992"/>
    <x v="1"/>
  </r>
  <r>
    <n v="796"/>
    <s v="LIT_223"/>
    <s v="IHS_DLA_236"/>
    <s v="LIT_223"/>
    <x v="7"/>
    <s v="PK10-Plateau"/>
    <x v="0"/>
    <s v="Outdoor"/>
    <s v="PK12"/>
    <s v="WOURI"/>
    <s v="Douala 3"/>
    <x v="5"/>
    <n v="4.042306"/>
    <n v="9.7739999999999991"/>
    <x v="0"/>
  </r>
  <r>
    <n v="797"/>
    <s v="LIT_224"/>
    <s v="IHS_DLA_216"/>
    <s v="LIT_224"/>
    <x v="7"/>
    <s v="Makepe-St-Tropez"/>
    <x v="0"/>
    <s v="Outdoor"/>
    <s v="Kotto"/>
    <s v="WOURI"/>
    <s v="Douala 5"/>
    <x v="5"/>
    <n v="4.0748030000000002"/>
    <n v="9.7468610000000009"/>
    <x v="0"/>
  </r>
  <r>
    <n v="798"/>
    <s v="T0521"/>
    <s v="IHS_DLA_112"/>
    <s v="T0521"/>
    <x v="7"/>
    <s v="Bonadiwoto"/>
    <x v="0"/>
    <s v="Outdoor"/>
    <s v="Bilongue"/>
    <s v="WOURI"/>
    <s v="Douala 3"/>
    <x v="5"/>
    <n v="4.0166459999999997"/>
    <n v="9.7269869999999994"/>
    <x v="1"/>
  </r>
  <r>
    <n v="799"/>
    <s v="T0508"/>
    <s v="IHS_DLA_139"/>
    <s v="T0508"/>
    <x v="7"/>
    <s v="Cite SIC"/>
    <x v="0"/>
    <s v="Outdoor"/>
    <s v="Ndogbong"/>
    <s v="WOURI"/>
    <s v="Douala 3"/>
    <x v="5"/>
    <n v="4.0519990000000004"/>
    <n v="9.7324719999999996"/>
    <x v="1"/>
  </r>
  <r>
    <n v="800"/>
    <s v="LIT_206"/>
    <s v="IHS_BNB_008"/>
    <s v="LIT_206"/>
    <x v="7"/>
    <s v="Ngwele"/>
    <x v="0"/>
    <s v="Indoor"/>
    <s v="Bonaberi 2"/>
    <s v="WOURI"/>
    <s v="Douala 4"/>
    <x v="5"/>
    <n v="4.0861219999999996"/>
    <n v="9.6542929999999991"/>
    <x v="0"/>
  </r>
  <r>
    <n v="801"/>
    <s v="LIT_181"/>
    <s v="IHS_BNB_033"/>
    <s v="LIT_181"/>
    <x v="7"/>
    <s v="Bonendale"/>
    <x v="0"/>
    <s v="Indoor"/>
    <s v="Bonaberi 2"/>
    <s v="WOURI"/>
    <s v="Douala 4"/>
    <x v="5"/>
    <n v="4.1166109999999998"/>
    <n v="9.6568389999999997"/>
    <x v="0"/>
  </r>
  <r>
    <n v="802"/>
    <s v="T0522"/>
    <s v="IHS_DLA_217"/>
    <s v="T0522"/>
    <x v="7"/>
    <s v="Makepe St Tropez"/>
    <x v="0"/>
    <s v="Outdoor"/>
    <s v="Kotto"/>
    <s v="WOURI"/>
    <s v="Douala 5"/>
    <x v="5"/>
    <n v="4.0758299999999998"/>
    <n v="9.7463899999999999"/>
    <x v="1"/>
  </r>
  <r>
    <n v="803"/>
    <s v="T0518"/>
    <s v="IHS_BNB_018"/>
    <s v="T0518"/>
    <x v="7"/>
    <s v="Bonamatoumbe"/>
    <x v="0"/>
    <s v="Outdoor"/>
    <s v="Bonaberi 2"/>
    <s v="WOURI"/>
    <s v="Douala 4"/>
    <x v="5"/>
    <n v="4.0888850000000003"/>
    <n v="9.6698970000000006"/>
    <x v="1"/>
  </r>
  <r>
    <n v="804"/>
    <s v="LIT_018"/>
    <s v="IHS_DLA_108"/>
    <s v="LIT_018"/>
    <x v="7"/>
    <s v="Chevreuil"/>
    <x v="0"/>
    <s v="Indoor"/>
    <s v="St Michel"/>
    <s v="WOURI"/>
    <s v="Douala 3"/>
    <x v="5"/>
    <n v="4.0352959999999998"/>
    <n v="9.7329969999999992"/>
    <x v="1"/>
  </r>
  <r>
    <n v="805"/>
    <s v="LIT_048"/>
    <s v="IHS_DLA_118"/>
    <s v="LIT_048"/>
    <x v="7"/>
    <s v="Rond-Point"/>
    <x v="0"/>
    <s v="Indoor"/>
    <s v="AKWA"/>
    <s v="WOURI"/>
    <s v="Douala 4"/>
    <x v="5"/>
    <n v="4.0659720000000004"/>
    <n v="9.7063330000000008"/>
    <x v="1"/>
  </r>
  <r>
    <n v="806"/>
    <s v="T1258"/>
    <s v="IHS_MBG_024"/>
    <s v="T1258"/>
    <x v="6"/>
    <s v="BESSOUNGKANG1258"/>
    <x v="1"/>
    <s v="Outdoor"/>
    <s v="Mbanga"/>
    <s v="MOUNGO"/>
    <s v="BONALEA"/>
    <x v="5"/>
    <n v="4.3582799999999997"/>
    <n v="9.7448999999999995"/>
    <x v="0"/>
  </r>
  <r>
    <n v="807"/>
    <s v="LIT_296"/>
    <s v="IHS_MBG_025"/>
    <s v="LIT_296"/>
    <x v="6"/>
    <s v="Bonalea"/>
    <x v="0"/>
    <s v="Outdoor"/>
    <s v="Mbanga"/>
    <s v="MOUNGO"/>
    <s v="BONALEA"/>
    <x v="5"/>
    <n v="4.3405630000000004"/>
    <n v="9.7368079999999999"/>
    <x v="0"/>
  </r>
  <r>
    <n v="808"/>
    <s v="LIT_179"/>
    <s v="IHS_DLA_270"/>
    <s v="LIT_179"/>
    <x v="7"/>
    <s v="Nyalla-Pariso"/>
    <x v="0"/>
    <s v="Indoor"/>
    <s v="Yassa"/>
    <s v="WOURI"/>
    <s v="Douala 3"/>
    <x v="5"/>
    <n v="4.0231669999999999"/>
    <n v="9.7919999999999998"/>
    <x v="0"/>
  </r>
  <r>
    <n v="809"/>
    <s v="LIT_303"/>
    <s v="IHS_DLA_257"/>
    <s v="LIT_303"/>
    <x v="7"/>
    <s v="Kotto-Antenne"/>
    <x v="0"/>
    <s v="Outdoor"/>
    <s v="Kotto"/>
    <s v="WOURI"/>
    <s v="Douala 5"/>
    <x v="5"/>
    <n v="4.0932050000000002"/>
    <n v="9.7515619999999998"/>
    <x v="0"/>
  </r>
  <r>
    <n v="810"/>
    <s v="LIT_251"/>
    <s v="IHS_DLA_265"/>
    <s v="LIT_251"/>
    <x v="7"/>
    <s v="Ndogpassi-ZR 2"/>
    <x v="0"/>
    <s v="Outdoor"/>
    <s v="Yassa"/>
    <s v="WOURI"/>
    <s v="Douala 3"/>
    <x v="5"/>
    <n v="4.0125000000000002"/>
    <n v="9.7781699999999994"/>
    <x v="0"/>
  </r>
  <r>
    <n v="811"/>
    <s v="T0442"/>
    <s v="IHS_DLA_294"/>
    <s v="T0442"/>
    <x v="7"/>
    <s v="Logbessou PK21"/>
    <x v="0"/>
    <s v="Outdoor"/>
    <s v="PK12"/>
    <s v="WOURI"/>
    <s v="Douala 3"/>
    <x v="5"/>
    <n v="4.1215089999999996"/>
    <n v="9.8290939999999996"/>
    <x v="0"/>
  </r>
  <r>
    <n v="812"/>
    <s v="T0628"/>
    <s v="IHS_DLA_280"/>
    <s v="T0628"/>
    <x v="7"/>
    <s v="Lycee Japoma"/>
    <x v="0"/>
    <s v="Outdoor"/>
    <s v="Yassa"/>
    <s v="WOURI"/>
    <s v="Douala 3"/>
    <x v="5"/>
    <n v="4.0285679999999999"/>
    <n v="9.7970000000000006"/>
    <x v="0"/>
  </r>
  <r>
    <n v="813"/>
    <s v="T0620"/>
    <s v="IHS_BNB_035"/>
    <s v="T0620"/>
    <x v="7"/>
    <s v="Bodjongo"/>
    <x v="0"/>
    <s v="Outdoor"/>
    <s v="Bonaberi 2"/>
    <s v="WOURI"/>
    <s v="Douala 4"/>
    <x v="5"/>
    <n v="4.0890700000000004"/>
    <n v="9.6189129999999992"/>
    <x v="0"/>
  </r>
  <r>
    <n v="814"/>
    <s v="T0233"/>
    <s v="IHS_DLA_291"/>
    <s v="T0233"/>
    <x v="7"/>
    <s v="Pont Bascule Yassa"/>
    <x v="0"/>
    <s v="Indoor"/>
    <s v="Yassa"/>
    <s v="WOURI"/>
    <s v="Douala 3"/>
    <x v="5"/>
    <n v="4.0004850000000003"/>
    <n v="9.8147830000000003"/>
    <x v="0"/>
  </r>
  <r>
    <n v="815"/>
    <s v="LIT_452"/>
    <s v="IHS_DLA_453"/>
    <s v="LIT_452"/>
    <x v="7"/>
    <s v="PK10 Bassang  "/>
    <x v="0"/>
    <s v="Outdoor"/>
    <s v="PK12"/>
    <s v="WOURI"/>
    <s v="Douala 3"/>
    <x v="5"/>
    <n v="4.0475370000000002"/>
    <n v="9.7701969999999996"/>
    <x v="1"/>
  </r>
  <r>
    <n v="816"/>
    <s v="T0178"/>
    <s v="IHS_DLA_067"/>
    <s v="T0178"/>
    <x v="7"/>
    <s v="Old-Airport"/>
    <x v="0"/>
    <s v="Indoor"/>
    <s v="BONAPRISO"/>
    <s v="WOURI"/>
    <s v="Douala 2"/>
    <x v="5"/>
    <n v="4.0223800000000001"/>
    <n v="9.7097599999999993"/>
    <x v="1"/>
  </r>
  <r>
    <n v="817"/>
    <s v="T0475"/>
    <s v="IHS_BNB_003"/>
    <s v="T0475"/>
    <x v="7"/>
    <s v="Nkomba"/>
    <x v="0"/>
    <s v="Outdoor"/>
    <s v="Bonaberi 1"/>
    <s v="WOURI"/>
    <s v="Douala 4"/>
    <x v="5"/>
    <n v="4.0759299999999996"/>
    <n v="9.6732800000000001"/>
    <x v="1"/>
  </r>
  <r>
    <n v="818"/>
    <s v="T0422"/>
    <s v="IHS_DLA_027"/>
    <s v="T0422"/>
    <x v="7"/>
    <s v="New Bell"/>
    <x v="0"/>
    <s v="Outdoor"/>
    <s v="St Michel"/>
    <s v="WOURI"/>
    <s v="Douala 2"/>
    <x v="5"/>
    <n v="4.0338500000000002"/>
    <n v="9.7121600000000008"/>
    <x v="1"/>
  </r>
  <r>
    <n v="819"/>
    <s v="T0196"/>
    <s v="IHS_DLA_050"/>
    <s v="T0196"/>
    <x v="7"/>
    <s v="Lycee Kumassi"/>
    <x v="0"/>
    <s v="Indoor"/>
    <s v="BONAPRISO"/>
    <s v="WOURI"/>
    <s v="Douala 1"/>
    <x v="5"/>
    <n v="4.0353329999999996"/>
    <n v="9.6918889999999998"/>
    <x v="1"/>
  </r>
  <r>
    <n v="820"/>
    <s v="T0081"/>
    <s v="IHS_DLA_057"/>
    <s v="T0081"/>
    <x v="7"/>
    <s v="German Club"/>
    <x v="0"/>
    <s v="Indoor"/>
    <s v="BONAPRISO"/>
    <s v="WOURI"/>
    <s v="Douala 1"/>
    <x v="5"/>
    <n v="4.0478399999999999"/>
    <n v="9.6926600000000001"/>
    <x v="1"/>
  </r>
  <r>
    <n v="821"/>
    <s v="LIT_014"/>
    <s v="IHS_DLA_006"/>
    <s v="LIT_014"/>
    <x v="7"/>
    <s v="Stamatiades"/>
    <x v="0"/>
    <s v="Indoor"/>
    <s v="BONAPRISO"/>
    <s v="WOURI"/>
    <s v="Douala 1"/>
    <x v="5"/>
    <n v="4.0467500000000003"/>
    <n v="9.6989169999999998"/>
    <x v="1"/>
  </r>
  <r>
    <n v="822"/>
    <s v="LIT_033"/>
    <s v="IHS_DLA_094"/>
    <s v="LIT_033"/>
    <x v="7"/>
    <s v="Aeroport"/>
    <x v="0"/>
    <s v="Indoor"/>
    <s v="Bilongue"/>
    <s v="WOURI"/>
    <s v="Douala 3"/>
    <x v="5"/>
    <n v="4.0113599999999998"/>
    <n v="9.7212300000000003"/>
    <x v="1"/>
  </r>
  <r>
    <n v="823"/>
    <s v="T0334"/>
    <s v="IHS_BNB_001"/>
    <s v="T0334"/>
    <x v="7"/>
    <s v="Royal Hotel Dla"/>
    <x v="0"/>
    <s v="Indoor"/>
    <s v="Bonaberi 2"/>
    <s v="WOURI"/>
    <s v="Douala 4"/>
    <x v="5"/>
    <n v="4.0796700000000001"/>
    <n v="9.6706730000000007"/>
    <x v="1"/>
  </r>
  <r>
    <n v="824"/>
    <s v="LIT_037"/>
    <s v="IHS_DLA_477"/>
    <s v="LIT_037"/>
    <x v="7"/>
    <s v="Makepe"/>
    <x v="0"/>
    <s v="Indoor"/>
    <s v="Beedi"/>
    <s v="WOURI"/>
    <s v="Douala 5"/>
    <x v="5"/>
    <n v="4.0769979999999997"/>
    <n v="9.7588069999999991"/>
    <x v="0"/>
  </r>
  <r>
    <n v="825"/>
    <s v="LIT_045"/>
    <s v="IHS_DLA_073"/>
    <s v="LIT_045"/>
    <x v="7"/>
    <s v="Centenaire"/>
    <x v="0"/>
    <s v="Indoor"/>
    <s v="AKWA"/>
    <s v="WOURI"/>
    <s v="Douala 1"/>
    <x v="5"/>
    <n v="4.0523759999999998"/>
    <n v="9.6939060000000001"/>
    <x v="1"/>
  </r>
  <r>
    <n v="826"/>
    <s v="LIT_047"/>
    <s v="IHS_DLA_043"/>
    <s v="LIT_047"/>
    <x v="7"/>
    <s v="Kayo-Elie"/>
    <x v="0"/>
    <s v="Indoor"/>
    <s v="BONAPRISO"/>
    <s v="WOURI"/>
    <s v="Douala 1"/>
    <x v="5"/>
    <n v="4.0370559999999998"/>
    <n v="9.6960560000000005"/>
    <x v="1"/>
  </r>
  <r>
    <n v="827"/>
    <s v="T0426"/>
    <s v="IHS_DLA_040"/>
    <s v="T0426"/>
    <x v="7"/>
    <s v="Douala Bali"/>
    <x v="0"/>
    <s v="Outdoor"/>
    <s v="BONAPRISO"/>
    <s v="WOURI"/>
    <s v="Douala 1"/>
    <x v="5"/>
    <n v="4.0367559999999996"/>
    <n v="9.69754"/>
    <x v="1"/>
  </r>
  <r>
    <n v="828"/>
    <s v="T0449"/>
    <s v="IHS_DLA_078"/>
    <s v="T0449"/>
    <x v="7"/>
    <s v="Marche des Fleurs"/>
    <x v="0"/>
    <s v="Outdoor"/>
    <s v="BONAPRISO"/>
    <s v="WOURI"/>
    <s v="Douala 1"/>
    <x v="5"/>
    <n v="4.0245100000000003"/>
    <n v="9.6954100000000007"/>
    <x v="1"/>
  </r>
  <r>
    <n v="829"/>
    <s v="T0397"/>
    <s v="IHS_DLA_045"/>
    <s v="T0397"/>
    <x v="7"/>
    <s v="Bonejang"/>
    <x v="0"/>
    <s v="Indoor"/>
    <s v="AKWA"/>
    <s v="WOURI"/>
    <s v="Douala 1"/>
    <x v="5"/>
    <n v="4.0526999999999997"/>
    <n v="9.7003000000000004"/>
    <x v="1"/>
  </r>
  <r>
    <n v="830"/>
    <s v="LIT_126"/>
    <s v="IHS_DLA_020"/>
    <s v="LIT_126"/>
    <x v="7"/>
    <s v="Bonadibong"/>
    <x v="0"/>
    <s v="Indoor"/>
    <s v="AKWA"/>
    <s v="WOURI"/>
    <s v="Douala 1"/>
    <x v="5"/>
    <n v="4.0408860000000004"/>
    <n v="9.6990060000000007"/>
    <x v="1"/>
  </r>
  <r>
    <n v="831"/>
    <s v="LIT_091"/>
    <s v="IHS_DLA_042"/>
    <s v="LIT_091"/>
    <x v="7"/>
    <s v="Nkongmondo"/>
    <x v="0"/>
    <s v="Indoor"/>
    <s v="BONAPRISO"/>
    <s v="WOURI"/>
    <s v="Douala 1"/>
    <x v="5"/>
    <n v="4.0334050000000001"/>
    <n v="9.6994900000000008"/>
    <x v="1"/>
  </r>
  <r>
    <n v="832"/>
    <s v="LIT_097"/>
    <s v="IHS_DLA_152"/>
    <s v="LIT_097"/>
    <x v="7"/>
    <s v="Bep-Axe-Lrd"/>
    <x v="0"/>
    <s v="Indoor"/>
    <s v="AKWA"/>
    <s v="WOURI"/>
    <s v="Douala 5"/>
    <x v="5"/>
    <n v="4.0703060000000004"/>
    <n v="9.7196390000000008"/>
    <x v="1"/>
  </r>
  <r>
    <n v="833"/>
    <s v="LIT_325"/>
    <s v="IHS_DLA_044"/>
    <s v="LIT_325"/>
    <x v="7"/>
    <s v="Hogmeni"/>
    <x v="0"/>
    <s v="Outdoor"/>
    <s v="AKWA"/>
    <s v="WOURI"/>
    <s v="Douala 1"/>
    <x v="5"/>
    <n v="4.0415609999999997"/>
    <n v="9.6941849999999992"/>
    <x v="1"/>
  </r>
  <r>
    <n v="834"/>
    <s v="LIT_090"/>
    <s v="IHS_DLA_024"/>
    <s v="LIT_090"/>
    <x v="7"/>
    <s v="Newb-Mairie"/>
    <x v="0"/>
    <s v="Indoor"/>
    <s v="BONAPRISO"/>
    <s v="WOURI"/>
    <s v="Douala 2"/>
    <x v="5"/>
    <n v="4.0343059999999999"/>
    <n v="9.7063889999999997"/>
    <x v="1"/>
  </r>
  <r>
    <n v="835"/>
    <s v="T1191"/>
    <s v="IHS_KMB_107"/>
    <s v="T1191"/>
    <x v="7"/>
    <s v="Denver 2"/>
    <x v="0"/>
    <s v="Outdoor"/>
    <s v="Kotto"/>
    <s v="WOURI"/>
    <s v="Douala 5"/>
    <x v="5"/>
    <n v="4.0919999999999996"/>
    <n v="9.7296940000000003"/>
    <x v="1"/>
  </r>
  <r>
    <n v="836"/>
    <s v="LIT_373"/>
    <s v="IHS_DLA_190"/>
    <s v="LIT_373"/>
    <x v="7"/>
    <s v="Missoke-Universite"/>
    <x v="0"/>
    <s v="Outdoor"/>
    <s v="Ndogbong"/>
    <s v="WOURI"/>
    <s v="Douala 5"/>
    <x v="5"/>
    <n v="4.0596110000000003"/>
    <n v="9.7435279999999995"/>
    <x v="1"/>
  </r>
  <r>
    <n v="837"/>
    <s v="T0862"/>
    <s v="IHS_DLA_062"/>
    <s v="T0862"/>
    <x v="7"/>
    <s v="Bell Bonapriso"/>
    <x v="0"/>
    <s v="Outdoor"/>
    <s v="BONAPRISO"/>
    <s v="WOURI"/>
    <s v="Douala 1"/>
    <x v="5"/>
    <n v="4.0302220000000002"/>
    <n v="9.6936699999999991"/>
    <x v="1"/>
  </r>
  <r>
    <n v="838"/>
    <s v="LIT_183"/>
    <s v="IHS_DLA_031"/>
    <s v="LIT_183"/>
    <x v="7"/>
    <s v="Nkololoun"/>
    <x v="0"/>
    <s v="Outdoor"/>
    <s v="St Michel"/>
    <s v="WOURI"/>
    <s v="Douala 2"/>
    <x v="5"/>
    <n v="4.03477"/>
    <n v="9.7192799999999995"/>
    <x v="1"/>
  </r>
  <r>
    <n v="839"/>
    <s v="LIT_344"/>
    <s v="IHS_DLA_193"/>
    <s v="LIT_344"/>
    <x v="7"/>
    <s v="Ndogbong-Citadelle"/>
    <x v="0"/>
    <s v="Outdoor"/>
    <s v="BEPENDA"/>
    <s v="WOURI"/>
    <s v="Douala 4"/>
    <x v="5"/>
    <n v="4.0596670000000001"/>
    <n v="9.7501669999999994"/>
    <x v="1"/>
  </r>
  <r>
    <n v="840"/>
    <s v="T3123"/>
    <s v="IHS_DLA_012"/>
    <s v="T3123"/>
    <x v="7"/>
    <s v="Camp Bertaud OCM"/>
    <x v="0"/>
    <s v="Outdoor"/>
    <s v="St Michel"/>
    <s v="WOURI"/>
    <s v="Douala 2"/>
    <x v="5"/>
    <n v="4.0400830000000001"/>
    <n v="9.7061060000000001"/>
    <x v="1"/>
  </r>
  <r>
    <n v="841"/>
    <s v="LIT_089"/>
    <s v="IHS_DLA_069"/>
    <s v="LIT_089"/>
    <x v="7"/>
    <s v="Brazz-St-Bruno"/>
    <x v="0"/>
    <s v="Indoor"/>
    <s v="Bilongue"/>
    <s v="WOURI"/>
    <s v="Douala 3"/>
    <x v="5"/>
    <n v="4.0286949999999999"/>
    <n v="9.7256789999999995"/>
    <x v="1"/>
  </r>
  <r>
    <n v="842"/>
    <s v="LIT_057"/>
    <s v="IHS_DLA_254"/>
    <s v="LIT_057"/>
    <x v="7"/>
    <s v="Bsadi-Terminus"/>
    <x v="0"/>
    <s v="Indoor"/>
    <s v="Kotto"/>
    <s v="WOURI"/>
    <s v="Douala 5"/>
    <x v="5"/>
    <n v="4.1005279999999997"/>
    <n v="9.7364999999999995"/>
    <x v="1"/>
  </r>
  <r>
    <n v="843"/>
    <s v="LIT_102"/>
    <s v="IHS_DLA_104"/>
    <s v="LIT_102"/>
    <x v="7"/>
    <s v="Omnisport"/>
    <x v="0"/>
    <s v="Indoor"/>
    <s v="AKWA"/>
    <s v="WOURI"/>
    <s v="Douala 5"/>
    <x v="5"/>
    <n v="4.053242"/>
    <n v="9.720853"/>
    <x v="1"/>
  </r>
  <r>
    <n v="844"/>
    <s v="LIT_098"/>
    <s v="IHS_DLA_138"/>
    <s v="LIT_098"/>
    <x v="7"/>
    <s v="Cite-Sic"/>
    <x v="0"/>
    <s v="Indoor"/>
    <s v="Ndogbong"/>
    <s v="WOURI"/>
    <s v="Douala 3"/>
    <x v="5"/>
    <n v="4.0536110000000001"/>
    <n v="9.7302780000000002"/>
    <x v="1"/>
  </r>
  <r>
    <n v="845"/>
    <s v="LIT_357"/>
    <s v="IHS_DLA_228"/>
    <s v="LIT_357"/>
    <x v="7"/>
    <s v="Makepe-AES"/>
    <x v="0"/>
    <s v="Outdoor"/>
    <s v="Kotto"/>
    <s v="WOURI"/>
    <s v="Douala 5"/>
    <x v="5"/>
    <n v="4.0886670000000001"/>
    <n v="9.7464999999999993"/>
    <x v="1"/>
  </r>
  <r>
    <n v="846"/>
    <s v="LIT_395"/>
    <s v="IHS_DLA_028"/>
    <s v="LIT_395"/>
    <x v="7"/>
    <s v="Newb-Q-Haoussa"/>
    <x v="0"/>
    <s v="Outdoor"/>
    <s v="St Michel"/>
    <s v="WOURI"/>
    <s v="Douala 2"/>
    <x v="5"/>
    <n v="4.0320739999999997"/>
    <n v="9.7092729999999996"/>
    <x v="1"/>
  </r>
  <r>
    <n v="847"/>
    <s v="LIT_366"/>
    <s v="IHS_DLA_154"/>
    <s v="LIT_366"/>
    <x v="7"/>
    <s v="Bepanda-TSF"/>
    <x v="0"/>
    <s v="Outdoor"/>
    <s v="BEPENDA"/>
    <s v="WOURI"/>
    <s v="Douala 5"/>
    <x v="5"/>
    <n v="4.0668610000000003"/>
    <n v="9.7258890000000005"/>
    <x v="1"/>
  </r>
  <r>
    <n v="848"/>
    <s v="LIT_419"/>
    <s v="IHS_DLA_172"/>
    <s v="LIT_419"/>
    <x v="7"/>
    <s v="Makombe"/>
    <x v="0"/>
    <s v="Outdoor"/>
    <s v="Bilongue"/>
    <s v="WOURI"/>
    <s v="Douala 3"/>
    <x v="5"/>
    <n v="4.0194970000000003"/>
    <n v="9.7439149999999994"/>
    <x v="1"/>
  </r>
  <r>
    <n v="849"/>
    <s v="LIT_460"/>
    <s v="IHS_DLA_447"/>
    <s v="LIT_460"/>
    <x v="7"/>
    <s v="Ngodi Akwa "/>
    <x v="0"/>
    <s v="Outdoor"/>
    <s v="AKWA"/>
    <s v="WOURI"/>
    <s v="Douala 1"/>
    <x v="5"/>
    <n v="4.0446939999999998"/>
    <n v="9.7034719999999997"/>
    <x v="1"/>
  </r>
  <r>
    <n v="850"/>
    <s v="LIT_050"/>
    <s v="IHS_DLA_178"/>
    <s v="LIT_050"/>
    <x v="7"/>
    <s v="Bepanda"/>
    <x v="0"/>
    <s v="Indoor"/>
    <s v="BEPENDA"/>
    <s v="WOURI"/>
    <s v="Douala 5"/>
    <x v="5"/>
    <n v="4.0713889999999999"/>
    <n v="9.729139"/>
    <x v="1"/>
  </r>
  <r>
    <n v="851"/>
    <s v="LIT_414"/>
    <s v="IHS_DLA_131"/>
    <s v="LIT_414"/>
    <x v="7"/>
    <s v="Deido-Bonateki"/>
    <x v="0"/>
    <s v="Outdoor"/>
    <s v="AKWA"/>
    <s v="WOURI"/>
    <s v="Douala 1"/>
    <x v="5"/>
    <n v="4.063917"/>
    <n v="9.7100829999999991"/>
    <x v="1"/>
  </r>
  <r>
    <n v="852"/>
    <s v="LIT_162"/>
    <s v="IHS_DLA_401"/>
    <s v="LIT_162"/>
    <x v="7"/>
    <s v="Camp-Yabassi-T0"/>
    <x v="0"/>
    <s v="Outdoor"/>
    <s v="St Michel"/>
    <s v="WOURI"/>
    <s v="Douala 2"/>
    <x v="5"/>
    <n v="4.0412710000000001"/>
    <n v="9.7123679999999997"/>
    <x v="1"/>
  </r>
  <r>
    <n v="853"/>
    <s v="LIT_120"/>
    <s v="IHS_DLA_055"/>
    <s v="LIT_120"/>
    <x v="7"/>
    <s v="Bonamouti"/>
    <x v="0"/>
    <s v="Outdoor"/>
    <s v="AKWA"/>
    <s v="WOURI"/>
    <s v="Douala 1"/>
    <x v="5"/>
    <n v="4.0564749999999998"/>
    <n v="9.7048860000000001"/>
    <x v="1"/>
  </r>
  <r>
    <n v="854"/>
    <s v="LIT_381"/>
    <s v="IHS_DLA_003"/>
    <s v="LIT_381"/>
    <x v="7"/>
    <s v="Pain-Magique"/>
    <x v="0"/>
    <s v="Outdoor"/>
    <s v="AKWA"/>
    <s v="WOURI"/>
    <s v="Douala 1"/>
    <x v="5"/>
    <n v="4.0446109999999997"/>
    <n v="9.7006680000000003"/>
    <x v="1"/>
  </r>
  <r>
    <n v="855"/>
    <s v="T1520"/>
    <s v="IHS_DLA_429"/>
    <s v="T1520"/>
    <x v="7"/>
    <s v="Makepe Container"/>
    <x v="0"/>
    <s v="Outdoor"/>
    <s v="Kotto"/>
    <s v="WOURI"/>
    <s v="Douala 5"/>
    <x v="5"/>
    <n v="4.0792190000000002"/>
    <n v="9.7533689999999993"/>
    <x v="1"/>
  </r>
  <r>
    <n v="856"/>
    <s v="LIT_404"/>
    <s v="IHS_DLA_140"/>
    <s v="LIT_404"/>
    <x v="7"/>
    <s v="NR-Cite"/>
    <x v="0"/>
    <s v="Outdoor"/>
    <s v="AKWA"/>
    <s v="WOURI"/>
    <s v="Douala 3"/>
    <x v="5"/>
    <n v="4.048972"/>
    <n v="9.7344720000000002"/>
    <x v="1"/>
  </r>
  <r>
    <n v="857"/>
    <s v="T0019"/>
    <s v="IHS_DLA_059"/>
    <s v="T0019"/>
    <x v="7"/>
    <s v="Tropicana Hotel Arcade"/>
    <x v="0"/>
    <s v="Indoor"/>
    <s v="BONAPRISO"/>
    <s v="WOURI"/>
    <s v="Douala 1"/>
    <x v="5"/>
    <n v="4.0423099999999996"/>
    <n v="9.6884300000000003"/>
    <x v="1"/>
  </r>
  <r>
    <n v="858"/>
    <s v="LIT_435"/>
    <s v="IHS_DLA_443"/>
    <s v="LIT_435"/>
    <x v="7"/>
    <s v="Bonassama IHS"/>
    <x v="0"/>
    <s v="Outdoor"/>
    <s v="Bonaberi 1"/>
    <s v="WOURI"/>
    <s v="Douala 4"/>
    <x v="5"/>
    <n v="4.0746599999999997"/>
    <n v="9.6806800000000006"/>
    <x v="1"/>
  </r>
  <r>
    <n v="859"/>
    <s v="T0454"/>
    <s v="IHS_DLA_153"/>
    <s v="T0454"/>
    <x v="7"/>
    <s v="Bepanda Mala"/>
    <x v="0"/>
    <s v="Outdoor"/>
    <s v="BEPENDA"/>
    <s v="WOURI"/>
    <s v="Douala 5"/>
    <x v="5"/>
    <n v="4.0668389999999999"/>
    <n v="9.7289829999999995"/>
    <x v="1"/>
  </r>
  <r>
    <n v="860"/>
    <s v="LIT_442"/>
    <s v="IHS_DLA_433"/>
    <s v="LIT_442"/>
    <x v="7"/>
    <s v="Cite de Paix"/>
    <x v="0"/>
    <s v="Outdoor"/>
    <s v="Ndogbong"/>
    <s v="WOURI"/>
    <s v="Douala 2"/>
    <x v="5"/>
    <n v="4.04176"/>
    <n v="9.7284699999999997"/>
    <x v="1"/>
  </r>
  <r>
    <n v="861"/>
    <s v="LIT_161"/>
    <s v="IHS_DLA_405"/>
    <s v="LIT_161"/>
    <x v="7"/>
    <s v="Cite-Sic_II-T0"/>
    <x v="0"/>
    <s v="Outdoor"/>
    <s v="Ndogbong"/>
    <s v="WOURI"/>
    <s v="Douala 3"/>
    <x v="5"/>
    <n v="4.0526549999999997"/>
    <n v="9.7337209999999992"/>
    <x v="1"/>
  </r>
  <r>
    <n v="862"/>
    <s v="LIT_372"/>
    <s v="IHS_DLA_105"/>
    <s v="LIT_372"/>
    <x v="7"/>
    <s v="Ndogbat"/>
    <x v="0"/>
    <s v="Outdoor"/>
    <s v="St Michel"/>
    <s v="WOURI"/>
    <s v="Douala 2"/>
    <x v="5"/>
    <n v="4.0475000000000003"/>
    <n v="9.7257499999999997"/>
    <x v="1"/>
  </r>
  <r>
    <n v="863"/>
    <s v="LIT_087"/>
    <s v="IHS_DLA_048"/>
    <s v="LIT_087"/>
    <x v="7"/>
    <s v="Wouri"/>
    <x v="0"/>
    <s v="Indoor"/>
    <s v="BONAPRISO"/>
    <s v="WOURI"/>
    <s v="Douala 1"/>
    <x v="5"/>
    <n v="4.0449999999999999"/>
    <n v="9.6935000000000002"/>
    <x v="1"/>
  </r>
  <r>
    <n v="864"/>
    <s v="LIT_246"/>
    <s v="IHS_DLA_272"/>
    <s v="LIT_246"/>
    <x v="7"/>
    <s v="Kotto-Bloc"/>
    <x v="0"/>
    <s v="Outdoor"/>
    <s v="Kotto"/>
    <s v="WOURI"/>
    <s v="Douala 5"/>
    <x v="5"/>
    <n v="4.1004779999999998"/>
    <n v="9.7535279999999993"/>
    <x v="1"/>
  </r>
  <r>
    <n v="865"/>
    <s v="LIT_446"/>
    <s v="IHS_DLA_432"/>
    <s v="LIT_446"/>
    <x v="7"/>
    <s v="Bonamoussadi Hôpital"/>
    <x v="0"/>
    <s v="Outdoor"/>
    <s v="Kotto"/>
    <s v="WOURI"/>
    <s v="Douala 5"/>
    <x v="5"/>
    <n v="4.0937999999999999"/>
    <n v="9.7415000000000003"/>
    <x v="1"/>
  </r>
  <r>
    <n v="866"/>
    <s v="LIT_160"/>
    <s v="IHS_DLA_407"/>
    <s v="LIT_160"/>
    <x v="7"/>
    <s v="Fin-Goudron-Mt-ESSEC"/>
    <x v="0"/>
    <s v="Outdoor"/>
    <s v="BEPENDA"/>
    <s v="WOURI"/>
    <s v="Douala 5"/>
    <x v="5"/>
    <n v="4.0582529999999997"/>
    <n v="9.7333090000000002"/>
    <x v="1"/>
  </r>
  <r>
    <n v="867"/>
    <s v="LIT_277"/>
    <s v="IHS_DLA_226"/>
    <s v="LIT_277"/>
    <x v="7"/>
    <s v="Bsadi-ZoneA-New"/>
    <x v="0"/>
    <s v="Outdoor"/>
    <s v="Kotto"/>
    <s v="WOURI"/>
    <s v="Douala 5"/>
    <x v="5"/>
    <n v="4.0871870000000001"/>
    <n v="9.7427340000000004"/>
    <x v="1"/>
  </r>
  <r>
    <n v="868"/>
    <s v="LIT_061"/>
    <s v="IHS_DLA_019"/>
    <s v="LIT_061"/>
    <x v="7"/>
    <s v="Cinema-ABC"/>
    <x v="0"/>
    <s v="Indoor"/>
    <s v="St Michel"/>
    <s v="WOURI"/>
    <s v="Douala 2"/>
    <x v="5"/>
    <n v="4.0376000000000003"/>
    <n v="9.7116399999999992"/>
    <x v="1"/>
  </r>
  <r>
    <n v="869"/>
    <s v="LIT_024"/>
    <s v="IHS_DLA_163"/>
    <s v="LIT_024"/>
    <x v="7"/>
    <s v="Socaver"/>
    <x v="0"/>
    <s v="Indoor"/>
    <s v="Ndogbong"/>
    <s v="WOURI"/>
    <s v="Douala 5"/>
    <x v="5"/>
    <n v="4.0477499999999997"/>
    <n v="9.7501390000000008"/>
    <x v="1"/>
  </r>
  <r>
    <n v="870"/>
    <s v="LIT_056"/>
    <s v="IHS_DLA_143"/>
    <s v="LIT_056"/>
    <x v="7"/>
    <s v="Ange-Raphael"/>
    <x v="0"/>
    <s v="Indoor"/>
    <s v="BEPENDA"/>
    <s v="WOURI"/>
    <s v="Douala 3"/>
    <x v="5"/>
    <n v="4.0529999999999999"/>
    <n v="9.7373060000000002"/>
    <x v="1"/>
  </r>
  <r>
    <n v="871"/>
    <s v="T1096"/>
    <s v="IHS_DLA_406"/>
    <s v="T1096"/>
    <x v="7"/>
    <s v="Bonadiwoto 2"/>
    <x v="0"/>
    <s v="Outdoor"/>
    <s v="Bilongue"/>
    <s v="WOURI"/>
    <s v="Douala 3"/>
    <x v="5"/>
    <n v="4.0231199999999996"/>
    <n v="9.72255"/>
    <x v="1"/>
  </r>
  <r>
    <n v="872"/>
    <s v="LIT_396"/>
    <s v="IHS_DLA_148"/>
    <s v="LIT_396"/>
    <x v="7"/>
    <s v="Bonateki-MRS"/>
    <x v="0"/>
    <s v="Outdoor"/>
    <s v="AKWA"/>
    <s v="WOURI"/>
    <s v="Douala 5"/>
    <x v="5"/>
    <n v="4.0679439999999998"/>
    <n v="9.7177220000000002"/>
    <x v="1"/>
  </r>
  <r>
    <n v="873"/>
    <s v="LIT_453"/>
    <s v="IHS_DLA_454"/>
    <s v="LIT_453"/>
    <x v="7"/>
    <s v="Avenue de Gaulle"/>
    <x v="0"/>
    <s v="Outdoor"/>
    <s v="BONAPRISO"/>
    <s v="WOURI"/>
    <s v="Douala 1"/>
    <x v="5"/>
    <n v="4.0294439999999998"/>
    <n v="9.6864170000000005"/>
    <x v="1"/>
  </r>
  <r>
    <n v="874"/>
    <s v="T1263"/>
    <s v="IHS_DLA_422"/>
    <s v="T1263"/>
    <x v="7"/>
    <s v="Camp Yabassi 2"/>
    <x v="0"/>
    <s v="Outdoor"/>
    <s v="St Michel"/>
    <s v="WOURI"/>
    <s v="Douala 2"/>
    <x v="5"/>
    <n v="4.0410510000000004"/>
    <n v="9.7086559999999995"/>
    <x v="1"/>
  </r>
  <r>
    <n v="875"/>
    <s v="T1319"/>
    <s v="IHS_DLA_474"/>
    <s v="T1319"/>
    <x v="7"/>
    <s v="New Bell 2"/>
    <x v="0"/>
    <s v="Outdoor"/>
    <s v="St Michel"/>
    <s v="WOURI"/>
    <s v="Douala 2"/>
    <x v="5"/>
    <n v="4.0376940000000001"/>
    <n v="9.7180549999999997"/>
    <x v="1"/>
  </r>
  <r>
    <n v="876"/>
    <s v="T1942"/>
    <s v="IHS_KMB_101"/>
    <s v="T1942"/>
    <x v="7"/>
    <s v="Terminus St Michel"/>
    <x v="0"/>
    <s v="Outdoor"/>
    <s v="St Michel"/>
    <s v="WOURI"/>
    <s v="Douala 2"/>
    <x v="5"/>
    <n v="4.0376500000000002"/>
    <n v="9.7243390000000005"/>
    <x v="1"/>
  </r>
  <r>
    <n v="877"/>
    <s v="LIT_378"/>
    <s v="IHS_DLA_176"/>
    <s v="LIT_378"/>
    <x v="7"/>
    <s v="Bonewonda-II"/>
    <x v="0"/>
    <s v="Outdoor"/>
    <s v="BEPENDA"/>
    <s v="WOURI"/>
    <s v="Douala 5"/>
    <x v="5"/>
    <n v="4.0764199999999997"/>
    <n v="9.7170299999999994"/>
    <x v="1"/>
  </r>
  <r>
    <n v="878"/>
    <s v="LIT_444"/>
    <s v="IHS_DLA_448"/>
    <s v="LIT_444"/>
    <x v="7"/>
    <s v="Bonaberi Q des Prince"/>
    <x v="0"/>
    <s v="Outdoor"/>
    <s v="Bonaberi 1"/>
    <s v="WOURI"/>
    <s v="Douala 4"/>
    <x v="5"/>
    <n v="4.0824129999999998"/>
    <n v="9.6728690000000004"/>
    <x v="1"/>
  </r>
  <r>
    <n v="879"/>
    <s v="T1358"/>
    <s v="IHS_DLA_475"/>
    <s v="T1358"/>
    <x v="7"/>
    <s v="Douala Bali 2 "/>
    <x v="0"/>
    <s v="Outdoor"/>
    <s v="BONAPRISO"/>
    <s v="WOURI"/>
    <s v="Douala 1"/>
    <x v="5"/>
    <n v="4.0409220000000001"/>
    <n v="9.693797"/>
    <x v="1"/>
  </r>
  <r>
    <n v="880"/>
    <s v="LIT_092"/>
    <s v="IHS_DLA_158"/>
    <s v="LIT_092"/>
    <x v="7"/>
    <s v="Bep-Yonyong"/>
    <x v="0"/>
    <s v="Indoor"/>
    <s v="BEPENDA"/>
    <s v="WOURI"/>
    <s v="Douala 5"/>
    <x v="5"/>
    <n v="4.0650560000000002"/>
    <n v="9.7316389999999995"/>
    <x v="1"/>
  </r>
  <r>
    <n v="881"/>
    <s v="LIT_095"/>
    <s v="IHS_DLA_053"/>
    <s v="LIT_095"/>
    <x v="7"/>
    <s v="Newb-Srce-Quartier"/>
    <x v="0"/>
    <s v="Indoor"/>
    <s v="St Michel"/>
    <s v="WOURI"/>
    <s v="Douala 2"/>
    <x v="5"/>
    <n v="4.0270279999999996"/>
    <n v="9.7101389999999999"/>
    <x v="1"/>
  </r>
  <r>
    <n v="882"/>
    <s v="LIT_044"/>
    <s v="IHS_DLA_183"/>
    <s v="LIT_044"/>
    <x v="7"/>
    <s v="Bmouang-Terminus"/>
    <x v="0"/>
    <s v="Indoor"/>
    <s v="BEPENDA"/>
    <s v="WOURI"/>
    <s v="Douala 5"/>
    <x v="5"/>
    <n v="4.0840750000000003"/>
    <n v="9.7210579999999993"/>
    <x v="1"/>
  </r>
  <r>
    <n v="883"/>
    <s v="LIT_046"/>
    <s v="IHS_BNB_016"/>
    <s v="LIT_046"/>
    <x v="7"/>
    <s v="Du-Levant"/>
    <x v="0"/>
    <s v="Indoor"/>
    <s v="Bonaberi 1"/>
    <s v="WOURI"/>
    <s v="Douala 4"/>
    <x v="5"/>
    <n v="4.0862569999999998"/>
    <n v="9.672523"/>
    <x v="1"/>
  </r>
  <r>
    <n v="884"/>
    <s v="LIT_236"/>
    <s v="IHS_DLA_428"/>
    <s v="LIT_236"/>
    <x v="7"/>
    <s v="Mboppi Marché"/>
    <x v="0"/>
    <s v="Outdoor"/>
    <s v="AKWA"/>
    <s v="WOURI"/>
    <s v="Douala 1"/>
    <x v="5"/>
    <n v="4.0465600000000004"/>
    <n v="9.7160299999999999"/>
    <x v="1"/>
  </r>
  <r>
    <n v="885"/>
    <s v="LIT_412"/>
    <s v="IHS_DLA_039"/>
    <s v="LIT_412"/>
    <x v="7"/>
    <s v="Bonadibong-Crf-Tif"/>
    <x v="0"/>
    <s v="Outdoor"/>
    <s v="AKWA"/>
    <s v="WOURI"/>
    <s v="Douala 1"/>
    <x v="5"/>
    <n v="4.0442499999999999"/>
    <n v="9.6972500000000004"/>
    <x v="1"/>
  </r>
  <r>
    <n v="886"/>
    <s v="T0118"/>
    <s v="IHS_DLA_077"/>
    <s v="T0118"/>
    <x v="7"/>
    <s v="Lycee Joss"/>
    <x v="0"/>
    <s v="Indoor"/>
    <s v="BONAPRISO"/>
    <s v="WOURI"/>
    <s v="Douala 1"/>
    <x v="5"/>
    <n v="4.0339999999999998"/>
    <n v="9.6866099999999999"/>
    <x v="1"/>
  </r>
  <r>
    <n v="887"/>
    <s v="T0444"/>
    <s v="IHS_DLA_051"/>
    <s v="T0444"/>
    <x v="7"/>
    <s v="Shell New Bell"/>
    <x v="0"/>
    <s v="Indoor"/>
    <s v="BONAPRISO"/>
    <s v="WOURI"/>
    <s v="Douala 2"/>
    <x v="5"/>
    <n v="4.0268300000000004"/>
    <n v="9.7061499999999992"/>
    <x v="1"/>
  </r>
  <r>
    <n v="888"/>
    <s v="LIT_382"/>
    <s v="IHS_DLA_022"/>
    <s v="LIT_382"/>
    <x v="7"/>
    <s v="Banyangui"/>
    <x v="0"/>
    <s v="Outdoor"/>
    <s v="BONAPRISO"/>
    <s v="WOURI"/>
    <s v="Douala 1"/>
    <x v="5"/>
    <n v="4.0381669999999996"/>
    <n v="9.6990829999999999"/>
    <x v="1"/>
  </r>
  <r>
    <n v="889"/>
    <s v="LIT_407"/>
    <s v="IHS_DLA_052"/>
    <s v="LIT_407"/>
    <x v="7"/>
    <s v="Shell-NewBell-Carrefour"/>
    <x v="0"/>
    <s v="Outdoor"/>
    <s v="BONAPRISO"/>
    <s v="WOURI"/>
    <s v="Douala 2"/>
    <x v="5"/>
    <n v="4.0283329999999999"/>
    <n v="9.7051390000000008"/>
    <x v="1"/>
  </r>
  <r>
    <n v="890"/>
    <s v="T0514"/>
    <s v="IHS_DLA_089"/>
    <s v="T0514"/>
    <x v="7"/>
    <s v="Spectrum Bonanjo"/>
    <x v="0"/>
    <s v="Outdoor"/>
    <s v="BONAPRISO"/>
    <s v="WOURI"/>
    <s v="Douala 1"/>
    <x v="5"/>
    <n v="4.0260480000000003"/>
    <n v="9.6902799999999996"/>
    <x v="1"/>
  </r>
  <r>
    <n v="891"/>
    <s v="LIT_084"/>
    <s v="IHS_DLA_209"/>
    <s v="LIT_084"/>
    <x v="7"/>
    <s v="C-D-Billes"/>
    <x v="0"/>
    <s v="Outdoor"/>
    <s v="Bilongue"/>
    <s v="WOURI"/>
    <s v="Douala 3"/>
    <x v="5"/>
    <n v="4.0108769999999998"/>
    <n v="9.7485420000000005"/>
    <x v="0"/>
  </r>
  <r>
    <n v="892"/>
    <s v="T0505"/>
    <s v="IHS_DLA_080"/>
    <s v="T0505"/>
    <x v="7"/>
    <s v="Bonanjo Sitabac"/>
    <x v="0"/>
    <s v="Outdoor"/>
    <s v="BONAPRISO"/>
    <s v="WOURI"/>
    <s v="Douala 1"/>
    <x v="5"/>
    <n v="4.0445270000000004"/>
    <n v="9.6872380000000007"/>
    <x v="1"/>
  </r>
  <r>
    <n v="893"/>
    <s v="T1938"/>
    <s v="IHS_DLA_424"/>
    <s v="T1938"/>
    <x v="7"/>
    <s v="RUE KOTTO"/>
    <x v="0"/>
    <s v="Outdoor"/>
    <s v="AKWA"/>
    <s v="WOURI"/>
    <s v="Douala 1"/>
    <x v="5"/>
    <n v="4.063758"/>
    <n v="9.7094079999999998"/>
    <x v="1"/>
  </r>
  <r>
    <n v="894"/>
    <s v="LIT_168"/>
    <s v="IHS_DLA_413"/>
    <s v="LIT_168"/>
    <x v="7"/>
    <s v="C-D-Palmiers-III-T0"/>
    <x v="0"/>
    <s v="Outdoor"/>
    <s v="Beedi"/>
    <s v="WOURI"/>
    <s v="Douala 3"/>
    <x v="5"/>
    <n v="4.0540209999999997"/>
    <n v="9.7676459999999992"/>
    <x v="1"/>
  </r>
  <r>
    <n v="895"/>
    <s v="LIT_247"/>
    <s v="IHS_DLA_255"/>
    <s v="LIT_247"/>
    <x v="7"/>
    <s v="Bsadi-BlocJ"/>
    <x v="0"/>
    <s v="Outdoor"/>
    <s v="Kotto"/>
    <s v="WOURI"/>
    <s v="Douala 5"/>
    <x v="5"/>
    <n v="4.0973170000000003"/>
    <n v="9.7433879999999995"/>
    <x v="1"/>
  </r>
  <r>
    <n v="896"/>
    <s v="LIT_278"/>
    <s v="IHS_DLA_235"/>
    <s v="LIT_278"/>
    <x v="7"/>
    <s v="PK10-Marche"/>
    <x v="0"/>
    <s v="Outdoor"/>
    <s v="PK12"/>
    <s v="WOURI"/>
    <s v="Douala 5"/>
    <x v="5"/>
    <n v="4.0502149999999997"/>
    <n v="9.7719050000000003"/>
    <x v="1"/>
  </r>
  <r>
    <n v="897"/>
    <s v="LIT_245"/>
    <s v="IHS_DLA_056"/>
    <s v="LIT_245"/>
    <x v="7"/>
    <s v="De-La-Salle"/>
    <x v="0"/>
    <s v="Outdoor"/>
    <s v="AKWA"/>
    <s v="WOURI"/>
    <s v="Douala 1"/>
    <x v="5"/>
    <n v="4.0595829999999999"/>
    <n v="9.7043330000000001"/>
    <x v="1"/>
  </r>
  <r>
    <n v="898"/>
    <s v="LIT_244"/>
    <s v="IHS_DLA_002"/>
    <s v="LIT_244"/>
    <x v="7"/>
    <s v="H-Astoria"/>
    <x v="0"/>
    <s v="Outdoor"/>
    <s v="BONAPRISO"/>
    <s v="WOURI"/>
    <s v="Douala 1"/>
    <x v="5"/>
    <n v="4.0495229999999998"/>
    <n v="9.6983470000000001"/>
    <x v="1"/>
  </r>
  <r>
    <n v="899"/>
    <s v="LIT_369"/>
    <s v="IHS_DLA_202"/>
    <s v="LIT_369"/>
    <x v="7"/>
    <s v="St-Thomas"/>
    <x v="0"/>
    <s v="Outdoor"/>
    <s v="Beedi"/>
    <s v="WOURI"/>
    <s v="Douala 3"/>
    <x v="5"/>
    <n v="4.0434999999999999"/>
    <n v="9.7615829999999999"/>
    <x v="1"/>
  </r>
  <r>
    <n v="900"/>
    <s v="T0510"/>
    <s v="IHS_MBG_022"/>
    <s v="T0510"/>
    <x v="7"/>
    <s v="Bonanjo SNH"/>
    <x v="0"/>
    <s v="Outdoor"/>
    <s v="BONAPRISO"/>
    <s v="WOURI"/>
    <s v="Douala 1"/>
    <x v="5"/>
    <n v="4.0382670000000003"/>
    <n v="9.6858330000000006"/>
    <x v="1"/>
  </r>
  <r>
    <n v="901"/>
    <s v="LIT_034"/>
    <s v="IHS_DLA_123"/>
    <s v="LIT_034"/>
    <x v="7"/>
    <s v="BP-Cite"/>
    <x v="0"/>
    <s v="Indoor"/>
    <s v="AKWA"/>
    <s v="WOURI"/>
    <s v="Douala 3"/>
    <x v="5"/>
    <n v="4.0463060000000004"/>
    <n v="9.7304440000000003"/>
    <x v="1"/>
  </r>
  <r>
    <n v="902"/>
    <s v="LIT_053"/>
    <s v="IHS_DLA_065"/>
    <s v="LIT_053"/>
    <x v="7"/>
    <s v="Shell-NewBell"/>
    <x v="0"/>
    <s v="Indoor"/>
    <s v="BONAPRISO"/>
    <s v="WOURI"/>
    <s v="Douala 2"/>
    <x v="5"/>
    <n v="4.023917"/>
    <n v="9.7068060000000003"/>
    <x v="1"/>
  </r>
  <r>
    <n v="903"/>
    <s v="LIT_267"/>
    <s v="IHS_DLA_187"/>
    <s v="LIT_267"/>
    <x v="7"/>
    <s v="Sable"/>
    <x v="0"/>
    <s v="Outdoor"/>
    <s v="Kotto"/>
    <s v="WOURI"/>
    <s v="Douala 5"/>
    <x v="5"/>
    <n v="4.083056"/>
    <n v="9.7288890000000006"/>
    <x v="0"/>
  </r>
  <r>
    <n v="904"/>
    <s v="LIT_082"/>
    <s v="IHS_DLA_005"/>
    <s v="LIT_082"/>
    <x v="7"/>
    <s v="Laquintinie"/>
    <x v="0"/>
    <s v="Indoor"/>
    <s v="AKWA"/>
    <s v="WOURI"/>
    <s v="Douala 1"/>
    <x v="5"/>
    <n v="4.0482500000000003"/>
    <n v="9.7045560000000002"/>
    <x v="1"/>
  </r>
  <r>
    <n v="905"/>
    <s v="LIT_417"/>
    <s v="IHS_DLA_102"/>
    <s v="LIT_417"/>
    <x v="7"/>
    <s v="Feu-Rouge-Bessengue"/>
    <x v="0"/>
    <s v="Outdoor"/>
    <s v="AKWA"/>
    <s v="WOURI"/>
    <s v="Douala 1"/>
    <x v="5"/>
    <n v="4.0591390000000001"/>
    <n v="9.7117780000000007"/>
    <x v="1"/>
  </r>
  <r>
    <n v="906"/>
    <s v="T0335"/>
    <s v="IHS_DLA_091"/>
    <s v="T0335"/>
    <x v="7"/>
    <s v="Sky Way Hotel"/>
    <x v="0"/>
    <s v="Indoor"/>
    <s v="BONAPRISO"/>
    <s v="WOURI"/>
    <s v="Douala 1"/>
    <x v="5"/>
    <n v="4.0201200000000004"/>
    <n v="9.6992100000000008"/>
    <x v="1"/>
  </r>
  <r>
    <n v="907"/>
    <s v="T0515"/>
    <s v="IHS_DLA_137"/>
    <s v="T0515"/>
    <x v="7"/>
    <s v="Deido Grand Moulin"/>
    <x v="0"/>
    <s v="Outdoor"/>
    <s v="AKWA"/>
    <s v="WOURI"/>
    <s v="Douala 1"/>
    <x v="5"/>
    <n v="4.0634100000000002"/>
    <n v="9.7180800000000005"/>
    <x v="1"/>
  </r>
  <r>
    <n v="908"/>
    <s v="LIT_049"/>
    <s v="IHS_DLA_170"/>
    <s v="LIT_049"/>
    <x v="7"/>
    <s v="Madagascar"/>
    <x v="0"/>
    <s v="Indoor"/>
    <s v="Bilongue"/>
    <s v="WOURI"/>
    <s v="Douala 3"/>
    <x v="5"/>
    <n v="4.0161600000000002"/>
    <n v="9.7386499999999998"/>
    <x v="1"/>
  </r>
  <r>
    <n v="909"/>
    <s v="T0506"/>
    <s v="IHS_DLA_021"/>
    <s v="T0506"/>
    <x v="7"/>
    <s v="Bonadibong"/>
    <x v="0"/>
    <s v="Outdoor"/>
    <s v="BONAPRISO"/>
    <s v="WOURI"/>
    <s v="Douala 1"/>
    <x v="5"/>
    <n v="4.0401300000000004"/>
    <n v="9.6978200000000001"/>
    <x v="1"/>
  </r>
  <r>
    <n v="910"/>
    <s v="T0600"/>
    <s v="IHS_DLA_113"/>
    <s v="T0600"/>
    <x v="7"/>
    <s v="Youpwe"/>
    <x v="0"/>
    <s v="Outdoor"/>
    <s v="BONAPRISO"/>
    <s v="WOURI"/>
    <s v="Douala 1"/>
    <x v="5"/>
    <n v="4.0092319999999999"/>
    <n v="9.6984480000000008"/>
    <x v="1"/>
  </r>
  <r>
    <n v="911"/>
    <s v="T0509"/>
    <s v="IHS_DLA_101"/>
    <s v="T0509"/>
    <x v="7"/>
    <s v="Rond Point Deido"/>
    <x v="0"/>
    <s v="Outdoor"/>
    <s v="AKWA"/>
    <s v="WOURI"/>
    <s v="Douala 1"/>
    <x v="5"/>
    <n v="4.0636799999999997"/>
    <n v="9.7070000000000007"/>
    <x v="1"/>
  </r>
  <r>
    <n v="912"/>
    <s v="T0425"/>
    <s v="IHS_DLA_072"/>
    <s v="T0425"/>
    <x v="7"/>
    <s v="Hotel Beau Sejour"/>
    <x v="0"/>
    <s v="Outdoor"/>
    <s v="BONAPRISO"/>
    <s v="WOURI"/>
    <s v="Douala 1"/>
    <x v="5"/>
    <n v="4.050281"/>
    <n v="9.6939060000000001"/>
    <x v="1"/>
  </r>
  <r>
    <n v="913"/>
    <s v="LIT_242"/>
    <s v="IHS_DLA_049"/>
    <s v="LIT_242"/>
    <x v="7"/>
    <s v="SABC-Bali"/>
    <x v="0"/>
    <s v="Outdoor"/>
    <s v="BONAPRISO"/>
    <s v="WOURI"/>
    <s v="Douala 1"/>
    <x v="5"/>
    <n v="4.0382220000000002"/>
    <n v="9.6926109999999994"/>
    <x v="0"/>
  </r>
  <r>
    <n v="914"/>
    <s v="LIT_202"/>
    <s v="IHS_DLA_414"/>
    <s v="LIT_202"/>
    <x v="7"/>
    <s v="Kotto-Mbangue-T0"/>
    <x v="0"/>
    <s v="Outdoor"/>
    <s v="Kotto"/>
    <s v="WOURI"/>
    <s v="Douala 5"/>
    <x v="5"/>
    <n v="4.0978729999999999"/>
    <n v="9.7487949999999994"/>
    <x v="1"/>
  </r>
  <r>
    <n v="915"/>
    <s v="T0330"/>
    <s v="IHS_DLA_023"/>
    <s v="T0330"/>
    <x v="7"/>
    <s v="March Central "/>
    <x v="0"/>
    <s v="Indoor"/>
    <s v="BONAPRISO"/>
    <s v="WOURI"/>
    <s v="Douala 2"/>
    <x v="5"/>
    <n v="4.0373900000000003"/>
    <n v="9.7046899999999994"/>
    <x v="1"/>
  </r>
  <r>
    <n v="916"/>
    <s v="LIT_041"/>
    <s v="IHS_DLA_081"/>
    <s v="LIT_041"/>
    <x v="7"/>
    <s v="La-Falaise"/>
    <x v="0"/>
    <s v="Indoor"/>
    <s v="BONAPRISO"/>
    <s v="WOURI"/>
    <s v="Douala 1"/>
    <x v="5"/>
    <n v="4.0462499999999997"/>
    <n v="9.6881939999999993"/>
    <x v="1"/>
  </r>
  <r>
    <n v="917"/>
    <s v="LIT_413"/>
    <s v="IHS_DLA_001"/>
    <s v="LIT_413"/>
    <x v="7"/>
    <s v="Bali-Koumassi"/>
    <x v="0"/>
    <s v="Outdoor"/>
    <s v="BONAPRISO"/>
    <s v="WOURI"/>
    <s v="Douala 1"/>
    <x v="5"/>
    <n v="4.0406589999999998"/>
    <n v="9.6898420000000005"/>
    <x v="1"/>
  </r>
  <r>
    <n v="918"/>
    <s v="T0109"/>
    <s v="IHS_DLA_133"/>
    <s v="T0109"/>
    <x v="7"/>
    <s v="Akwa Nord"/>
    <x v="0"/>
    <s v="Indoor"/>
    <s v="AKWA"/>
    <s v="WOURI"/>
    <s v="Douala 5"/>
    <x v="5"/>
    <n v="4.0668699999999998"/>
    <n v="9.7125540000000008"/>
    <x v="1"/>
  </r>
  <r>
    <n v="919"/>
    <s v="LIT_081"/>
    <s v="IHS_DLA_111"/>
    <s v="LIT_081"/>
    <x v="7"/>
    <s v="Brazzaville"/>
    <x v="0"/>
    <s v="Indoor"/>
    <s v="Bilongue"/>
    <s v="WOURI"/>
    <s v="Douala 3"/>
    <x v="5"/>
    <n v="4.0234199999999998"/>
    <n v="9.7271400000000003"/>
    <x v="1"/>
  </r>
  <r>
    <n v="920"/>
    <s v="LIT_099"/>
    <s v="IHS_DLA_087"/>
    <s v="LIT_099"/>
    <x v="7"/>
    <s v="H-Sawa"/>
    <x v="0"/>
    <s v="Indoor"/>
    <s v="BONAPRISO"/>
    <s v="WOURI"/>
    <s v="Douala 1"/>
    <x v="5"/>
    <n v="4.0340040000000004"/>
    <n v="9.683897"/>
    <x v="1"/>
  </r>
  <r>
    <n v="921"/>
    <s v="LIT_043"/>
    <s v="IHS_DLA_060"/>
    <s v="LIT_043"/>
    <x v="7"/>
    <s v="SNAC"/>
    <x v="0"/>
    <s v="Indoor"/>
    <s v="BONAPRISO"/>
    <s v="WOURI"/>
    <s v="Douala 1"/>
    <x v="5"/>
    <n v="4.0374720000000002"/>
    <n v="9.6880559999999996"/>
    <x v="1"/>
  </r>
  <r>
    <n v="922"/>
    <s v="LIT_073"/>
    <s v="IHS_DLA_032"/>
    <s v="LIT_073"/>
    <x v="7"/>
    <s v="PK-5"/>
    <x v="0"/>
    <s v="Indoor"/>
    <s v="St Michel"/>
    <s v="WOURI"/>
    <s v="Douala 2"/>
    <x v="5"/>
    <n v="4.0393330000000001"/>
    <n v="9.7235279999999999"/>
    <x v="1"/>
  </r>
  <r>
    <n v="923"/>
    <s v="LIT_342"/>
    <s v="IHS_DLA_199"/>
    <s v="LIT_342"/>
    <x v="7"/>
    <s v="Logbaba-SONEL"/>
    <x v="0"/>
    <s v="Outdoor"/>
    <s v="Ndogbong"/>
    <s v="WOURI"/>
    <s v="Douala 3"/>
    <x v="5"/>
    <n v="4.0325280000000001"/>
    <n v="9.7599169999999997"/>
    <x v="1"/>
  </r>
  <r>
    <n v="924"/>
    <s v="T0399"/>
    <s v="IHS_DLA_262"/>
    <s v="T0399"/>
    <x v="7"/>
    <s v="Nyalla"/>
    <x v="0"/>
    <s v="Indoor"/>
    <s v="Ndogbong"/>
    <s v="WOURI"/>
    <s v="Douala 3"/>
    <x v="5"/>
    <n v="4.0349719999999998"/>
    <n v="9.7806940000000004"/>
    <x v="1"/>
  </r>
  <r>
    <n v="925"/>
    <s v="LIT_443"/>
    <s v="IHS_DLA_438"/>
    <s v="LIT_443"/>
    <x v="7"/>
    <s v="PK8 Essiac"/>
    <x v="0"/>
    <s v="Outdoor"/>
    <s v="Beedi"/>
    <s v="WOURI"/>
    <s v="Douala 3"/>
    <x v="5"/>
    <n v="4.0431100000000004"/>
    <n v="9.7545400000000004"/>
    <x v="1"/>
  </r>
  <r>
    <n v="926"/>
    <s v="LIT_398"/>
    <s v="IHS_DLA_215"/>
    <s v="LIT_398"/>
    <x v="7"/>
    <s v="Makepe-Missoke-Clinique"/>
    <x v="0"/>
    <s v="Outdoor"/>
    <s v="Beedi"/>
    <s v="WOURI"/>
    <s v="Douala 5"/>
    <x v="5"/>
    <n v="4.0726610000000001"/>
    <n v="9.7426809999999993"/>
    <x v="1"/>
  </r>
  <r>
    <n v="927"/>
    <s v="LIT_285"/>
    <s v="IHS_DLA_233"/>
    <s v="LIT_285"/>
    <x v="7"/>
    <s v="Makepe-Lycee"/>
    <x v="0"/>
    <s v="Outdoor"/>
    <s v="Beedi"/>
    <s v="WOURI"/>
    <s v="Douala 5"/>
    <x v="5"/>
    <n v="4.0818669999999999"/>
    <n v="9.7568249999999992"/>
    <x v="1"/>
  </r>
  <r>
    <n v="928"/>
    <s v="T0064"/>
    <s v="IHS_BNB_043"/>
    <s v="T0064"/>
    <x v="7"/>
    <s v="International Airport"/>
    <x v="0"/>
    <s v="Indoor"/>
    <s v="Bilongue"/>
    <s v="WOURI"/>
    <s v="Douala 3"/>
    <x v="5"/>
    <n v="4.0136859999999999"/>
    <n v="9.715484"/>
    <x v="1"/>
  </r>
  <r>
    <n v="929"/>
    <s v="T2707"/>
    <s v="IHS_DLA_086"/>
    <s v="T2707"/>
    <x v="7"/>
    <s v="Hotel Meridien"/>
    <x v="0"/>
    <s v="Outdoor"/>
    <s v="BONAPRISO"/>
    <s v="WOURI"/>
    <s v="Douala 1"/>
    <x v="5"/>
    <n v="4.0353250000000003"/>
    <n v="9.6829850000000004"/>
    <x v="1"/>
  </r>
  <r>
    <n v="930"/>
    <s v="LIT_065"/>
    <s v="IHS_DLA_036"/>
    <s v="LIT_065"/>
    <x v="7"/>
    <s v="H-Lumiere"/>
    <x v="0"/>
    <s v="Indoor"/>
    <s v="AKWA"/>
    <s v="WOURI"/>
    <s v="Douala 1"/>
    <x v="5"/>
    <n v="4.0524440000000004"/>
    <n v="9.7023890000000002"/>
    <x v="1"/>
  </r>
  <r>
    <n v="931"/>
    <s v="LIT_008"/>
    <s v="IHS_DLA_010"/>
    <s v="LIT_008"/>
    <x v="7"/>
    <s v="Hila"/>
    <x v="0"/>
    <s v="Indoor"/>
    <s v="AKWA"/>
    <s v="WOURI"/>
    <s v="Douala 1"/>
    <x v="5"/>
    <n v="4.0431939999999997"/>
    <n v="9.7078889999999998"/>
    <x v="1"/>
  </r>
  <r>
    <n v="932"/>
    <s v="T1710"/>
    <s v="IHS_DLA_082"/>
    <s v="T1710"/>
    <x v="7"/>
    <s v="Bonanjo la falaise"/>
    <x v="0"/>
    <s v="Outdoor"/>
    <s v="BONAPRISO"/>
    <s v="WOURI"/>
    <s v="Douala 1"/>
    <x v="5"/>
    <n v="4.0456799999999999"/>
    <n v="9.6867300000000007"/>
    <x v="1"/>
  </r>
  <r>
    <n v="933"/>
    <s v="T2083"/>
    <s v="IHS_DLA_075"/>
    <s v="T2083"/>
    <x v="7"/>
    <s v="New Tchinda Building"/>
    <x v="0"/>
    <s v="Outdoor"/>
    <s v="AKWA"/>
    <s v="WOURI"/>
    <s v="Douala 2"/>
    <x v="5"/>
    <n v="4.0545"/>
    <n v="9.6948889999999999"/>
    <x v="1"/>
  </r>
  <r>
    <n v="934"/>
    <s v="LIT_093"/>
    <s v="IHS_DLA_493"/>
    <s v="LIT_093"/>
    <x v="7"/>
    <s v="Ndogpassi Nodal"/>
    <x v="0"/>
    <s v="Outdoor"/>
    <s v="Yassa"/>
    <s v="WOURI"/>
    <s v="Douala 3"/>
    <x v="5"/>
    <n v="4.030278"/>
    <n v="9.7674079999999996"/>
    <x v="0"/>
  </r>
  <r>
    <n v="935"/>
    <s v="LIT_345"/>
    <s v="IHS_DLA_135"/>
    <s v="LIT_345"/>
    <x v="7"/>
    <s v="Deido-Plage"/>
    <x v="0"/>
    <s v="Outdoor"/>
    <s v="AKWA"/>
    <s v="WOURI"/>
    <s v="Douala 1"/>
    <x v="5"/>
    <n v="4.0680829999999997"/>
    <n v="9.7100000000000009"/>
    <x v="1"/>
  </r>
  <r>
    <n v="936"/>
    <s v="LIT_336"/>
    <s v="IHS_DLA_038"/>
    <s v="LIT_336"/>
    <x v="7"/>
    <s v="Bonamikengue"/>
    <x v="0"/>
    <s v="Outdoor"/>
    <s v="AKWA"/>
    <s v="WOURI"/>
    <s v="Douala 1"/>
    <x v="5"/>
    <n v="4.0473330000000001"/>
    <n v="9.6961390000000005"/>
    <x v="1"/>
  </r>
  <r>
    <n v="937"/>
    <s v="LIT_405"/>
    <s v="IHS_DLA_122"/>
    <s v="LIT_405"/>
    <x v="7"/>
    <s v="Bepanda-Omnisport"/>
    <x v="0"/>
    <s v="Outdoor"/>
    <s v="AKWA"/>
    <s v="WOURI"/>
    <s v="Douala 1"/>
    <x v="5"/>
    <n v="4.0547709999999997"/>
    <n v="9.7240490000000008"/>
    <x v="1"/>
  </r>
  <r>
    <n v="938"/>
    <s v="LIT_367"/>
    <s v="IHS_DLA_074"/>
    <s v="LIT_367"/>
    <x v="7"/>
    <s v="Activa-Akwa"/>
    <x v="0"/>
    <s v="Outdoor"/>
    <s v="AKWA"/>
    <s v="WOURI"/>
    <s v="Douala 1"/>
    <x v="5"/>
    <n v="4.0544500000000001"/>
    <n v="9.6953689999999995"/>
    <x v="1"/>
  </r>
  <r>
    <n v="939"/>
    <s v="LIT_171"/>
    <s v="IHS_MBG_029"/>
    <s v="LIT_171"/>
    <x v="7"/>
    <s v="Santa Barbara New"/>
    <x v="0"/>
    <s v="Outdoor"/>
    <s v="Kotto"/>
    <s v="WOURI"/>
    <s v="Douala 5"/>
    <x v="5"/>
    <n v="4.0835319999999999"/>
    <n v="9.7380650000000006"/>
    <x v="1"/>
  </r>
  <r>
    <n v="940"/>
    <s v="T0409"/>
    <s v="IHS_EDA_046"/>
    <s v="T0409"/>
    <x v="7"/>
    <s v="Yo Yo"/>
    <x v="0"/>
    <s v="Outdoor"/>
    <s v="Edea"/>
    <s v="SANAGA-MARITIME"/>
    <s v="Mouanko"/>
    <x v="5"/>
    <n v="3.6675620000000002"/>
    <n v="9.6445489999999996"/>
    <x v="0"/>
  </r>
  <r>
    <n v="941"/>
    <s v="T0720"/>
    <s v="IHS_DLA_300"/>
    <s v="T0720"/>
    <x v="7"/>
    <s v="Mbongo"/>
    <x v="0"/>
    <s v="Outdoor"/>
    <s v="Edea"/>
    <s v="SANAGA-MARITIME"/>
    <s v="Mouanko"/>
    <x v="5"/>
    <n v="3.8674119999999998"/>
    <n v="9.8615270000000006"/>
    <x v="0"/>
  </r>
  <r>
    <n v="942"/>
    <s v="LIT_306"/>
    <s v="IHS_DLA_293"/>
    <s v="LIT_306"/>
    <x v="7"/>
    <s v="Missole-Entree"/>
    <x v="0"/>
    <s v="Outdoor"/>
    <s v="Edea"/>
    <s v="SANAGA-MARITIME"/>
    <s v="Dibamba"/>
    <x v="5"/>
    <n v="4.004486"/>
    <n v="9.8810780000000005"/>
    <x v="0"/>
  </r>
  <r>
    <n v="943"/>
    <s v="T0721"/>
    <s v="IHS_DLA_307"/>
    <s v="T0721"/>
    <x v="7"/>
    <s v="Manoka"/>
    <x v="0"/>
    <s v="Outdoor"/>
    <s v="BONAPRISO"/>
    <s v="WOURI"/>
    <s v="Douala 6"/>
    <x v="5"/>
    <n v="3.865523"/>
    <n v="9.6270399999999992"/>
    <x v="0"/>
  </r>
  <r>
    <n v="944"/>
    <s v="T0567"/>
    <s v="IHS_DLA_299"/>
    <s v="T0567"/>
    <x v="7"/>
    <s v="Bonepoupa"/>
    <x v="0"/>
    <s v="Outdoor"/>
    <s v="PK12"/>
    <s v="Wouri"/>
    <s v="yabassi"/>
    <x v="5"/>
    <n v="4.1524070000000002"/>
    <n v="9.9989399999999993"/>
    <x v="0"/>
  </r>
  <r>
    <n v="945"/>
    <s v="T0021"/>
    <s v="IHS_DLA_489"/>
    <s v="T0021"/>
    <x v="7"/>
    <s v="NJO NJO NEW"/>
    <x v="0"/>
    <s v="Indoor"/>
    <s v="BONAPRISO"/>
    <s v="WOURI"/>
    <s v="Douala 1"/>
    <x v="5"/>
    <n v="4.0308999999999999"/>
    <n v="9.6997999999999998"/>
    <x v="0"/>
  </r>
  <r>
    <n v="946"/>
    <s v="T0440"/>
    <s v="IHS_DLA_479"/>
    <s v="T0440"/>
    <x v="7"/>
    <s v="PINGO PK10 NEW"/>
    <x v="0"/>
    <s v="Outdoor"/>
    <s v="PK12"/>
    <s v="WOURI"/>
    <s v="Douala 3"/>
    <x v="5"/>
    <n v="4.049658"/>
    <n v="9.7772520000000007"/>
    <x v="0"/>
  </r>
  <r>
    <n v="947"/>
    <s v="T3026"/>
    <s v="IHS_DLA_480"/>
    <s v="T3026"/>
    <x v="7"/>
    <s v="BONASSAMA NEW"/>
    <x v="0"/>
    <s v="Indoor"/>
    <s v="Bonaberi 1"/>
    <s v="WOURI"/>
    <s v="Douala 4"/>
    <x v="5"/>
    <n v="4.0726380000000004"/>
    <n v="9.6862399999999997"/>
    <x v="0"/>
  </r>
  <r>
    <n v="948"/>
    <s v="T1045"/>
    <s v="IHS_DLA_486"/>
    <s v="T1045"/>
    <x v="7"/>
    <s v="NDOGPASSI ENTRE BILLE"/>
    <x v="0"/>
    <s v="Outdoor"/>
    <s v="Bilongue"/>
    <s v="WOURI"/>
    <s v="Douala 3"/>
    <x v="5"/>
    <n v="4.0047499999999996"/>
    <n v="9.7518709999999995"/>
    <x v="1"/>
  </r>
  <r>
    <n v="949"/>
    <s v="T2759"/>
    <s v="IHS_DLA_485"/>
    <s v="T2759"/>
    <x v="7"/>
    <s v="Denver Total"/>
    <x v="0"/>
    <s v="Outdoor"/>
    <s v="Kotto"/>
    <s v="WOURI"/>
    <s v="Douala 5"/>
    <x v="5"/>
    <n v="4.0868270000000004"/>
    <n v="9.7337100000000003"/>
    <x v="1"/>
  </r>
  <r>
    <n v="950"/>
    <s v="T1004"/>
    <s v="IHS_DLA_488"/>
    <s v="T1004"/>
    <x v="7"/>
    <s v="BOKO Hospital"/>
    <x v="0"/>
    <s v="Outdoor"/>
    <s v="Yassa"/>
    <s v="WOURI"/>
    <s v="Douala 3"/>
    <x v="5"/>
    <n v="3.9888330000000001"/>
    <n v="9.7732500000000009"/>
    <x v="1"/>
  </r>
  <r>
    <n v="951"/>
    <s v="T1140"/>
    <s v="IHS_DLA_482"/>
    <s v="T1140"/>
    <x v="7"/>
    <s v="MALIMBA"/>
    <x v="0"/>
    <s v="Outdoor"/>
    <s v="Edea"/>
    <s v="SANAGA-MARITIME"/>
    <s v="Mouanko"/>
    <x v="5"/>
    <n v="3.5921110000000001"/>
    <n v="9.7025559999999995"/>
    <x v="0"/>
  </r>
  <r>
    <n v="952"/>
    <s v="SUO_157"/>
    <s v="IHS_BUA_175"/>
    <s v="SUO_157"/>
    <x v="6"/>
    <s v="New BONAKO  "/>
    <x v="1"/>
    <s v="Outdoor"/>
    <s v="Mutenguene"/>
    <s v="FAKO"/>
    <s v="TIKO"/>
    <x v="5"/>
    <n v="4.1619000000000002"/>
    <n v="9.5037690000000001"/>
    <x v="0"/>
  </r>
  <r>
    <n v="953"/>
    <s v="T1086"/>
    <s v="IHS_DLA_484"/>
    <s v="T1086"/>
    <x v="7"/>
    <s v="BOKO 4"/>
    <x v="0"/>
    <s v="Outdoor"/>
    <s v="Yassa"/>
    <s v="WOURI"/>
    <s v="Douala 3"/>
    <x v="5"/>
    <n v="3.9894720000000001"/>
    <n v="9.7596939999999996"/>
    <x v="0"/>
  </r>
  <r>
    <n v="954"/>
    <s v="T1951"/>
    <s v="IHS_DLA_487"/>
    <s v="T1951"/>
    <x v="7"/>
    <s v="Socar Akwa LP"/>
    <x v="0"/>
    <s v="Outdoor"/>
    <s v="AKWA"/>
    <s v="WOURI"/>
    <s v="Douala 1"/>
    <x v="5"/>
    <n v="4.0544539999999998"/>
    <n v="9.6981210000000004"/>
    <x v="0"/>
  </r>
  <r>
    <n v="955"/>
    <s v="T0941"/>
    <s v="IHS_DLA_492"/>
    <s v="T0941"/>
    <x v="7"/>
    <s v="Bois des Singes"/>
    <x v="0"/>
    <s v="Outdoor"/>
    <s v="BONAPRISO"/>
    <s v="WOURI"/>
    <s v="Douala 1"/>
    <x v="5"/>
    <n v="4.0003890000000002"/>
    <n v="9.7211110000000005"/>
    <x v="0"/>
  </r>
  <r>
    <n v="956"/>
    <s v="T3021"/>
    <s v="IHS_DLA_490"/>
    <s v="T3021"/>
    <x v="7"/>
    <s v="NJONJO NEW"/>
    <x v="0"/>
    <s v="Outdoor"/>
    <s v="BONAPRISO"/>
    <s v="WOURI"/>
    <s v="Douala 1"/>
    <x v="5"/>
    <n v="4.0283720000000001"/>
    <n v="9.6973500000000001"/>
    <x v="1"/>
  </r>
  <r>
    <n v="957"/>
    <s v="LIT_624"/>
    <s v="IHS_BNB_102"/>
    <s v="LIT_624"/>
    <x v="7"/>
    <s v="Ndobo3"/>
    <x v="0"/>
    <s v="Outdoor"/>
    <s v="Bonaberi 2"/>
    <s v="WOURI"/>
    <s v="Douala 4"/>
    <x v="5"/>
    <n v="4.112158"/>
    <n v="9.6340470000000007"/>
    <x v="0"/>
  </r>
  <r>
    <n v="958"/>
    <s v="LIT_621"/>
    <s v="IHS_BNB_103"/>
    <s v="LIT_621"/>
    <x v="7"/>
    <s v="Minkwele2"/>
    <x v="0"/>
    <s v="Outdoor"/>
    <s v="Bonaberi 2"/>
    <s v="WOURI"/>
    <s v="Douala 4"/>
    <x v="5"/>
    <n v="4.0994469999999996"/>
    <n v="9.6102469999999993"/>
    <x v="0"/>
  </r>
  <r>
    <n v="959"/>
    <s v="T0942"/>
    <s v="IHS_DLA_491"/>
    <s v="T0942"/>
    <x v="7"/>
    <s v="CUD Bonanjo"/>
    <x v="0"/>
    <s v="Outdoor"/>
    <s v="BONAPRISO"/>
    <s v="WOURI"/>
    <s v="Douala 1"/>
    <x v="5"/>
    <n v="4.0413100000000002"/>
    <n v="9.6856559999999998"/>
    <x v="1"/>
  </r>
  <r>
    <n v="960"/>
    <s v="T4593"/>
    <s v="IHS_MBG_031"/>
    <s v="T4593"/>
    <x v="6"/>
    <s v="Maleke"/>
    <x v="0"/>
    <s v="Outdoor"/>
    <s v="Mbanga"/>
    <s v="MOUNGO"/>
    <s v="N/A"/>
    <x v="5"/>
    <n v="4.3118249999999998"/>
    <n v="9.5982230000000008"/>
    <x v="0"/>
  </r>
  <r>
    <n v="961"/>
    <s v="T3176"/>
    <s v="IHS_DLA_496"/>
    <s v="T3176"/>
    <x v="7"/>
    <s v="Mboppi New"/>
    <x v="0"/>
    <s v="Outdoor"/>
    <s v="AKWA"/>
    <s v="WOURI"/>
    <s v="Douala 2"/>
    <x v="5"/>
    <n v="4.0449590000000004"/>
    <n v="9.7136099999999992"/>
    <x v="1"/>
  </r>
  <r>
    <n v="962"/>
    <s v="T2339"/>
    <s v="IHS_DLA_497"/>
    <s v="T2339"/>
    <x v="7"/>
    <s v="PK16 ETOUDI"/>
    <x v="0"/>
    <s v="Outdoor"/>
    <s v="PK12"/>
    <s v="WOURI"/>
    <s v="Douala 3"/>
    <x v="5"/>
    <n v="4.095135"/>
    <n v="9.7918880000000001"/>
    <x v="0"/>
  </r>
  <r>
    <n v="963"/>
    <s v="T2506"/>
    <s v="IHS_BNB_109"/>
    <s v="T2506"/>
    <x v="7"/>
    <s v="BODJONGO ABEDI"/>
    <x v="0"/>
    <s v="Outdoor"/>
    <s v="Bonaberi 2"/>
    <s v="WOURI"/>
    <s v="Douala 4"/>
    <x v="5"/>
    <n v="4.0930999999999997"/>
    <n v="9.6288"/>
    <x v="0"/>
  </r>
  <r>
    <n v="964"/>
    <s v="T2615"/>
    <s v="IHS_DLA_499"/>
    <s v="T2615"/>
    <x v="7"/>
    <s v="Yassa 10 millions"/>
    <x v="0"/>
    <s v="Outdoor"/>
    <s v="Yassa"/>
    <s v="WOURI"/>
    <s v="Douala 3"/>
    <x v="5"/>
    <n v="4.0104360000000003"/>
    <n v="9.8082189999999994"/>
    <x v="0"/>
  </r>
  <r>
    <n v="965"/>
    <s v="T2515"/>
    <s v="IHS_DLA_501"/>
    <s v="T2515"/>
    <x v="7"/>
    <s v="MAKEPE ORCHIDEE"/>
    <x v="0"/>
    <s v="Outdoor"/>
    <s v="Kotto"/>
    <s v="WOURI"/>
    <s v="Douala 1"/>
    <x v="5"/>
    <n v="4.0726380000000004"/>
    <n v="9.7485379999999999"/>
    <x v="1"/>
  </r>
  <r>
    <n v="966"/>
    <s v="T2613"/>
    <s v="IHS_BNB_111"/>
    <s v="T2613"/>
    <x v="7"/>
    <s v="Bepelle bloc"/>
    <x v="0"/>
    <s v="Outdoor"/>
    <s v="Bonaberi 2"/>
    <s v="WOURI"/>
    <s v="Douala 4"/>
    <x v="5"/>
    <n v="4.1082890000000001"/>
    <n v="9.6275580000000005"/>
    <x v="1"/>
  </r>
  <r>
    <n v="967"/>
    <s v="T2505"/>
    <s v="IHS_DLA_503"/>
    <s v="T2505"/>
    <x v="7"/>
    <s v="Hospital gyneco Dla"/>
    <x v="0"/>
    <s v="Outdoor"/>
    <s v="Yassa"/>
    <s v="WOURI"/>
    <s v="Douala 3"/>
    <x v="5"/>
    <n v="3.9911699999999999"/>
    <n v="9.7952279999999998"/>
    <x v="1"/>
  </r>
  <r>
    <n v="968"/>
    <s v="T2512"/>
    <s v="IHS_DLA_504"/>
    <s v="T2512"/>
    <x v="7"/>
    <s v="Mbangue chefferie"/>
    <x v="0"/>
    <s v="Outdoor"/>
    <s v="Beedi"/>
    <s v="WOURI"/>
    <s v="Douala 3"/>
    <x v="5"/>
    <n v="4.1068600000000002"/>
    <n v="9.7528509999999997"/>
    <x v="1"/>
  </r>
  <r>
    <n v="969"/>
    <s v="T2511"/>
    <s v="IHS_BNB_105"/>
    <s v="T2511"/>
    <x v="7"/>
    <s v="Bonaberi matelot"/>
    <x v="0"/>
    <s v="Outdoor"/>
    <s v="Bonaberi 2"/>
    <s v="WOURI"/>
    <s v="Douala 4"/>
    <x v="5"/>
    <n v="4.1082700000000001"/>
    <n v="9.6088679999999993"/>
    <x v="1"/>
  </r>
  <r>
    <n v="970"/>
    <s v="T2516"/>
    <s v="IHS_DLA_505"/>
    <s v="T2516"/>
    <x v="7"/>
    <s v="Missoke Market"/>
    <x v="0"/>
    <s v="Outdoor"/>
    <s v="Ndogbong"/>
    <s v="WOURI"/>
    <s v="Douala 5"/>
    <x v="5"/>
    <n v="4.0638370000000004"/>
    <n v="9.7354470000000006"/>
    <x v="1"/>
  </r>
  <r>
    <n v="971"/>
    <s v="T2094"/>
    <s v="IHS_BNB_110"/>
    <s v="T2094"/>
    <x v="7"/>
    <s v="Bonaminkano Dikolo"/>
    <x v="0"/>
    <s v="Outdoor"/>
    <s v="Bonaberi 1"/>
    <s v="WOURI"/>
    <s v="Douala 4"/>
    <x v="5"/>
    <n v="4.0857999999999999"/>
    <n v="9.6753"/>
    <x v="1"/>
  </r>
  <r>
    <n v="972"/>
    <s v="T3235"/>
    <s v="IHS_BNB_107"/>
    <s v="T3235"/>
    <x v="7"/>
    <s v="Bonaberi 4 Etages"/>
    <x v="0"/>
    <s v="Outdoor"/>
    <s v="Bonaberi 1"/>
    <s v="WOURI"/>
    <s v="Douala 4"/>
    <x v="5"/>
    <n v="4.0909979999999999"/>
    <n v="9.6568229999999993"/>
    <x v="1"/>
  </r>
  <r>
    <n v="973"/>
    <s v="T3236"/>
    <s v="IHS_DLA_515"/>
    <s v="T3236"/>
    <x v="7"/>
    <s v="Marche Central 3"/>
    <x v="0"/>
    <s v="Outdoor"/>
    <s v="St Michel"/>
    <s v="WOURI"/>
    <s v="Douala 2"/>
    <x v="5"/>
    <n v="4.036778"/>
    <n v="9.7058890000000009"/>
    <x v="0"/>
  </r>
  <r>
    <n v="974"/>
    <s v="T2535"/>
    <s v="IHS_DLA_507"/>
    <s v="T2535"/>
    <x v="7"/>
    <s v="BWANG BAKOKO"/>
    <x v="0"/>
    <s v="Outdoor"/>
    <s v="Yassa"/>
    <s v="WOURI"/>
    <s v="Douala 3"/>
    <x v="5"/>
    <n v="3.9845000000000002"/>
    <n v="9.8217999999999996"/>
    <x v="0"/>
  </r>
  <r>
    <n v="975"/>
    <s v="T2614"/>
    <s v="IHS_DLA_508"/>
    <s v="T2614"/>
    <x v="7"/>
    <s v="Japoma Nkolbong"/>
    <x v="0"/>
    <s v="Outdoor"/>
    <s v="Yassa"/>
    <s v="WOURI"/>
    <s v="Douala 3"/>
    <x v="5"/>
    <n v="4.0225"/>
    <n v="9.8127999999999993"/>
    <x v="0"/>
  </r>
  <r>
    <n v="976"/>
    <s v="T2538"/>
    <s v="IHS_BNB_112"/>
    <s v="T2538"/>
    <x v="6"/>
    <s v="YATO"/>
    <x v="0"/>
    <s v="Outdoor"/>
    <s v="Mbanga"/>
    <s v="WOURI"/>
    <s v="DIBOMBARI"/>
    <x v="5"/>
    <n v="4.1519899999999996"/>
    <n v="9.5601590000000005"/>
    <x v="0"/>
  </r>
  <r>
    <n v="977"/>
    <s v="T2617"/>
    <s v="IHS_BNB_106"/>
    <s v="T2617"/>
    <x v="6"/>
    <s v="Bomono Ba Mbengue"/>
    <x v="0"/>
    <s v="Outdoor"/>
    <s v="Mbanga"/>
    <s v="WOURI"/>
    <s v="Douala 4"/>
    <x v="5"/>
    <n v="4.1465560000000004"/>
    <n v="9.5904100000000003"/>
    <x v="0"/>
  </r>
  <r>
    <n v="978"/>
    <s v="T2626"/>
    <s v="IHS_DLA_510"/>
    <s v="T2626"/>
    <x v="7"/>
    <s v="CITE BERGE BLOC9"/>
    <x v="0"/>
    <s v="Outdoor"/>
    <s v="Bilongue"/>
    <s v="WOURI"/>
    <s v="Douala 3"/>
    <x v="5"/>
    <n v="3.9951028000000002"/>
    <n v="9.7481667000000005"/>
    <x v="1"/>
  </r>
  <r>
    <n v="979"/>
    <s v="T3223"/>
    <s v="IHS_DLA_513"/>
    <s v="T3223"/>
    <x v="7"/>
    <s v="BEPANDA OMNISPORT 2"/>
    <x v="0"/>
    <s v="Outdoor"/>
    <s v="AKWA"/>
    <s v="WOURI"/>
    <s v="Douala 5"/>
    <x v="5"/>
    <n v="4.0574640000000004"/>
    <n v="9.7213429999999992"/>
    <x v="1"/>
  </r>
  <r>
    <n v="980"/>
    <s v="T3225"/>
    <s v="IHS_DLA_512"/>
    <s v="T3225"/>
    <x v="7"/>
    <s v="TERMINUS BONAMOUSSADI"/>
    <x v="0"/>
    <s v="Outdoor"/>
    <s v="Kotto"/>
    <s v="WOURI"/>
    <s v="Douala 5"/>
    <x v="5"/>
    <n v="4.0981899999999998"/>
    <n v="9.7387200000000007"/>
    <x v="1"/>
  </r>
  <r>
    <n v="981"/>
    <s v="T1657"/>
    <s v="IHS_DLA_516"/>
    <s v="T1657"/>
    <x v="7"/>
    <s v="Ngodi Bakoko 2"/>
    <x v="0"/>
    <s v="Outdoor"/>
    <s v="Yassa"/>
    <s v="WOURI"/>
    <s v="Douala 2"/>
    <x v="5"/>
    <n v="3.9839180000000001"/>
    <n v="9.7876469999999998"/>
    <x v="0"/>
  </r>
  <r>
    <n v="982"/>
    <s v="T3229"/>
    <s v="IHS_DLA_514"/>
    <s v="T3229"/>
    <x v="7"/>
    <s v="DOUCHE AKWA"/>
    <x v="0"/>
    <s v="Outdoor"/>
    <s v="AKWA"/>
    <s v="WOURI"/>
    <s v="Douala 1"/>
    <x v="5"/>
    <n v="4.0444440000000004"/>
    <n v="9.7004640000000002"/>
    <x v="1"/>
  </r>
  <r>
    <n v="983"/>
    <s v="T3218"/>
    <s v="IHS_BNB_108"/>
    <s v="T3218"/>
    <x v="7"/>
    <s v="Ndobo Excellence"/>
    <x v="0"/>
    <s v="Outdoor"/>
    <s v="Bonaberi 1"/>
    <s v="WOURI"/>
    <s v="Douala 4"/>
    <x v="5"/>
    <n v="4.100606"/>
    <n v="9.6463079999999994"/>
    <x v="0"/>
  </r>
  <r>
    <n v="984"/>
    <s v="T3280"/>
    <s v="IHS_BNB_114"/>
    <s v="T3280"/>
    <x v="6"/>
    <s v="Nkapa"/>
    <x v="0"/>
    <s v="Outdoor"/>
    <s v="Mbanga"/>
    <s v="MOUNGO"/>
    <s v="BONALEA"/>
    <x v="5"/>
    <n v="4.199605"/>
    <n v="9.6048749999999998"/>
    <x v="0"/>
  </r>
  <r>
    <n v="985"/>
    <s v="T1163"/>
    <s v="IHS_BNB_115"/>
    <s v="T1163"/>
    <x v="7"/>
    <s v="BONABERI 105 GABONAIS"/>
    <x v="0"/>
    <s v="Outdoor"/>
    <s v="Bonaberi 2"/>
    <s v="WOURI"/>
    <s v="Douala 4"/>
    <x v="5"/>
    <n v="4.1094390000000001"/>
    <n v="9.6563829999999999"/>
    <x v="1"/>
  </r>
  <r>
    <n v="986"/>
    <s v="T1196"/>
    <s v="IHS_DLA_527"/>
    <s v="T1196"/>
    <x v="7"/>
    <s v="Logpom hospital roundabout"/>
    <x v="0"/>
    <s v="Outdoor"/>
    <s v="Beedi"/>
    <s v="WOURI"/>
    <s v="Douala 5"/>
    <x v="5"/>
    <n v="4.0767110000000004"/>
    <n v="9.7671100000000006"/>
    <x v="1"/>
  </r>
  <r>
    <n v="987"/>
    <s v="T1200"/>
    <s v="IHS_DLA_518"/>
    <s v="T1200"/>
    <x v="7"/>
    <s v="Bonawang"/>
    <x v="0"/>
    <s v="Outdoor"/>
    <s v="Kotto"/>
    <s v="WOURI"/>
    <s v="Douala 5"/>
    <x v="5"/>
    <n v="4.0973269999999999"/>
    <n v="9.7335098999999996"/>
    <x v="1"/>
  </r>
  <r>
    <n v="988"/>
    <s v="T1224"/>
    <s v="IHS_DLA_519"/>
    <s v="T1224"/>
    <x v="7"/>
    <s v="Mbanga Bakoko2"/>
    <x v="0"/>
    <s v="Outdoor"/>
    <s v="Yassa"/>
    <s v="WOURI"/>
    <s v="Douala 3"/>
    <x v="5"/>
    <n v="4.0130600000000003"/>
    <n v="9.7976700000000001"/>
    <x v="0"/>
  </r>
  <r>
    <n v="989"/>
    <s v="T1225"/>
    <s v="IHS_DLA_526"/>
    <s v="T1225"/>
    <x v="7"/>
    <s v="Bois des singes 2"/>
    <x v="0"/>
    <s v="Outdoor"/>
    <s v="BONAPRISO"/>
    <s v="WOURI"/>
    <s v="Douala 1"/>
    <x v="5"/>
    <n v="3.9952749999999999"/>
    <n v="9.7271289999999997"/>
    <x v="1"/>
  </r>
  <r>
    <n v="990"/>
    <s v="T1227"/>
    <s v="IHS_DLA_521"/>
    <s v="T1227"/>
    <x v="7"/>
    <s v="YATCHIEKA BLOC 55"/>
    <x v="0"/>
    <s v="Outdoor"/>
    <s v="Yassa"/>
    <s v="WOURI"/>
    <s v="Douala 3"/>
    <x v="5"/>
    <n v="3.9783833"/>
    <n v="9.7981999999999996"/>
    <x v="0"/>
  </r>
  <r>
    <n v="991"/>
    <s v="T1230"/>
    <s v="IHS_DLA_522"/>
    <s v="T1230"/>
    <x v="7"/>
    <s v="PAPAS Moutongo"/>
    <x v="0"/>
    <s v="Outdoor"/>
    <s v="PK12"/>
    <s v="WOURI"/>
    <s v=" DOUALA 3"/>
    <x v="5"/>
    <n v="4.0683999999999996"/>
    <n v="9.8115000000000006"/>
    <x v="0"/>
  </r>
  <r>
    <n v="992"/>
    <s v="T1237"/>
    <s v="IHS_BNB_116"/>
    <s v="T1237"/>
    <x v="7"/>
    <s v="BONAMINKANO MPANJO"/>
    <x v="0"/>
    <s v="Outdoor"/>
    <s v="Bonaberi 1"/>
    <s v="WOURI"/>
    <s v="Douala 4"/>
    <x v="5"/>
    <n v="4.0908620000000004"/>
    <n v="9.6767000000000003"/>
    <x v="1"/>
  </r>
  <r>
    <n v="993"/>
    <s v="T1240"/>
    <s v="IHS_DLA_525"/>
    <s v="T1240"/>
    <x v="7"/>
    <s v="JAPOMA GRAND MERE"/>
    <x v="0"/>
    <s v="Outdoor"/>
    <s v="Yassa"/>
    <s v="WOURI"/>
    <s v="Douala 3"/>
    <x v="5"/>
    <n v="4.0405389999999999"/>
    <n v="9.8030849999999994"/>
    <x v="0"/>
  </r>
  <r>
    <n v="994"/>
    <s v="T1960"/>
    <s v="IHS_DLA_530"/>
    <s v="T1960"/>
    <x v="7"/>
    <s v="LOGBESSOU PLATEAU 2"/>
    <x v="0"/>
    <s v="Outdoor"/>
    <s v="PK12"/>
    <s v="WOURI"/>
    <s v="Douala 3"/>
    <x v="5"/>
    <n v="4.0868019999999996"/>
    <n v="9.7746929999999992"/>
    <x v="1"/>
  </r>
  <r>
    <n v="995"/>
    <s v="T5027"/>
    <s v="IHS_DLA_528"/>
    <s v="T5027"/>
    <x v="6"/>
    <s v="Siga Bonje"/>
    <x v="0"/>
    <s v="Outdoor"/>
    <s v="Mbanga"/>
    <s v="MOUNGO"/>
    <s v="yabassi"/>
    <x v="5"/>
    <n v="4.2819520000000004"/>
    <n v="9.7904099999999996"/>
    <x v="0"/>
  </r>
  <r>
    <n v="996"/>
    <s v="T3134"/>
    <s v="IHS_DLA_529"/>
    <s v="T3134"/>
    <x v="7"/>
    <s v="Makepe-Chefferie OCM"/>
    <x v="0"/>
    <s v="Outdoor"/>
    <s v="Beedi"/>
    <s v="WOURI"/>
    <s v="Douala 5"/>
    <x v="5"/>
    <n v="4.075628"/>
    <n v="9.7520159999999994"/>
    <x v="1"/>
  </r>
  <r>
    <n v="997"/>
    <s v="T1722"/>
    <s v="IHS_DLA_278"/>
    <s v="T1722"/>
    <x v="7"/>
    <s v="BONAMOUTONGO"/>
    <x v="0"/>
    <s v="Outdoor"/>
    <s v="PK12"/>
    <s v="WOURI"/>
    <s v="Douala 3"/>
    <x v="5"/>
    <n v="4.0678080000000003"/>
    <n v="9.7987830000000002"/>
    <x v="1"/>
  </r>
  <r>
    <n v="998"/>
    <s v="T2917"/>
    <s v="IHS_DLA_535"/>
    <s v="T2917"/>
    <x v="7"/>
    <s v="Mbanga Bakoko 3"/>
    <x v="0"/>
    <s v="Outdoor"/>
    <s v="Yassa"/>
    <s v="WOURI"/>
    <s v="Douala 2"/>
    <x v="5"/>
    <n v="3.9979140000000002"/>
    <n v="9.7944469999999999"/>
    <x v="1"/>
  </r>
  <r>
    <n v="999"/>
    <s v="T1998"/>
    <s v="IHS_DLA_532"/>
    <s v="T1998"/>
    <x v="7"/>
    <s v="YASSA GREEN HOUSE"/>
    <x v="0"/>
    <s v="Outdoor"/>
    <s v="Yassa"/>
    <s v="WOURI"/>
    <s v="Douala 2"/>
    <x v="5"/>
    <n v="4.0092689999999997"/>
    <n v="9.8178570000000001"/>
    <x v="0"/>
  </r>
  <r>
    <n v="1000"/>
    <s v="T2085"/>
    <s v="IHS_DLA_534"/>
    <s v="T2085"/>
    <x v="7"/>
    <s v="LENDI RUE DUPLEX"/>
    <x v="0"/>
    <s v="Outdoor"/>
    <s v="Kotto"/>
    <s v="WOURI"/>
    <s v="Douala 5"/>
    <x v="5"/>
    <n v="4.1202959999999997"/>
    <n v="9.7656880000000008"/>
    <x v="1"/>
  </r>
  <r>
    <n v="1001"/>
    <s v="T2700"/>
    <s v="IHS_DLA_538"/>
    <s v="T2700"/>
    <x v="7"/>
    <s v="SODIKO VILLAGE"/>
    <x v="0"/>
    <s v="Outdoor"/>
    <s v="Bonaberi 1"/>
    <s v="WOURI"/>
    <s v="Douala 4"/>
    <x v="5"/>
    <n v="4.1158190000000001"/>
    <n v="9.6786740000000009"/>
    <x v="0"/>
  </r>
  <r>
    <n v="1002"/>
    <s v="T2748"/>
    <s v="IHS_DLA_539"/>
    <s v="T2748"/>
    <x v="7"/>
    <s v="BWANG BAKOKO 2"/>
    <x v="0"/>
    <s v="Outdoor"/>
    <s v="Yassa"/>
    <s v="WOURI"/>
    <s v="Douala 2"/>
    <x v="5"/>
    <n v="3.985347"/>
    <n v="9.8337070000000004"/>
    <x v="0"/>
  </r>
  <r>
    <n v="1003"/>
    <s v="T2057"/>
    <s v="IHS_DLA_533"/>
    <s v="T2057"/>
    <x v="7"/>
    <s v="Nyalla Happiness garden"/>
    <x v="0"/>
    <s v="Outdoor"/>
    <s v="Ndogbong"/>
    <s v="WOURI"/>
    <s v="Douala 3"/>
    <x v="5"/>
    <n v="4.0168010000000001"/>
    <n v="9.7825159999999993"/>
    <x v="0"/>
  </r>
  <r>
    <n v="1004"/>
    <s v="T2082"/>
    <s v="IHS_DLA_536"/>
    <s v="T2082"/>
    <x v="7"/>
    <s v="Bonamoutongo 2"/>
    <x v="0"/>
    <s v="Outdoor"/>
    <s v="PK12"/>
    <s v="WOURI"/>
    <s v="Douala 3"/>
    <x v="5"/>
    <n v="4.0585100000000001"/>
    <n v="9.8008100000000002"/>
    <x v="1"/>
  </r>
  <r>
    <n v="1005"/>
    <s v="T1857"/>
    <s v="IHS_DLA_531"/>
    <s v="T1857"/>
    <x v="7"/>
    <s v="Ndogpassi Chateau"/>
    <x v="0"/>
    <s v="Outdoor"/>
    <s v="Yassa"/>
    <s v="WOURI"/>
    <s v="Douala 3"/>
    <x v="5"/>
    <n v="4.0038119999999999"/>
    <n v="9.7742520000000006"/>
    <x v="0"/>
  </r>
  <r>
    <n v="1006"/>
    <s v="T1967"/>
    <s v="IHS_DLA_537"/>
    <s v="T1967"/>
    <x v="7"/>
    <s v="YATCHIEKA CHEFFERIE"/>
    <x v="0"/>
    <s v="Outdoor"/>
    <s v="Yassa"/>
    <s v="WOURI"/>
    <s v="Douala 2"/>
    <x v="5"/>
    <n v="3.9784959999999998"/>
    <n v="9.8018059999999991"/>
    <x v="0"/>
  </r>
  <r>
    <n v="1007"/>
    <s v="T1390"/>
    <s v="IHS_DLA_404"/>
    <s v="T1390"/>
    <x v="7"/>
    <s v="Bonaberi Magzi"/>
    <x v="0"/>
    <s v="Outdoor"/>
    <s v="Bonaberi 1"/>
    <s v="WOURI"/>
    <s v="Douala 4"/>
    <x v="5"/>
    <n v="4.0692608999999997"/>
    <n v="9.6779131500000002"/>
    <x v="0"/>
  </r>
  <r>
    <n v="1008"/>
    <s v="T2410"/>
    <s v="IHS_BNB_117"/>
    <s v="T2410"/>
    <x v="6"/>
    <s v="BEKOKO ECHANGEUR"/>
    <x v="0"/>
    <s v="Outdoor"/>
    <s v="Mbanga"/>
    <m/>
    <s v="Douala"/>
    <x v="5"/>
    <n v="4.1231059999999999"/>
    <n v="9.5866480000000003"/>
    <x v="0"/>
  </r>
  <r>
    <n v="1009"/>
    <s v="T2661"/>
    <s v="IHS_DLA_543"/>
    <s v="T2661"/>
    <x v="7"/>
    <s v="JAPOMA VILLAGE"/>
    <x v="0"/>
    <s v="Outdoor"/>
    <s v="Yassa"/>
    <m/>
    <s v="Douala"/>
    <x v="5"/>
    <n v="4.0487029999999997"/>
    <n v="9.8078909999999997"/>
    <x v="0"/>
  </r>
  <r>
    <n v="1010"/>
    <s v="T1362"/>
    <s v="IHS_DLA_128"/>
    <s v="T1362"/>
    <x v="7"/>
    <s v="Nylon OCM new"/>
    <x v="0"/>
    <s v="Outdoor"/>
    <s v="St Michel"/>
    <s v="WOURI"/>
    <s v="Douala 3"/>
    <x v="5"/>
    <n v="4.027806"/>
    <n v="9.7356119999999997"/>
    <x v="1"/>
  </r>
  <r>
    <n v="1011"/>
    <s v="OST_029"/>
    <s v="IHS_KMB_075"/>
    <s v="OST_029"/>
    <x v="0"/>
    <s v="Meguia"/>
    <x v="1"/>
    <s v="Indoor"/>
    <s v="Dschang"/>
    <s v="MENOUA"/>
    <s v="DSCHANG"/>
    <x v="6"/>
    <n v="5.4597499999999997"/>
    <n v="9.9453055559999992"/>
    <x v="0"/>
  </r>
  <r>
    <n v="1012"/>
    <s v="OST_156"/>
    <s v="IHS_BFG_016"/>
    <s v="OST_156"/>
    <x v="0"/>
    <s v="FOYEMTCHA"/>
    <x v="0"/>
    <s v="Outdoor"/>
    <s v="Bafang"/>
    <s v="HAUT-NKAM"/>
    <s v="Kekem"/>
    <x v="6"/>
    <n v="5.2086069999999998"/>
    <n v="10.074210000000001"/>
    <x v="0"/>
  </r>
  <r>
    <n v="1013"/>
    <s v="T1530"/>
    <s v="IHS_BAF_103"/>
    <s v="T1530"/>
    <x v="0"/>
    <s v="FOTOUNI"/>
    <x v="0"/>
    <s v="Outdoor"/>
    <s v="Bafoussam 2"/>
    <s v="HAUT-NKAM"/>
    <s v="BANDJA"/>
    <x v="6"/>
    <n v="5.3310000000000004"/>
    <n v="10.235528"/>
    <x v="0"/>
  </r>
  <r>
    <n v="1014"/>
    <s v="T1309"/>
    <s v="IHS_KMB_120"/>
    <s v="T1309"/>
    <x v="0"/>
    <s v="Fontem New1 "/>
    <x v="1"/>
    <s v="Outdoor"/>
    <s v="Dschang"/>
    <s v="LEBIALEM"/>
    <s v="MENDJI"/>
    <x v="6"/>
    <n v="5.4916972222222222"/>
    <n v="9.8496083333333342"/>
    <x v="0"/>
  </r>
  <r>
    <n v="1015"/>
    <s v="T1474"/>
    <s v="IHS_DCG_022"/>
    <s v="T1474"/>
    <x v="0"/>
    <s v="BASSESSA"/>
    <x v="0"/>
    <s v="Outdoor"/>
    <s v="Dschang"/>
    <s v="MENOUA"/>
    <s v="NKONGNI"/>
    <x v="6"/>
    <n v="5.5122429999999998"/>
    <n v="10.11599"/>
    <x v="0"/>
  </r>
  <r>
    <n v="1016"/>
    <s v="T1753"/>
    <s v="IHS_KMB_079"/>
    <s v="T1753"/>
    <x v="1"/>
    <s v="Banteng"/>
    <x v="2"/>
    <s v="Outdoor"/>
    <s v="Bamenda 2"/>
    <s v="Momo"/>
    <s v="Wabane"/>
    <x v="6"/>
    <n v="5.7041111109999996"/>
    <n v="9.9773333330000007"/>
    <x v="0"/>
  </r>
  <r>
    <n v="1017"/>
    <s v="T1487"/>
    <s v="IHS_BFG_007"/>
    <s v="T1487"/>
    <x v="0"/>
    <s v="Banka"/>
    <x v="0"/>
    <s v="Outdoor"/>
    <s v="Bafang"/>
    <s v="HAUT-NKAM"/>
    <s v="Banka"/>
    <x v="6"/>
    <n v="5.1741700000000002"/>
    <n v="10.206289999999999"/>
    <x v="0"/>
  </r>
  <r>
    <n v="1018"/>
    <s v="T1584"/>
    <s v="IHS_BFG_18"/>
    <s v="T1584"/>
    <x v="0"/>
    <s v="BAMENGWI "/>
    <x v="0"/>
    <s v="Outdoor"/>
    <s v="Bafang"/>
    <s v="HAUT-NKAM"/>
    <s v="Kekem"/>
    <x v="6"/>
    <n v="5.2362780000000004"/>
    <n v="10.082167"/>
    <x v="0"/>
  </r>
  <r>
    <n v="1019"/>
    <s v="T1511"/>
    <s v="IHS_BMD_094"/>
    <s v="T1511"/>
    <x v="0"/>
    <s v="Balatchi"/>
    <x v="1"/>
    <s v="Outdoor"/>
    <s v="Bafoussam1"/>
    <s v="BAMBOUTOUS"/>
    <s v="BATCHAM"/>
    <x v="6"/>
    <n v="5.6288320000000001"/>
    <n v="10.200196999999999"/>
    <x v="0"/>
  </r>
  <r>
    <n v="1020"/>
    <s v="OST_108"/>
    <s v="IHS_DCG_018"/>
    <s v="OST_108"/>
    <x v="0"/>
    <s v="Bafou-Badzifeng"/>
    <x v="0"/>
    <s v="Outdoor"/>
    <s v="Dschang"/>
    <s v="MENOUA"/>
    <s v="NKONGHNI"/>
    <x v="6"/>
    <n v="5.4617779999999998"/>
    <n v="10.098777999999999"/>
    <x v="0"/>
  </r>
  <r>
    <n v="1021"/>
    <s v="OST_022"/>
    <s v="IHS_BAF_054"/>
    <s v="OST_022"/>
    <x v="0"/>
    <s v="Bandja"/>
    <x v="0"/>
    <s v="Indoor"/>
    <s v="Bafang"/>
    <s v="HAUT-NKAM"/>
    <s v="Bandja"/>
    <x v="6"/>
    <n v="5.2679859999999996"/>
    <n v="10.222806"/>
    <x v="0"/>
  </r>
  <r>
    <n v="1022"/>
    <s v="OST_105"/>
    <s v="IHS_DCG_015"/>
    <s v="OST_105"/>
    <x v="0"/>
    <s v="Dschang-Foto"/>
    <x v="0"/>
    <s v="Outdoor"/>
    <s v="Dschang"/>
    <s v="MENOUA"/>
    <s v="DSCHANG"/>
    <x v="6"/>
    <n v="5.4608109999999996"/>
    <n v="10.0741"/>
    <x v="0"/>
  </r>
  <r>
    <n v="1023"/>
    <s v="OST_017"/>
    <s v="IHS_DCG_021"/>
    <s v="OST_017"/>
    <x v="0"/>
    <s v="Bafou"/>
    <x v="0"/>
    <s v="Indoor"/>
    <s v="Dschang"/>
    <s v="MENOUA"/>
    <s v="NKONGHNI"/>
    <x v="6"/>
    <n v="5.4957219999999998"/>
    <n v="10.099610999999999"/>
    <x v="0"/>
  </r>
  <r>
    <n v="1024"/>
    <s v="T0481"/>
    <s v="IHS_DCG_017"/>
    <s v="T0481"/>
    <x v="0"/>
    <s v="Dschang Lycee Technique"/>
    <x v="0"/>
    <s v="Outdoor"/>
    <s v="Dschang"/>
    <s v="MENOUA"/>
    <s v="DSCHANG"/>
    <x v="6"/>
    <n v="5.4285399999999999"/>
    <n v="10.044180000000001"/>
    <x v="0"/>
  </r>
  <r>
    <n v="1025"/>
    <s v="OST_040"/>
    <s v="IHS_MBD_011"/>
    <s v="OST_040"/>
    <x v="0"/>
    <s v="Batcham"/>
    <x v="0"/>
    <s v="Outdoor"/>
    <s v="Bafoussam1"/>
    <s v="BAMBOUTOUS"/>
    <s v="BATCHAM"/>
    <x v="6"/>
    <n v="5.585"/>
    <n v="10.204806"/>
    <x v="0"/>
  </r>
  <r>
    <n v="1026"/>
    <s v="T0172"/>
    <s v="IHS_DCG_019"/>
    <s v="T0172"/>
    <x v="0"/>
    <s v="Makong II"/>
    <x v="0"/>
    <s v="Indoor"/>
    <s v="Dschang"/>
    <s v="MENOUA"/>
    <s v="DSCHANG"/>
    <x v="6"/>
    <n v="5.4562400000000002"/>
    <n v="10.01366"/>
    <x v="0"/>
  </r>
  <r>
    <n v="1027"/>
    <s v="T0346"/>
    <s v="IHS_KMB_072"/>
    <s v="T0346"/>
    <x v="0"/>
    <s v="Alou"/>
    <x v="1"/>
    <s v="Indoor"/>
    <s v="Dschang"/>
    <s v="LEBIALEM"/>
    <s v="ALOU"/>
    <x v="6"/>
    <n v="5.5274679999999998"/>
    <n v="9.9452499999999997"/>
    <x v="0"/>
  </r>
  <r>
    <n v="1028"/>
    <s v="T0347"/>
    <s v="IHS_KMB_067"/>
    <s v="T0347"/>
    <x v="0"/>
    <s v="Fontem"/>
    <x v="1"/>
    <s v="Indoor"/>
    <s v="Dschang"/>
    <s v="LEBIALEM"/>
    <s v="MENDJI"/>
    <x v="6"/>
    <n v="5.4878900000000002"/>
    <n v="9.8759499999999996"/>
    <x v="0"/>
  </r>
  <r>
    <n v="1029"/>
    <s v="OST_112"/>
    <s v="IHS_DCG_008"/>
    <s v="OST_112"/>
    <x v="0"/>
    <s v="Dschang-Q-Admin"/>
    <x v="0"/>
    <s v="Outdoor"/>
    <s v="Dschang"/>
    <s v="MENOUA"/>
    <s v="DSCHANG"/>
    <x v="6"/>
    <n v="5.4548329999999998"/>
    <n v="10.057556"/>
    <x v="0"/>
  </r>
  <r>
    <n v="1030"/>
    <s v="OST_106"/>
    <s v="IHS_DCG_005"/>
    <s v="OST_106"/>
    <x v="0"/>
    <s v="Dschang-Universite"/>
    <x v="0"/>
    <s v="Outdoor"/>
    <s v="Dschang"/>
    <s v="MENOUA"/>
    <s v="DSCHANG"/>
    <x v="6"/>
    <n v="5.447667"/>
    <n v="10.062111"/>
    <x v="1"/>
  </r>
  <r>
    <n v="1031"/>
    <s v="T0228"/>
    <s v="IHS_KMB_071"/>
    <s v="T0228"/>
    <x v="0"/>
    <s v="Alou Repeater"/>
    <x v="1"/>
    <s v="Indoor"/>
    <s v="Dschang"/>
    <s v="MENOUA"/>
    <s v="FONGO-TONGO"/>
    <x v="6"/>
    <n v="5.51159"/>
    <n v="9.9698600000000006"/>
    <x v="0"/>
  </r>
  <r>
    <n v="1032"/>
    <s v="SUO_017"/>
    <s v="IHS_KMB_068"/>
    <s v="SUO_017"/>
    <x v="0"/>
    <s v="Fontem"/>
    <x v="1"/>
    <s v="Indoor"/>
    <s v="Dschang"/>
    <s v="LEBIALEM"/>
    <s v="MENDJI"/>
    <x v="6"/>
    <n v="5.4909166669999996"/>
    <n v="9.8782499999999995"/>
    <x v="0"/>
  </r>
  <r>
    <n v="1033"/>
    <s v="OST_056"/>
    <s v="IHS_DCG_023"/>
    <s v="OST_056"/>
    <x v="0"/>
    <s v="Bamendou"/>
    <x v="0"/>
    <s v="Outdoor"/>
    <s v="Dschang"/>
    <s v="MENOUA"/>
    <s v="NKONGHNI"/>
    <x v="6"/>
    <n v="5.4893109999999998"/>
    <n v="10.181917"/>
    <x v="0"/>
  </r>
  <r>
    <n v="1034"/>
    <s v="T1496"/>
    <s v="IHS_DCG_009"/>
    <s v="T1496"/>
    <x v="0"/>
    <s v="Dschang FOREKE"/>
    <x v="0"/>
    <s v="Outdoor"/>
    <s v="Dschang"/>
    <s v="MENOUA"/>
    <s v="DSCHANG"/>
    <x v="6"/>
    <n v="5.439667"/>
    <n v="10.046082999999999"/>
    <x v="0"/>
  </r>
  <r>
    <n v="1035"/>
    <s v="OST_020"/>
    <s v="IHS_DCG_011"/>
    <s v="OST_020"/>
    <x v="0"/>
    <s v="Dschang-II"/>
    <x v="0"/>
    <s v="Indoor"/>
    <s v="Dschang"/>
    <s v="MENOUA"/>
    <s v="DSCHANG"/>
    <x v="6"/>
    <n v="5.4567500000000004"/>
    <n v="10.048971999999999"/>
    <x v="0"/>
  </r>
  <r>
    <n v="1036"/>
    <s v="T1172"/>
    <s v="IHS_DCG_001"/>
    <s v="T1172"/>
    <x v="0"/>
    <s v="Dschang town (Emeraude Hotel)"/>
    <x v="0"/>
    <s v="Outdoor"/>
    <s v="Dschang"/>
    <s v="MENOUA"/>
    <s v="DSCHANG"/>
    <x v="6"/>
    <n v="5.44536"/>
    <n v="10.053900000000001"/>
    <x v="1"/>
  </r>
  <r>
    <n v="1037"/>
    <s v="T1608"/>
    <s v="IHS_BAF_312"/>
    <s v="T1608"/>
    <x v="0"/>
    <s v="FONDJOMEKWET "/>
    <x v="0"/>
    <s v="Outdoor"/>
    <s v="Bafang"/>
    <s v="HAUT-NKAM"/>
    <s v="Bandja"/>
    <x v="6"/>
    <n v="5.2760280000000002"/>
    <n v="10.165222"/>
    <x v="0"/>
  </r>
  <r>
    <n v="1038"/>
    <s v="T0094"/>
    <s v="IHS_BFG_002"/>
    <s v="T0094"/>
    <x v="0"/>
    <s v="Bafang"/>
    <x v="0"/>
    <s v="Indoor"/>
    <s v="Bafang"/>
    <s v="HAUT-NKAM"/>
    <s v="Bafang"/>
    <x v="6"/>
    <n v="5.1617699999999997"/>
    <n v="10.18488"/>
    <x v="0"/>
  </r>
  <r>
    <n v="1039"/>
    <s v="T1450"/>
    <s v="IHS_DCG_003"/>
    <s v="T1450"/>
    <x v="0"/>
    <s v="Dschang town"/>
    <x v="0"/>
    <s v="Outdoor"/>
    <s v="Dschang"/>
    <s v="MENOUA"/>
    <s v="DSCHANG"/>
    <x v="6"/>
    <n v="5.44109"/>
    <n v="10.05598"/>
    <x v="1"/>
  </r>
  <r>
    <n v="1040"/>
    <s v="OST_015"/>
    <s v="IHS_BFG_004"/>
    <s v="OST_015"/>
    <x v="0"/>
    <s v="Bafang"/>
    <x v="0"/>
    <s v="Indoor"/>
    <s v="Bafang"/>
    <s v="HAUT-NKAM"/>
    <s v="Bafang"/>
    <x v="6"/>
    <n v="5.1506990000000004"/>
    <n v="10.180562999999999"/>
    <x v="0"/>
  </r>
  <r>
    <n v="1041"/>
    <s v="OST_074"/>
    <s v="IHS_DCG_016"/>
    <s v="OST_074"/>
    <x v="0"/>
    <s v="Dschang-Meka"/>
    <x v="0"/>
    <s v="Outdoor"/>
    <s v="Dschang"/>
    <s v="MENOUA"/>
    <s v="DSCHANG"/>
    <x v="6"/>
    <n v="5.4336469999999997"/>
    <n v="10.042249999999999"/>
    <x v="0"/>
  </r>
  <r>
    <n v="1042"/>
    <s v="T1448"/>
    <s v="IHS_DCG_014"/>
    <s v="T1448"/>
    <x v="0"/>
    <s v="Dschang Campus"/>
    <x v="0"/>
    <s v="Outdoor"/>
    <s v="Dschang"/>
    <s v="MENOUA"/>
    <s v="DSCHANG"/>
    <x v="6"/>
    <n v="5.4373800000000001"/>
    <n v="10.07267"/>
    <x v="0"/>
  </r>
  <r>
    <n v="1043"/>
    <s v="T0047"/>
    <s v="IHS_DCG_025"/>
    <s v="T0047"/>
    <x v="0"/>
    <s v="Santchou"/>
    <x v="0"/>
    <s v="Outdoor"/>
    <s v="Dschang"/>
    <s v="MENOUA"/>
    <s v="SANTCHOU"/>
    <x v="6"/>
    <n v="5.3126899999999999"/>
    <n v="10.00436"/>
    <x v="0"/>
  </r>
  <r>
    <n v="1044"/>
    <s v="OST_069"/>
    <s v="IHS_DCG_020"/>
    <s v="OST_069"/>
    <x v="0"/>
    <s v="Bafou-Zinkop"/>
    <x v="0"/>
    <s v="Outdoor"/>
    <s v="Dschang"/>
    <s v="MENOUA"/>
    <s v="NKONGHNI"/>
    <x v="6"/>
    <n v="5.4909999999999997"/>
    <n v="10.114056"/>
    <x v="0"/>
  </r>
  <r>
    <n v="1045"/>
    <s v="OST_084"/>
    <s v="IHS_DCG_002"/>
    <s v="OST_084"/>
    <x v="0"/>
    <s v="Dschang-St-Augustin"/>
    <x v="0"/>
    <s v="Outdoor"/>
    <s v="Dschang"/>
    <s v="MENOUA"/>
    <s v="DSCHANG"/>
    <x v="6"/>
    <n v="5.4470919999999996"/>
    <n v="10.051793999999999"/>
    <x v="0"/>
  </r>
  <r>
    <n v="1046"/>
    <s v="T0828"/>
    <s v="IHS_DCG_027"/>
    <s v="T0828"/>
    <x v="0"/>
    <s v="Fokoue"/>
    <x v="0"/>
    <s v="Outdoor"/>
    <s v="Dschang"/>
    <s v="MENOUA"/>
    <s v="FOKOUE"/>
    <x v="6"/>
    <n v="5.36334"/>
    <n v="10.12088"/>
    <x v="0"/>
  </r>
  <r>
    <n v="1047"/>
    <s v="T0829"/>
    <s v="IHS_DCG_026"/>
    <s v="T0829"/>
    <x v="0"/>
    <s v="Fondonera"/>
    <x v="0"/>
    <s v="Outdoor"/>
    <s v="Dschang"/>
    <s v="MENOUA"/>
    <s v="SANTCHOU"/>
    <x v="6"/>
    <n v="5.3854199999999999"/>
    <n v="9.9417600000000004"/>
    <x v="0"/>
  </r>
  <r>
    <n v="1048"/>
    <s v="T0609"/>
    <s v="IHS_MBD_010"/>
    <s v="T0609"/>
    <x v="0"/>
    <s v="Babadjou"/>
    <x v="0"/>
    <s v="Outdoor"/>
    <s v="Bafoussam1"/>
    <s v="BAMBOUTOUS"/>
    <s v="BABADJOU"/>
    <x v="6"/>
    <n v="5.6721500000000002"/>
    <n v="10.181699999999999"/>
    <x v="0"/>
  </r>
  <r>
    <n v="1049"/>
    <s v="OST_059"/>
    <s v="IHS_DCG_028"/>
    <s v="OST_059"/>
    <x v="0"/>
    <s v="Fokoue"/>
    <x v="0"/>
    <s v="Outdoor"/>
    <s v="Dschang"/>
    <s v="MENOUA"/>
    <s v="FOKOUE"/>
    <x v="6"/>
    <n v="5.3912779999999998"/>
    <n v="10.138278"/>
    <x v="0"/>
  </r>
  <r>
    <n v="1050"/>
    <s v="OST_073"/>
    <s v="IHS_DCG_100"/>
    <s v="OST_073"/>
    <x v="0"/>
    <s v="Nkong-Zem"/>
    <x v="0"/>
    <s v="Outdoor"/>
    <s v="Dschang"/>
    <s v="MENOUA"/>
    <s v="NKONGHNI"/>
    <x v="6"/>
    <n v="5.5244169999999997"/>
    <n v="10.135139000000001"/>
    <x v="0"/>
  </r>
  <r>
    <n v="1051"/>
    <s v="OST_060"/>
    <s v="IHS_MBD_008"/>
    <s v="OST_060"/>
    <x v="0"/>
    <s v="Babadjou"/>
    <x v="0"/>
    <s v="Outdoor"/>
    <s v="Bafoussam1"/>
    <s v="BAMBOUTOUS"/>
    <s v="BABADJOU"/>
    <x v="6"/>
    <n v="5.6772739999999997"/>
    <n v="10.207425000000001"/>
    <x v="0"/>
  </r>
  <r>
    <n v="1052"/>
    <s v="T0076"/>
    <s v="IHS_DCG_007"/>
    <s v="T0076"/>
    <x v="0"/>
    <s v="Dschang"/>
    <x v="0"/>
    <s v="Indoor"/>
    <s v="Dschang"/>
    <s v="MENOUA"/>
    <s v="DSCHANG"/>
    <x v="6"/>
    <n v="5.4523299999999999"/>
    <n v="10.065429999999999"/>
    <x v="0"/>
  </r>
  <r>
    <n v="1053"/>
    <s v="OST_038"/>
    <s v="IHS_DCG_029"/>
    <s v="OST_038"/>
    <x v="0"/>
    <s v="Santchou"/>
    <x v="0"/>
    <s v="Outdoor"/>
    <s v="Dschang"/>
    <s v="MENOUA"/>
    <s v="SANTCHOU"/>
    <x v="6"/>
    <n v="5.2833889999999997"/>
    <n v="9.9668060000000001"/>
    <x v="0"/>
  </r>
  <r>
    <n v="1054"/>
    <s v="T0733"/>
    <s v="IHS_DCG_024"/>
    <s v="T0733"/>
    <x v="0"/>
    <s v="Bafou"/>
    <x v="0"/>
    <s v="Outdoor"/>
    <s v="Dschang"/>
    <s v="MENOUA"/>
    <s v="NKONGHNI"/>
    <x v="6"/>
    <n v="5.5491999999999999"/>
    <n v="10.091670000000001"/>
    <x v="0"/>
  </r>
  <r>
    <n v="1055"/>
    <s v="T1462"/>
    <s v="IHS_DCG_010"/>
    <s v="T1462"/>
    <x v="0"/>
    <s v="Dschang Foto"/>
    <x v="0"/>
    <s v="Outdoor"/>
    <s v="Dschang"/>
    <s v="MENOUA"/>
    <s v="DSCHANG"/>
    <x v="6"/>
    <n v="5.4560250000000003"/>
    <n v="10.050274999999999"/>
    <x v="0"/>
  </r>
  <r>
    <n v="1056"/>
    <s v="OST_122"/>
    <s v="IHS_DCG_013"/>
    <s v="OST_122"/>
    <x v="0"/>
    <s v="Dschang-Foreke"/>
    <x v="0"/>
    <s v="Outdoor"/>
    <s v="Dschang"/>
    <s v="MENOUA"/>
    <s v="DSCHANG"/>
    <x v="6"/>
    <n v="5.4581390000000001"/>
    <n v="10.069471999999999"/>
    <x v="1"/>
  </r>
  <r>
    <n v="1057"/>
    <s v="OST_126"/>
    <s v="IHS_BFG_001"/>
    <s v="OST_126"/>
    <x v="0"/>
    <s v="Bafang-Centre"/>
    <x v="0"/>
    <s v="Outdoor"/>
    <s v="Bafang"/>
    <s v="HAUT-NKAM"/>
    <s v="Bafang"/>
    <x v="6"/>
    <n v="5.1577219999999997"/>
    <n v="10.178832999999999"/>
    <x v="1"/>
  </r>
  <r>
    <n v="1058"/>
    <s v="T1039"/>
    <s v="IHS_DCG_030"/>
    <s v="T1039"/>
    <x v="0"/>
    <s v="Bamok"/>
    <x v="2"/>
    <s v="Outdoor"/>
    <s v="Dschang"/>
    <s v="LEBIALEM"/>
    <s v="WABANE"/>
    <x v="6"/>
    <n v="5.6308360000000004"/>
    <n v="10.056381999999999"/>
    <x v="0"/>
  </r>
  <r>
    <n v="1059"/>
    <s v="T2504"/>
    <s v="IHS_BAF_329"/>
    <s v="T2504"/>
    <x v="0"/>
    <s v="Basseu"/>
    <x v="0"/>
    <s v="Outdoor"/>
    <s v="Bafang"/>
    <s v="HAUT-NKAM"/>
    <s v="Bandja"/>
    <x v="6"/>
    <n v="5.2270430000000001"/>
    <n v="10.217421999999999"/>
    <x v="0"/>
  </r>
  <r>
    <n v="1060"/>
    <s v="T4637"/>
    <s v="IHS_DCG_031"/>
    <s v="T4637"/>
    <x v="0"/>
    <s v="Fotsem Lessing"/>
    <x v="0"/>
    <s v="Outdoor"/>
    <s v="Dschang"/>
    <s v="MENOUA"/>
    <s v="Fokoue"/>
    <x v="6"/>
    <n v="5.3486700000000003"/>
    <n v="10.078150000000001"/>
    <x v="0"/>
  </r>
  <r>
    <n v="1061"/>
    <s v="T4636"/>
    <s v="IHS_MBD_021"/>
    <s v="T4636"/>
    <x v="0"/>
    <s v="BAMENGHUIE2"/>
    <x v="0"/>
    <s v="Outdoor"/>
    <s v="Bafoussam 1"/>
    <s v="BAMBOUTOUS"/>
    <s v="BABADJOU"/>
    <x v="6"/>
    <n v="5.6365800000000004"/>
    <n v="10.13303"/>
    <x v="0"/>
  </r>
  <r>
    <n v="1062"/>
    <s v="T4647"/>
    <s v="IHS_DCG_105"/>
    <s v="T4647"/>
    <x v="0"/>
    <s v="Bani Baloum"/>
    <x v="0"/>
    <s v="Outdoor"/>
    <s v="Bafoussam 1"/>
    <s v="MENOUA"/>
    <s v="Fokoue"/>
    <x v="6"/>
    <n v="5.3838499999999998"/>
    <n v="10.17689"/>
    <x v="0"/>
  </r>
  <r>
    <n v="1063"/>
    <s v="T5035"/>
    <s v="IHS_DCG_106"/>
    <s v="T5035"/>
    <x v="0"/>
    <s v="Fonakeukeu"/>
    <x v="0"/>
    <s v="Outdoor"/>
    <s v="Dschang"/>
    <s v="Menoua"/>
    <s v="Foukoue"/>
    <x v="6"/>
    <n v="5.40808"/>
    <n v="10.08042"/>
    <x v="0"/>
  </r>
  <r>
    <n v="1064"/>
    <s v="T5036"/>
    <s v="IHS_MBD_023"/>
    <s v="T5036"/>
    <x v="0"/>
    <s v="Kanapi"/>
    <x v="0"/>
    <s v="Outdoor"/>
    <s v="Bafoussam 1"/>
    <s v="Bamboutos"/>
    <s v="Batcham"/>
    <x v="6"/>
    <n v="5.54312"/>
    <n v="10.198320000000001"/>
    <x v="0"/>
  </r>
  <r>
    <n v="1065"/>
    <s v="T5020"/>
    <s v="IHS_DCG_107"/>
    <s v="T5020"/>
    <x v="0"/>
    <s v="Nteingue (marche des plantains)"/>
    <x v="0"/>
    <s v="Outdoor"/>
    <s v="Bafang"/>
    <s v="Moungo"/>
    <s v="Melong"/>
    <x v="6"/>
    <n v="5.3600430000000001"/>
    <n v="10.010142999999999"/>
    <x v="0"/>
  </r>
  <r>
    <n v="1066"/>
    <s v="T2258"/>
    <s v="IHS_BMD_358"/>
    <s v="T2258"/>
    <x v="1"/>
    <s v="Bamenda Army Camp"/>
    <x v="0"/>
    <s v="Outdoor"/>
    <s v="Bamenda 2"/>
    <s v="MEZAM"/>
    <s v="Bamenda 3"/>
    <x v="6"/>
    <n v="5.5950097000000003"/>
    <n v="10.17033"/>
    <x v="1"/>
  </r>
  <r>
    <n v="1067"/>
    <s v="LIT_506"/>
    <s v="IHS_EDA_064"/>
    <s v="LIT_506"/>
    <x v="7"/>
    <s v="Sokelle"/>
    <x v="0"/>
    <s v="Outdoor"/>
    <s v="Pouma 2"/>
    <s v="SANAGA-MARITIME"/>
    <s v="POUMA"/>
    <x v="7"/>
    <n v="3.7805499999999999"/>
    <n v="10.515138"/>
    <x v="0"/>
  </r>
  <r>
    <n v="1068"/>
    <s v="LIT_515"/>
    <s v="IHS_EDA_069"/>
    <s v="LIT_515"/>
    <x v="7"/>
    <s v="Sodibanga"/>
    <x v="0"/>
    <s v="Outdoor"/>
    <s v="Pouma 1"/>
    <s v="SANAGA-MARITIME"/>
    <s v="POUMA"/>
    <x v="7"/>
    <n v="3.6912349999999998"/>
    <n v="10.384677999999999"/>
    <x v="0"/>
  </r>
  <r>
    <n v="1069"/>
    <s v="LIT_388"/>
    <s v="IHS_EDA_024"/>
    <s v="LIT_388"/>
    <x v="7"/>
    <s v="Sikoum-II"/>
    <x v="0"/>
    <s v="Outdoor"/>
    <s v="Edea"/>
    <s v="SANAGA-MARITIME"/>
    <s v="Dibamba"/>
    <x v="7"/>
    <n v="3.9419400000000002"/>
    <n v="10.047345"/>
    <x v="0"/>
  </r>
  <r>
    <n v="1070"/>
    <s v="T0762"/>
    <s v="IHS_EDA_025"/>
    <s v="T0762"/>
    <x v="7"/>
    <s v="Sikom Mtn"/>
    <x v="0"/>
    <s v="Indoor"/>
    <s v="Edea"/>
    <s v="SANAGA-MARITIME"/>
    <s v="Edea 1"/>
    <x v="7"/>
    <n v="3.94814"/>
    <n v="10.024179999999999"/>
    <x v="0"/>
  </r>
  <r>
    <n v="1071"/>
    <s v="LIT_507"/>
    <s v="IHS_YND_700"/>
    <s v="LIT_507"/>
    <x v="7"/>
    <s v="Sibongo"/>
    <x v="0"/>
    <s v="Outdoor"/>
    <s v="Pouma 2"/>
    <s v="NYONG-ET-KELLE "/>
    <s v="Dibang"/>
    <x v="7"/>
    <n v="3.8074680000000001"/>
    <n v="10.616434999999999"/>
    <x v="0"/>
  </r>
  <r>
    <n v="1072"/>
    <s v="LIT_513"/>
    <s v="IHS_EDA_068"/>
    <s v="LIT_513"/>
    <x v="7"/>
    <s v="Poutkak"/>
    <x v="0"/>
    <s v="Outdoor"/>
    <s v="Pouma 2"/>
    <s v="SANAGA-MARITIME"/>
    <s v="POUMA"/>
    <x v="7"/>
    <n v="4.1061699999999997"/>
    <n v="10.556979999999999"/>
    <x v="0"/>
  </r>
  <r>
    <n v="1073"/>
    <s v="LIT_514"/>
    <s v="IHS_YND_701"/>
    <s v="LIT_514"/>
    <x v="7"/>
    <s v="NKAN"/>
    <x v="0"/>
    <s v="Outdoor"/>
    <s v="Pouma 2"/>
    <s v="SANAGA-MARITIME"/>
    <s v="POUMA"/>
    <x v="7"/>
    <n v="4.09274"/>
    <n v="10.66999"/>
    <x v="0"/>
  </r>
  <r>
    <n v="1074"/>
    <s v="T0575"/>
    <s v="IHS_EDA_019"/>
    <s v="T0575"/>
    <x v="7"/>
    <s v="Ngoulmepa"/>
    <x v="0"/>
    <s v="Outdoor"/>
    <s v="Edea"/>
    <s v="SANAGA-MARITIME"/>
    <s v="Edea 2"/>
    <x v="7"/>
    <n v="3.9013789999999999"/>
    <n v="10.066253"/>
    <x v="0"/>
  </r>
  <r>
    <n v="1075"/>
    <s v="T1598"/>
    <s v="IHS_YND_593"/>
    <s v="T1598"/>
    <x v="7"/>
    <s v="Ngonga Water Tower "/>
    <x v="0"/>
    <s v="Outdoor"/>
    <s v="Pouma 2"/>
    <s v="SANAGA-MARITIME"/>
    <s v="POUMA"/>
    <x v="7"/>
    <n v="4.0791180000000002"/>
    <n v="10.380034999999999"/>
    <x v="0"/>
  </r>
  <r>
    <n v="1076"/>
    <s v="LIT_121"/>
    <s v="IHS_EDA_101"/>
    <s v="LIT_121"/>
    <x v="7"/>
    <s v="NGOG MBOG "/>
    <x v="0"/>
    <s v="Outdoor"/>
    <s v="Pouma 2"/>
    <s v="SANAGA-MARITIME"/>
    <s v="POUMA"/>
    <x v="7"/>
    <n v="4.2172219999999996"/>
    <n v="10.714528"/>
    <x v="0"/>
  </r>
  <r>
    <n v="1077"/>
    <s v="T1654"/>
    <s v="IHS_EDA_055"/>
    <s v="T1654"/>
    <x v="7"/>
    <s v="NDJOKLOUMBE"/>
    <x v="0"/>
    <s v="Outdoor"/>
    <s v="Pouma 1"/>
    <s v="SANAGA-MARITIME"/>
    <s v="POUMA"/>
    <x v="7"/>
    <n v="3.6185559999999999"/>
    <n v="10.257845"/>
    <x v="0"/>
  </r>
  <r>
    <n v="1078"/>
    <s v="LIT_519"/>
    <s v="IHS_EDA_070"/>
    <s v="LIT_519"/>
    <x v="7"/>
    <s v="Mandjap"/>
    <x v="0"/>
    <s v="Outdoor"/>
    <s v="Pouma 1"/>
    <s v="SANAGA-MARITIME"/>
    <s v="POUMA"/>
    <x v="7"/>
    <n v="3.716129"/>
    <n v="10.319081000000001"/>
    <x v="0"/>
  </r>
  <r>
    <n v="1079"/>
    <s v="LIT_508"/>
    <s v="IHS_EDA_060"/>
    <s v="LIT_508"/>
    <x v="7"/>
    <s v="Logbong"/>
    <x v="0"/>
    <s v="Outdoor"/>
    <s v="Pouma 2"/>
    <s v="SANAGA-MARITIME"/>
    <s v="POUMA"/>
    <x v="7"/>
    <n v="3.9553600000000002"/>
    <n v="10.552778"/>
    <x v="0"/>
  </r>
  <r>
    <n v="1080"/>
    <s v="LIT_509"/>
    <s v="IHS_EDA_065"/>
    <s v="LIT_509"/>
    <x v="7"/>
    <s v="Kopongo"/>
    <x v="0"/>
    <s v="Outdoor"/>
    <s v="Pouma 1"/>
    <s v="SANAGA-MARITIME"/>
    <s v="Dibamba"/>
    <x v="7"/>
    <n v="3.9530370000000001"/>
    <n v="10.115176"/>
    <x v="0"/>
  </r>
  <r>
    <n v="1081"/>
    <s v="T2015"/>
    <s v="IHS_KRI_100"/>
    <s v="T2015"/>
    <x v="7"/>
    <s v="Elog Batindi/ Mombo Ville"/>
    <x v="0"/>
    <s v="Outdoor"/>
    <s v="Pouma 1"/>
    <s v="OCEAN"/>
    <s v="Fifinda"/>
    <x v="7"/>
    <n v="3.4252600000000002"/>
    <n v="10.125589"/>
    <x v="0"/>
  </r>
  <r>
    <n v="1082"/>
    <s v="LIT_456"/>
    <s v="IHS_DLA_456"/>
    <s v="LIT_456"/>
    <x v="7"/>
    <s v="Edea Mbondanjick"/>
    <x v="0"/>
    <s v="Outdoor"/>
    <s v="Pouma 1"/>
    <s v="SANAGA-MARITIME"/>
    <s v="Edea 1"/>
    <x v="7"/>
    <n v="3.7838690000000001"/>
    <n v="10.13499"/>
    <x v="0"/>
  </r>
  <r>
    <n v="1083"/>
    <s v="T0770"/>
    <s v="IHS_EDA_028"/>
    <s v="T0770"/>
    <x v="7"/>
    <s v="Ebombe2"/>
    <x v="0"/>
    <s v="Indoor"/>
    <s v="Pouma 1"/>
    <s v="SANAGA-MARITIME"/>
    <s v="POUMA"/>
    <x v="7"/>
    <n v="3.8247209999999998"/>
    <n v="10.369883"/>
    <x v="0"/>
  </r>
  <r>
    <n v="1084"/>
    <s v="T2742"/>
    <s v="IHS_EDA_053"/>
    <s v="T2742"/>
    <x v="7"/>
    <s v="DIZANGUE KM14"/>
    <x v="0"/>
    <s v="Outdoor"/>
    <s v="Edea"/>
    <s v="SANAGA-MARITIME"/>
    <s v="Dizangue"/>
    <x v="7"/>
    <n v="3.8541669999999999"/>
    <n v="9.9666669999999993"/>
    <x v="0"/>
  </r>
  <r>
    <n v="1085"/>
    <s v="LIT_517"/>
    <s v="IHS_EDA_063"/>
    <s v="LIT_517"/>
    <x v="7"/>
    <s v="Bihaing"/>
    <x v="0"/>
    <s v="Outdoor"/>
    <s v="Pouma 2"/>
    <s v="SANAGA-MARITIME"/>
    <s v="POUMA"/>
    <x v="7"/>
    <n v="3.9260830000000002"/>
    <n v="10.587415"/>
    <x v="0"/>
  </r>
  <r>
    <n v="1086"/>
    <s v="LIT_512"/>
    <s v="IHS_EDA_067"/>
    <s v="LIT_512"/>
    <x v="7"/>
    <s v="Apouh"/>
    <x v="0"/>
    <s v="Outdoor"/>
    <s v="Pouma 1"/>
    <s v="SANAGA-MARITIME"/>
    <s v="Edea 1"/>
    <x v="7"/>
    <n v="3.636644"/>
    <n v="10.114884999999999"/>
    <x v="0"/>
  </r>
  <r>
    <n v="1087"/>
    <s v="LIT_201"/>
    <s v="IHS_EDA_114"/>
    <s v="LIT_201"/>
    <x v="7"/>
    <s v="Pouma Makop"/>
    <x v="0"/>
    <s v="Outdoor"/>
    <s v="Pouma 2"/>
    <s v="SANAGA-MARITIME"/>
    <s v="POUMA"/>
    <x v="7"/>
    <n v="3.9650099999999999"/>
    <n v="10.59965"/>
    <x v="0"/>
  </r>
  <r>
    <n v="1088"/>
    <s v="LIT_321"/>
    <s v="IHS_EDA_013"/>
    <s v="LIT_321"/>
    <x v="7"/>
    <s v="Edea-Lom"/>
    <x v="0"/>
    <s v="Outdoor"/>
    <s v="Edea"/>
    <s v="SANAGA-MARITIME"/>
    <s v="Edea 1"/>
    <x v="7"/>
    <n v="3.7772220000000001"/>
    <n v="10.089778000000001"/>
    <x v="0"/>
  </r>
  <r>
    <n v="1089"/>
    <s v="LIT_323"/>
    <s v="IHS_EDA_016"/>
    <s v="LIT_323"/>
    <x v="7"/>
    <s v="Okoth"/>
    <x v="0"/>
    <s v="Outdoor"/>
    <s v="Pouma 1"/>
    <s v="SANAGA-MARITIME"/>
    <s v="Edea 1"/>
    <x v="7"/>
    <n v="3.7468119999999998"/>
    <n v="10.154757"/>
    <x v="0"/>
  </r>
  <r>
    <n v="1090"/>
    <s v="T1734"/>
    <s v="IHS_EDA_026"/>
    <s v="T1734"/>
    <x v="7"/>
    <s v="Logbadjeck"/>
    <x v="0"/>
    <s v="Outdoor"/>
    <s v="Pouma 1"/>
    <s v="SANAGA-MARITIME"/>
    <s v="Edea 1"/>
    <x v="7"/>
    <n v="3.9781939999999998"/>
    <n v="10.107250000000001"/>
    <x v="0"/>
  </r>
  <r>
    <n v="1091"/>
    <s v="CTR_059"/>
    <s v="IHS_EDA_020"/>
    <s v="CTR_059"/>
    <x v="7"/>
    <s v="Ndokok"/>
    <x v="0"/>
    <s v="Indoor"/>
    <s v="Pouma 1"/>
    <s v="SANAGA-MARITIME"/>
    <s v="POUMA"/>
    <x v="7"/>
    <n v="3.8074170000000001"/>
    <n v="10.268306000000001"/>
    <x v="0"/>
  </r>
  <r>
    <n v="1092"/>
    <s v="LIT_135"/>
    <s v="IHS_EDA_040"/>
    <s v="LIT_135"/>
    <x v="7"/>
    <s v="Ngonga"/>
    <x v="0"/>
    <s v="Indoor"/>
    <s v="Pouma 2"/>
    <s v="SANAGA-MARITIME"/>
    <s v="POUMA"/>
    <x v="7"/>
    <n v="4.0831929999999996"/>
    <n v="10.394762999999999"/>
    <x v="0"/>
  </r>
  <r>
    <n v="1093"/>
    <s v="T0235"/>
    <s v="IHS_EDA_035"/>
    <s v="T0235"/>
    <x v="7"/>
    <s v="Pouma Hospital"/>
    <x v="0"/>
    <s v="Indoor"/>
    <s v="Pouma 2"/>
    <s v="SANAGA-MARITIME"/>
    <s v="POUMA"/>
    <x v="7"/>
    <n v="3.8649640000000001"/>
    <n v="10.556219"/>
    <x v="0"/>
  </r>
  <r>
    <n v="1094"/>
    <s v="T1573"/>
    <s v="IHS_YND_378"/>
    <s v="T1573"/>
    <x v="3"/>
    <s v="Eseka Town"/>
    <x v="0"/>
    <s v="Outdoor"/>
    <s v="BARRIERE 2"/>
    <s v="NYONG-ET-KELLE "/>
    <s v="ESEKA"/>
    <x v="7"/>
    <n v="3.6532520000000002"/>
    <n v="10.78265"/>
    <x v="0"/>
  </r>
  <r>
    <n v="1095"/>
    <s v="T2149"/>
    <s v="IHS_EDA_056"/>
    <s v="T2149"/>
    <x v="3"/>
    <s v="Ndogbessol"/>
    <x v="0"/>
    <s v="Outdoor"/>
    <s v="BARRIERE 2"/>
    <s v="NYONG-ET-KELLE "/>
    <s v="EDEA"/>
    <x v="7"/>
    <n v="3.6668050000000001"/>
    <n v="10.561719999999999"/>
    <x v="0"/>
  </r>
  <r>
    <n v="1096"/>
    <s v="LIT_006"/>
    <s v="IHS_EDA_031"/>
    <s v="LIT_006"/>
    <x v="7"/>
    <s v="Ferme-Suisse"/>
    <x v="0"/>
    <s v="Indoor"/>
    <s v="Pouma 1"/>
    <s v="SANAGA-MARITIME"/>
    <s v="Edea 1"/>
    <x v="7"/>
    <n v="3.5781909999999999"/>
    <n v="10.101203"/>
    <x v="0"/>
  </r>
  <r>
    <n v="1097"/>
    <s v="T1285"/>
    <s v="IHS_EDA_002"/>
    <s v="T1285"/>
    <x v="7"/>
    <s v="Logbele Edea"/>
    <x v="0"/>
    <s v="Outdoor"/>
    <s v="Edea"/>
    <s v="SANAGA-MARITIME"/>
    <s v="Edea 1"/>
    <x v="7"/>
    <n v="3.7931560000000002"/>
    <n v="10.139751"/>
    <x v="0"/>
  </r>
  <r>
    <n v="1098"/>
    <s v="T0176"/>
    <s v="IHS_KRI_022"/>
    <s v="T0176"/>
    <x v="7"/>
    <s v="Mbongueng"/>
    <x v="0"/>
    <s v="Indoor"/>
    <s v="Pouma 1"/>
    <s v="OCEAN"/>
    <s v="Fifinda"/>
    <x v="7"/>
    <n v="3.5059900000000002"/>
    <n v="10.1189"/>
    <x v="0"/>
  </r>
  <r>
    <n v="1099"/>
    <s v="T0428"/>
    <s v="IHS_EDA_001"/>
    <s v="T0428"/>
    <x v="7"/>
    <s v="Edea Town"/>
    <x v="0"/>
    <s v="Outdoor"/>
    <s v="Edea"/>
    <s v="SANAGA-MARITIME"/>
    <s v="Edea 1"/>
    <x v="7"/>
    <n v="3.7951839999999999"/>
    <n v="10.127643000000001"/>
    <x v="1"/>
  </r>
  <r>
    <n v="1100"/>
    <s v="LIT_078"/>
    <s v="IHS_EDA_005"/>
    <s v="LIT_078"/>
    <x v="7"/>
    <s v="Edea-Ville"/>
    <x v="0"/>
    <s v="Indoor"/>
    <s v="Edea"/>
    <s v="SANAGA-MARITIME"/>
    <s v="Edea 1"/>
    <x v="7"/>
    <n v="3.7844470000000001"/>
    <n v="10.117222"/>
    <x v="0"/>
  </r>
  <r>
    <n v="1101"/>
    <s v="LIT_113"/>
    <s v="IHS_EDA_022"/>
    <s v="LIT_113"/>
    <x v="7"/>
    <s v="Dizangue"/>
    <x v="0"/>
    <s v="Indoor"/>
    <s v="Edea"/>
    <s v="SANAGA-MARITIME"/>
    <s v="DIZANGUE"/>
    <x v="7"/>
    <n v="3.749228"/>
    <n v="10.018192000000001"/>
    <x v="0"/>
  </r>
  <r>
    <n v="1102"/>
    <s v="LIT_069"/>
    <s v="IHS_EDA_036"/>
    <s v="LIT_069"/>
    <x v="7"/>
    <s v="Pouma"/>
    <x v="0"/>
    <s v="Indoor"/>
    <s v="Pouma 2"/>
    <s v="SANAGA-MARITIME"/>
    <s v="POUMA"/>
    <x v="7"/>
    <n v="3.8707690000000001"/>
    <n v="10.558999999999999"/>
    <x v="0"/>
  </r>
  <r>
    <n v="1103"/>
    <s v="T1847"/>
    <s v="IHS_EDA_010"/>
    <s v="T1847"/>
    <x v="7"/>
    <s v="New Malimba"/>
    <x v="0"/>
    <s v="Outdoor"/>
    <s v="Pouma 1"/>
    <s v="SANAGA-MARITIME"/>
    <s v="Edea 2"/>
    <x v="7"/>
    <n v="3.8302399999999999"/>
    <n v="10.108243999999999"/>
    <x v="0"/>
  </r>
  <r>
    <n v="1104"/>
    <s v="T1772"/>
    <s v="IHS_EDA_007"/>
    <s v="T1772"/>
    <x v="7"/>
    <s v="Edea Beon"/>
    <x v="0"/>
    <s v="Outdoor"/>
    <s v="Edea"/>
    <s v="SANAGA-MARITIME"/>
    <s v="Edea 1"/>
    <x v="7"/>
    <n v="3.7687110000000001"/>
    <n v="10.126277999999999"/>
    <x v="0"/>
  </r>
  <r>
    <n v="1105"/>
    <s v="LIT_308"/>
    <s v="IHS_EDA_037"/>
    <s v="LIT_308"/>
    <x v="7"/>
    <s v="Ndokoma"/>
    <x v="0"/>
    <s v="Outdoor"/>
    <s v="Pouma 2"/>
    <s v="SANAGA-MARITIME"/>
    <s v="POUMA"/>
    <x v="7"/>
    <n v="3.8722639999999999"/>
    <n v="10.638496999999999"/>
    <x v="0"/>
  </r>
  <r>
    <n v="1106"/>
    <s v="T0262"/>
    <s v="IHS_EDA_009"/>
    <s v="T0262"/>
    <x v="7"/>
    <s v="Ntoumba SDH"/>
    <x v="0"/>
    <s v="Indoor"/>
    <s v="Pouma 1"/>
    <s v="SANAGA-MARITIME"/>
    <s v="Edea 1"/>
    <x v="7"/>
    <n v="3.783061"/>
    <n v="10.149889999999999"/>
    <x v="0"/>
  </r>
  <r>
    <n v="1107"/>
    <s v="T0136"/>
    <s v="IHS_EDA_021"/>
    <s v="T0136"/>
    <x v="7"/>
    <s v="Dizangue"/>
    <x v="0"/>
    <s v="Indoor"/>
    <s v="Edea"/>
    <s v="SANAGA-MARITIME"/>
    <s v="DIZANGUE"/>
    <x v="7"/>
    <n v="3.7462420000000001"/>
    <n v="10.020697999999999"/>
    <x v="0"/>
  </r>
  <r>
    <n v="1108"/>
    <s v="SUO_029"/>
    <s v="IHS_EDA_042"/>
    <s v="SUO_029"/>
    <x v="7"/>
    <s v="Ngambe"/>
    <x v="0"/>
    <s v="Indoor"/>
    <s v="Pouma 2"/>
    <s v="SANAGA-MARITIME"/>
    <s v="POUMA"/>
    <x v="7"/>
    <n v="4.2466670000000004"/>
    <n v="10.614333"/>
    <x v="0"/>
  </r>
  <r>
    <n v="1109"/>
    <s v="LIT_138"/>
    <s v="IHS_EDA_044"/>
    <s v="LIT_138"/>
    <x v="7"/>
    <s v="Sackbayeme"/>
    <x v="0"/>
    <s v="Indoor"/>
    <s v="Pouma 2"/>
    <s v="SANAGA-MARITIME"/>
    <s v="POUMA"/>
    <x v="7"/>
    <n v="4.0325369999999996"/>
    <n v="10.566267"/>
    <x v="0"/>
  </r>
  <r>
    <n v="1110"/>
    <s v="LIT_319"/>
    <s v="IHS_EDA_043"/>
    <s v="LIT_319"/>
    <x v="7"/>
    <s v="Botko"/>
    <x v="0"/>
    <s v="Outdoor"/>
    <s v="Pouma 2"/>
    <s v="SANAGA-MARITIME"/>
    <s v="POUMA"/>
    <x v="7"/>
    <n v="4.1101669999999997"/>
    <n v="10.546028"/>
    <x v="0"/>
  </r>
  <r>
    <n v="1111"/>
    <s v="LIT_230"/>
    <s v="IHS_EDA_017"/>
    <s v="LIT_230"/>
    <x v="7"/>
    <s v="Edea-Ndokok"/>
    <x v="0"/>
    <s v="Outdoor"/>
    <s v="Pouma 1"/>
    <s v="SANAGA-MARITIME"/>
    <s v="Edea 1"/>
    <x v="7"/>
    <n v="3.7939590000000001"/>
    <n v="10.215351"/>
    <x v="0"/>
  </r>
  <r>
    <n v="1112"/>
    <s v="LIT_313"/>
    <s v="IHS_EDA_004"/>
    <s v="LIT_313"/>
    <x v="7"/>
    <s v="Edea-Bisseke"/>
    <x v="0"/>
    <s v="Outdoor"/>
    <s v="Edea"/>
    <s v="SANAGA-MARITIME"/>
    <s v="Edea 1"/>
    <x v="7"/>
    <n v="3.801892"/>
    <n v="10.119653"/>
    <x v="0"/>
  </r>
  <r>
    <n v="1113"/>
    <s v="LIT_191"/>
    <s v="IHS_EDA_039"/>
    <s v="LIT_191"/>
    <x v="7"/>
    <s v="Mouanko"/>
    <x v="0"/>
    <s v="Indoor"/>
    <s v="Edea"/>
    <s v="SANAGA-MARITIME"/>
    <s v="Mouanko"/>
    <x v="7"/>
    <n v="3.6417169999999999"/>
    <n v="9.7915969999999994"/>
    <x v="0"/>
  </r>
  <r>
    <n v="1114"/>
    <s v="T0727"/>
    <s v="IHS_YND_538"/>
    <s v="T0727"/>
    <x v="7"/>
    <s v="Dibang"/>
    <x v="0"/>
    <s v="Outdoor"/>
    <s v="Pouma 2"/>
    <s v="NYONG-ET-KELLE "/>
    <s v="Dibang"/>
    <x v="7"/>
    <n v="3.9958360000000002"/>
    <n v="10.718959"/>
    <x v="0"/>
  </r>
  <r>
    <n v="1115"/>
    <s v="T0087"/>
    <s v="IHS_EDA_011"/>
    <s v="T0087"/>
    <x v="7"/>
    <s v="Edea peage"/>
    <x v="0"/>
    <s v="Indoor"/>
    <s v="Edea"/>
    <s v="SANAGA-MARITIME"/>
    <s v="Edea 2"/>
    <x v="7"/>
    <n v="3.8239540000000001"/>
    <n v="10.094893000000001"/>
    <x v="0"/>
  </r>
  <r>
    <n v="1116"/>
    <s v="LIT_322"/>
    <s v="IHS_EDA_012"/>
    <s v="LIT_322"/>
    <x v="7"/>
    <s v="Edea-Ekite"/>
    <x v="0"/>
    <s v="Outdoor"/>
    <s v="Edea"/>
    <s v="SANAGA-MARITIME"/>
    <s v="Edea 2"/>
    <x v="7"/>
    <n v="3.8042500000000001"/>
    <n v="10.085861"/>
    <x v="0"/>
  </r>
  <r>
    <n v="1117"/>
    <s v="T0129"/>
    <s v="IHS_YND_379"/>
    <s v="T0129"/>
    <x v="3"/>
    <s v="Eseka"/>
    <x v="0"/>
    <s v="Indoor"/>
    <s v="BARRIERE 2"/>
    <s v="NYONG-ET-KELLE "/>
    <s v="ESEKA"/>
    <x v="7"/>
    <n v="3.63991"/>
    <n v="10.768879999999999"/>
    <x v="0"/>
  </r>
  <r>
    <n v="1118"/>
    <s v="T0410"/>
    <s v="IHS_EDA_041"/>
    <s v="T0410"/>
    <x v="7"/>
    <s v="Song Loulou"/>
    <x v="0"/>
    <s v="Outdoor"/>
    <s v="Pouma 2"/>
    <s v="SANAGA-MARITIME"/>
    <s v="POUMA"/>
    <x v="7"/>
    <n v="4.1044099999999997"/>
    <n v="10.46823"/>
    <x v="0"/>
  </r>
  <r>
    <n v="1119"/>
    <s v="T0137"/>
    <s v="IHS_EDA_038"/>
    <s v="T0137"/>
    <x v="7"/>
    <s v="Mouanko Post Office"/>
    <x v="0"/>
    <s v="Indoor"/>
    <s v="Edea"/>
    <s v="SANAGA-MARITIME"/>
    <s v="Mouanko"/>
    <x v="7"/>
    <n v="3.640587"/>
    <n v="9.7927649999999993"/>
    <x v="0"/>
  </r>
  <r>
    <n v="1120"/>
    <s v="T0491"/>
    <s v="IHS_EDA_045"/>
    <s v="T0491"/>
    <x v="7"/>
    <s v="Sack Bayeme"/>
    <x v="0"/>
    <s v="Outdoor"/>
    <s v="Pouma 2"/>
    <s v="SANAGA-MARITIME"/>
    <s v="POUMA"/>
    <x v="7"/>
    <n v="3.9975499999999999"/>
    <n v="10.589460000000001"/>
    <x v="0"/>
  </r>
  <r>
    <n v="1121"/>
    <s v="T0298"/>
    <s v="IHS_YND_417"/>
    <s v="T0298"/>
    <x v="7"/>
    <s v="Sombo"/>
    <x v="0"/>
    <s v="Indoor"/>
    <s v="Pouma 2"/>
    <s v="NYONG-ET-KELLE "/>
    <s v="Dibang"/>
    <x v="7"/>
    <n v="3.8874879999999998"/>
    <n v="10.703383000000001"/>
    <x v="0"/>
  </r>
  <r>
    <n v="1122"/>
    <s v="T1139"/>
    <s v="IHS_EDA_034"/>
    <s v="T1139"/>
    <x v="7"/>
    <s v="MBambu"/>
    <x v="0"/>
    <s v="Outdoor"/>
    <s v="Edea"/>
    <s v="SANAGA-MARITIME"/>
    <s v="Mouanko"/>
    <x v="7"/>
    <n v="3.7500330000000002"/>
    <n v="9.8677580000000003"/>
    <x v="0"/>
  </r>
  <r>
    <n v="1123"/>
    <s v="T0920"/>
    <s v="IHS_YND_416"/>
    <s v="T0920"/>
    <x v="3"/>
    <s v="Ngwopi Boga"/>
    <x v="0"/>
    <s v="Outdoor"/>
    <s v="BARRIERE 2"/>
    <s v="NYONG-ET-KELLE "/>
    <s v="ESEKA"/>
    <x v="7"/>
    <n v="3.8844599999999998"/>
    <n v="10.799630000000001"/>
    <x v="0"/>
  </r>
  <r>
    <n v="1124"/>
    <s v="LIT_314"/>
    <s v="IHS_EDA_015"/>
    <s v="LIT_314"/>
    <x v="7"/>
    <s v="Edea-Nkakanzock"/>
    <x v="0"/>
    <s v="Outdoor"/>
    <s v="Pouma 1"/>
    <s v="SANAGA-MARITIME"/>
    <s v="Edea 1"/>
    <x v="7"/>
    <n v="3.7651889999999999"/>
    <n v="10.169776000000001"/>
    <x v="0"/>
  </r>
  <r>
    <n v="1125"/>
    <s v="CTR_311"/>
    <s v="IHS_YND_453"/>
    <s v="CTR_311"/>
    <x v="3"/>
    <s v="Song-bong"/>
    <x v="0"/>
    <s v="Outdoor"/>
    <s v="BARRIERE 2"/>
    <s v="NYONG-ET-KELLE "/>
    <s v="ESEKA"/>
    <x v="7"/>
    <n v="3.4575830000000001"/>
    <n v="10.524722000000001"/>
    <x v="0"/>
  </r>
  <r>
    <n v="1126"/>
    <s v="LIT_012"/>
    <s v="IHS_DLA_298"/>
    <s v="LIT_012"/>
    <x v="7"/>
    <s v="Sikoum"/>
    <x v="0"/>
    <s v="Indoor"/>
    <s v="Edea"/>
    <s v="SANAGA-MARITIME"/>
    <s v="Dibamba"/>
    <x v="7"/>
    <n v="3.9483329999999999"/>
    <n v="10.007605999999999"/>
    <x v="0"/>
  </r>
  <r>
    <n v="1127"/>
    <s v="LIT_231"/>
    <s v="IHS_EDA_030"/>
    <s v="LIT_231"/>
    <x v="7"/>
    <s v="Nkak"/>
    <x v="0"/>
    <s v="Outdoor"/>
    <s v="Pouma 1"/>
    <s v="SANAGA-MARITIME"/>
    <s v="POUMA"/>
    <x v="7"/>
    <n v="3.8302520000000002"/>
    <n v="10.397161000000001"/>
    <x v="0"/>
  </r>
  <r>
    <n v="1128"/>
    <s v="T0092"/>
    <s v="IHS_EDA_033"/>
    <s v="T0092"/>
    <x v="7"/>
    <s v="Ngwei II"/>
    <x v="0"/>
    <s v="Indoor"/>
    <s v="Pouma 2"/>
    <s v="SANAGA-MARITIME"/>
    <s v="POUMA"/>
    <x v="7"/>
    <n v="3.8355000000000001"/>
    <n v="10.4977"/>
    <x v="0"/>
  </r>
  <r>
    <n v="1129"/>
    <s v="LIT_108"/>
    <s v="IHS_EDA_032"/>
    <s v="LIT_108"/>
    <x v="7"/>
    <s v="Ngwei"/>
    <x v="0"/>
    <s v="Indoor"/>
    <s v="Pouma 2"/>
    <s v="SANAGA-MARITIME"/>
    <s v="POUMA"/>
    <x v="7"/>
    <n v="3.8444219999999998"/>
    <n v="10.457443"/>
    <x v="0"/>
  </r>
  <r>
    <n v="1130"/>
    <s v="T0168"/>
    <s v="IHS_DLA_297"/>
    <s v="T0168"/>
    <x v="7"/>
    <s v="Missole II PK 35"/>
    <x v="0"/>
    <s v="Outdoor"/>
    <s v="Edea"/>
    <s v="SANAGA-MARITIME"/>
    <s v="Edea 1"/>
    <x v="7"/>
    <n v="3.9605000000000001"/>
    <n v="9.9641389999999994"/>
    <x v="0"/>
  </r>
  <r>
    <n v="1131"/>
    <s v="SUD_024"/>
    <s v="IHS_KRI_026"/>
    <s v="SUD_024"/>
    <x v="5"/>
    <s v="Lolodorf"/>
    <x v="0"/>
    <s v="Outdoor"/>
    <s v="Ebolowa"/>
    <s v="OCEAN"/>
    <s v="Lolodorf"/>
    <x v="7"/>
    <n v="3.2478889999999998"/>
    <n v="10.720444000000001"/>
    <x v="0"/>
  </r>
  <r>
    <n v="1132"/>
    <s v="LIT_229"/>
    <s v="IHS_EDA_014"/>
    <s v="LIT_229"/>
    <x v="7"/>
    <s v="Edea-Entree"/>
    <x v="0"/>
    <s v="Outdoor"/>
    <s v="Edea"/>
    <s v="SANAGA-MARITIME"/>
    <s v="Edea 1"/>
    <x v="7"/>
    <n v="3.8410890000000002"/>
    <n v="10.089219"/>
    <x v="0"/>
  </r>
  <r>
    <n v="1133"/>
    <s v="LIT_510"/>
    <s v="IHS_EDA_066"/>
    <s v="LIT_510"/>
    <x v="7"/>
    <s v="Kanga"/>
    <x v="0"/>
    <s v="Outdoor"/>
    <s v="Pouma 2"/>
    <s v="SANAGA-MARITIME"/>
    <s v="POUMA"/>
    <x v="7"/>
    <n v="4.1410400000000003"/>
    <n v="10.48052"/>
    <x v="0"/>
  </r>
  <r>
    <n v="1134"/>
    <s v="T2550"/>
    <s v="IHS_EDA_061"/>
    <s v="T2550"/>
    <x v="7"/>
    <s v="EDEA BISSEKE MARKET"/>
    <x v="0"/>
    <s v="Outdoor"/>
    <s v="Edea"/>
    <s v="SANAGA MARITIME"/>
    <s v="Edea 1"/>
    <x v="7"/>
    <n v="3.7916799999999999"/>
    <n v="10.117620000000001"/>
    <x v="0"/>
  </r>
  <r>
    <n v="1135"/>
    <s v="NRD_125"/>
    <s v="IHS_GAR_325"/>
    <s v="NRD_125"/>
    <x v="8"/>
    <s v="So-Djay"/>
    <x v="0"/>
    <s v="Outdoor"/>
    <s v="Garoua 2"/>
    <s v="MAYO- LOUTI"/>
    <s v="Guider"/>
    <x v="8"/>
    <n v="9.7704140000000006"/>
    <n v="13.738884000000001"/>
    <x v="0"/>
  </r>
  <r>
    <n v="1136"/>
    <s v="NRD_119"/>
    <s v="IHS_GAR_330"/>
    <s v="NRD_119"/>
    <x v="8"/>
    <s v="Poli ville"/>
    <x v="0"/>
    <s v="Outdoor"/>
    <s v="Garoua 1"/>
    <s v="VINA"/>
    <s v="Poli"/>
    <x v="8"/>
    <n v="8.4725570000000001"/>
    <n v="13.242718999999999"/>
    <x v="0"/>
  </r>
  <r>
    <n v="1137"/>
    <s v="NRD_124"/>
    <s v="IHS_GAR_333"/>
    <s v="NRD_124"/>
    <x v="8"/>
    <s v="Ouro Be "/>
    <x v="0"/>
    <s v="Outdoor"/>
    <s v="Garoua 1"/>
    <s v="BENOUE"/>
    <s v="Pitoa"/>
    <x v="8"/>
    <n v="9.3108419999999992"/>
    <n v="13.669119999999999"/>
    <x v="0"/>
  </r>
  <r>
    <n v="1138"/>
    <s v="NRD_111"/>
    <s v="IHS_GAR_319"/>
    <s v="NRD_111"/>
    <x v="8"/>
    <s v="Hamalade"/>
    <x v="0"/>
    <s v="Outdoor"/>
    <s v="Garoua 1"/>
    <s v="MAYO REY"/>
    <s v="madingring"/>
    <x v="8"/>
    <n v="9.4622899999999994"/>
    <n v="14.149609999999999"/>
    <x v="0"/>
  </r>
  <r>
    <n v="1139"/>
    <s v="T1820"/>
    <s v="IHS_GAR_076"/>
    <s v="T1820"/>
    <x v="8"/>
    <s v="Gor"/>
    <x v="0"/>
    <s v="Outdoor"/>
    <s v="Garoua 1"/>
    <s v="MAYO REY"/>
    <s v="madingring"/>
    <x v="8"/>
    <n v="8.6510010000000008"/>
    <n v="14.98808"/>
    <x v="0"/>
  </r>
  <r>
    <n v="1140"/>
    <s v="T0157"/>
    <s v="IHS_GAR_048"/>
    <s v="T0157"/>
    <x v="8"/>
    <s v="Figuil"/>
    <x v="0"/>
    <s v="Indoor"/>
    <s v="Garoua 2"/>
    <s v="MAYO- LOUTI"/>
    <s v="Figuil"/>
    <x v="8"/>
    <n v="9.7076019999999996"/>
    <n v="13.92479"/>
    <x v="0"/>
  </r>
  <r>
    <n v="1141"/>
    <s v="NRD_057"/>
    <s v="IHS_GAR_068"/>
    <s v="NRD_057"/>
    <x v="8"/>
    <s v="Dourbeye"/>
    <x v="0"/>
    <s v="Outdoor"/>
    <s v="Garoua 2"/>
    <s v="MAYO- LOUTI"/>
    <s v="Guider"/>
    <x v="8"/>
    <n v="9.9863949999999999"/>
    <n v="13.516673000000001"/>
    <x v="0"/>
  </r>
  <r>
    <n v="1142"/>
    <s v="T1402"/>
    <s v="IHS_GAR_069"/>
    <s v="T1402"/>
    <x v="8"/>
    <s v="Doumo"/>
    <x v="0"/>
    <s v="Outdoor"/>
    <s v="Garoua 2"/>
    <s v="MAYO- LOUTI"/>
    <s v="Guider"/>
    <x v="8"/>
    <n v="10.062537000000001"/>
    <n v="13.311543"/>
    <x v="0"/>
  </r>
  <r>
    <n v="1143"/>
    <s v="NRD_030"/>
    <s v="IHS_GAR_046"/>
    <s v="NRD_030"/>
    <x v="8"/>
    <s v="Djarako"/>
    <x v="0"/>
    <s v="Indoor"/>
    <s v="Garoua 1"/>
    <s v="BENOUE"/>
    <s v="lagdo"/>
    <x v="8"/>
    <n v="8.7860829999999996"/>
    <n v="13.516278"/>
    <x v="0"/>
  </r>
  <r>
    <n v="1144"/>
    <s v="T0296"/>
    <s v="IHS_GAR_034"/>
    <s v="T0296"/>
    <x v="8"/>
    <s v="Djalingo"/>
    <x v="0"/>
    <s v="Indoor"/>
    <s v="Garoua 2"/>
    <s v="BENOUE"/>
    <s v="Pitoa"/>
    <x v="8"/>
    <n v="9.4424499999999991"/>
    <n v="13.61087"/>
    <x v="0"/>
  </r>
  <r>
    <n v="1145"/>
    <s v="NRD_129"/>
    <s v="IHS_GAR_337"/>
    <s v="NRD_129"/>
    <x v="8"/>
    <s v="Boussa"/>
    <x v="0"/>
    <s v="Outdoor"/>
    <s v="Garoua 1"/>
    <s v="BENOUE"/>
    <s v="bibemi"/>
    <x v="8"/>
    <n v="9.4142600000000005"/>
    <n v="14.112159999999999"/>
    <x v="0"/>
  </r>
  <r>
    <n v="1146"/>
    <s v="NRD_105"/>
    <s v="IHS_GAR_313"/>
    <s v="NRD_105"/>
    <x v="8"/>
    <s v="Boula Ibi "/>
    <x v="0"/>
    <s v="Outdoor"/>
    <s v="Garoua 2"/>
    <s v="MAYO- LOUTI"/>
    <s v="Guider"/>
    <x v="8"/>
    <n v="9.5552799999999998"/>
    <n v="13.761900000000001"/>
    <x v="0"/>
  </r>
  <r>
    <n v="1147"/>
    <s v="T0389"/>
    <s v="IHS_GAR_047"/>
    <s v="T0389"/>
    <x v="8"/>
    <s v="Bascheo"/>
    <x v="0"/>
    <s v="Indoor"/>
    <s v="Garoua 2"/>
    <s v="BENOUE"/>
    <s v="Bascheo"/>
    <x v="8"/>
    <n v="9.6715400000000002"/>
    <n v="13.374079999999999"/>
    <x v="0"/>
  </r>
  <r>
    <n v="1148"/>
    <s v="T1398"/>
    <s v="IHS_GAR_114"/>
    <s v="T1398"/>
    <x v="8"/>
    <s v="BARNDAKE"/>
    <x v="0"/>
    <s v="Outdoor"/>
    <s v="Garoua 2"/>
    <s v="BENOUE"/>
    <s v="Barndake"/>
    <x v="8"/>
    <n v="9.3455829999999995"/>
    <n v="12.973027999999999"/>
    <x v="0"/>
  </r>
  <r>
    <n v="1149"/>
    <s v="NRD_126"/>
    <s v="IHS_GAR_331"/>
    <s v="NRD_126"/>
    <x v="8"/>
    <s v="Adoumri  Houla"/>
    <x v="0"/>
    <s v="Outdoor"/>
    <s v="Garoua 1"/>
    <s v="BENOUE"/>
    <s v="adoumre"/>
    <x v="8"/>
    <n v="9.2890499999999996"/>
    <n v="13.709720000000001"/>
    <x v="0"/>
  </r>
  <r>
    <n v="1150"/>
    <s v="NRD_112"/>
    <s v="IHS_GAR_326"/>
    <s v="NRD_112"/>
    <x v="8"/>
    <s v="Tongo "/>
    <x v="0"/>
    <s v="Outdoor"/>
    <s v="Garoua 1"/>
    <s v="BENOUE"/>
    <s v="lagdo"/>
    <x v="8"/>
    <n v="8.9180609999999998"/>
    <n v="13.514075"/>
    <x v="0"/>
  </r>
  <r>
    <n v="1151"/>
    <s v="NRD_106"/>
    <s v="IHS_GAR_310"/>
    <s v="NRD_106"/>
    <x v="8"/>
    <s v="Mayo Nonde"/>
    <x v="0"/>
    <s v="Outdoor"/>
    <s v="Garoua 1"/>
    <s v="BENOUE"/>
    <s v="bibemi"/>
    <x v="8"/>
    <n v="9.0045280000000005"/>
    <n v="14.250972000000001"/>
    <x v="0"/>
  </r>
  <r>
    <n v="1152"/>
    <s v="NRD_109"/>
    <s v="IHS_GAR_320"/>
    <s v="NRD_109"/>
    <x v="8"/>
    <s v="Kapanaye"/>
    <x v="0"/>
    <s v="Outdoor"/>
    <s v="Garoua 1"/>
    <s v="BENOUE"/>
    <s v="bibemi"/>
    <x v="8"/>
    <n v="9.3400099999999995"/>
    <n v="14.21495"/>
    <x v="0"/>
  </r>
  <r>
    <n v="1153"/>
    <s v="NRD_115"/>
    <s v="IHS_GAR_338"/>
    <s v="NRD_115"/>
    <x v="8"/>
    <s v="Gara Guider "/>
    <x v="0"/>
    <s v="Outdoor"/>
    <s v="Garoua 2"/>
    <s v="MAYO- LOUTI"/>
    <s v="Guider"/>
    <x v="8"/>
    <n v="9.8282880000000006"/>
    <n v="13.829748"/>
    <x v="0"/>
  </r>
  <r>
    <n v="1154"/>
    <s v="NRD_128"/>
    <s v="IHS_GAR_335"/>
    <s v="NRD_128"/>
    <x v="8"/>
    <s v="Djaba"/>
    <x v="0"/>
    <s v="Outdoor"/>
    <s v="Garoua 1"/>
    <s v="BENOUE"/>
    <s v="lagdo"/>
    <x v="8"/>
    <n v="8.3912999999999993"/>
    <n v="13.712896000000001"/>
    <x v="0"/>
  </r>
  <r>
    <n v="1155"/>
    <s v="NRD_107"/>
    <s v="IHS_GAR_312"/>
    <s v="NRD_107"/>
    <x v="8"/>
    <s v="Badankali"/>
    <x v="0"/>
    <s v="Outdoor"/>
    <s v="Garoua 1"/>
    <s v="BENOUE"/>
    <s v="lagdo"/>
    <x v="8"/>
    <n v="8.6520390000000003"/>
    <n v="13.528034999999999"/>
    <x v="0"/>
  </r>
  <r>
    <n v="1156"/>
    <s v="NRD_095"/>
    <s v="IHS_GAR_124"/>
    <s v="NRD_095"/>
    <x v="8"/>
    <s v="Garoua Djalingo"/>
    <x v="0"/>
    <s v="Outdoor"/>
    <s v="Garoua 1"/>
    <s v="BENOUE"/>
    <s v="lagdo"/>
    <x v="8"/>
    <n v="9.2292670000000001"/>
    <n v="13.444817"/>
    <x v="0"/>
  </r>
  <r>
    <n v="1157"/>
    <s v="T2876"/>
    <s v="IHS_GAR_116"/>
    <s v="T2876"/>
    <x v="8"/>
    <s v="SORAWEL"/>
    <x v="0"/>
    <s v="Outdoor"/>
    <s v="Garoua 2"/>
    <s v="MAYO- LOUTI"/>
    <s v="Guider"/>
    <x v="8"/>
    <n v="9.7834730000000008"/>
    <n v="13.854317"/>
    <x v="0"/>
  </r>
  <r>
    <n v="1158"/>
    <s v="T1397"/>
    <s v="IHS_MAR_086"/>
    <s v="T1397"/>
    <x v="8"/>
    <s v="Boukoula"/>
    <x v="0"/>
    <s v="Outdoor"/>
    <s v="Garoua 2"/>
    <s v="MAYO- LOUTI"/>
    <s v="BOURRHA"/>
    <x v="8"/>
    <n v="10.148694000000001"/>
    <n v="13.459277999999999"/>
    <x v="0"/>
  </r>
  <r>
    <n v="1159"/>
    <s v="NRD_012"/>
    <s v="IHS_GAR_042"/>
    <s v="NRD_012"/>
    <x v="8"/>
    <s v="Lagdo"/>
    <x v="0"/>
    <s v="Indoor"/>
    <s v="Garoua 1"/>
    <s v="BENOUE"/>
    <s v="lagdo"/>
    <x v="8"/>
    <n v="9.0586470000000006"/>
    <n v="13.661389"/>
    <x v="0"/>
  </r>
  <r>
    <n v="1160"/>
    <s v="NRD_010"/>
    <s v="IHS_GAR_067"/>
    <s v="NRD_010"/>
    <x v="8"/>
    <s v="Mayo-Oulo"/>
    <x v="0"/>
    <s v="Indoor"/>
    <s v="Garoua 2"/>
    <s v="MAYO- LOUTI"/>
    <s v="Guider"/>
    <x v="8"/>
    <n v="9.9730779999999992"/>
    <n v="13.609007"/>
    <x v="0"/>
  </r>
  <r>
    <n v="1161"/>
    <s v="T0477"/>
    <s v="IHS_GAR_032"/>
    <s v="T0477"/>
    <x v="8"/>
    <s v="Gashiga"/>
    <x v="0"/>
    <s v="Outdoor"/>
    <s v="Garoua 2"/>
    <s v="BENOUE"/>
    <s v="Gashiga"/>
    <x v="8"/>
    <n v="9.4146900000000002"/>
    <n v="13.360329999999999"/>
    <x v="0"/>
  </r>
  <r>
    <n v="1162"/>
    <s v="T1393"/>
    <s v="IHS_GAR_122"/>
    <s v="T1393"/>
    <x v="8"/>
    <s v="Poli"/>
    <x v="0"/>
    <s v="Outdoor"/>
    <s v="Garoua 1"/>
    <s v="FARO"/>
    <s v="poli"/>
    <x v="8"/>
    <n v="8.5042969999999993"/>
    <n v="13.23978"/>
    <x v="0"/>
  </r>
  <r>
    <n v="1163"/>
    <s v="T2883"/>
    <s v="IHS_GAR_111"/>
    <s v="T2883"/>
    <x v="8"/>
    <s v="LAGDO SCHOOL"/>
    <x v="0"/>
    <s v="Outdoor"/>
    <s v="Garoua 1"/>
    <s v="BENOUE"/>
    <s v="lagdo"/>
    <x v="8"/>
    <n v="9.0536670000000008"/>
    <n v="13.662860999999999"/>
    <x v="0"/>
  </r>
  <r>
    <n v="1164"/>
    <s v="T1419"/>
    <s v="IHS_GAR_328"/>
    <s v="T1419"/>
    <x v="8"/>
    <s v="GAROUA ROUMDE ADJA"/>
    <x v="0"/>
    <s v="Outdoor"/>
    <s v="Garoua 2"/>
    <s v="BENOUE"/>
    <s v="Garoua II"/>
    <x v="8"/>
    <n v="9.3229100000000003"/>
    <n v="13.391579999999999"/>
    <x v="0"/>
  </r>
  <r>
    <n v="1165"/>
    <s v="NRD_094"/>
    <s v="IHS_GAR_308"/>
    <s v="NRD_094"/>
    <x v="8"/>
    <s v="Garoua Bockle"/>
    <x v="0"/>
    <s v="Outdoor"/>
    <s v="Garoua 1"/>
    <s v="BENOUE"/>
    <s v="lagdo"/>
    <x v="8"/>
    <n v="9.2792499999999993"/>
    <n v="13.461779999999999"/>
    <x v="0"/>
  </r>
  <r>
    <n v="1166"/>
    <s v="NRD_008"/>
    <s v="IHS_GAR_064"/>
    <s v="NRD_008"/>
    <x v="8"/>
    <s v="Tchollire"/>
    <x v="0"/>
    <s v="Indoor"/>
    <s v="Garoua 1"/>
    <s v="MAYO REY"/>
    <s v="tchollire"/>
    <x v="8"/>
    <n v="8.3998609999999996"/>
    <n v="14.189083"/>
    <x v="0"/>
  </r>
  <r>
    <n v="1167"/>
    <s v="T0382"/>
    <s v="IHS_GAR_063"/>
    <s v="T0382"/>
    <x v="8"/>
    <s v="Tchollire"/>
    <x v="0"/>
    <s v="Indoor"/>
    <s v="Garoua 1"/>
    <s v="MAYO REY"/>
    <s v="tchollire"/>
    <x v="8"/>
    <n v="8.4028600000000004"/>
    <n v="14.191879999999999"/>
    <x v="0"/>
  </r>
  <r>
    <n v="1168"/>
    <s v="T2120"/>
    <s v="IHS_GAR_117"/>
    <s v="T2120"/>
    <x v="8"/>
    <s v="Dourbeye"/>
    <x v="0"/>
    <s v="Outdoor"/>
    <s v="Garoua 2"/>
    <s v="MAYO- LOUTI"/>
    <s v="Guider"/>
    <x v="8"/>
    <n v="9.9926670000000009"/>
    <n v="13.523194"/>
    <x v="0"/>
  </r>
  <r>
    <n v="1169"/>
    <s v="T0203"/>
    <s v="IHS_GAR_037"/>
    <s v="T0203"/>
    <x v="8"/>
    <s v="Ngong"/>
    <x v="0"/>
    <s v="Indoor"/>
    <s v="Garoua 1"/>
    <s v="BENOUE"/>
    <s v="ngong"/>
    <x v="8"/>
    <n v="9.0570350000000008"/>
    <n v="13.508862000000001"/>
    <x v="0"/>
  </r>
  <r>
    <n v="1170"/>
    <s v="T0078"/>
    <s v="IHS_GAR_001"/>
    <s v="T0078"/>
    <x v="8"/>
    <s v="Garoua Service Centre"/>
    <x v="0"/>
    <s v="Indoor"/>
    <s v="Garoua 2"/>
    <s v="BENOUE"/>
    <s v="Garoua I"/>
    <x v="8"/>
    <n v="9.3062590000000007"/>
    <n v="13.395085999999999"/>
    <x v="0"/>
  </r>
  <r>
    <n v="1171"/>
    <s v="T0550"/>
    <s v="IHS_GAR_022"/>
    <s v="T0550"/>
    <x v="8"/>
    <s v="Marouare"/>
    <x v="0"/>
    <s v="Outdoor"/>
    <s v="Garoua 2"/>
    <s v="BENOUE"/>
    <s v="Garoua II"/>
    <x v="8"/>
    <n v="9.3444099999999999"/>
    <n v="13.41315"/>
    <x v="0"/>
  </r>
  <r>
    <n v="1172"/>
    <s v="NRD_054"/>
    <s v="IHS_GAR_029"/>
    <s v="NRD_054"/>
    <x v="8"/>
    <s v="Garoua-Ouro-Lawan"/>
    <x v="0"/>
    <s v="Outdoor"/>
    <s v="Garoua 2"/>
    <s v="BENOUE"/>
    <s v="COMMUNE Garoua 2"/>
    <x v="8"/>
    <n v="9.3560289999999995"/>
    <n v="13.420088"/>
    <x v="0"/>
  </r>
  <r>
    <n v="1173"/>
    <s v="T1343"/>
    <s v="IHS_GAR_021"/>
    <s v="T1343"/>
    <x v="8"/>
    <s v="OURO LABO"/>
    <x v="0"/>
    <s v="Outdoor"/>
    <s v="Garoua 2"/>
    <s v="BENOUE"/>
    <s v="Garoua I"/>
    <x v="8"/>
    <n v="9.3041599999999995"/>
    <n v="13.349320000000001"/>
    <x v="0"/>
  </r>
  <r>
    <n v="1174"/>
    <s v="NRD_037"/>
    <s v="IHS_GAR_030"/>
    <s v="NRD_037"/>
    <x v="8"/>
    <s v="Nassarao"/>
    <x v="0"/>
    <s v="Outdoor"/>
    <s v="Garoua 2"/>
    <s v="BENOUE"/>
    <s v="COMMUNE Garoua 2"/>
    <x v="8"/>
    <n v="9.3620280000000005"/>
    <n v="13.434443999999999"/>
    <x v="0"/>
  </r>
  <r>
    <n v="1175"/>
    <s v="T1344"/>
    <s v="IHS_GAR_016"/>
    <s v="T1344"/>
    <x v="8"/>
    <s v="PETIT PARIS OCM"/>
    <x v="0"/>
    <s v="Outdoor"/>
    <s v="Garoua 2"/>
    <s v="BENOUE"/>
    <s v="Garoua II"/>
    <x v="8"/>
    <n v="9.3294149999999991"/>
    <n v="13.403572"/>
    <x v="0"/>
  </r>
  <r>
    <n v="1176"/>
    <s v="T1345"/>
    <s v="IHS_GAR_006"/>
    <s v="T1345"/>
    <x v="8"/>
    <s v="YELWA"/>
    <x v="0"/>
    <s v="Outdoor"/>
    <s v="Garoua 2"/>
    <s v="BENOUE"/>
    <s v="Garoua I"/>
    <x v="8"/>
    <n v="9.2959099999999992"/>
    <n v="13.384449999999999"/>
    <x v="0"/>
  </r>
  <r>
    <n v="1177"/>
    <s v="T1342"/>
    <s v="IHS_GAR_025"/>
    <s v="T1342"/>
    <x v="8"/>
    <s v="NGALBIDJE"/>
    <x v="0"/>
    <s v="Outdoor"/>
    <s v="Garoua 2"/>
    <s v="BENOUE"/>
    <s v="Garoua II"/>
    <x v="8"/>
    <n v="9.3508200000000006"/>
    <n v="13.39307"/>
    <x v="0"/>
  </r>
  <r>
    <n v="1178"/>
    <s v="NRD_086"/>
    <s v="IHS_GAR_107"/>
    <s v="NRD_086"/>
    <x v="8"/>
    <s v="Garoua-Djamboutou-Village-II"/>
    <x v="0"/>
    <s v="Outdoor"/>
    <s v="Garoua 2"/>
    <s v="BENOUE"/>
    <s v="Garoua I"/>
    <x v="8"/>
    <n v="9.3056999999999999"/>
    <n v="13.347701000000001"/>
    <x v="0"/>
  </r>
  <r>
    <n v="1179"/>
    <s v="T1388"/>
    <s v="IHS_GAR_109"/>
    <s v="T1388"/>
    <x v="8"/>
    <s v="SANGUERE PAUL"/>
    <x v="0"/>
    <s v="Outdoor"/>
    <s v="Garoua 1"/>
    <s v="BENOUE"/>
    <s v="garoua III"/>
    <x v="8"/>
    <n v="9.2665670000000002"/>
    <n v="13.459228"/>
    <x v="0"/>
  </r>
  <r>
    <n v="1180"/>
    <s v="NRD_022"/>
    <s v="IHS_GAR_033"/>
    <s v="NRD_022"/>
    <x v="8"/>
    <s v="Gashiga"/>
    <x v="0"/>
    <s v="Outdoor"/>
    <s v="Garoua 2"/>
    <s v="BENOUE"/>
    <s v="Gashiga"/>
    <x v="8"/>
    <n v="9.4324580000000005"/>
    <n v="13.365505000000001"/>
    <x v="0"/>
  </r>
  <r>
    <n v="1181"/>
    <s v="NRD_073"/>
    <s v="IHS_GAR_105"/>
    <s v="NRD_073"/>
    <x v="8"/>
    <s v="Garoua-Camp-Chinois-IHS"/>
    <x v="0"/>
    <s v="Outdoor"/>
    <s v="Garoua 2"/>
    <s v="BENOUE"/>
    <s v="Garoua I"/>
    <x v="8"/>
    <n v="9.2873059999999992"/>
    <n v="13.379111"/>
    <x v="0"/>
  </r>
  <r>
    <n v="1182"/>
    <s v="T1380"/>
    <s v="IHS_GAR_039"/>
    <s v="T1380"/>
    <x v="8"/>
    <s v="NGONG TOWN"/>
    <x v="0"/>
    <s v="Outdoor"/>
    <s v="Garoua 1"/>
    <s v="BENOUE"/>
    <s v="ngong"/>
    <x v="8"/>
    <n v="9.0198610000000006"/>
    <n v="13.507444"/>
    <x v="0"/>
  </r>
  <r>
    <n v="1183"/>
    <s v="NRD_101"/>
    <s v="IHS_GAR_317"/>
    <s v="NRD_101"/>
    <x v="8"/>
    <s v="Gra Foulbere Moussa Yaya"/>
    <x v="0"/>
    <s v="Outdoor"/>
    <s v="Garoua 2"/>
    <s v="BENOUE"/>
    <s v="Garoua I"/>
    <x v="8"/>
    <n v="9.3103649999999991"/>
    <n v="13.405493"/>
    <x v="0"/>
  </r>
  <r>
    <n v="1184"/>
    <s v="T2647"/>
    <s v="IHS_GAR_327"/>
    <s v="T2647"/>
    <x v="8"/>
    <s v="Garoua Katasko   "/>
    <x v="0"/>
    <s v="Outdoor"/>
    <s v="Garoua 2"/>
    <s v="BENOUE"/>
    <s v="Garoua II"/>
    <x v="8"/>
    <n v="9.3627280000000006"/>
    <n v="13.407992"/>
    <x v="0"/>
  </r>
  <r>
    <n v="1185"/>
    <s v="NRD_067"/>
    <s v="IHS_GAR_007"/>
    <s v="NRD_067"/>
    <x v="8"/>
    <s v="Garoua-Foulbere-IV"/>
    <x v="0"/>
    <s v="Outdoor"/>
    <s v="Garoua 2"/>
    <s v="BENOUE"/>
    <s v="Garoua I"/>
    <x v="8"/>
    <n v="9.3131109999999993"/>
    <n v="13.403028000000001"/>
    <x v="0"/>
  </r>
  <r>
    <n v="1186"/>
    <s v="T1370"/>
    <s v="IHS_GAR_028"/>
    <s v="T1370"/>
    <x v="8"/>
    <s v="GRANDE MOSQUEE DJAMBOUTOU"/>
    <x v="0"/>
    <s v="Outdoor"/>
    <s v="Garoua 2"/>
    <s v="BENOUE"/>
    <s v="Garoua I"/>
    <x v="8"/>
    <n v="9.3164169999999995"/>
    <n v="13.352499999999999"/>
    <x v="0"/>
  </r>
  <r>
    <n v="1187"/>
    <s v="T0312"/>
    <s v="IHS_GAR_015"/>
    <s v="T0312"/>
    <x v="8"/>
    <s v="Garoua plateau"/>
    <x v="0"/>
    <s v="Indoor"/>
    <s v="Garoua 2"/>
    <s v="BENOUE"/>
    <s v="Garoua I"/>
    <x v="8"/>
    <n v="9.3272300000000001"/>
    <n v="13.384819999999999"/>
    <x v="0"/>
  </r>
  <r>
    <n v="1188"/>
    <s v="NRD_007"/>
    <s v="IHS_GAR_003"/>
    <s v="NRD_007"/>
    <x v="8"/>
    <s v="Yelwa"/>
    <x v="0"/>
    <s v="Indoor"/>
    <s v="Garoua 2"/>
    <s v="BENOUE"/>
    <s v="Garoua I"/>
    <x v="8"/>
    <n v="9.2974119999999996"/>
    <n v="13.389400999999999"/>
    <x v="1"/>
  </r>
  <r>
    <n v="1189"/>
    <s v="NRD_013"/>
    <s v="IHS_GAR_031"/>
    <s v="NRD_013"/>
    <x v="8"/>
    <s v="Pitoa"/>
    <x v="0"/>
    <s v="Indoor"/>
    <s v="Garoua 1"/>
    <s v="BENOUE"/>
    <s v="Pitoa"/>
    <x v="8"/>
    <n v="9.4025560000000006"/>
    <n v="13.515582999999999"/>
    <x v="0"/>
  </r>
  <r>
    <n v="1190"/>
    <s v="NRD_003"/>
    <s v="IHS_GAR_026"/>
    <s v="NRD_003"/>
    <x v="8"/>
    <s v="Djamboutou"/>
    <x v="0"/>
    <s v="Indoor"/>
    <s v="Garoua 2"/>
    <s v="BENOUE"/>
    <s v="Garoua I"/>
    <x v="8"/>
    <n v="9.3164719999999992"/>
    <n v="13.365722"/>
    <x v="0"/>
  </r>
  <r>
    <n v="1191"/>
    <s v="NRD_075"/>
    <s v="IHS_GAR_100"/>
    <s v="NRD_075"/>
    <x v="8"/>
    <s v="Garoua-Lidire"/>
    <x v="0"/>
    <s v="Outdoor"/>
    <s v="Garoua 2"/>
    <s v="BENOUE"/>
    <s v="Garoua I"/>
    <x v="8"/>
    <n v="9.3025629999999992"/>
    <n v="13.399675"/>
    <x v="0"/>
  </r>
  <r>
    <n v="1192"/>
    <s v="T0080"/>
    <s v="IHS_GAR_011"/>
    <s v="T0080"/>
    <x v="8"/>
    <s v="Cetic School"/>
    <x v="0"/>
    <s v="Indoor"/>
    <s v="Garoua 2"/>
    <s v="BENOUE"/>
    <s v=" Garoua"/>
    <x v="8"/>
    <n v="9.3194800000000004"/>
    <n v="13.405810000000001"/>
    <x v="0"/>
  </r>
  <r>
    <n v="1193"/>
    <s v="NRD_083"/>
    <s v="IHS_GAR_108"/>
    <s v="NRD_083"/>
    <x v="8"/>
    <s v="Garoua-Sabongari-Lainde-IHS"/>
    <x v="0"/>
    <s v="Outdoor"/>
    <s v="Garoua 2"/>
    <s v="BENOUE"/>
    <s v="Garoua II"/>
    <x v="8"/>
    <n v="9.3479880000000009"/>
    <n v="13.424056"/>
    <x v="0"/>
  </r>
  <r>
    <n v="1194"/>
    <s v="NRD_077"/>
    <s v="IHS_GAR_112"/>
    <s v="NRD_077"/>
    <x v="8"/>
    <s v="Lagdo-Marche"/>
    <x v="0"/>
    <s v="Outdoor"/>
    <s v="Garoua 1"/>
    <s v="BENOUE"/>
    <s v="lagdo"/>
    <x v="8"/>
    <n v="9.0506919999999997"/>
    <n v="13.667622"/>
    <x v="0"/>
  </r>
  <r>
    <n v="1195"/>
    <s v="NRD_074"/>
    <s v="IHS_GAR_118"/>
    <s v="NRD_074"/>
    <x v="8"/>
    <s v="Crf-Figuil"/>
    <x v="0"/>
    <s v="Outdoor"/>
    <s v="Garoua 2"/>
    <s v="MAYO- LOUTI"/>
    <s v="Figuil"/>
    <x v="8"/>
    <n v="9.7562169999999995"/>
    <n v="13.964062"/>
    <x v="0"/>
  </r>
  <r>
    <n v="1196"/>
    <s v="NRD_082"/>
    <s v="IHS_GAR_101"/>
    <s v="NRD_082"/>
    <x v="8"/>
    <s v="Garoua-Yelwa-Orange"/>
    <x v="0"/>
    <s v="Outdoor"/>
    <s v="Garoua 2"/>
    <s v="BENOUE"/>
    <s v="Garoua I"/>
    <x v="8"/>
    <n v="9.2996390000000009"/>
    <n v="13.394708"/>
    <x v="0"/>
  </r>
  <r>
    <n v="1197"/>
    <s v="T0549"/>
    <s v="IHS_GAR_019"/>
    <s v="T0549"/>
    <x v="8"/>
    <s v="Djamboutou"/>
    <x v="0"/>
    <s v="Outdoor"/>
    <s v="Garoua 2"/>
    <s v="BENOUE"/>
    <s v="Garoua I"/>
    <x v="8"/>
    <n v="9.3053299999999997"/>
    <n v="13.362425"/>
    <x v="0"/>
  </r>
  <r>
    <n v="1198"/>
    <s v="NRD_039"/>
    <s v="IHS_GAR_008"/>
    <s v="NRD_039"/>
    <x v="8"/>
    <s v="Bibemire"/>
    <x v="0"/>
    <s v="Outdoor"/>
    <s v="Garoua 1"/>
    <s v="BENOUE"/>
    <s v="garoua III"/>
    <x v="8"/>
    <n v="9.3142499999999995"/>
    <n v="13.409056"/>
    <x v="0"/>
  </r>
  <r>
    <n v="1199"/>
    <s v="NRD_047"/>
    <s v="IHS_GAR_020"/>
    <s v="NRD_047"/>
    <x v="8"/>
    <s v="Garoua-Djamboutou-CICAM"/>
    <x v="0"/>
    <s v="Outdoor"/>
    <s v="Garoua 2"/>
    <s v="BENOUE"/>
    <s v="Garoua I"/>
    <x v="8"/>
    <n v="9.3006779999999996"/>
    <n v="13.356493"/>
    <x v="0"/>
  </r>
  <r>
    <n v="1200"/>
    <s v="NRD_072"/>
    <s v="IHS_GAR_104"/>
    <s v="NRD_072"/>
    <x v="8"/>
    <s v="Gra-Yelwa-II"/>
    <x v="0"/>
    <s v="Outdoor"/>
    <s v="Garoua 2"/>
    <s v="BENOUE"/>
    <s v="Garoua I"/>
    <x v="8"/>
    <n v="9.2956649999999996"/>
    <n v="13.377577"/>
    <x v="0"/>
  </r>
  <r>
    <n v="1201"/>
    <s v="NRD_096"/>
    <s v="IHS_GAR_110"/>
    <s v="NRD_096"/>
    <x v="8"/>
    <s v="Pitoa-Ville"/>
    <x v="0"/>
    <s v="Outdoor"/>
    <s v="Garoua 1"/>
    <s v="BENOUE"/>
    <s v="Pitoa"/>
    <x v="8"/>
    <n v="9.3851530000000007"/>
    <n v="13.505093"/>
    <x v="0"/>
  </r>
  <r>
    <n v="1202"/>
    <s v="NRD_085"/>
    <s v="IHS_GAR_106"/>
    <s v="NRD_085"/>
    <x v="8"/>
    <s v="Garoua-Galbidje"/>
    <x v="0"/>
    <s v="Outdoor"/>
    <s v="Garoua 2"/>
    <s v="BENOUE"/>
    <s v="Garoua II"/>
    <x v="8"/>
    <n v="9.3464019999999994"/>
    <n v="13.39791"/>
    <x v="0"/>
  </r>
  <r>
    <n v="1203"/>
    <s v="NRD_062"/>
    <s v="IHS_GAR_005"/>
    <s v="NRD_062"/>
    <x v="8"/>
    <s v="Garoua-Ray-Re"/>
    <x v="0"/>
    <s v="Outdoor"/>
    <s v="Garoua 2"/>
    <s v="BENOUE"/>
    <s v="Garoua II"/>
    <x v="8"/>
    <n v="9.3129720000000002"/>
    <n v="13.39475"/>
    <x v="0"/>
  </r>
  <r>
    <n v="1204"/>
    <s v="NRD_078"/>
    <s v="IHS_GAR_113"/>
    <s v="NRD_078"/>
    <x v="8"/>
    <s v="Adoumre-IHS"/>
    <x v="0"/>
    <s v="Outdoor"/>
    <s v="Garoua 1"/>
    <s v="BENOUE"/>
    <s v="adoumre"/>
    <x v="8"/>
    <n v="9.2561669999999996"/>
    <n v="13.776361"/>
    <x v="0"/>
  </r>
  <r>
    <n v="1205"/>
    <s v="NRD_009"/>
    <s v="IHS_GAR_023"/>
    <s v="NRD_009"/>
    <x v="8"/>
    <s v="Garoua-Lainde"/>
    <x v="0"/>
    <s v="Indoor"/>
    <s v="Garoua 2"/>
    <s v="BENOUE"/>
    <s v="Garoua II"/>
    <x v="8"/>
    <n v="9.3443330000000007"/>
    <n v="13.413083"/>
    <x v="0"/>
  </r>
  <r>
    <n v="1206"/>
    <s v="T2868"/>
    <s v="IHS_MAR_222"/>
    <s v="T2868"/>
    <x v="8"/>
    <s v="TCHEVI"/>
    <x v="0"/>
    <s v="Outdoor"/>
    <s v="Garoua 2"/>
    <s v="MAYO- LOUTI"/>
    <s v="BOURRHA"/>
    <x v="8"/>
    <n v="10.167999999999999"/>
    <n v="13.519056000000001"/>
    <x v="0"/>
  </r>
  <r>
    <n v="1207"/>
    <s v="T0256"/>
    <s v="IHS_GAR_043"/>
    <s v="T0256"/>
    <x v="8"/>
    <s v="Lagdo"/>
    <x v="0"/>
    <s v="Outdoor"/>
    <s v="Garoua 1"/>
    <s v="BENOUE"/>
    <s v="lagdo"/>
    <x v="8"/>
    <n v="9.0595999999999997"/>
    <n v="13.677429999999999"/>
    <x v="0"/>
  </r>
  <r>
    <n v="1208"/>
    <s v="NRD_023"/>
    <s v="IHS_GAR_066"/>
    <s v="NRD_023"/>
    <x v="8"/>
    <s v="Rey-Bouba"/>
    <x v="0"/>
    <s v="Outdoor"/>
    <s v="Garoua 1"/>
    <s v="MAYO REY"/>
    <s v=" COMMUNE Rey-BOUBA"/>
    <x v="8"/>
    <n v="8.6796819999999997"/>
    <n v="14.174804"/>
    <x v="0"/>
  </r>
  <r>
    <n v="1209"/>
    <s v="NRD_032"/>
    <s v="IHS_GAR_038"/>
    <s v="NRD_032"/>
    <x v="8"/>
    <s v="Ngong-II"/>
    <x v="0"/>
    <s v="Indoor"/>
    <s v="Garoua 1"/>
    <s v="BENOUE"/>
    <s v="ngong"/>
    <x v="8"/>
    <n v="9.0577279999999991"/>
    <n v="13.509881999999999"/>
    <x v="0"/>
  </r>
  <r>
    <n v="1210"/>
    <s v="NRD_053"/>
    <s v="IHS_GAR_004"/>
    <s v="NRD_053"/>
    <x v="8"/>
    <s v="Garoua-Plage"/>
    <x v="0"/>
    <s v="Outdoor"/>
    <s v="Garoua 2"/>
    <s v="BENOUE"/>
    <s v="COMMUNE Garoua 1"/>
    <x v="8"/>
    <n v="9.3059720000000006"/>
    <n v="13.405333000000001"/>
    <x v="0"/>
  </r>
  <r>
    <n v="1211"/>
    <s v="NRD_045"/>
    <s v="IHS_GAR_002"/>
    <s v="NRD_045"/>
    <x v="8"/>
    <s v="Garoua-Foulbere"/>
    <x v="0"/>
    <s v="Outdoor"/>
    <s v="Garoua 2"/>
    <s v="BENOUE"/>
    <s v="Garoua I"/>
    <x v="8"/>
    <n v="9.2968609999999998"/>
    <n v="13.399917"/>
    <x v="0"/>
  </r>
  <r>
    <n v="1212"/>
    <s v="NRD_065"/>
    <s v="IHS_GAR_012"/>
    <s v="NRD_065"/>
    <x v="8"/>
    <s v="Garoua-Roumde-Adja"/>
    <x v="0"/>
    <s v="Outdoor"/>
    <s v="Garoua 2"/>
    <s v="BENOUE"/>
    <s v="Garoua II"/>
    <x v="8"/>
    <n v="9.3226940000000003"/>
    <n v="13.399694"/>
    <x v="0"/>
  </r>
  <r>
    <n v="1213"/>
    <s v="NRD_049"/>
    <s v="IHS_GAR_009"/>
    <s v="NRD_049"/>
    <x v="8"/>
    <s v="Garoua-Kolbives"/>
    <x v="0"/>
    <s v="Outdoor"/>
    <s v="Garoua 2"/>
    <s v="BENOUE"/>
    <s v="Garoua I"/>
    <x v="8"/>
    <n v="9.3056959999999993"/>
    <n v="13.37848"/>
    <x v="0"/>
  </r>
  <r>
    <n v="1214"/>
    <s v="NRD_040"/>
    <s v="IHS_GAR_024"/>
    <s v="NRD_040"/>
    <x v="8"/>
    <s v="Ouro-Kessoun"/>
    <x v="0"/>
    <s v="Outdoor"/>
    <s v="Garoua 2"/>
    <s v="BENOUE"/>
    <s v="Garoua II"/>
    <x v="8"/>
    <n v="9.3494440000000001"/>
    <n v="13.384028000000001"/>
    <x v="0"/>
  </r>
  <r>
    <n v="1215"/>
    <s v="NRD_038"/>
    <s v="IHS_GAR_018"/>
    <s v="NRD_038"/>
    <x v="8"/>
    <s v="Poumpoumrey"/>
    <x v="0"/>
    <s v="Outdoor"/>
    <s v="Garoua 1"/>
    <s v="BENOUE"/>
    <s v="poumpoumrey"/>
    <x v="8"/>
    <n v="9.3334879999999991"/>
    <n v="13.418568"/>
    <x v="0"/>
  </r>
  <r>
    <n v="1216"/>
    <s v="NRD_060"/>
    <s v="IHS_GAR_027"/>
    <s v="NRD_060"/>
    <x v="8"/>
    <s v="Garoua-Djamboutou-Village"/>
    <x v="0"/>
    <s v="Outdoor"/>
    <s v="Garoua 2"/>
    <s v="BENOUE"/>
    <s v="Garoua I"/>
    <x v="8"/>
    <n v="9.3156529999999993"/>
    <n v="13.349788"/>
    <x v="0"/>
  </r>
  <r>
    <n v="1217"/>
    <s v="T1270"/>
    <s v="IHS_GAR_051"/>
    <s v="T1270"/>
    <x v="8"/>
    <s v="TCHEBOA "/>
    <x v="0"/>
    <s v="Outdoor"/>
    <s v="Garoua 1"/>
    <s v="BENOUE"/>
    <s v="TROUA"/>
    <x v="8"/>
    <n v="9.0101300000000002"/>
    <n v="13.23155"/>
    <x v="0"/>
  </r>
  <r>
    <n v="1218"/>
    <s v="T0890"/>
    <s v="IHS_GAR_045"/>
    <s v="T0890"/>
    <x v="8"/>
    <s v="Djarako"/>
    <x v="0"/>
    <s v="Outdoor"/>
    <s v="Garoua 1"/>
    <s v="BENOUE"/>
    <s v="lagdo"/>
    <x v="8"/>
    <n v="8.8020800000000001"/>
    <n v="13.511950000000001"/>
    <x v="0"/>
  </r>
  <r>
    <n v="1219"/>
    <s v="T1084"/>
    <s v="IHS_GAR_040"/>
    <s v="T1084"/>
    <x v="8"/>
    <s v="DJABI"/>
    <x v="0"/>
    <s v="Outdoor"/>
    <s v="Garoua 2"/>
    <s v="MAYO- LOUTI"/>
    <s v="Guider"/>
    <x v="8"/>
    <n v="9.6369050000000005"/>
    <n v="13.804205"/>
    <x v="0"/>
  </r>
  <r>
    <n v="1220"/>
    <s v="T1028"/>
    <s v="IHS_GAR_036"/>
    <s v="T1028"/>
    <x v="8"/>
    <s v="SANGUERE1028"/>
    <x v="0"/>
    <s v="Outdoor"/>
    <s v="Garoua 1"/>
    <s v="BENOUE"/>
    <s v="garoua III"/>
    <x v="8"/>
    <n v="9.1783699999999993"/>
    <n v="13.51003"/>
    <x v="0"/>
  </r>
  <r>
    <n v="1221"/>
    <s v="NRD_028"/>
    <s v="IHS_GAR_049"/>
    <s v="NRD_028"/>
    <x v="8"/>
    <s v="Ribao"/>
    <x v="0"/>
    <s v="Indoor"/>
    <s v="Garoua 2"/>
    <s v="MAYO- LOUTI"/>
    <s v="Guider"/>
    <x v="8"/>
    <n v="9.7073889999999992"/>
    <n v="13.924194"/>
    <x v="0"/>
  </r>
  <r>
    <n v="1222"/>
    <s v="NRD_036"/>
    <s v="IHS_GAR_074"/>
    <s v="NRD_036"/>
    <x v="8"/>
    <s v="Mandingring"/>
    <x v="0"/>
    <s v="Indoor"/>
    <s v="Garoua 1"/>
    <s v="MAYO REY"/>
    <s v="COMMUNE DE REY-BOUBA"/>
    <x v="8"/>
    <n v="8.4552060000000004"/>
    <n v="15.015413000000001"/>
    <x v="0"/>
  </r>
  <r>
    <n v="1223"/>
    <s v="T0894"/>
    <s v="IHS_GAR_056"/>
    <s v="T0894"/>
    <x v="8"/>
    <s v="GUIDJIBA894"/>
    <x v="0"/>
    <s v="Outdoor"/>
    <s v="Garoua 1"/>
    <s v="MAYO REY"/>
    <s v="lagdo"/>
    <x v="8"/>
    <n v="8.4764479999999995"/>
    <n v="13.733148999999999"/>
    <x v="0"/>
  </r>
  <r>
    <n v="1224"/>
    <s v="NRD_031"/>
    <s v="IHS_GAR_055"/>
    <s v="NRD_031"/>
    <x v="8"/>
    <s v="Gouna"/>
    <x v="0"/>
    <s v="Indoor"/>
    <s v="Garoua 1"/>
    <s v="BENOUE"/>
    <s v="lagdo"/>
    <x v="8"/>
    <n v="8.5238139999999998"/>
    <n v="13.570183999999999"/>
    <x v="0"/>
  </r>
  <r>
    <n v="1225"/>
    <s v="T0204"/>
    <s v="IHS_GAR_054"/>
    <s v="T0204"/>
    <x v="8"/>
    <s v="Gouna"/>
    <x v="0"/>
    <s v="Indoor"/>
    <s v="Garoua 1"/>
    <s v="BENOUE"/>
    <s v="lagdo"/>
    <x v="8"/>
    <n v="8.5262390000000003"/>
    <n v="13.563013"/>
    <x v="0"/>
  </r>
  <r>
    <n v="1226"/>
    <s v="NRD_005"/>
    <s v="IHS_GAR_050"/>
    <s v="NRD_005"/>
    <x v="8"/>
    <s v="Figuil"/>
    <x v="0"/>
    <s v="Indoor"/>
    <s v="Garoua 2"/>
    <s v="MAYO- LOUTI"/>
    <s v="Guider"/>
    <x v="8"/>
    <n v="9.7751169999999998"/>
    <n v="13.964725"/>
    <x v="0"/>
  </r>
  <r>
    <n v="1227"/>
    <s v="NRD_024"/>
    <s v="IHS_GAR_044"/>
    <s v="NRD_024"/>
    <x v="8"/>
    <s v="Dembo"/>
    <x v="0"/>
    <s v="Outdoor"/>
    <s v="Garoua 2"/>
    <s v="BENOUE"/>
    <s v="Dembo"/>
    <x v="8"/>
    <n v="9.7183329999999994"/>
    <n v="13.547833000000001"/>
    <x v="0"/>
  </r>
  <r>
    <n v="1228"/>
    <s v="T1408"/>
    <s v="IHS_GAR_115"/>
    <s v="T1408"/>
    <x v="8"/>
    <s v="DEMBO"/>
    <x v="0"/>
    <s v="Outdoor"/>
    <s v="Garoua 2"/>
    <s v="BENOUE"/>
    <s v="Dembo"/>
    <x v="8"/>
    <n v="9.691058"/>
    <n v="13.535252"/>
    <x v="0"/>
  </r>
  <r>
    <n v="1229"/>
    <s v="NRD_055"/>
    <s v="IHS_GAR_077"/>
    <s v="NRD_055"/>
    <x v="8"/>
    <s v="Chamber-Wangai"/>
    <x v="0"/>
    <s v="Outdoor"/>
    <s v="Garoua 1"/>
    <s v="FARO"/>
    <s v="POLI"/>
    <x v="8"/>
    <n v="8.6178690000000007"/>
    <n v="12.797643000000001"/>
    <x v="0"/>
  </r>
  <r>
    <n v="1230"/>
    <s v="NRD_021"/>
    <s v="IHS_GAR_041"/>
    <s v="NRD_021"/>
    <x v="8"/>
    <s v="Bibemi"/>
    <x v="0"/>
    <s v="Outdoor"/>
    <s v="Garoua 1"/>
    <s v="BENOUE"/>
    <s v="bibemi"/>
    <x v="8"/>
    <n v="9.3004719999999992"/>
    <n v="13.865055999999999"/>
    <x v="0"/>
  </r>
  <r>
    <n v="1231"/>
    <s v="NRD_020"/>
    <s v="IHS_GAR_053"/>
    <s v="NRD_020"/>
    <x v="8"/>
    <s v="Beka"/>
    <x v="0"/>
    <s v="Outdoor"/>
    <s v="Garoua 1"/>
    <s v="BENOUE"/>
    <s v="TROUA"/>
    <x v="8"/>
    <n v="9.0915800000000004"/>
    <n v="12.957100000000001"/>
    <x v="0"/>
  </r>
  <r>
    <n v="1232"/>
    <s v="NRD_056"/>
    <s v="IHS_GAR_072"/>
    <s v="NRD_056"/>
    <x v="8"/>
    <s v="Baikwa-Bere"/>
    <x v="0"/>
    <s v="Outdoor"/>
    <s v="Garoua 1"/>
    <s v="MAYO REY"/>
    <s v="COMMUNE Rey-BOUBA"/>
    <x v="8"/>
    <n v="9.1010600000000004"/>
    <n v="14.389408"/>
    <x v="0"/>
  </r>
  <r>
    <n v="1233"/>
    <s v="NRD_026"/>
    <s v="IHS_GAR_035"/>
    <s v="NRD_026"/>
    <x v="8"/>
    <s v="Badjouma"/>
    <x v="0"/>
    <s v="Indoor"/>
    <s v="Garoua 2"/>
    <s v="BENOUE"/>
    <s v="Pitoa"/>
    <x v="8"/>
    <n v="9.4451940000000008"/>
    <n v="13.61"/>
    <x v="0"/>
  </r>
  <r>
    <n v="1234"/>
    <s v="T1592"/>
    <s v="IHS_GAR_346"/>
    <s v="T1592"/>
    <x v="8"/>
    <s v="Padarme"/>
    <x v="0"/>
    <s v="Outdoor"/>
    <s v="Garoua 1"/>
    <s v="BENOUE"/>
    <s v="bibemi"/>
    <x v="8"/>
    <n v="9.5308499999999992"/>
    <n v="14.057829"/>
    <x v="0"/>
  </r>
  <r>
    <n v="1235"/>
    <s v="T1653"/>
    <s v="IHS_GAR_345"/>
    <s v="T1653"/>
    <x v="8"/>
    <s v="NAKONG"/>
    <x v="0"/>
    <s v="Outdoor"/>
    <s v="Garoua 2"/>
    <s v="BENOUE"/>
    <s v="Garoua I"/>
    <x v="8"/>
    <n v="9.3188689999999994"/>
    <n v="13.224952999999999"/>
    <x v="0"/>
  </r>
  <r>
    <n v="1236"/>
    <s v="T2019"/>
    <s v="IHS_GAR_343"/>
    <s v="T2019"/>
    <x v="8"/>
    <s v="BEKA"/>
    <x v="0"/>
    <s v="Outdoor"/>
    <s v="Garoua 1"/>
    <s v="BENOUE"/>
    <s v="TROUA"/>
    <x v="8"/>
    <n v="9.0297389999999993"/>
    <n v="12.895968999999999"/>
    <x v="0"/>
  </r>
  <r>
    <n v="1237"/>
    <s v="T0231"/>
    <s v="IHS_GAR_344"/>
    <s v="T0231"/>
    <x v="8"/>
    <s v="DEMSA"/>
    <x v="0"/>
    <s v="Outdoor"/>
    <s v="Garoua 2"/>
    <s v="BENOUE"/>
    <s v="Gashiga"/>
    <x v="8"/>
    <n v="9.5479190000000003"/>
    <n v="13.22645"/>
    <x v="0"/>
  </r>
  <r>
    <n v="1238"/>
    <s v="T1575"/>
    <s v="IHS_GAR_351"/>
    <s v="T1575"/>
    <x v="8"/>
    <s v="Garoua Ouro talaka"/>
    <x v="0"/>
    <s v="Outdoor"/>
    <s v="Garoua 1"/>
    <s v="BENOUE"/>
    <s v="Garoua I"/>
    <x v="8"/>
    <n v="9.2866429999999998"/>
    <n v="13.373068999999999"/>
    <x v="0"/>
  </r>
  <r>
    <n v="1239"/>
    <s v="T2993"/>
    <s v="IHS_GAR_128"/>
    <s v="T2993"/>
    <x v="8"/>
    <s v="Doumo Ville 2"/>
    <x v="0"/>
    <s v="Outdoor"/>
    <s v="Garoua 2"/>
    <s v="GUIDER"/>
    <s v="MAYO LOTI"/>
    <x v="8"/>
    <n v="10.05538"/>
    <n v="13.30456"/>
    <x v="0"/>
  </r>
  <r>
    <n v="1240"/>
    <s v="T2130"/>
    <s v="IHS_GAR_126"/>
    <s v="T2130"/>
    <x v="8"/>
    <s v="Hopital Regional Garoua"/>
    <x v="0"/>
    <s v="Outdoor"/>
    <s v="Garoua 2"/>
    <s v="BENOUE"/>
    <s v="MAYO-HOURNA"/>
    <x v="8"/>
    <n v="9.3144799999999996"/>
    <n v="13.383446660000001"/>
    <x v="0"/>
  </r>
  <r>
    <n v="1241"/>
    <s v="T0353"/>
    <s v="IHS_KSR_014"/>
    <s v="T0353"/>
    <x v="9"/>
    <s v="Zigague"/>
    <x v="1"/>
    <s v="Indoor"/>
    <s v="Kousseri"/>
    <s v="LOGONE ET CHARI"/>
    <s v="WAZA"/>
    <x v="9"/>
    <n v="11.678844"/>
    <n v="14.647365000000001"/>
    <x v="0"/>
  </r>
  <r>
    <n v="1242"/>
    <s v="T2885"/>
    <s v="IHS_KSR_107"/>
    <s v="T2885"/>
    <x v="9"/>
    <s v="TIKA"/>
    <x v="3"/>
    <s v="Vandalized"/>
    <s v="Kousseri"/>
    <s v="LOGONE ET CHARI"/>
    <s v="HILE ALIFA"/>
    <x v="9"/>
    <n v="12.782965000000001"/>
    <n v="14.275828000000001"/>
    <x v="0"/>
  </r>
  <r>
    <n v="1243"/>
    <s v="T2894"/>
    <s v="IHS_KSR_101"/>
    <s v="T2894"/>
    <x v="9"/>
    <s v="TANNE "/>
    <x v="1"/>
    <s v="Outdoor"/>
    <s v="Kousseri"/>
    <s v="LOGONE ET CHARI"/>
    <s v="GOULFEY"/>
    <x v="9"/>
    <n v="12.523403999999999"/>
    <n v="14.76322"/>
    <x v="0"/>
  </r>
  <r>
    <n v="1244"/>
    <s v="T0355"/>
    <s v="IHS_GAR_052"/>
    <s v="T0355"/>
    <x v="9"/>
    <s v="Maltam"/>
    <x v="1"/>
    <s v="Indoor"/>
    <s v="Kousseri"/>
    <s v="LOGONE ET CHARI"/>
    <s v="MAKARY"/>
    <x v="9"/>
    <n v="12.179713"/>
    <n v="14.819786000000001"/>
    <x v="0"/>
  </r>
  <r>
    <n v="1245"/>
    <s v="T2893"/>
    <s v="IHS_KSR_102"/>
    <s v="T2893"/>
    <x v="9"/>
    <s v="MADA "/>
    <x v="1"/>
    <s v="Outdoor"/>
    <s v="Kousseri"/>
    <s v="LOGONE ET CHARI"/>
    <s v="MAKARY"/>
    <x v="9"/>
    <n v="12.63542"/>
    <n v="14.472476"/>
    <x v="0"/>
  </r>
  <r>
    <n v="1246"/>
    <s v="T2803"/>
    <s v="IHS_KSR_118"/>
    <s v="T2803"/>
    <x v="9"/>
    <s v="Kousseri Parpar"/>
    <x v="0"/>
    <s v="Outdoor"/>
    <s v="Kousseri"/>
    <s v="LOGONE ET CHARI"/>
    <s v="KOUSSERI"/>
    <x v="9"/>
    <n v="12.077529"/>
    <n v="15.021146"/>
    <x v="0"/>
  </r>
  <r>
    <n v="1247"/>
    <s v="T2867"/>
    <s v="IHS_KSR_104"/>
    <s v="T2867"/>
    <x v="9"/>
    <s v="HILE ALIFA"/>
    <x v="1"/>
    <s v="Outdoor"/>
    <s v="Kousseri"/>
    <s v="LOGONE ET CHARI"/>
    <s v="HILE ALIFA"/>
    <x v="9"/>
    <n v="12.692538000000001"/>
    <n v="14.313914"/>
    <x v="0"/>
  </r>
  <r>
    <n v="1248"/>
    <s v="T2899"/>
    <s v="IHS_KSR_103"/>
    <s v="T2899"/>
    <x v="9"/>
    <s v="FOTOKOL TOWN"/>
    <x v="1"/>
    <s v="Outdoor"/>
    <s v="Kousseri"/>
    <s v="LOGONE ET CHARI"/>
    <s v="FOTOKOL"/>
    <x v="9"/>
    <n v="12.376275"/>
    <n v="14.224633000000001"/>
    <x v="0"/>
  </r>
  <r>
    <n v="1249"/>
    <s v="T2898"/>
    <s v="IHS_KSR_108"/>
    <s v="T2898"/>
    <x v="9"/>
    <s v="DARRACK AN2000"/>
    <x v="1"/>
    <s v="Outdoor"/>
    <s v="Kousseri"/>
    <s v="LOGONE ET CHARI"/>
    <s v="DARRACK"/>
    <x v="9"/>
    <n v="12.879638890000001"/>
    <n v="14.29552778"/>
    <x v="0"/>
  </r>
  <r>
    <n v="1250"/>
    <s v="T0354"/>
    <s v="IHS_KSR_012"/>
    <s v="T0354"/>
    <x v="9"/>
    <s v="Dabanga"/>
    <x v="1"/>
    <s v="Indoor"/>
    <s v="Kousseri"/>
    <s v="LOGONE ET CHARI"/>
    <s v="LOGONE BIRNI"/>
    <x v="9"/>
    <n v="11.919233"/>
    <n v="14.645765000000001"/>
    <x v="0"/>
  </r>
  <r>
    <n v="1251"/>
    <s v="T2884"/>
    <s v="IHS_KSR_106"/>
    <s v="T2884"/>
    <x v="9"/>
    <s v="Bargaram"/>
    <x v="3"/>
    <s v="Vandalized"/>
    <s v="Kousseri"/>
    <s v="LOGONE ET CHARI"/>
    <s v="HILE ALIFA"/>
    <x v="9"/>
    <n v="12.703429"/>
    <n v="14.218502000000001"/>
    <x v="0"/>
  </r>
  <r>
    <n v="1252"/>
    <s v="T0882"/>
    <s v="IHS_KSR_005"/>
    <s v="T0882"/>
    <x v="9"/>
    <s v="KOUSSERI MTN"/>
    <x v="0"/>
    <s v="Outdoor"/>
    <s v="Kousseri"/>
    <s v="LOGONE ET CHARI"/>
    <s v="KOUSSERI"/>
    <x v="9"/>
    <n v="12.089765"/>
    <n v="15.012898"/>
    <x v="0"/>
  </r>
  <r>
    <n v="1253"/>
    <s v="EXN_064"/>
    <s v="IHS_KSR_002"/>
    <s v="EXN_064"/>
    <x v="9"/>
    <s v="Kousseri-Ville"/>
    <x v="0"/>
    <s v="Outdoor"/>
    <s v="Kousseri"/>
    <s v="LOGONE ET CHARI"/>
    <s v="KOUSSERI"/>
    <x v="9"/>
    <n v="12.067747000000001"/>
    <n v="15.017986000000001"/>
    <x v="0"/>
  </r>
  <r>
    <n v="1254"/>
    <s v="EXN_094"/>
    <s v="IHS_KSR_004"/>
    <s v="EXN_094"/>
    <x v="9"/>
    <s v="Kousseri-Lacka"/>
    <x v="0"/>
    <s v="Outdoor"/>
    <s v="Kousseri"/>
    <s v="LOGONE ET CHARI"/>
    <s v="KOUSSERI"/>
    <x v="9"/>
    <n v="12.071101000000001"/>
    <n v="15.036460999999999"/>
    <x v="0"/>
  </r>
  <r>
    <n v="1255"/>
    <s v="T2895"/>
    <s v="IHS_KSR_124"/>
    <s v="T2895"/>
    <x v="9"/>
    <s v="KOUSSERI ARAZAI"/>
    <x v="0"/>
    <s v="Outdoor"/>
    <s v="Kousseri"/>
    <s v="LOGONE ET CHARI"/>
    <s v="KOUSSERI"/>
    <x v="9"/>
    <n v="12.085943"/>
    <n v="14.997490000000001"/>
    <x v="0"/>
  </r>
  <r>
    <n v="1256"/>
    <s v="T0254"/>
    <s v="IHS_MAR_091"/>
    <s v="T0254"/>
    <x v="9"/>
    <s v="Waza"/>
    <x v="1"/>
    <s v="Indoor"/>
    <s v="Kousseri"/>
    <s v="LOGONE ET CHARI"/>
    <s v="WAZA"/>
    <x v="9"/>
    <n v="11.400370000000001"/>
    <n v="14.56962"/>
    <x v="0"/>
  </r>
  <r>
    <n v="1257"/>
    <s v="EXN_033"/>
    <s v="IHS_MAR_090"/>
    <s v="EXN_033"/>
    <x v="9"/>
    <s v="Waza"/>
    <x v="1"/>
    <s v="Indoor"/>
    <s v="Kousseri"/>
    <s v="LOGONE ET CHARI"/>
    <s v="WAZA"/>
    <x v="9"/>
    <n v="11.395167000000001"/>
    <n v="14.564722"/>
    <x v="0"/>
  </r>
  <r>
    <n v="1258"/>
    <s v="T1416"/>
    <s v="IHS_KSR_006"/>
    <s v="T1416"/>
    <x v="9"/>
    <s v="NGUELI"/>
    <x v="0"/>
    <s v="Outdoor"/>
    <s v="Kousseri"/>
    <s v="LOGONE ET CHARI"/>
    <s v="KOUSSERI"/>
    <x v="9"/>
    <n v="12.067679999999999"/>
    <n v="15.047002000000001"/>
    <x v="0"/>
  </r>
  <r>
    <n v="1259"/>
    <s v="T1420"/>
    <s v="IHS_KSR_109"/>
    <s v="T1420"/>
    <x v="9"/>
    <s v="KOUSSERI MARKET"/>
    <x v="0"/>
    <s v="Outdoor"/>
    <s v="Kousseri"/>
    <s v="LOGONE ET CHARI"/>
    <s v="KOUSSERI"/>
    <x v="9"/>
    <n v="12.086238"/>
    <n v="15.024616999999999"/>
    <x v="0"/>
  </r>
  <r>
    <n v="1260"/>
    <s v="T1346"/>
    <s v="IHS_KSR_003"/>
    <s v="T1346"/>
    <x v="9"/>
    <s v="KOUSSERI MICHEDIRE"/>
    <x v="0"/>
    <s v="Outdoor"/>
    <s v="Kousseri"/>
    <s v="LOGONE ET CHARI"/>
    <s v="KOUSSERI"/>
    <x v="9"/>
    <n v="12.07192"/>
    <n v="15.016142"/>
    <x v="0"/>
  </r>
  <r>
    <n v="1261"/>
    <s v="EXN_003"/>
    <s v="IHS_KSR_001"/>
    <s v="EXN_003"/>
    <x v="9"/>
    <s v="Kousseri"/>
    <x v="0"/>
    <s v="Indoor"/>
    <s v="Kousseri"/>
    <s v="LOGONE ET CHARI"/>
    <s v="KOUSSERI"/>
    <x v="9"/>
    <n v="12.086157999999999"/>
    <n v="15.025897000000001"/>
    <x v="0"/>
  </r>
  <r>
    <n v="1262"/>
    <s v="EXN_010"/>
    <s v="IHS_KSR_007"/>
    <s v="EXN_010"/>
    <x v="9"/>
    <s v="Kousseri-Sarra"/>
    <x v="0"/>
    <s v="Indoor"/>
    <s v="Kousseri"/>
    <s v="LOGONE ET CHARI"/>
    <s v="KOUSSERI"/>
    <x v="9"/>
    <n v="12.103569999999999"/>
    <n v="15.028133"/>
    <x v="0"/>
  </r>
  <r>
    <n v="1263"/>
    <s v="EXN_034"/>
    <s v="IHS_KSR_015"/>
    <s v="EXN_034"/>
    <x v="9"/>
    <s v="Zigague"/>
    <x v="1"/>
    <s v="Indoor"/>
    <s v="Kousseri"/>
    <s v="LOGONE ET CHARI"/>
    <s v="WAZA"/>
    <x v="9"/>
    <n v="11.680718000000001"/>
    <n v="14.645967000000001"/>
    <x v="0"/>
  </r>
  <r>
    <n v="1264"/>
    <s v="EXN_035"/>
    <s v="IHS_KSR_008"/>
    <s v="EXN_035"/>
    <x v="9"/>
    <s v="Maltam"/>
    <x v="1"/>
    <s v="Indoor"/>
    <s v="Kousseri"/>
    <s v="LOGONE ET CHARI"/>
    <s v="MAKARY"/>
    <x v="9"/>
    <n v="12.175777"/>
    <n v="14.821313999999999"/>
    <x v="0"/>
  </r>
  <r>
    <n v="1265"/>
    <s v="EXN_020"/>
    <s v="IHS_KSR_018"/>
    <s v="EXN_020"/>
    <x v="9"/>
    <s v="Makary"/>
    <x v="1"/>
    <s v="Indoor"/>
    <s v="Kousseri"/>
    <s v="LOGONE ET CHARI"/>
    <s v="MAKARY"/>
    <x v="9"/>
    <n v="12.569039999999999"/>
    <n v="14.455928"/>
    <x v="0"/>
  </r>
  <r>
    <n v="1266"/>
    <s v="T1037"/>
    <s v="IHS_KSR_017"/>
    <s v="T1037"/>
    <x v="9"/>
    <s v="Makari"/>
    <x v="1"/>
    <s v="Outdoor"/>
    <s v="Kousseri"/>
    <s v="LOGONE ET CHARI"/>
    <s v="MAKARY"/>
    <x v="9"/>
    <n v="12.569879999999999"/>
    <n v="14.4557"/>
    <x v="0"/>
  </r>
  <r>
    <n v="1267"/>
    <s v="EXN_051"/>
    <s v="IHS_KSR_011"/>
    <s v="EXN_051"/>
    <x v="9"/>
    <s v="Logone-Birni"/>
    <x v="0"/>
    <s v="Outdoor"/>
    <s v="Kousseri"/>
    <s v="LOGONE ET CHARI"/>
    <s v="LOGONE BIRNI"/>
    <x v="9"/>
    <n v="11.780021"/>
    <n v="15.094967"/>
    <x v="0"/>
  </r>
  <r>
    <n v="1268"/>
    <s v="T2890"/>
    <s v="IHS_KSR_105"/>
    <s v="T2890"/>
    <x v="9"/>
    <s v="KOFIA"/>
    <x v="1"/>
    <s v="Outdoor"/>
    <s v="Kousseri"/>
    <s v="LOGONE ET CHARI"/>
    <s v="DARRACK"/>
    <x v="9"/>
    <n v="12.948046"/>
    <n v="14.503704000000001"/>
    <x v="0"/>
  </r>
  <r>
    <n v="1269"/>
    <s v="EXN_021"/>
    <s v="IHS_KSR_009"/>
    <s v="EXN_021"/>
    <x v="9"/>
    <s v="Goulfey"/>
    <x v="1"/>
    <s v="Indoor"/>
    <s v="Kousseri"/>
    <s v="LOGONE ET CHARI"/>
    <s v="COMMUNE GOULFEY"/>
    <x v="9"/>
    <n v="12.377625"/>
    <n v="14.902457999999999"/>
    <x v="0"/>
  </r>
  <r>
    <n v="1270"/>
    <s v="EXN_013"/>
    <s v="IHS_KSR_016"/>
    <s v="EXN_013"/>
    <x v="9"/>
    <s v="Fotokol"/>
    <x v="1"/>
    <s v="Outdoor"/>
    <s v="Kousseri"/>
    <s v="LOGONE ET CHARI"/>
    <s v="FOTOKOL"/>
    <x v="9"/>
    <n v="12.383851999999999"/>
    <n v="14.228597000000001"/>
    <x v="0"/>
  </r>
  <r>
    <n v="1271"/>
    <s v="T0889"/>
    <s v="IHS_KSR_020"/>
    <s v="T0889"/>
    <x v="9"/>
    <s v="Darrack"/>
    <x v="1"/>
    <s v="Outdoor"/>
    <s v="Kousseri"/>
    <s v="LOGONE ET CHARI"/>
    <s v="DARRACK"/>
    <x v="9"/>
    <n v="12.876939999999999"/>
    <n v="14.29622"/>
    <x v="0"/>
  </r>
  <r>
    <n v="1272"/>
    <s v="EXN_807"/>
    <s v="IHS_KSR_013"/>
    <s v="EXN_807"/>
    <x v="9"/>
    <s v="Dabanga"/>
    <x v="1"/>
    <s v="Indoor"/>
    <s v="Kousseri"/>
    <s v="LOGONE ET CHARI"/>
    <s v="COMMUNE DE LOGONE BIRNI"/>
    <x v="9"/>
    <n v="11.918305999999999"/>
    <n v="14.646833000000001"/>
    <x v="0"/>
  </r>
  <r>
    <n v="1273"/>
    <s v="EXN_041"/>
    <s v="IHS_KSR_019"/>
    <s v="EXN_041"/>
    <x v="9"/>
    <s v="Blangoua"/>
    <x v="1"/>
    <s v="Outdoor"/>
    <s v="Kousseri"/>
    <s v="LOGONE ET CHARI"/>
    <s v="COMMUNE BLANGOUA"/>
    <x v="9"/>
    <n v="12.772729999999999"/>
    <n v="14.550547999999999"/>
    <x v="0"/>
  </r>
  <r>
    <n v="1274"/>
    <s v="T1038"/>
    <s v="IHS_KSR_010"/>
    <s v="T1038"/>
    <x v="9"/>
    <s v="Afade"/>
    <x v="1"/>
    <s v="Outdoor"/>
    <s v="Kousseri"/>
    <s v="LOGONE ET CHARI"/>
    <s v="MAKARY"/>
    <x v="9"/>
    <n v="12.328417"/>
    <n v="14.558916999999999"/>
    <x v="0"/>
  </r>
  <r>
    <n v="1275"/>
    <s v="T2887"/>
    <s v="IHS_MAR_376"/>
    <s v="T2887"/>
    <x v="9"/>
    <s v="ZINA"/>
    <x v="0"/>
    <s v="Outdoor"/>
    <s v="Kousseri"/>
    <s v="LOGONE ET CHARI"/>
    <s v="Zina"/>
    <x v="9"/>
    <n v="11.263839000000001"/>
    <n v="14.966189"/>
    <x v="0"/>
  </r>
  <r>
    <n v="1276"/>
    <s v="T2590"/>
    <s v="IHS_KSR_120"/>
    <s v="T2590"/>
    <x v="9"/>
    <s v="FOTOKOL 3"/>
    <x v="1"/>
    <s v="Outdoor"/>
    <s v="Kousseri"/>
    <s v="LOGONE ET CHARI"/>
    <s v="FOTOKOL"/>
    <x v="9"/>
    <n v="12.376993000000001"/>
    <n v="14.225045"/>
    <x v="0"/>
  </r>
  <r>
    <n v="1277"/>
    <s v="T2594"/>
    <s v="IHS_KSR_121"/>
    <s v="T2594"/>
    <x v="9"/>
    <s v="Kousseri- Paguy Residentiel"/>
    <x v="0"/>
    <s v="Outdoor"/>
    <s v="Kousseri"/>
    <s v="LOGONE ET CHARI"/>
    <s v="KOUSSERI"/>
    <x v="9"/>
    <n v="12.091393"/>
    <n v="15.027388"/>
    <x v="0"/>
  </r>
  <r>
    <n v="1278"/>
    <s v="T1578"/>
    <s v="IHS_KSR_122"/>
    <s v="T1578"/>
    <x v="9"/>
    <s v="Blangoua 2"/>
    <x v="1"/>
    <s v="Outdoor"/>
    <s v="Kousseri"/>
    <s v="LOGONE ET CHARI"/>
    <s v="Blangoua"/>
    <x v="9"/>
    <n v="12.77101"/>
    <n v="14.556908"/>
    <x v="0"/>
  </r>
  <r>
    <n v="1279"/>
    <s v="T1677"/>
    <s v="IHS_KSR_123"/>
    <s v="T1677"/>
    <x v="9"/>
    <s v="Tide Goulfey"/>
    <x v="1"/>
    <s v="Outdoor"/>
    <s v="Kousseri"/>
    <s v="LOGONE ET CHARI"/>
    <s v="Makari"/>
    <x v="9"/>
    <n v="12.108675"/>
    <n v="14.713543"/>
    <x v="0"/>
  </r>
  <r>
    <n v="1280"/>
    <s v="T4947"/>
    <s v="IHS_KSR_125"/>
    <s v="T4947"/>
    <x v="9"/>
    <s v="Kalakfra"/>
    <x v="1"/>
    <s v="Outdoor"/>
    <s v="Kousseri"/>
    <s v="LOGONE ET CHARI"/>
    <s v="MAKARY"/>
    <x v="9"/>
    <n v="12.092575"/>
    <n v="14.839464"/>
    <x v="0"/>
  </r>
  <r>
    <n v="1281"/>
    <s v="T4972"/>
    <s v="IHS_KSR_126"/>
    <s v="T4972"/>
    <x v="9"/>
    <s v="Bourgouma"/>
    <x v="1"/>
    <s v="Outdoor"/>
    <s v="Kousseri"/>
    <s v="LOGONE ET CHARI"/>
    <s v="LOGONE BIRNI"/>
    <x v="9"/>
    <n v="11.901233"/>
    <n v="15.034781000000001"/>
    <x v="0"/>
  </r>
  <r>
    <n v="1282"/>
    <s v="T1404"/>
    <s v="IHS_KSR_127"/>
    <s v="T1404"/>
    <x v="9"/>
    <s v="Kousseri Babou"/>
    <x v="0"/>
    <s v="Outdoor"/>
    <s v="Kousseri"/>
    <s v="LOGONE ET CHARI"/>
    <s v="logone and chari"/>
    <x v="9"/>
    <n v="12.093688"/>
    <n v="15.015834"/>
    <x v="0"/>
  </r>
  <r>
    <n v="1283"/>
    <s v="T1975"/>
    <s v="IHS_KSR_128"/>
    <s v="T1975"/>
    <x v="9"/>
    <s v="KOUSSERI 3"/>
    <x v="0"/>
    <s v="Outdoor"/>
    <s v="Kousseri"/>
    <s v="LOGONE ET CHARI"/>
    <s v="kousseri"/>
    <x v="9"/>
    <n v="12.063889"/>
    <n v="15.02999"/>
    <x v="0"/>
  </r>
  <r>
    <n v="1284"/>
    <s v="SUD_038"/>
    <s v="IHS_EBO_102"/>
    <s v="SUD_038"/>
    <x v="5"/>
    <s v="Olamze-IHS"/>
    <x v="0"/>
    <s v="Outdoor"/>
    <s v="AMBAM"/>
    <s v="NTEM"/>
    <s v="Olamze"/>
    <x v="7"/>
    <n v="2.2116549999999999"/>
    <n v="11.095535"/>
    <x v="0"/>
  </r>
  <r>
    <n v="1285"/>
    <s v="T1289"/>
    <s v="IHS_KRI_006"/>
    <s v="T1289"/>
    <x v="7"/>
    <s v="Nziou Kribi"/>
    <x v="0"/>
    <s v="Outdoor"/>
    <s v="Kribi 1"/>
    <s v="OCEAN"/>
    <s v="Kribi 1"/>
    <x v="7"/>
    <n v="2.970367"/>
    <n v="9.9261110000000006"/>
    <x v="0"/>
  </r>
  <r>
    <n v="1286"/>
    <s v="T1588"/>
    <s v="IHS_EBO_026"/>
    <s v="T1588"/>
    <x v="5"/>
    <s v="Ntoumou centre Maan"/>
    <x v="0"/>
    <s v="Outdoor"/>
    <s v="AMBAM"/>
    <s v="NTEM"/>
    <s v="Ma'an"/>
    <x v="7"/>
    <n v="2.3549129999999998"/>
    <n v="10.639516"/>
    <x v="0"/>
  </r>
  <r>
    <n v="1287"/>
    <s v="T2021"/>
    <s v="IHS_EBO_106"/>
    <s v="T2021"/>
    <x v="5"/>
    <s v="MEMVELE"/>
    <x v="0"/>
    <s v="Outdoor"/>
    <s v="AMBAM"/>
    <s v="NTEM"/>
    <s v="Ma'an"/>
    <x v="7"/>
    <n v="2.39046"/>
    <n v="10.368188"/>
    <x v="0"/>
  </r>
  <r>
    <n v="1288"/>
    <s v="T1650"/>
    <s v="IHS_EBO_1032"/>
    <s v="T1650"/>
    <x v="5"/>
    <s v="MBPIKILIKI"/>
    <x v="0"/>
    <s v="Outdoor"/>
    <s v="Ebolowa"/>
    <s v="OCEAN"/>
    <s v="LOLODORF"/>
    <x v="7"/>
    <n v="3.17"/>
    <n v="10.547110999999999"/>
    <x v="0"/>
  </r>
  <r>
    <n v="1289"/>
    <s v="SUD_037"/>
    <s v="IHS_EBO_105"/>
    <s v="SUD_037"/>
    <x v="5"/>
    <s v="Maan-IHS"/>
    <x v="0"/>
    <s v="Outdoor"/>
    <s v="AMBAM"/>
    <s v="NTEM"/>
    <s v="Ma'an"/>
    <x v="7"/>
    <n v="2.369596"/>
    <n v="10.628916"/>
    <x v="0"/>
  </r>
  <r>
    <n v="1290"/>
    <s v="T1680"/>
    <s v="IHS_EBO_104"/>
    <s v="T1680"/>
    <x v="5"/>
    <s v="KYEOSSI AKOMBANG"/>
    <x v="0"/>
    <s v="Outdoor"/>
    <s v="AMBAM"/>
    <s v="NTEM"/>
    <s v="Kyeossi"/>
    <x v="7"/>
    <n v="2.1936149999999999"/>
    <n v="11.339465000000001"/>
    <x v="0"/>
  </r>
  <r>
    <n v="1291"/>
    <s v="SUD_053"/>
    <s v="IHS_KRI_102"/>
    <s v="SUD_053"/>
    <x v="7"/>
    <s v="Kribi Mpalla  (Bitolno)"/>
    <x v="0"/>
    <s v="Outdoor"/>
    <s v="Kribi 2"/>
    <s v="OCEAN"/>
    <s v="Kribi 1"/>
    <x v="7"/>
    <n v="3.0100370000000001"/>
    <n v="9.9548210000000008"/>
    <x v="0"/>
  </r>
  <r>
    <n v="1292"/>
    <s v="LIT_505"/>
    <s v="IHS_KRI_119"/>
    <s v="LIT_505"/>
    <x v="7"/>
    <s v="Bissiang"/>
    <x v="0"/>
    <s v="Outdoor"/>
    <s v="Kribi 1"/>
    <s v="OCEAN"/>
    <s v="Kribi 2"/>
    <x v="7"/>
    <n v="2.9465699999999999"/>
    <n v="10.032095"/>
    <x v="0"/>
  </r>
  <r>
    <n v="1293"/>
    <s v="T2102"/>
    <s v="IHS_KRI_101"/>
    <s v="T2102"/>
    <x v="5"/>
    <s v="AKOM 2"/>
    <x v="0"/>
    <s v="Outdoor"/>
    <s v="AMBAM"/>
    <s v="NTEM"/>
    <s v="Akom 2"/>
    <x v="7"/>
    <n v="2.8360829999999999"/>
    <n v="10.552861"/>
    <x v="0"/>
  </r>
  <r>
    <n v="1294"/>
    <s v="SUD_070"/>
    <s v="IHS_KRI_118"/>
    <s v="SUD_070"/>
    <x v="5"/>
    <s v="Adjap"/>
    <x v="0"/>
    <s v="Outdoor"/>
    <s v="Ebolowa"/>
    <s v="OCEAN"/>
    <s v="Effoulane"/>
    <x v="7"/>
    <n v="3.0334140000000001"/>
    <n v="10.859489999999999"/>
    <x v="0"/>
  </r>
  <r>
    <n v="1295"/>
    <s v="SUD_057"/>
    <s v="IHS_KRI_112"/>
    <s v="SUD_057"/>
    <x v="7"/>
    <s v="Kribi lycée Technique (Tramonto)"/>
    <x v="0"/>
    <s v="Outdoor"/>
    <s v="Kribi 2"/>
    <s v="OCEAN"/>
    <s v="Kribi 1"/>
    <x v="7"/>
    <n v="2.9651999999999998"/>
    <n v="9.9192400000000003"/>
    <x v="0"/>
  </r>
  <r>
    <n v="1296"/>
    <s v="T2767"/>
    <s v="IHS_EBO_1034"/>
    <s v="T2767"/>
    <x v="7"/>
    <s v="NYETE V15 "/>
    <x v="0"/>
    <s v="Outdoor"/>
    <s v="Kribi 2"/>
    <s v="OCEAN"/>
    <s v="Kribi 1"/>
    <x v="7"/>
    <n v="2.5851899999999999"/>
    <n v="10.056778"/>
    <x v="0"/>
  </r>
  <r>
    <n v="1297"/>
    <s v="T1335"/>
    <s v="IHS_KRI_116"/>
    <s v="T1335"/>
    <x v="7"/>
    <s v="Kribi Ngoe"/>
    <x v="0"/>
    <s v="Outdoor"/>
    <s v="Kribi 2"/>
    <s v="OCEAN"/>
    <s v="Kribi 1"/>
    <x v="7"/>
    <n v="2.952474"/>
    <n v="9.9136550000000003"/>
    <x v="0"/>
  </r>
  <r>
    <n v="1298"/>
    <s v="T0141"/>
    <s v="IHS_KRI_014"/>
    <s v="T0141"/>
    <x v="7"/>
    <s v="Nyete V11"/>
    <x v="0"/>
    <s v="Outdoor"/>
    <s v="Kribi 2"/>
    <s v="OCEAN"/>
    <s v="Kribi 1"/>
    <x v="7"/>
    <n v="2.7722449999999998"/>
    <n v="10.131962"/>
    <x v="0"/>
  </r>
  <r>
    <n v="1299"/>
    <s v="SUD_001"/>
    <s v="IHS_KRI_012"/>
    <s v="SUD_001"/>
    <x v="7"/>
    <s v="Bipaga"/>
    <x v="0"/>
    <s v="Indoor"/>
    <s v="Kribi 2"/>
    <s v="OCEAN"/>
    <s v="Kribi 1"/>
    <x v="7"/>
    <n v="3.102147"/>
    <n v="9.9896390000000004"/>
    <x v="0"/>
  </r>
  <r>
    <n v="1300"/>
    <s v="SUD_011"/>
    <s v="IHS_KRI_018"/>
    <s v="SUD_011"/>
    <x v="7"/>
    <s v="Niete-DG"/>
    <x v="0"/>
    <s v="Indoor"/>
    <s v="Kribi 2"/>
    <s v="OCEAN"/>
    <s v="Kribi 1"/>
    <x v="7"/>
    <n v="2.718181"/>
    <n v="10.065139"/>
    <x v="0"/>
  </r>
  <r>
    <n v="1301"/>
    <s v="T0173"/>
    <s v="IHS_KRI_013"/>
    <s v="T0173"/>
    <x v="7"/>
    <s v="Fifinda2"/>
    <x v="0"/>
    <s v="Indoor"/>
    <s v="Pouma 2"/>
    <s v="OCEAN"/>
    <s v="Fifinda"/>
    <x v="7"/>
    <n v="3.20106"/>
    <n v="10.0258"/>
    <x v="0"/>
  </r>
  <r>
    <n v="1302"/>
    <s v="LIT_132"/>
    <s v="IHS_KRI_024"/>
    <s v="LIT_132"/>
    <x v="7"/>
    <s v="Campo"/>
    <x v="0"/>
    <s v="Indoor"/>
    <s v="Kribi 1"/>
    <s v="OCEAN"/>
    <s v="Kribi 2"/>
    <x v="7"/>
    <n v="2.3775789999999999"/>
    <n v="9.8311259999999994"/>
    <x v="0"/>
  </r>
  <r>
    <n v="1303"/>
    <s v="SUD_004"/>
    <s v="IHS_KRI_016"/>
    <s v="SUD_004"/>
    <x v="7"/>
    <s v="Pama"/>
    <x v="0"/>
    <s v="Indoor"/>
    <s v="Pouma 2"/>
    <s v="OCEAN"/>
    <s v="Fifinda"/>
    <x v="7"/>
    <n v="3.3063030000000002"/>
    <n v="10.082806"/>
    <x v="0"/>
  </r>
  <r>
    <n v="1304"/>
    <s v="T0090"/>
    <s v="IHS_KRI_003"/>
    <s v="T0090"/>
    <x v="7"/>
    <s v="Talla-Kribi"/>
    <x v="0"/>
    <s v="Indoor"/>
    <s v="Kribi 1"/>
    <s v="OCEAN"/>
    <s v="Kribi 1"/>
    <x v="7"/>
    <n v="2.9310100000000001"/>
    <n v="9.9106199999999998"/>
    <x v="0"/>
  </r>
  <r>
    <n v="1305"/>
    <s v="T0344"/>
    <s v="IHS_KRI_008"/>
    <s v="T0344"/>
    <x v="7"/>
    <s v="Ebouyie Kribi"/>
    <x v="0"/>
    <s v="Indoor"/>
    <s v="Kribi 2"/>
    <s v="OCEAN"/>
    <s v="Kribi 1"/>
    <x v="7"/>
    <n v="2.99478"/>
    <n v="9.9405289999999997"/>
    <x v="0"/>
  </r>
  <r>
    <n v="1306"/>
    <s v="T1720"/>
    <s v="IHS_KRI_004"/>
    <s v="T1720"/>
    <x v="7"/>
    <s v="Ndombe Kribi"/>
    <x v="0"/>
    <s v="Outdoor"/>
    <s v="Kribi 1"/>
    <s v="OCEAN"/>
    <s v="Kribi 2"/>
    <x v="7"/>
    <n v="2.9504999999999999"/>
    <n v="9.9228330000000007"/>
    <x v="0"/>
  </r>
  <r>
    <n v="1307"/>
    <s v="T1711"/>
    <s v="IHS_KRI_001"/>
    <s v="T1711"/>
    <x v="7"/>
    <s v="KIENKE BRIDGE KRIBI"/>
    <x v="0"/>
    <s v="Outdoor"/>
    <s v="Kribi 2"/>
    <s v="OCEAN"/>
    <s v="Kribi 1"/>
    <x v="7"/>
    <n v="2.938577"/>
    <n v="9.9109739999999995"/>
    <x v="0"/>
  </r>
  <r>
    <n v="1308"/>
    <s v="LIT_195"/>
    <s v="IHS_KRI_011"/>
    <s v="LIT_195"/>
    <x v="7"/>
    <s v="Kienke"/>
    <x v="0"/>
    <s v="Outdoor"/>
    <s v="Kribi 2"/>
    <s v="OCEAN"/>
    <s v="Kribi 1"/>
    <x v="7"/>
    <n v="2.8532500000000001"/>
    <n v="9.9734719999999992"/>
    <x v="0"/>
  </r>
  <r>
    <n v="1309"/>
    <s v="SUD_021"/>
    <s v="IHS_KRI_009"/>
    <s v="SUD_021"/>
    <x v="7"/>
    <s v="Mpoloungoue"/>
    <x v="0"/>
    <s v="Outdoor"/>
    <s v="Kribi 2"/>
    <s v="OCEAN"/>
    <s v="Kribi 1"/>
    <x v="7"/>
    <n v="3.035139"/>
    <n v="9.9674110000000002"/>
    <x v="0"/>
  </r>
  <r>
    <n v="1310"/>
    <s v="LIT_107"/>
    <s v="IHS_KRI_010"/>
    <s v="LIT_107"/>
    <x v="7"/>
    <s v="Kribi-gd-batanga"/>
    <x v="0"/>
    <s v="Indoor"/>
    <s v="Kribi 1"/>
    <s v="OCEAN"/>
    <s v="Kribi 1"/>
    <x v="7"/>
    <n v="2.8532989999999998"/>
    <n v="9.8886040000000008"/>
    <x v="0"/>
  </r>
  <r>
    <n v="1311"/>
    <s v="SUD_240"/>
    <s v="IHS_KRI_007"/>
    <s v="SUD_240"/>
    <x v="7"/>
    <s v="Kribi-Bwambe"/>
    <x v="0"/>
    <s v="Outdoor"/>
    <s v="Kribi 1"/>
    <s v="OCEAN"/>
    <s v="Kribi 1"/>
    <x v="7"/>
    <n v="2.8885559999999999"/>
    <n v="9.9020829999999993"/>
    <x v="0"/>
  </r>
  <r>
    <n v="1312"/>
    <s v="T0412"/>
    <s v="IHS_KRI_019"/>
    <s v="T0412"/>
    <x v="7"/>
    <s v="Nyete V13"/>
    <x v="0"/>
    <s v="Outdoor"/>
    <s v="Kribi 2"/>
    <s v="OCEAN"/>
    <s v="Kribi 1"/>
    <x v="7"/>
    <n v="2.6881499999999998"/>
    <n v="10.070650000000001"/>
    <x v="0"/>
  </r>
  <r>
    <n v="1313"/>
    <s v="LIT_193"/>
    <s v="IHS_KRI_021"/>
    <s v="LIT_193"/>
    <x v="7"/>
    <s v="Niete-V14"/>
    <x v="0"/>
    <s v="Outdoor"/>
    <s v="Kribi 2"/>
    <s v="OCEAN"/>
    <s v="Kribi 1"/>
    <x v="7"/>
    <n v="2.6306889999999998"/>
    <n v="10.070092000000001"/>
    <x v="0"/>
  </r>
  <r>
    <n v="1314"/>
    <s v="SUD_006"/>
    <s v="IHS_KRI_002"/>
    <s v="SUD_006"/>
    <x v="7"/>
    <s v="Kribi-Ocean"/>
    <x v="0"/>
    <s v="Indoor"/>
    <s v="Kribi 1"/>
    <s v="OCEAN"/>
    <s v="Kribi 1"/>
    <x v="7"/>
    <n v="2.9329399999999999"/>
    <n v="9.9047499999999999"/>
    <x v="0"/>
  </r>
  <r>
    <n v="1315"/>
    <s v="T0904"/>
    <s v="IHS_EBO_018"/>
    <s v="T0904"/>
    <x v="5"/>
    <s v="Afanandom"/>
    <x v="0"/>
    <s v="Outdoor"/>
    <s v="AMBAM"/>
    <s v="NTEM"/>
    <s v="Ambam"/>
    <x v="7"/>
    <n v="2.5191759999999999"/>
    <n v="11.142772000000001"/>
    <x v="0"/>
  </r>
  <r>
    <n v="1316"/>
    <s v="T0043"/>
    <s v="IHS_KRI_023"/>
    <s v="T0043"/>
    <x v="7"/>
    <s v="Campo"/>
    <x v="0"/>
    <s v="Outdoor"/>
    <s v="Kribi 1"/>
    <s v="OCEAN"/>
    <s v="Kribi 1"/>
    <x v="7"/>
    <n v="2.3787780000000001"/>
    <n v="9.8283609999999992"/>
    <x v="0"/>
  </r>
  <r>
    <n v="1317"/>
    <s v="T0552"/>
    <s v="IHS_EBO_013"/>
    <s v="T0552"/>
    <x v="5"/>
    <s v="Nyasanga"/>
    <x v="0"/>
    <s v="Outdoor"/>
    <s v="AMBAM"/>
    <s v="NTEM"/>
    <s v="Ambam"/>
    <x v="7"/>
    <n v="2.6486230000000002"/>
    <n v="11.064057"/>
    <x v="0"/>
  </r>
  <r>
    <n v="1318"/>
    <s v="CTR_145"/>
    <s v="IHS_EBO_014"/>
    <s v="CTR_145"/>
    <x v="5"/>
    <s v="Meyo-Centre"/>
    <x v="0"/>
    <s v="Indoor"/>
    <s v="AMBAM"/>
    <s v="NTEM"/>
    <s v="Ambam"/>
    <x v="7"/>
    <n v="2.5399440000000002"/>
    <n v="11.024027999999999"/>
    <x v="0"/>
  </r>
  <r>
    <n v="1319"/>
    <s v="SUD_015"/>
    <s v="IHS_EBO_025"/>
    <s v="SUD_015"/>
    <x v="5"/>
    <s v="Kye-Ossi"/>
    <x v="0"/>
    <s v="Indoor"/>
    <s v="AMBAM"/>
    <s v="NTEM"/>
    <s v="KYEOSSI"/>
    <x v="7"/>
    <n v="2.1808000000000001"/>
    <n v="11.335184"/>
    <x v="0"/>
  </r>
  <r>
    <n v="1320"/>
    <s v="T0277"/>
    <s v="IHS_EBO_024"/>
    <s v="T0277"/>
    <x v="5"/>
    <s v="Kye Ossi"/>
    <x v="0"/>
    <s v="Outdoor"/>
    <s v="AMBAM"/>
    <s v="NTEM"/>
    <s v="KYEOSSI"/>
    <x v="7"/>
    <n v="2.1819109999999999"/>
    <n v="11.334358"/>
    <x v="0"/>
  </r>
  <r>
    <n v="1321"/>
    <s v="LIT_133"/>
    <s v="IHS_KRI_015"/>
    <s v="LIT_133"/>
    <x v="7"/>
    <s v="Colline-du-loup"/>
    <x v="0"/>
    <s v="Indoor"/>
    <s v="Kribi 1"/>
    <s v="OCEAN"/>
    <s v="Kribi 1"/>
    <x v="7"/>
    <n v="2.61978"/>
    <n v="9.8464600000000004"/>
    <x v="0"/>
  </r>
  <r>
    <n v="1322"/>
    <s v="T0728"/>
    <s v="IHS_KRI_025"/>
    <s v="T0728"/>
    <x v="5"/>
    <s v="Bipindi"/>
    <x v="0"/>
    <s v="Outdoor"/>
    <s v="Ebolowa"/>
    <s v="OCEAN"/>
    <s v="Bipindi"/>
    <x v="7"/>
    <n v="3.0897999999999999"/>
    <n v="10.412788000000001"/>
    <x v="0"/>
  </r>
  <r>
    <n v="1323"/>
    <s v="T1482"/>
    <s v="IHS_KRI_122"/>
    <s v="T1482"/>
    <x v="7"/>
    <s v="KRIBI HOTEL PARADIS"/>
    <x v="0"/>
    <s v="Outdoor"/>
    <s v="Kribi 2"/>
    <s v="OCEAN"/>
    <s v="Kribi 1"/>
    <x v="7"/>
    <n v="2.96848"/>
    <n v="9.9149799999999999"/>
    <x v="0"/>
  </r>
  <r>
    <n v="1324"/>
    <s v="T2801"/>
    <s v="IHS_EBO_110"/>
    <s v="T2801"/>
    <x v="5"/>
    <s v="ASSENG"/>
    <x v="0"/>
    <s v="Outdoor"/>
    <s v="AMBAM"/>
    <s v="NTEM"/>
    <s v="Ma'an"/>
    <x v="7"/>
    <n v="2.4319999999999999"/>
    <n v="10.521583"/>
    <x v="0"/>
  </r>
  <r>
    <n v="1325"/>
    <s v="T1991"/>
    <s v="IHS_KRI_121"/>
    <s v="T1991"/>
    <x v="7"/>
    <s v="SOCAPALM V4"/>
    <x v="0"/>
    <s v="Outdoor"/>
    <s v="Kribi 2"/>
    <s v="OCEAN"/>
    <s v="Kribi 1"/>
    <x v="7"/>
    <n v="2.9341390000000001"/>
    <n v="10.001721999999999"/>
    <x v="0"/>
  </r>
  <r>
    <n v="1326"/>
    <s v="T3461"/>
    <s v="IHS_KRI_120"/>
    <s v="T3461"/>
    <x v="7"/>
    <s v="BIDOU"/>
    <x v="0"/>
    <s v="Outdoor"/>
    <s v="Kribi 1"/>
    <s v="OCEAN"/>
    <s v="Kribi 2"/>
    <x v="7"/>
    <n v="3.0541610000000001"/>
    <n v="10.110839"/>
    <x v="0"/>
  </r>
  <r>
    <n v="1327"/>
    <s v="T1893"/>
    <s v="IHS_KRI_028"/>
    <s v="T1893"/>
    <x v="7"/>
    <s v="Kribi Port"/>
    <x v="0"/>
    <s v="Outdoor"/>
    <s v="Kribi 1"/>
    <s v="OCEAN"/>
    <s v="Kribi 1"/>
    <x v="7"/>
    <n v="2.712663"/>
    <n v="9.8644879999999997"/>
    <x v="0"/>
  </r>
  <r>
    <n v="1328"/>
    <s v="T0138"/>
    <s v="IHS_EBO_021"/>
    <s v="T0138"/>
    <x v="5"/>
    <s v="Ambam"/>
    <x v="0"/>
    <s v="Indoor"/>
    <s v="AMBAM"/>
    <s v="NTEM"/>
    <s v="AMBAM"/>
    <x v="7"/>
    <n v="2.3863270000000001"/>
    <n v="11.264132"/>
    <x v="0"/>
  </r>
  <r>
    <n v="1329"/>
    <s v="T2624"/>
    <s v="IHS_KRI_123"/>
    <s v="T2624"/>
    <x v="7"/>
    <s v="NLENDE DIBE"/>
    <x v="0"/>
    <s v="Outdoor"/>
    <s v="Kribi 1"/>
    <s v="OCEAN"/>
    <s v="Kribi 1"/>
    <x v="7"/>
    <n v="2.7548900000000001"/>
    <n v="9.880865"/>
    <x v="0"/>
  </r>
  <r>
    <n v="1330"/>
    <s v="T3556"/>
    <s v="IHS_KRI_124"/>
    <s v="T3556"/>
    <x v="7"/>
    <s v="Kribi Carrefourt Kingue"/>
    <x v="0"/>
    <s v="Outdoor"/>
    <s v="Kribi 1"/>
    <s v="OCEAN"/>
    <s v="Kribi 1"/>
    <x v="7"/>
    <n v="2.9455505"/>
    <n v="9.9166817999999992"/>
    <x v="0"/>
  </r>
  <r>
    <n v="1331"/>
    <s v="T2718"/>
    <s v="IHS_KRI_125"/>
    <s v="T2718"/>
    <x v="7"/>
    <s v="BOKOUKOUALA"/>
    <x v="0"/>
    <s v="Outdoor"/>
    <s v="Kribi 1"/>
    <s v="OCEAN"/>
    <s v="Kribi 1"/>
    <x v="7"/>
    <n v="3.010615"/>
    <n v="10.33207"/>
    <x v="0"/>
  </r>
  <r>
    <n v="1332"/>
    <s v="T2687"/>
    <s v="IHS_KRI_126"/>
    <s v="T2687"/>
    <x v="7"/>
    <s v="KRIBI LOBE SINOSTEEL"/>
    <x v="0"/>
    <s v="Outdoor"/>
    <s v="Kribi 2"/>
    <s v="OCEAN"/>
    <s v="Kribi 2"/>
    <x v="7"/>
    <n v="2.6154999999999999"/>
    <n v="9.9518000000000004"/>
    <x v="0"/>
  </r>
  <r>
    <n v="1333"/>
    <s v="T2080"/>
    <s v="IHS_KRI_030"/>
    <s v="T2080"/>
    <x v="5"/>
    <s v="KRIBI CHEFFERIE MAOVE"/>
    <x v="0"/>
    <s v="Outdoor"/>
    <m/>
    <s v="OCEAN"/>
    <s v="KRIBI II"/>
    <x v="7"/>
    <n v="2.9628230000000002"/>
    <n v="9.9211899999999993"/>
    <x v="0"/>
  </r>
  <r>
    <n v="1334"/>
    <s v="T1312"/>
    <s v="IHS_KMB_020"/>
    <s v="T1312"/>
    <x v="6"/>
    <s v="Teke"/>
    <x v="1"/>
    <s v="Outdoor"/>
    <s v="Kumba"/>
    <s v="Meme"/>
    <s v="Kumba 3"/>
    <x v="10"/>
    <n v="4.68642"/>
    <n v="9.5138999999999996"/>
    <x v="0"/>
  </r>
  <r>
    <n v="1335"/>
    <s v="T1767"/>
    <s v="IHS_KMB_019"/>
    <s v="T1767"/>
    <x v="6"/>
    <s v="Small Ekombe"/>
    <x v="1"/>
    <s v="Outdoor"/>
    <s v="Kumba"/>
    <s v="Meme"/>
    <s v="Mbonge"/>
    <x v="10"/>
    <n v="4.6074999999999999"/>
    <n v="9.3800000000000008"/>
    <x v="0"/>
  </r>
  <r>
    <n v="1336"/>
    <s v="T0245"/>
    <s v="IHS_MBG_008"/>
    <s v="T0245"/>
    <x v="6"/>
    <s v="Njombe SDH"/>
    <x v="1"/>
    <s v="Indoor"/>
    <s v="Mbanga"/>
    <s v="MOUNGO"/>
    <s v="njombe penja"/>
    <x v="10"/>
    <n v="4.6091199999999999"/>
    <n v="9.643122"/>
    <x v="0"/>
  </r>
  <r>
    <n v="1337"/>
    <s v="T1298"/>
    <s v="IHS_MBG_028"/>
    <s v="T1298"/>
    <x v="6"/>
    <s v="Njombe Kompita"/>
    <x v="1"/>
    <s v="Outdoor"/>
    <s v="Mbanga"/>
    <s v="MOUNGO"/>
    <s v="njombe  penja"/>
    <x v="10"/>
    <n v="4.5862600000000002"/>
    <n v="9.6535299999999999"/>
    <x v="0"/>
  </r>
  <r>
    <n v="1338"/>
    <s v="SUO_020"/>
    <s v="IHS_KMB_049"/>
    <s v="SUO_020"/>
    <x v="6"/>
    <s v="Mundemba"/>
    <x v="1"/>
    <s v="Outdoor"/>
    <s v="Ekondo Titi"/>
    <s v="NDIAN"/>
    <s v="Mundemba"/>
    <x v="10"/>
    <n v="4.9620277780000004"/>
    <n v="8.8939722220000004"/>
    <x v="0"/>
  </r>
  <r>
    <n v="1339"/>
    <s v="SUO_134"/>
    <s v="IHS_KMB_109"/>
    <s v="SUO_134"/>
    <x v="6"/>
    <s v="Mbonge"/>
    <x v="1"/>
    <s v="Outdoor"/>
    <s v="Ekondo Titi"/>
    <s v="NDIAN"/>
    <s v="Mbonge"/>
    <x v="10"/>
    <n v="4.5538949999999998"/>
    <n v="9.0729439999999997"/>
    <x v="0"/>
  </r>
  <r>
    <n v="1340"/>
    <s v="T1769"/>
    <s v="IHS_KMB_016"/>
    <s v="T1769"/>
    <x v="6"/>
    <s v="Kumba Barombi Kan"/>
    <x v="1"/>
    <s v="Outdoor"/>
    <s v="Kumba"/>
    <s v="MEME"/>
    <s v="Kumba 3"/>
    <x v="10"/>
    <n v="4.595421"/>
    <n v="9.4671450000000004"/>
    <x v="0"/>
  </r>
  <r>
    <n v="1341"/>
    <s v="SUO_032"/>
    <s v="IHS_KMB_037"/>
    <s v="SUO_032"/>
    <x v="6"/>
    <s v="Konye"/>
    <x v="1"/>
    <s v="Outdoor"/>
    <s v="Kumba"/>
    <s v="Meme"/>
    <s v="Konye"/>
    <x v="10"/>
    <n v="4.9344440000000001"/>
    <n v="9.4775559999999999"/>
    <x v="0"/>
  </r>
  <r>
    <n v="1342"/>
    <s v="T0928"/>
    <s v="IHS_KMB_045"/>
    <s v="T0928"/>
    <x v="6"/>
    <s v="ILLOR BALONDO"/>
    <x v="1"/>
    <s v="Outdoor"/>
    <s v="Ekondo Titi"/>
    <s v="NDIAN"/>
    <s v="Ekondo titi"/>
    <x v="10"/>
    <n v="4.8194166669999996"/>
    <n v="8.9054722220000002"/>
    <x v="0"/>
  </r>
  <r>
    <n v="1343"/>
    <s v="SUO_097"/>
    <s v="IHS_KMB_102"/>
    <s v="SUO_097"/>
    <x v="6"/>
    <s v="Gamoko-Hill-C1"/>
    <x v="2"/>
    <s v="Outdoor"/>
    <s v="Kumba"/>
    <s v="Meme"/>
    <s v="Mbonge"/>
    <x v="10"/>
    <n v="4.5503609999999997"/>
    <n v="9.2853060000000003"/>
    <x v="0"/>
  </r>
  <r>
    <n v="1344"/>
    <s v="T1757"/>
    <s v="IHS_KMB_057"/>
    <s v="T1757"/>
    <x v="6"/>
    <s v="Dikome Balue Town"/>
    <x v="3"/>
    <s v="Outdoor"/>
    <s v="Kumba"/>
    <s v="Meme"/>
    <s v="Dikome Balue"/>
    <x v="10"/>
    <n v="4.8994444440000002"/>
    <n v="9.2570833330000006"/>
    <x v="0"/>
  </r>
  <r>
    <n v="1345"/>
    <s v="T2112"/>
    <s v="IHS_KMB_103"/>
    <s v="T2112"/>
    <x v="6"/>
    <s v="BIG NGBANDI"/>
    <x v="1"/>
    <s v="Outdoor"/>
    <s v="Kumba"/>
    <s v="Meme"/>
    <s v="Dikome Balue"/>
    <x v="10"/>
    <n v="4.7874444440000001"/>
    <n v="9.2336388889999998"/>
    <x v="0"/>
  </r>
  <r>
    <n v="1346"/>
    <s v="T1810"/>
    <s v="IHS_KMB_012"/>
    <s v="T1810"/>
    <x v="6"/>
    <s v="Kumba Makata"/>
    <x v="1"/>
    <s v="Outdoor"/>
    <s v="Kumba"/>
    <s v="MEME"/>
    <s v="Kumba 1"/>
    <x v="10"/>
    <n v="4.6207289999999999"/>
    <n v="9.4361519999999999"/>
    <x v="0"/>
  </r>
  <r>
    <n v="1347"/>
    <s v="T1880"/>
    <s v="IHS_KMB_100"/>
    <s v="T1880"/>
    <x v="6"/>
    <s v="Kumba Nkamlikum"/>
    <x v="1"/>
    <s v="Outdoor"/>
    <s v="Kumba"/>
    <s v="MEME"/>
    <s v="Kumba 1"/>
    <x v="10"/>
    <n v="4.6276780000000004"/>
    <n v="9.4312529999999999"/>
    <x v="0"/>
  </r>
  <r>
    <n v="1348"/>
    <s v="T1268"/>
    <s v="IHS_KMB_031"/>
    <s v="T1268"/>
    <x v="6"/>
    <s v="Big Gandjo"/>
    <x v="1"/>
    <s v="Outdoor"/>
    <s v="Ekondo Titi"/>
    <s v="MEME"/>
    <s v="Mbonge"/>
    <x v="10"/>
    <n v="4.569"/>
    <n v="9.1219000000000001"/>
    <x v="0"/>
  </r>
  <r>
    <n v="1349"/>
    <s v="SUO_019"/>
    <s v="IHS_KMB_033"/>
    <s v="SUO_019"/>
    <x v="6"/>
    <s v="Ekondo-Titi"/>
    <x v="1"/>
    <s v="Outdoor"/>
    <s v="Ekondo Titi"/>
    <s v="NDIAN"/>
    <s v="EKONDO TITI"/>
    <x v="10"/>
    <n v="4.6097099999999998"/>
    <n v="9.0896519999999992"/>
    <x v="0"/>
  </r>
  <r>
    <n v="1350"/>
    <s v="LIT_039"/>
    <s v="IHS_MBG_006"/>
    <s v="LIT_039"/>
    <x v="6"/>
    <s v="Njombe"/>
    <x v="0"/>
    <s v="Indoor"/>
    <s v="Mbanga"/>
    <s v="MOUNGO"/>
    <s v="njombe  penja"/>
    <x v="10"/>
    <n v="4.5905250000000004"/>
    <n v="9.6474440000000001"/>
    <x v="0"/>
  </r>
  <r>
    <n v="1351"/>
    <s v="T1179"/>
    <s v="IHS_BUA_156"/>
    <s v="T1179"/>
    <x v="6"/>
    <s v="Kumba Gare Ntam I"/>
    <x v="1"/>
    <s v="Outdoor"/>
    <s v="Kumba"/>
    <s v="MEME"/>
    <s v="Kumba 3"/>
    <x v="10"/>
    <n v="4.6325940000000001"/>
    <n v="9.4642440000000008"/>
    <x v="0"/>
  </r>
  <r>
    <n v="1352"/>
    <s v="T0774"/>
    <s v="IHS_MBG_016"/>
    <s v="T0774"/>
    <x v="6"/>
    <s v="Penja Plantations"/>
    <x v="1"/>
    <s v="Indoor"/>
    <s v="Loum"/>
    <s v="MOUNGO"/>
    <s v="loum"/>
    <x v="10"/>
    <n v="4.6954900000000004"/>
    <n v="9.7060099999999991"/>
    <x v="0"/>
  </r>
  <r>
    <n v="1353"/>
    <s v="T1917"/>
    <s v="IHS_MBG_019"/>
    <s v="T1917"/>
    <x v="6"/>
    <s v="Loum Nkombi II"/>
    <x v="0"/>
    <s v="Outdoor"/>
    <s v="Loum"/>
    <s v="MOUNGO"/>
    <s v="loum   "/>
    <x v="10"/>
    <n v="4.712555"/>
    <n v="9.7377289999999999"/>
    <x v="0"/>
  </r>
  <r>
    <n v="1354"/>
    <s v="T0302"/>
    <s v="IHS_MBG_009"/>
    <s v="T0302"/>
    <x v="6"/>
    <s v="Kombe"/>
    <x v="1"/>
    <s v="Indoor"/>
    <s v="Mbanga"/>
    <s v="MOUNGO"/>
    <s v="MBANGA"/>
    <x v="10"/>
    <n v="4.3782120000000004"/>
    <n v="9.5685979999999997"/>
    <x v="0"/>
  </r>
  <r>
    <n v="1355"/>
    <s v="T0787"/>
    <s v="IHS_KMB_018"/>
    <s v="T0787"/>
    <x v="6"/>
    <s v="Mabonji Buea Road"/>
    <x v="1"/>
    <s v="Outdoor"/>
    <s v="Kumba"/>
    <s v="FAKO"/>
    <s v="Mbonge"/>
    <x v="10"/>
    <n v="4.5609500000000001"/>
    <n v="9.4647900000000007"/>
    <x v="0"/>
  </r>
  <r>
    <n v="1356"/>
    <s v="T0483"/>
    <s v="IHS_KMB_021"/>
    <s v="T0483"/>
    <x v="6"/>
    <s v="Ekombe Bondji"/>
    <x v="1"/>
    <s v="Outdoor"/>
    <s v="Kumba"/>
    <s v="Meme"/>
    <s v="Mbonge"/>
    <x v="10"/>
    <n v="4.5936300000000001"/>
    <n v="9.3452800000000007"/>
    <x v="0"/>
  </r>
  <r>
    <n v="1357"/>
    <s v="T1849"/>
    <s v="IHS_MBG_011"/>
    <s v="T1849"/>
    <x v="6"/>
    <s v="Penja Shell"/>
    <x v="0"/>
    <s v="Outdoor"/>
    <s v="Mbanga"/>
    <s v="MOUNGO"/>
    <s v="njombe penja"/>
    <x v="10"/>
    <n v="4.6463890000000001"/>
    <n v="9.6796670000000002"/>
    <x v="0"/>
  </r>
  <r>
    <n v="1358"/>
    <s v="T1726"/>
    <s v="IHS_MBG_002"/>
    <s v="T1726"/>
    <x v="6"/>
    <s v="Mbanga Q8"/>
    <x v="1"/>
    <s v="Outdoor"/>
    <s v="Mbanga"/>
    <s v="MOUNGO"/>
    <s v="MBANGA"/>
    <x v="10"/>
    <n v="4.5064019999999996"/>
    <n v="9.5696890000000003"/>
    <x v="0"/>
  </r>
  <r>
    <n v="1359"/>
    <s v="T1719"/>
    <s v="IHS_MBG_018"/>
    <s v="T1719"/>
    <x v="6"/>
    <s v="Loum Joli"/>
    <x v="0"/>
    <s v="Outdoor"/>
    <s v="Loum"/>
    <s v="MOUNGO"/>
    <s v="loum   "/>
    <x v="10"/>
    <n v="4.7166439999999996"/>
    <n v="9.728275"/>
    <x v="0"/>
  </r>
  <r>
    <n v="1360"/>
    <s v="T2805"/>
    <s v="IHS_KMB_108"/>
    <s v="T2805"/>
    <x v="6"/>
    <s v="Kumba Preventive"/>
    <x v="1"/>
    <s v="Outdoor"/>
    <s v="Kumba"/>
    <s v="MEME"/>
    <s v="Kumba 1"/>
    <x v="10"/>
    <n v="4.631094"/>
    <n v="9.4460610000000003"/>
    <x v="0"/>
  </r>
  <r>
    <n v="1361"/>
    <s v="T0479"/>
    <s v="IHS_MBG_003"/>
    <s v="T0479"/>
    <x v="6"/>
    <s v="Mbanga Town"/>
    <x v="1"/>
    <s v="Outdoor"/>
    <s v="Mbanga"/>
    <s v="MOUNGO"/>
    <s v="MBANGA"/>
    <x v="10"/>
    <n v="4.4841379999999997"/>
    <n v="9.5671169999999996"/>
    <x v="0"/>
  </r>
  <r>
    <n v="1362"/>
    <s v="SUO_071"/>
    <s v="IHS_KMB_002"/>
    <s v="SUO_071"/>
    <x v="6"/>
    <s v="Kumba-Centre"/>
    <x v="1"/>
    <s v="Outdoor"/>
    <s v="Kumba"/>
    <s v="MEME"/>
    <s v="Kumba"/>
    <x v="10"/>
    <n v="4.6380280000000003"/>
    <n v="9.4588330000000003"/>
    <x v="0"/>
  </r>
  <r>
    <n v="1363"/>
    <s v="T1764"/>
    <s v="IHS_KMB_023"/>
    <s v="T1764"/>
    <x v="6"/>
    <s v="Nake Bakundu"/>
    <x v="1"/>
    <s v="Outdoor"/>
    <s v="Kumba"/>
    <s v="Meme"/>
    <s v="Mbonge"/>
    <x v="10"/>
    <n v="4.56974488"/>
    <n v="9.2583120900000004"/>
    <x v="0"/>
  </r>
  <r>
    <n v="1364"/>
    <s v="T1771"/>
    <s v="IHS_KMB_008"/>
    <s v="T1771"/>
    <x v="6"/>
    <s v="Kumba Pulletin"/>
    <x v="1"/>
    <s v="Outdoor"/>
    <s v="Kumba"/>
    <s v="MEME"/>
    <s v="Kumba 2"/>
    <x v="10"/>
    <n v="4.6487220000000002"/>
    <n v="9.4389280000000007"/>
    <x v="0"/>
  </r>
  <r>
    <n v="1365"/>
    <s v="T0407"/>
    <s v="IHS_KMB_006"/>
    <s v="T0407"/>
    <x v="6"/>
    <s v="Kumba Market"/>
    <x v="1"/>
    <s v="Indoor"/>
    <s v="Kumba"/>
    <s v="MEME"/>
    <s v="Kumba 1"/>
    <x v="10"/>
    <n v="4.6354240000000004"/>
    <n v="9.4363010000000003"/>
    <x v="1"/>
  </r>
  <r>
    <n v="1366"/>
    <s v="SUO_052"/>
    <s v="IHS_KMB_014"/>
    <s v="SUO_052"/>
    <x v="6"/>
    <s v="Kumba-Kake"/>
    <x v="1"/>
    <s v="Outdoor"/>
    <s v="Kumba"/>
    <s v="MEME"/>
    <s v="Kumba 1"/>
    <x v="10"/>
    <n v="4.6245279999999998"/>
    <n v="9.4233060000000002"/>
    <x v="0"/>
  </r>
  <r>
    <n v="1367"/>
    <s v="T0781"/>
    <s v="IHS_KMB_013"/>
    <s v="T0781"/>
    <x v="6"/>
    <s v="Kumba Station"/>
    <x v="1"/>
    <s v="Outdoor"/>
    <s v="Kumba"/>
    <s v="MEME"/>
    <s v="Kumba"/>
    <x v="10"/>
    <n v="4.644647"/>
    <n v="9.4243050000000004"/>
    <x v="0"/>
  </r>
  <r>
    <n v="1368"/>
    <s v="T1713"/>
    <s v="IHS_KMB_010"/>
    <s v="T1713"/>
    <x v="6"/>
    <s v="CCAS KUMBA"/>
    <x v="1"/>
    <s v="Outdoor"/>
    <s v="Kumba"/>
    <s v="MEME"/>
    <s v="Kumba 3"/>
    <x v="10"/>
    <n v="4.6161000000000003"/>
    <n v="9.4560700000000004"/>
    <x v="0"/>
  </r>
  <r>
    <n v="1369"/>
    <s v="T0849"/>
    <s v="IHS_KMB_011"/>
    <s v="T0849"/>
    <x v="6"/>
    <s v="Kumba Kossala"/>
    <x v="1"/>
    <s v="Outdoor"/>
    <s v="Kumba"/>
    <s v="MEME"/>
    <s v="Kumba 2"/>
    <x v="10"/>
    <n v="4.6539869999999999"/>
    <n v="9.4498800000000003"/>
    <x v="0"/>
  </r>
  <r>
    <n v="1370"/>
    <s v="T1770"/>
    <s v="IHS_KMB_003"/>
    <s v="T1770"/>
    <x v="6"/>
    <s v="Kumba Kossala 2"/>
    <x v="1"/>
    <s v="Outdoor"/>
    <s v="Kumba"/>
    <s v="MEME"/>
    <s v="Kumba 2"/>
    <x v="10"/>
    <n v="4.6439440000000003"/>
    <n v="9.4515560000000001"/>
    <x v="0"/>
  </r>
  <r>
    <n v="1371"/>
    <s v="T1712"/>
    <s v="IHS_KMB_001"/>
    <s v="T1712"/>
    <x v="6"/>
    <s v="MBO STREET"/>
    <x v="1"/>
    <s v="Outdoor"/>
    <s v="Kumba"/>
    <s v="MEME"/>
    <s v="Kumba 2"/>
    <x v="10"/>
    <n v="4.6374529999999998"/>
    <n v="9.4540019999999991"/>
    <x v="0"/>
  </r>
  <r>
    <n v="1372"/>
    <s v="T1714"/>
    <s v="IHS_KMB_009"/>
    <s v="T1714"/>
    <x v="6"/>
    <s v="FIANGO TREE CORNERS"/>
    <x v="1"/>
    <s v="Outdoor"/>
    <s v="Kumba"/>
    <s v="MEME"/>
    <s v="Kumba 3"/>
    <x v="10"/>
    <n v="4.6388680000000004"/>
    <n v="9.4691329999999994"/>
    <x v="0"/>
  </r>
  <r>
    <n v="1373"/>
    <s v="T0784"/>
    <s v="IHS_KMB_022"/>
    <s v="T0784"/>
    <x v="6"/>
    <s v="Ekiliwindi"/>
    <x v="1"/>
    <s v="Outdoor"/>
    <s v="Kumba"/>
    <s v="Meme"/>
    <s v="Konye"/>
    <x v="10"/>
    <n v="4.7261600000000001"/>
    <n v="9.4880600000000008"/>
    <x v="0"/>
  </r>
  <r>
    <n v="1374"/>
    <s v="T1132"/>
    <s v="IHS_KMB_005"/>
    <s v="T1132"/>
    <x v="6"/>
    <s v="Kumba Gare"/>
    <x v="1"/>
    <s v="Outdoor"/>
    <s v="Kumba"/>
    <s v="MEME"/>
    <s v="Kumba"/>
    <x v="10"/>
    <n v="4.6379669999999997"/>
    <n v="9.4623179999999998"/>
    <x v="0"/>
  </r>
  <r>
    <n v="1375"/>
    <s v="T0657"/>
    <s v="IHS_KMB_035"/>
    <s v="T0657"/>
    <x v="6"/>
    <s v="Ekondo Titi Town"/>
    <x v="1"/>
    <s v="Outdoor"/>
    <s v="Ekondo Titi"/>
    <s v="NDIAN"/>
    <s v="Ekondo titi"/>
    <x v="10"/>
    <n v="4.6033999000000003"/>
    <n v="9.0386401000000003"/>
    <x v="0"/>
  </r>
  <r>
    <n v="1376"/>
    <s v="T0548"/>
    <s v="IHS_KMB_015"/>
    <s v="T0548"/>
    <x v="6"/>
    <s v="Kumba Lutherian Church"/>
    <x v="1"/>
    <s v="Outdoor"/>
    <s v="Kumba"/>
    <s v="Meme"/>
    <s v="Kumba 3"/>
    <x v="10"/>
    <n v="4.6010799999999996"/>
    <n v="9.4586199999999998"/>
    <x v="0"/>
  </r>
  <r>
    <n v="1377"/>
    <s v="T1133"/>
    <s v="IHS_KMB_007"/>
    <s v="T1133"/>
    <x v="6"/>
    <s v="Kumba krama"/>
    <x v="1"/>
    <s v="Outdoor"/>
    <s v="Kumba"/>
    <s v="MEME"/>
    <s v="Kumba 1"/>
    <x v="10"/>
    <n v="4.6295000000000002"/>
    <n v="9.4384999999999994"/>
    <x v="1"/>
  </r>
  <r>
    <n v="1378"/>
    <s v="T0044"/>
    <s v="IHS_KMB_048"/>
    <s v="T0044"/>
    <x v="6"/>
    <s v="Mundemba"/>
    <x v="1"/>
    <s v="Indoor"/>
    <s v="Ekondo Titi"/>
    <s v="NDIAN"/>
    <s v="Mundemba"/>
    <x v="10"/>
    <n v="4.9745100000000004"/>
    <n v="8.9053199999999997"/>
    <x v="0"/>
  </r>
  <r>
    <n v="1379"/>
    <s v="LIT_233"/>
    <s v="IHS_MBG_005"/>
    <s v="LIT_233"/>
    <x v="6"/>
    <s v="Tangui"/>
    <x v="0"/>
    <s v="Outdoor"/>
    <s v="Mbanga"/>
    <s v="MOUNGO"/>
    <s v="mombo"/>
    <x v="10"/>
    <n v="4.5404799999999996"/>
    <n v="9.6069990000000001"/>
    <x v="0"/>
  </r>
  <r>
    <n v="1380"/>
    <s v="T0045"/>
    <s v="IHS_KMB_032"/>
    <s v="T0045"/>
    <x v="6"/>
    <s v="Bogongo I"/>
    <x v="1"/>
    <s v="Indoor"/>
    <s v="Ekondo Titi"/>
    <s v="NDIAN"/>
    <s v="Mbonge"/>
    <x v="10"/>
    <n v="4.5743019"/>
    <n v="9.0861750000000008"/>
    <x v="0"/>
  </r>
  <r>
    <n v="1381"/>
    <s v="SUO_006"/>
    <s v="IHS_KMB_004"/>
    <s v="SUO_006"/>
    <x v="6"/>
    <s v="Kumba"/>
    <x v="1"/>
    <s v="Indoor"/>
    <s v="Kumba"/>
    <s v="MEME"/>
    <s v="Kumba 2"/>
    <x v="10"/>
    <n v="4.6399220000000003"/>
    <n v="9.4431349999999998"/>
    <x v="0"/>
  </r>
  <r>
    <n v="1382"/>
    <s v="SUO_027"/>
    <s v="IHS_KMB_017"/>
    <s v="SUO_027"/>
    <x v="6"/>
    <s v="Kumba-Mabanda"/>
    <x v="1"/>
    <s v="Outdoor"/>
    <s v="Kumba"/>
    <s v="MEME"/>
    <s v="Kumba 3"/>
    <x v="10"/>
    <n v="4.6400350000000001"/>
    <n v="9.4847479999999997"/>
    <x v="0"/>
  </r>
  <r>
    <n v="1383"/>
    <s v="T0663"/>
    <s v="IHS_MBG_013"/>
    <s v="T0663"/>
    <x v="6"/>
    <s v="Penja"/>
    <x v="1"/>
    <s v="Outdoor"/>
    <s v="Mbanga"/>
    <s v="MOUNGO"/>
    <s v="njombe  penja"/>
    <x v="10"/>
    <n v="4.6420880000000002"/>
    <n v="9.6936319999999991"/>
    <x v="0"/>
  </r>
  <r>
    <n v="1384"/>
    <s v="T0478"/>
    <s v="IHS_MBG_017"/>
    <s v="T0478"/>
    <x v="6"/>
    <s v="Loum"/>
    <x v="1"/>
    <s v="Outdoor"/>
    <s v="Loum"/>
    <s v="MOUNGO"/>
    <s v="loum"/>
    <x v="10"/>
    <n v="4.6955169999999997"/>
    <n v="9.7118120000000001"/>
    <x v="0"/>
  </r>
  <r>
    <n v="1385"/>
    <s v="T0127"/>
    <s v="IHS_KMB_029"/>
    <s v="T0127"/>
    <x v="6"/>
    <s v="Tombel"/>
    <x v="1"/>
    <s v="Indoor"/>
    <s v="Loum"/>
    <s v="MOUNGO"/>
    <s v="TOMBEL"/>
    <x v="10"/>
    <n v="4.7472500000000002"/>
    <n v="9.6676669999999998"/>
    <x v="0"/>
  </r>
  <r>
    <n v="1386"/>
    <s v="LIT_208"/>
    <s v="IHS_MBG_012"/>
    <s v="LIT_208"/>
    <x v="6"/>
    <s v="Penja"/>
    <x v="0"/>
    <s v="Outdoor"/>
    <s v="Mbanga"/>
    <s v="MOUNGO"/>
    <s v="njombe penja"/>
    <x v="10"/>
    <n v="4.6393329999999997"/>
    <n v="9.6925000000000008"/>
    <x v="0"/>
  </r>
  <r>
    <n v="1387"/>
    <s v="T0790"/>
    <s v="IHS_KMB_024"/>
    <s v="T0790"/>
    <x v="6"/>
    <s v="Ebonji"/>
    <x v="1"/>
    <s v="Outdoor"/>
    <s v="Loum"/>
    <s v="Koupe-Manengouba"/>
    <s v="TOMBEL"/>
    <x v="10"/>
    <n v="4.7203200000000001"/>
    <n v="9.6269799999999996"/>
    <x v="0"/>
  </r>
  <r>
    <n v="1388"/>
    <s v="T1841"/>
    <s v="IHS_MBG_007"/>
    <s v="T1841"/>
    <x v="6"/>
    <s v="Njombe Market"/>
    <x v="0"/>
    <s v="Outdoor"/>
    <s v="Mbanga"/>
    <s v="MOUNGO"/>
    <s v="njombe penja"/>
    <x v="10"/>
    <n v="4.5918320000000001"/>
    <n v="9.6646249999999991"/>
    <x v="0"/>
  </r>
  <r>
    <n v="1389"/>
    <s v="LIT_031"/>
    <s v="IHS_MBG_004"/>
    <s v="LIT_031"/>
    <x v="6"/>
    <s v="Mbanga"/>
    <x v="0"/>
    <s v="Indoor"/>
    <s v="Mbanga"/>
    <s v="MOUNGO"/>
    <s v="MBANGA"/>
    <x v="10"/>
    <n v="4.4861510000000004"/>
    <n v="9.5563859999999998"/>
    <x v="0"/>
  </r>
  <r>
    <n v="1390"/>
    <s v="T1718"/>
    <s v="IHS_MBG_001"/>
    <s v="T1718"/>
    <x v="6"/>
    <s v="Mbanga2"/>
    <x v="0"/>
    <s v="Outdoor"/>
    <s v="Mbanga"/>
    <s v="MOUNGO"/>
    <s v="MBANGA"/>
    <x v="10"/>
    <n v="4.4976000000000003"/>
    <n v="9.5662900000000004"/>
    <x v="0"/>
  </r>
  <r>
    <n v="1391"/>
    <s v="T0608"/>
    <s v="IHS_BUA_053"/>
    <s v="T0608"/>
    <x v="6"/>
    <s v="Bombe Bakundu"/>
    <x v="1"/>
    <s v="Outdoor"/>
    <s v="Kumba"/>
    <s v="Meme"/>
    <s v="Mbonge"/>
    <x v="10"/>
    <n v="4.44224"/>
    <n v="9.4537399999999998"/>
    <x v="0"/>
  </r>
  <r>
    <n v="1392"/>
    <s v="T0786"/>
    <s v="IHS_KMB_027"/>
    <s v="T0786"/>
    <x v="6"/>
    <s v="Ngongo"/>
    <x v="1"/>
    <s v="Outdoor"/>
    <s v="Ekondo Titi"/>
    <s v="LEKIE "/>
    <s v="Mbonge"/>
    <x v="10"/>
    <n v="4.5484999999999998"/>
    <n v="9.2416640000000001"/>
    <x v="0"/>
  </r>
  <r>
    <n v="1393"/>
    <s v="T0731"/>
    <s v="IHS_BUA_052"/>
    <s v="T0731"/>
    <x v="6"/>
    <s v="Muyengue"/>
    <x v="1"/>
    <s v="Outdoor"/>
    <s v="Buea"/>
    <s v="FAKO"/>
    <s v="Muyuka"/>
    <x v="10"/>
    <n v="4.4177489999999997"/>
    <n v="9.3207839999999997"/>
    <x v="0"/>
  </r>
  <r>
    <n v="1394"/>
    <s v="T0659"/>
    <s v="IHS_KMB_050"/>
    <s v="T0659"/>
    <x v="6"/>
    <s v="Mundemba Palmoil"/>
    <x v="1"/>
    <s v="Outdoor"/>
    <s v="Ekondo Titi"/>
    <s v="NDIAN"/>
    <s v="Mundemba"/>
    <x v="10"/>
    <n v="4.9458000000000002"/>
    <n v="8.8725500000000004"/>
    <x v="0"/>
  </r>
  <r>
    <n v="1395"/>
    <s v="T0926"/>
    <s v="IHS_KMB_036"/>
    <s v="T0926"/>
    <x v="6"/>
    <s v="Masore"/>
    <x v="1"/>
    <s v="Outdoor"/>
    <s v="Ekondo Titi"/>
    <s v="NDIAN"/>
    <s v="Ekondo titi"/>
    <x v="10"/>
    <n v="4.6418759999999999"/>
    <n v="8.9977450000000001"/>
    <x v="0"/>
  </r>
  <r>
    <n v="1396"/>
    <s v="T0927"/>
    <s v="IHS_KMB_041"/>
    <s v="T0927"/>
    <x v="6"/>
    <s v="Loe"/>
    <x v="1"/>
    <s v="Outdoor"/>
    <s v="Ekondo Titi"/>
    <s v="NDIAN"/>
    <s v="Ekondo titi"/>
    <x v="10"/>
    <n v="4.7160555559999997"/>
    <n v="8.9362499999999994"/>
    <x v="0"/>
  </r>
  <r>
    <n v="1397"/>
    <s v="T0934"/>
    <s v="IHS_KMB_040"/>
    <s v="T0934"/>
    <x v="6"/>
    <s v="Kumbe"/>
    <x v="2"/>
    <s v="Outdoor"/>
    <s v="Kumba"/>
    <s v="Meme"/>
    <s v="konye"/>
    <x v="10"/>
    <n v="5.0364300000000002"/>
    <n v="9.4148999999999994"/>
    <x v="0"/>
  </r>
  <r>
    <n v="1398"/>
    <s v="T0683"/>
    <s v="IHS_KMB_038"/>
    <s v="T0683"/>
    <x v="6"/>
    <s v="Konye"/>
    <x v="1"/>
    <s v="Outdoor"/>
    <s v="Kumba"/>
    <s v="Meme"/>
    <s v="konye"/>
    <x v="10"/>
    <n v="4.9455400000000003"/>
    <n v="9.4819300000000002"/>
    <x v="0"/>
  </r>
  <r>
    <n v="1399"/>
    <s v="T1022"/>
    <s v="IHS_KMB_039"/>
    <s v="T1022"/>
    <x v="6"/>
    <s v="Kombone Bafaw"/>
    <x v="1"/>
    <s v="Outdoor"/>
    <s v="Kumba"/>
    <s v="Meme"/>
    <s v="konye"/>
    <x v="10"/>
    <n v="4.9851299999999998"/>
    <n v="9.4319799999999994"/>
    <x v="0"/>
  </r>
  <r>
    <n v="1400"/>
    <s v="T1756"/>
    <s v="IHS_KMB_026"/>
    <s v="T1756"/>
    <x v="6"/>
    <s v="Bombanda"/>
    <x v="1"/>
    <s v="Outdoor"/>
    <s v="Kumba"/>
    <s v="Meme"/>
    <s v="Mbonge"/>
    <x v="10"/>
    <n v="4.6371111100000002"/>
    <n v="9.2695277800000007"/>
    <x v="0"/>
  </r>
  <r>
    <n v="1401"/>
    <s v="T0929"/>
    <s v="IHS_KMB_046"/>
    <s v="T0929"/>
    <x v="6"/>
    <s v="Besingi"/>
    <x v="1"/>
    <s v="Outdoor"/>
    <s v="Ekondo Titi"/>
    <s v="NDIAN"/>
    <s v="Mundemba"/>
    <x v="10"/>
    <n v="4.892182"/>
    <n v="8.9050989999999999"/>
    <x v="0"/>
  </r>
  <r>
    <n v="1402"/>
    <s v="T0656"/>
    <s v="IHS_KMB_025"/>
    <s v="T0656"/>
    <x v="6"/>
    <s v="Bekondo"/>
    <x v="2"/>
    <s v="Outdoor"/>
    <s v="Kumba"/>
    <s v="Meme"/>
    <s v="Mbonge"/>
    <x v="10"/>
    <n v="4.6730499999999999"/>
    <n v="9.3119599999999991"/>
    <x v="0"/>
  </r>
  <r>
    <n v="1403"/>
    <s v="T1750"/>
    <s v="IHS_KMB_028"/>
    <s v="T1750"/>
    <x v="6"/>
    <s v="Bai Panya"/>
    <x v="1"/>
    <s v="Outdoor"/>
    <s v="Kumba"/>
    <s v="Meme"/>
    <s v="Mbonge"/>
    <x v="10"/>
    <n v="4.5171749999999999"/>
    <n v="9.2942719999999994"/>
    <x v="0"/>
  </r>
  <r>
    <n v="1404"/>
    <s v="T1023"/>
    <s v="IHS_KMB_042"/>
    <s v="T1023"/>
    <x v="6"/>
    <s v="Babensi1"/>
    <x v="1"/>
    <s v="Outdoor"/>
    <s v="Kumba"/>
    <s v="MANYU"/>
    <s v="Nguti"/>
    <x v="10"/>
    <n v="5.1152699999999998"/>
    <n v="9.4071700000000007"/>
    <x v="0"/>
  </r>
  <r>
    <n v="1405"/>
    <s v="SUO_018"/>
    <s v="IHS_KMB_056"/>
    <s v="SUO_018"/>
    <x v="6"/>
    <s v="Bakassi"/>
    <x v="2"/>
    <s v="Outdoor"/>
    <s v="Ekondo Titi"/>
    <s v="NDIAN"/>
    <s v="Isanguele"/>
    <x v="10"/>
    <n v="4.7783055560000003"/>
    <n v="8.6785833330000006"/>
    <x v="0"/>
  </r>
  <r>
    <n v="1406"/>
    <s v="T1184"/>
    <s v="IHS_KMB_121"/>
    <s v="T1184"/>
    <x v="6"/>
    <s v="Kumba Bonakama"/>
    <x v="1"/>
    <s v="Outdoor"/>
    <s v="Kumba"/>
    <s v="MEME"/>
    <s v="Kumba 1"/>
    <x v="10"/>
    <n v="4.6208400000000003"/>
    <n v="9.4453899999999997"/>
    <x v="0"/>
  </r>
  <r>
    <n v="1407"/>
    <s v="T3455"/>
    <s v="IHS_KMB_122"/>
    <s v="T3455"/>
    <x v="6"/>
    <s v="Kumba Bonakama 2"/>
    <x v="1"/>
    <s v="Outdoor"/>
    <s v="Kumba"/>
    <s v="MEME"/>
    <s v="Kumba 1"/>
    <x v="10"/>
    <n v="4.6258270000000001"/>
    <n v="9.4450299999999991"/>
    <x v="0"/>
  </r>
  <r>
    <n v="1408"/>
    <s v="T1142"/>
    <s v="IHS_BUA_172"/>
    <s v="T1142"/>
    <x v="6"/>
    <s v="BANGA BAKUNDU"/>
    <x v="1"/>
    <s v="Outdoor"/>
    <s v="Kumba"/>
    <s v="Meme"/>
    <s v="Mbonge"/>
    <x v="10"/>
    <n v="4.4029439999999997"/>
    <n v="9.4396109999999993"/>
    <x v="0"/>
  </r>
  <r>
    <n v="1409"/>
    <s v="T1171"/>
    <s v="IHS_KMB_126"/>
    <s v="T1171"/>
    <x v="6"/>
    <s v="Kumba Mbongue Road"/>
    <x v="1"/>
    <s v="Outdoor"/>
    <s v="Kumba"/>
    <s v="MEME"/>
    <s v="Kumba 1"/>
    <x v="10"/>
    <n v="4.6376920000000004"/>
    <n v="9.4283389999999994"/>
    <x v="0"/>
  </r>
  <r>
    <n v="1410"/>
    <s v="T3454"/>
    <s v="IHS_KMB_125"/>
    <s v="T3454"/>
    <x v="6"/>
    <s v="KUMBA ALASKA STREET"/>
    <x v="1"/>
    <s v="Outdoor"/>
    <s v="Kumba"/>
    <s v="MEME"/>
    <s v="Kumba 1"/>
    <x v="10"/>
    <n v="4.6272760000000002"/>
    <n v="9.4533930000000002"/>
    <x v="0"/>
  </r>
  <r>
    <n v="1411"/>
    <s v="T1952"/>
    <s v="IHS_MBG_032"/>
    <s v="T1952"/>
    <x v="6"/>
    <s v="Mbanga Mouyouka"/>
    <x v="0"/>
    <s v="Outdoor"/>
    <s v="Mbanga"/>
    <s v="MOUNGO"/>
    <s v="Nkongsamba"/>
    <x v="10"/>
    <n v="4.4411290000000001"/>
    <n v="9.566656"/>
    <x v="0"/>
  </r>
  <r>
    <n v="1412"/>
    <s v="T1223"/>
    <s v="IHS_KMB_133"/>
    <s v="T1223"/>
    <x v="6"/>
    <s v="Kumba Danikash"/>
    <x v="1"/>
    <s v="Outdoor"/>
    <s v="Kumba"/>
    <s v="MEME"/>
    <s v="KUMBA"/>
    <x v="10"/>
    <n v="4.6124229999999997"/>
    <n v="9.4488690000000002"/>
    <x v="1"/>
  </r>
  <r>
    <n v="1413"/>
    <s v="T1304"/>
    <s v="IHS_KMB_134"/>
    <s v="T1304"/>
    <x v="6"/>
    <s v="KUMBA EXCELSOR SCHOOL"/>
    <x v="1"/>
    <s v="Outdoor"/>
    <s v="Kumba"/>
    <s v="MEME"/>
    <s v="Kumba 2"/>
    <x v="10"/>
    <n v="4.6453319999999998"/>
    <n v="9.4595680000000009"/>
    <x v="0"/>
  </r>
  <r>
    <n v="1414"/>
    <s v="T2051"/>
    <s v="IHS_MBG_033"/>
    <s v="T2051"/>
    <x v="6"/>
    <s v="MBANGA Q4"/>
    <x v="0"/>
    <s v="Outdoor"/>
    <s v="Mbanga"/>
    <s v="MOUNGO"/>
    <s v="MBANGA"/>
    <x v="10"/>
    <n v="4.5032550000000002"/>
    <n v="9.5647400000000005"/>
    <x v="0"/>
  </r>
  <r>
    <n v="1415"/>
    <s v="T2059"/>
    <s v="IHS_MBG_034"/>
    <s v="T2059"/>
    <x v="6"/>
    <s v="LOUM COUNCIL"/>
    <x v="0"/>
    <s v="Outdoor"/>
    <s v="Loum"/>
    <m/>
    <s v="Loum"/>
    <x v="10"/>
    <n v="4.7184200000000001"/>
    <n v="9.7349879999999995"/>
    <x v="0"/>
  </r>
  <r>
    <n v="1416"/>
    <s v="T1839"/>
    <s v="IHS_LMB_010"/>
    <s v="T1839"/>
    <x v="6"/>
    <s v="Upper Mawo"/>
    <x v="1"/>
    <s v="Outdoor"/>
    <s v="Limbe"/>
    <s v="FAKO"/>
    <s v="LIMBE I"/>
    <x v="11"/>
    <n v="4.0115629999999998"/>
    <n v="9.2248479999999997"/>
    <x v="0"/>
  </r>
  <r>
    <n v="1417"/>
    <s v="T1515"/>
    <s v="IHS_BUA_168"/>
    <s v="T1515"/>
    <x v="6"/>
    <s v="MILE 4 Q10"/>
    <x v="1"/>
    <s v="Outdoor"/>
    <s v="Mutenguene"/>
    <s v="FAKO"/>
    <s v="LIMBE 1"/>
    <x v="11"/>
    <n v="4.058408"/>
    <n v="9.2276769999999999"/>
    <x v="0"/>
  </r>
  <r>
    <n v="1418"/>
    <s v="T1175"/>
    <s v="IHS_LMB_114"/>
    <s v="T1175"/>
    <x v="6"/>
    <s v="Limbe College Excellence"/>
    <x v="1"/>
    <s v="Outdoor"/>
    <s v="Limbe"/>
    <s v="FAKO"/>
    <s v="LIMBE 2"/>
    <x v="11"/>
    <n v="4.0344049999999996"/>
    <n v="9.205152"/>
    <x v="0"/>
  </r>
  <r>
    <n v="1419"/>
    <s v="SUO_131"/>
    <s v="IHS_BUA_158"/>
    <s v="SUO_131"/>
    <x v="6"/>
    <s v="Bondjongo"/>
    <x v="1"/>
    <s v="Outdoor"/>
    <s v="Limbe"/>
    <s v="FAKO"/>
    <s v="LIMBE 2"/>
    <x v="11"/>
    <n v="4.0648229999999996"/>
    <n v="9.178445"/>
    <x v="0"/>
  </r>
  <r>
    <n v="1420"/>
    <s v="T1715"/>
    <s v="IHS_LMB_015"/>
    <s v="T1715"/>
    <x v="6"/>
    <s v="BOBENDE NEW LAYOUT"/>
    <x v="1"/>
    <s v="Outdoor"/>
    <s v="Limbe"/>
    <s v="FAKO"/>
    <s v="LIMBE 2"/>
    <x v="11"/>
    <n v="4.0175450000000001"/>
    <n v="9.1474899999999995"/>
    <x v="0"/>
  </r>
  <r>
    <n v="1421"/>
    <s v="T1776"/>
    <s v="IHS_LMB_014"/>
    <s v="T1776"/>
    <x v="6"/>
    <s v="Bondjo Hill"/>
    <x v="1"/>
    <s v="Outdoor"/>
    <s v="Limbe"/>
    <s v="FAKO"/>
    <s v="LIMBE 1"/>
    <x v="11"/>
    <n v="3.9947520000000001"/>
    <n v="9.2170480000000001"/>
    <x v="0"/>
  </r>
  <r>
    <n v="1422"/>
    <s v="SUO_078"/>
    <s v="IHS_LMB_016"/>
    <s v="SUO_078"/>
    <x v="6"/>
    <s v="Limbe-Fini-Hotel"/>
    <x v="1"/>
    <s v="Outdoor"/>
    <s v="Limbe"/>
    <s v="FAKO"/>
    <s v="LIMBE 1"/>
    <x v="11"/>
    <n v="4.0169879999999996"/>
    <n v="9.1443460000000005"/>
    <x v="0"/>
  </r>
  <r>
    <n v="1423"/>
    <s v="SUO_065"/>
    <s v="IHS_LMB_001"/>
    <s v="SUO_065"/>
    <x v="6"/>
    <s v="Limbe-Federal-Qter"/>
    <x v="1"/>
    <s v="Outdoor"/>
    <s v="Limbe"/>
    <s v="FAKO"/>
    <s v="LIMBE I"/>
    <x v="11"/>
    <n v="4.0171780000000004"/>
    <n v="9.1959850000000003"/>
    <x v="0"/>
  </r>
  <r>
    <n v="1424"/>
    <s v="T0223"/>
    <s v="IHS_LMB_025"/>
    <s v="T0223"/>
    <x v="6"/>
    <s v="Debunscha"/>
    <x v="1"/>
    <s v="Indoor"/>
    <s v="Limbe"/>
    <s v="FAKO"/>
    <s v="LIMBE 2"/>
    <x v="11"/>
    <n v="4.1024919999999998"/>
    <n v="8.9886309999999998"/>
    <x v="0"/>
  </r>
  <r>
    <n v="1425"/>
    <s v="T1838"/>
    <s v="IHS_LMB_006"/>
    <s v="T1838"/>
    <x v="6"/>
    <s v="Limbe Bota"/>
    <x v="1"/>
    <s v="Outdoor"/>
    <s v="Limbe"/>
    <s v="FAKO"/>
    <s v="LIMBE 1"/>
    <x v="11"/>
    <n v="4.029255"/>
    <n v="9.1942129999999995"/>
    <x v="1"/>
  </r>
  <r>
    <n v="1426"/>
    <s v="T1716"/>
    <s v="IHS_LMB_002"/>
    <s v="T1716"/>
    <x v="6"/>
    <s v="GRA LIMBE"/>
    <x v="1"/>
    <s v="Outdoor"/>
    <s v="Limbe"/>
    <s v="FAKO"/>
    <s v="LIMBE 1"/>
    <x v="11"/>
    <n v="4.0171239999999999"/>
    <n v="9.1909329999999994"/>
    <x v="0"/>
  </r>
  <r>
    <n v="1427"/>
    <s v="SUO_014"/>
    <s v="IHS_LMB_007"/>
    <s v="SUO_014"/>
    <x v="6"/>
    <s v="Down-Beach"/>
    <x v="1"/>
    <s v="Indoor"/>
    <s v="Limbe"/>
    <s v="FAKO"/>
    <s v="LIMBE 1"/>
    <x v="11"/>
    <n v="4.0078930000000001"/>
    <n v="9.2114229999999999"/>
    <x v="1"/>
  </r>
  <r>
    <n v="1428"/>
    <s v="T1882"/>
    <s v="IHS_LMB_115"/>
    <s v="T1882"/>
    <x v="6"/>
    <s v="Limbe Alpha Club Towe"/>
    <x v="1"/>
    <s v="Outdoor"/>
    <s v="Limbe"/>
    <s v="FAKO"/>
    <s v="LIMBE 1"/>
    <x v="11"/>
    <n v="4.0266089999999997"/>
    <n v="9.2175949999999993"/>
    <x v="0"/>
  </r>
  <r>
    <n v="1429"/>
    <s v="T1645"/>
    <s v="IHS_LMB_133"/>
    <s v="T1645"/>
    <x v="6"/>
    <s v="LIMBE ISSOKOLO"/>
    <x v="1"/>
    <s v="Outdoor"/>
    <s v="Limbe"/>
    <s v="FAKO"/>
    <s v="LIMBE 2"/>
    <x v="11"/>
    <n v="4.012753"/>
    <n v="9.1692479999999996"/>
    <x v="0"/>
  </r>
  <r>
    <n v="1430"/>
    <s v="T0547"/>
    <s v="IHS_LMB_009"/>
    <s v="T0547"/>
    <x v="6"/>
    <s v="Towe South"/>
    <x v="1"/>
    <s v="Outdoor"/>
    <s v="Limbe"/>
    <s v="FAKO"/>
    <s v="LIMBE 1"/>
    <x v="11"/>
    <n v="4.0210179999999998"/>
    <n v="9.2117690000000003"/>
    <x v="0"/>
  </r>
  <r>
    <n v="1431"/>
    <s v="T1775"/>
    <s v="IHS_LMB_013"/>
    <s v="T1775"/>
    <x v="6"/>
    <s v="Mokindi"/>
    <x v="1"/>
    <s v="Outdoor"/>
    <s v="Limbe"/>
    <s v="FAKO"/>
    <s v="LIMBE II"/>
    <x v="11"/>
    <n v="4.0212079999999997"/>
    <n v="9.1684750000000008"/>
    <x v="0"/>
  </r>
  <r>
    <n v="1432"/>
    <s v="T1774"/>
    <s v="IHS_LMB_020"/>
    <s v="T1774"/>
    <x v="6"/>
    <s v="Limbe Mile IV"/>
    <x v="1"/>
    <s v="Outdoor"/>
    <s v="Mutenguene"/>
    <s v="FAKO"/>
    <s v="LIMBE 1"/>
    <x v="11"/>
    <n v="4.0628609999999998"/>
    <n v="9.2251390000000004"/>
    <x v="0"/>
  </r>
  <r>
    <n v="1433"/>
    <s v="T0406"/>
    <s v="IHS_LMB_008"/>
    <s v="T0406"/>
    <x v="6"/>
    <s v="Limbe New Town"/>
    <x v="1"/>
    <s v="Indoor"/>
    <s v="Limbe"/>
    <s v="FAKO"/>
    <s v="LIMBE 1"/>
    <x v="11"/>
    <n v="4.0114280000000004"/>
    <n v="9.2159379999999995"/>
    <x v="1"/>
  </r>
  <r>
    <n v="1434"/>
    <s v="T0066"/>
    <s v="IHS_LMB_003"/>
    <s v="T0066"/>
    <x v="6"/>
    <s v="Mbende"/>
    <x v="1"/>
    <s v="Indoor"/>
    <s v="Limbe"/>
    <s v="FAKO"/>
    <s v="LIMBE I"/>
    <x v="11"/>
    <n v="4.0206499999999998"/>
    <n v="9.2035269999999993"/>
    <x v="0"/>
  </r>
  <r>
    <n v="1435"/>
    <s v="T0185"/>
    <s v="IHS_LMB_022"/>
    <s v="T0185"/>
    <x v="6"/>
    <s v="Moliwe"/>
    <x v="1"/>
    <s v="Indoor"/>
    <s v="Mutenguene"/>
    <s v="FAKO"/>
    <s v="LIMBE 1"/>
    <x v="11"/>
    <n v="4.0564720000000003"/>
    <n v="9.2473340000000004"/>
    <x v="0"/>
  </r>
  <r>
    <n v="1436"/>
    <s v="SUO_002"/>
    <s v="IHS_LMB_011"/>
    <s v="SUO_002"/>
    <x v="6"/>
    <s v="Limbe-Kie"/>
    <x v="1"/>
    <s v="Indoor"/>
    <s v="Limbe"/>
    <s v="FAKO"/>
    <s v="LIMBE 1"/>
    <x v="11"/>
    <n v="4.0162610000000001"/>
    <n v="9.1790389999999995"/>
    <x v="0"/>
  </r>
  <r>
    <n v="1437"/>
    <s v="SUO_021"/>
    <s v="IHS_LMB_021"/>
    <s v="SUO_021"/>
    <x v="6"/>
    <s v="Mile4"/>
    <x v="1"/>
    <s v="Indoor"/>
    <s v="Mutenguene"/>
    <s v="FAKO"/>
    <s v="LIMBE I"/>
    <x v="11"/>
    <n v="4.0566700000000004"/>
    <n v="9.2473550000000007"/>
    <x v="0"/>
  </r>
  <r>
    <n v="1438"/>
    <s v="SUO_011"/>
    <s v="IHS_LMB_018"/>
    <s v="SUO_011"/>
    <x v="6"/>
    <s v="Monkey-Hill"/>
    <x v="1"/>
    <s v="Indoor"/>
    <s v="Limbe"/>
    <s v="FAKO"/>
    <s v="LIMBE 2"/>
    <x v="11"/>
    <n v="4.0215420000000002"/>
    <n v="9.1110609999999994"/>
    <x v="0"/>
  </r>
  <r>
    <n v="1439"/>
    <s v="T0658"/>
    <s v="IHS_LMB_017"/>
    <s v="T0658"/>
    <x v="6"/>
    <s v="Mokudange"/>
    <x v="1"/>
    <s v="Outdoor"/>
    <s v="Limbe"/>
    <s v="FAKO"/>
    <s v="LIMBE 2"/>
    <x v="11"/>
    <n v="4.0273199999999996"/>
    <n v="9.1265719999999995"/>
    <x v="0"/>
  </r>
  <r>
    <n v="1440"/>
    <s v="T0669"/>
    <s v="IHS_LMB_024"/>
    <s v="T0669"/>
    <x v="6"/>
    <s v="Bakinguili"/>
    <x v="1"/>
    <s v="Outdoor"/>
    <s v="Limbe"/>
    <s v="FAKO"/>
    <s v="LIMBE 2"/>
    <x v="11"/>
    <n v="4.0619350000000001"/>
    <n v="9.0419619999999998"/>
    <x v="0"/>
  </r>
  <r>
    <n v="1441"/>
    <s v="T0102"/>
    <s v="IHS_LMB_012"/>
    <s v="T0102"/>
    <x v="6"/>
    <s v="Kie village"/>
    <x v="1"/>
    <s v="Indoor"/>
    <s v="Limbe"/>
    <s v="FAKO"/>
    <s v="LIMBE 1"/>
    <x v="11"/>
    <n v="4.016286"/>
    <n v="9.1786399999999997"/>
    <x v="0"/>
  </r>
  <r>
    <n v="1442"/>
    <s v="SUO_050"/>
    <s v="IHS_LMB_005"/>
    <s v="SUO_050"/>
    <x v="6"/>
    <s v="Limbe-Down-Beach-II"/>
    <x v="1"/>
    <s v="Outdoor"/>
    <s v="Limbe"/>
    <s v="FAKO"/>
    <s v="LIMBE I"/>
    <x v="11"/>
    <n v="4.0123030000000002"/>
    <n v="9.2076879999999992"/>
    <x v="1"/>
  </r>
  <r>
    <n v="1443"/>
    <s v="T1296"/>
    <s v="IHS_LMB_105"/>
    <s v="T1296"/>
    <x v="6"/>
    <s v="LIMBE CHURCH STREET"/>
    <x v="1"/>
    <s v="Outdoor"/>
    <s v="Limbe"/>
    <s v="FAKO"/>
    <s v="LIMBE 1"/>
    <x v="11"/>
    <n v="4.0152489999999998"/>
    <n v="9.2103680000000008"/>
    <x v="1"/>
  </r>
  <r>
    <n v="1444"/>
    <s v="T1134"/>
    <s v="IHS_LMB_023"/>
    <s v="T1134"/>
    <x v="6"/>
    <s v="Wotutu"/>
    <x v="1"/>
    <s v="Outdoor"/>
    <s v="Mutenguene"/>
    <s v="FAKO"/>
    <s v="TIKO"/>
    <x v="11"/>
    <n v="4.08108"/>
    <n v="9.2052200000000006"/>
    <x v="0"/>
  </r>
  <r>
    <n v="1445"/>
    <s v="T1794"/>
    <s v="IHS_LMB_019"/>
    <s v="T1794"/>
    <x v="6"/>
    <s v="Mabeta"/>
    <x v="1"/>
    <s v="Outdoor"/>
    <s v="Limbe"/>
    <s v="FAKO"/>
    <s v="LIMBE 3"/>
    <x v="11"/>
    <n v="3.992639"/>
    <n v="9.2848609999999994"/>
    <x v="0"/>
  </r>
  <r>
    <n v="1446"/>
    <s v="T3101"/>
    <s v="IHS_LMB_116"/>
    <s v="T3101"/>
    <x v="6"/>
    <s v="Limbe Stadium"/>
    <x v="1"/>
    <s v="Outdoor"/>
    <s v="Limbe"/>
    <s v="FAKO"/>
    <s v="LIMBE 2"/>
    <x v="11"/>
    <n v="4.0295719999999999"/>
    <n v="9.1599889999999995"/>
    <x v="0"/>
  </r>
  <r>
    <n v="1447"/>
    <s v="T2534"/>
    <s v="IHS_LMB_134"/>
    <s v="T2534"/>
    <x v="6"/>
    <s v="Limbe mile 1"/>
    <x v="1"/>
    <s v="Outdoor"/>
    <s v="Limbe"/>
    <s v="Fako"/>
    <s v="limbe"/>
    <x v="11"/>
    <n v="4.0261110000000002"/>
    <n v="9.2055559999999996"/>
    <x v="0"/>
  </r>
  <r>
    <n v="1448"/>
    <s v="T1670"/>
    <s v="IHS_LMB_135"/>
    <s v="T1670"/>
    <x v="6"/>
    <s v="Limbe Mile 3"/>
    <x v="1"/>
    <s v="Outdoor"/>
    <s v="Limbe"/>
    <s v="Fako"/>
    <s v="Limbe I"/>
    <x v="11"/>
    <n v="4.0470129999999997"/>
    <n v="9.2143099999999993"/>
    <x v="0"/>
  </r>
  <r>
    <n v="1449"/>
    <s v="T1193"/>
    <s v="IHS_LMB_136"/>
    <s v="T1193"/>
    <x v="6"/>
    <s v="Limbe Calvary church"/>
    <x v="0"/>
    <s v="Outdoor"/>
    <s v="Limbe"/>
    <s v="FAKO"/>
    <s v="LIMBE"/>
    <x v="11"/>
    <n v="4.025245"/>
    <n v="9.1802170000000007"/>
    <x v="1"/>
  </r>
  <r>
    <n v="1450"/>
    <s v="T1247"/>
    <s v="IHS_LMB_137"/>
    <s v="T1247"/>
    <x v="6"/>
    <s v="Limbe Mabeta Park"/>
    <x v="0"/>
    <s v="Outdoor"/>
    <s v="Limbe"/>
    <s v="FAKO"/>
    <s v="LIMBE"/>
    <x v="11"/>
    <n v="4.025353"/>
    <n v="9.1801180000000002"/>
    <x v="0"/>
  </r>
  <r>
    <n v="1451"/>
    <s v="SUO_040"/>
    <s v="IHS_KMB_054"/>
    <s v="SUO_040"/>
    <x v="1"/>
    <s v="Tinto"/>
    <x v="2"/>
    <s v="Outdoor"/>
    <s v="Mamfé"/>
    <s v="MANYU"/>
    <s v="Tinto"/>
    <x v="12"/>
    <n v="5.521083333"/>
    <n v="9.5806944440000006"/>
    <x v="0"/>
  </r>
  <r>
    <n v="1452"/>
    <s v="T2146"/>
    <s v="IHS_KMB_105"/>
    <s v="T2146"/>
    <x v="1"/>
    <s v="TALI"/>
    <x v="2"/>
    <s v="Outdoor"/>
    <s v="Mamfe"/>
    <s v="MANYU"/>
    <s v="Tinto"/>
    <x v="12"/>
    <n v="5.5816666670000004"/>
    <n v="9.6670555559999993"/>
    <x v="0"/>
  </r>
  <r>
    <n v="1453"/>
    <s v="T1765"/>
    <s v="IHS_KMB_078"/>
    <s v="T1765"/>
    <x v="1"/>
    <s v="Okoroba"/>
    <x v="2"/>
    <s v="Outdoor"/>
    <s v="Mamfe"/>
    <s v="Manyu"/>
    <s v="Eyumodjock"/>
    <x v="12"/>
    <n v="5.4788333329999999"/>
    <n v="9.2488611110000001"/>
    <x v="0"/>
  </r>
  <r>
    <n v="1454"/>
    <s v="T1812"/>
    <s v="IHS_KMB_066"/>
    <s v="T1812"/>
    <x v="1"/>
    <s v="Bessenye"/>
    <x v="1"/>
    <s v="Outdoor"/>
    <s v="Mamfe"/>
    <s v="Manyu"/>
    <s v="Eyumodjock"/>
    <x v="12"/>
    <n v="5.700861111"/>
    <n v="9.2851388890000006"/>
    <x v="0"/>
  </r>
  <r>
    <n v="1455"/>
    <s v="T1251"/>
    <s v="IHS_KMB_110"/>
    <s v="T1251"/>
    <x v="1"/>
    <s v="Berore"/>
    <x v="2"/>
    <s v="Outdoor"/>
    <s v="Mamfe"/>
    <m/>
    <s v="Mamfe"/>
    <x v="12"/>
    <n v="5.7744999999999997"/>
    <n v="9.3559999999999999"/>
    <x v="0"/>
  </r>
  <r>
    <n v="1456"/>
    <s v="T2103"/>
    <s v="IHS_KMB_106"/>
    <s v="T2103"/>
    <x v="1"/>
    <s v="AKWAYA"/>
    <x v="3"/>
    <s v="Vandalized"/>
    <s v="Bafut"/>
    <s v="Manyu"/>
    <s v="akwaya"/>
    <x v="12"/>
    <n v="6.378388889"/>
    <n v="9.5110583329999994"/>
    <x v="0"/>
  </r>
  <r>
    <n v="1457"/>
    <s v="T1763"/>
    <s v="IHS_KMB_052"/>
    <s v="T1763"/>
    <x v="1"/>
    <s v="Bakebe"/>
    <x v="1"/>
    <s v="Outdoor"/>
    <s v="Mamfe"/>
    <s v="Manyu"/>
    <s v="Tinto"/>
    <x v="12"/>
    <n v="5.5574722220000004"/>
    <n v="9.5617222220000002"/>
    <x v="0"/>
  </r>
  <r>
    <n v="1458"/>
    <s v="T0242"/>
    <s v="IHS_KMB_077"/>
    <s v="T0242"/>
    <x v="1"/>
    <s v="Eyumojock"/>
    <x v="1"/>
    <s v="Indoor"/>
    <s v="Mamfe"/>
    <s v="Manyu"/>
    <s v="Eyumodjock"/>
    <x v="12"/>
    <n v="5.7660799999999997"/>
    <n v="8.9847000000000001"/>
    <x v="0"/>
  </r>
  <r>
    <n v="1459"/>
    <s v="T1762"/>
    <s v="IHS_KMB_063"/>
    <s v="T1762"/>
    <x v="1"/>
    <s v="Mamfe Centre"/>
    <x v="1"/>
    <s v="Outdoor"/>
    <s v="Mamfe"/>
    <s v="Manyu"/>
    <s v="Mamfe"/>
    <x v="12"/>
    <n v="5.7569444399999998"/>
    <n v="9.3078611000000002"/>
    <x v="0"/>
  </r>
  <r>
    <n v="1460"/>
    <s v="T0685"/>
    <s v="IHS_KMB_053"/>
    <s v="T0685"/>
    <x v="1"/>
    <s v="Tinto"/>
    <x v="1"/>
    <s v="Outdoor"/>
    <s v="Mamfe"/>
    <s v="Manyu"/>
    <s v="Tinto"/>
    <x v="12"/>
    <n v="5.5456200000000004"/>
    <n v="9.5905900000000006"/>
    <x v="0"/>
  </r>
  <r>
    <n v="1461"/>
    <s v="T0348"/>
    <s v="IHS_KMB_060"/>
    <s v="T0348"/>
    <x v="1"/>
    <s v="Bachuo Ntai"/>
    <x v="1"/>
    <s v="Indoor"/>
    <s v="Mamfe"/>
    <s v="Manyu"/>
    <s v="Mamfe"/>
    <x v="12"/>
    <n v="5.71469"/>
    <n v="9.3915900000000008"/>
    <x v="0"/>
  </r>
  <r>
    <n v="1462"/>
    <s v="SUO_073"/>
    <s v="IHS_KMB_062"/>
    <s v="SUO_073"/>
    <x v="1"/>
    <s v="Mamfe-Brasserie"/>
    <x v="1"/>
    <s v="Outdoor"/>
    <s v="Mamfé"/>
    <s v="Manyu"/>
    <s v="Mamfe"/>
    <x v="12"/>
    <n v="5.7632500000000002"/>
    <n v="9.3114166669999996"/>
    <x v="0"/>
  </r>
  <r>
    <n v="1463"/>
    <s v="SUO_015"/>
    <s v="IHS_KMB_081"/>
    <s v="SUO_015"/>
    <x v="1"/>
    <s v="Ekok"/>
    <x v="1"/>
    <s v="Indoor"/>
    <s v="Mamfe"/>
    <s v="Manyu"/>
    <s v="Eyumodjock"/>
    <x v="12"/>
    <n v="5.8100222219999997"/>
    <n v="8.8572638890000004"/>
    <x v="0"/>
  </r>
  <r>
    <n v="1464"/>
    <s v="SUO_030"/>
    <s v="IHS_KMB_061"/>
    <s v="SUO_030"/>
    <x v="1"/>
    <s v="Bachuo-Ntai"/>
    <x v="1"/>
    <s v="Indoor"/>
    <s v="Mamfe"/>
    <s v="Manyu"/>
    <s v="Mamfe"/>
    <x v="12"/>
    <n v="5.714611111"/>
    <n v="9.3907500000000006"/>
    <x v="0"/>
  </r>
  <r>
    <n v="1465"/>
    <s v="T0754"/>
    <s v="IHS_KMB_073"/>
    <s v="T0754"/>
    <x v="1"/>
    <s v="Kembong"/>
    <x v="1"/>
    <s v="Outdoor"/>
    <s v="Mamfe"/>
    <s v="Manyu"/>
    <s v="Eyumodjock"/>
    <x v="12"/>
    <n v="5.6207500000000001"/>
    <n v="9.2497100000000003"/>
    <x v="0"/>
  </r>
  <r>
    <n v="1466"/>
    <s v="T1766"/>
    <s v="IHS_KMB_069"/>
    <s v="T1766"/>
    <x v="1"/>
    <s v="Ossing"/>
    <x v="1"/>
    <s v="Outdoor"/>
    <s v="Mamfe"/>
    <s v="Manyu"/>
    <s v="Eyumodjock"/>
    <x v="12"/>
    <n v="5.64025"/>
    <n v="9.3138888889999993"/>
    <x v="0"/>
  </r>
  <r>
    <n v="1467"/>
    <s v="T1025"/>
    <s v="IHS_KMB_047"/>
    <s v="T1025"/>
    <x v="1"/>
    <s v="Ofrikpabi"/>
    <x v="1"/>
    <s v="Outdoor"/>
    <s v="Kumba"/>
    <s v="Koupe-Manengouba"/>
    <s v="Nguti"/>
    <x v="12"/>
    <n v="5.2804500000000001"/>
    <n v="9.41465"/>
    <x v="0"/>
  </r>
  <r>
    <n v="1468"/>
    <s v="T0852"/>
    <s v="IHS_KMB_074"/>
    <s v="T0852"/>
    <x v="1"/>
    <s v="Numba49"/>
    <x v="1"/>
    <s v="Outdoor"/>
    <s v="Mamfe"/>
    <s v="Momo"/>
    <s v="Widikum"/>
    <x v="12"/>
    <n v="5.83718"/>
    <n v="9.7138500000000008"/>
    <x v="0"/>
  </r>
  <r>
    <n v="1469"/>
    <s v="T0925"/>
    <s v="IHS_KMB_055"/>
    <s v="T0925"/>
    <x v="1"/>
    <s v="MBIO OCM"/>
    <x v="1"/>
    <s v="Outdoor"/>
    <s v="Mamfe"/>
    <s v="Manyu"/>
    <s v="Tinto"/>
    <x v="12"/>
    <n v="5.6146388890000001"/>
    <n v="9.5173888889999994"/>
    <x v="0"/>
  </r>
  <r>
    <n v="1470"/>
    <s v="T0875"/>
    <s v="IHS_KMB_064"/>
    <s v="T0875"/>
    <x v="1"/>
    <s v="Mamfe town"/>
    <x v="1"/>
    <s v="Outdoor"/>
    <s v="Mamfe"/>
    <s v="Manyu"/>
    <s v="Mamfe"/>
    <x v="12"/>
    <n v="5.7688800000000002"/>
    <n v="9.3219899999999996"/>
    <x v="0"/>
  </r>
  <r>
    <n v="1471"/>
    <s v="T1905"/>
    <s v="IHS_YND_479"/>
    <s v="T1905"/>
    <x v="1"/>
    <s v="Bakwele"/>
    <x v="1"/>
    <s v="Outdoor"/>
    <s v="Mamfe"/>
    <s v="Manyu"/>
    <s v="Eyumodjock"/>
    <x v="12"/>
    <n v="5.6990109999999996"/>
    <n v="9.1825329999999994"/>
    <x v="0"/>
  </r>
  <r>
    <n v="1472"/>
    <s v="T1026"/>
    <s v="IHS_KMB_051"/>
    <s v="T1026"/>
    <x v="1"/>
    <s v="ASHUM"/>
    <x v="1"/>
    <s v="Outdoor"/>
    <s v="Mamfe"/>
    <s v="Manyu"/>
    <s v="Tinto"/>
    <x v="12"/>
    <n v="5.4960699999999996"/>
    <n v="9.5214599999999994"/>
    <x v="0"/>
  </r>
  <r>
    <n v="1473"/>
    <s v="T0205"/>
    <s v="IHS_KMB_080"/>
    <s v="T0205"/>
    <x v="1"/>
    <s v="Ekok"/>
    <x v="1"/>
    <s v="Indoor"/>
    <s v="Mamfe"/>
    <s v="Manyu"/>
    <s v="Eyumodjock"/>
    <x v="12"/>
    <n v="5.8151299999999999"/>
    <n v="8.8577100000000009"/>
    <x v="0"/>
  </r>
  <r>
    <n v="1474"/>
    <s v="T0899"/>
    <s v="IHS_KMB_065"/>
    <s v="T0899"/>
    <x v="1"/>
    <s v="Mile29 Mamfe"/>
    <x v="2"/>
    <s v="Outdoor"/>
    <s v="Mamfe"/>
    <s v="Manyu"/>
    <s v="Mamfe"/>
    <x v="12"/>
    <n v="5.70852"/>
    <n v="9.6258999999999997"/>
    <x v="0"/>
  </r>
  <r>
    <n v="1475"/>
    <s v="SUO_016"/>
    <s v="IHS_KMB_076"/>
    <s v="SUO_016"/>
    <x v="1"/>
    <s v="Eyumojock"/>
    <x v="1"/>
    <s v="Indoor"/>
    <s v="Mamfé"/>
    <s v="Manyu"/>
    <s v="Eyumodjock"/>
    <x v="12"/>
    <n v="5.7736388889999999"/>
    <n v="8.9948611110000005"/>
    <x v="0"/>
  </r>
  <r>
    <n v="1476"/>
    <s v="T1954"/>
    <s v="IHS_KMB_123"/>
    <s v="T1954"/>
    <x v="1"/>
    <s v="Eyang"/>
    <x v="1"/>
    <s v="Outdoor"/>
    <s v="Mamfe"/>
    <s v="Manyu"/>
    <s v="Tinto"/>
    <x v="12"/>
    <n v="5.4222169999999998"/>
    <n v="9.4724330000000005"/>
    <x v="0"/>
  </r>
  <r>
    <n v="1477"/>
    <s v="T1955"/>
    <s v="IHS_KMB_124"/>
    <s v="T1955"/>
    <x v="1"/>
    <s v="Mayemen"/>
    <x v="2"/>
    <s v="Outdoor"/>
    <s v="kumba"/>
    <s v="Koupe-Manengouba"/>
    <s v="Nguti"/>
    <x v="12"/>
    <n v="5.214321"/>
    <n v="9.3944919999999996"/>
    <x v="0"/>
  </r>
  <r>
    <n v="1478"/>
    <s v="T2775"/>
    <s v="IHS_KMB_128"/>
    <s v="T2775"/>
    <x v="0"/>
    <s v="Nchemba II"/>
    <x v="0"/>
    <s v="Outdoor"/>
    <s v="Mamfe"/>
    <s v="Manyu"/>
    <s v="Tinto"/>
    <x v="12"/>
    <n v="5.7219720000000001"/>
    <n v="9.5183060000000008"/>
    <x v="0"/>
  </r>
  <r>
    <n v="1479"/>
    <s v="EXN_127"/>
    <s v="IHS_MAR_307"/>
    <s v="EXN_127"/>
    <x v="9"/>
    <s v="Wina"/>
    <x v="0"/>
    <s v="Outdoor"/>
    <s v="Yagoua"/>
    <s v="Mayo-DANAY"/>
    <s v="Wina"/>
    <x v="13"/>
    <n v="10.068"/>
    <n v="15.218400000000001"/>
    <x v="0"/>
  </r>
  <r>
    <n v="1480"/>
    <s v="T2148"/>
    <s v="IHS_MAR_216"/>
    <s v="T2148"/>
    <x v="9"/>
    <s v="TOULOUM"/>
    <x v="0"/>
    <s v="Outdoor"/>
    <s v="Yagoua"/>
    <s v="Mayo-kani"/>
    <s v="Touloum"/>
    <x v="13"/>
    <n v="10.18041"/>
    <n v="14.835649999999999"/>
    <x v="0"/>
  </r>
  <r>
    <n v="1481"/>
    <s v="T2013"/>
    <s v="IHS_MAR_209"/>
    <s v="T2013"/>
    <x v="9"/>
    <s v="ROUA"/>
    <x v="0"/>
    <s v="Outdoor"/>
    <s v="Yagoua"/>
    <s v="Mayo-Tsanaga"/>
    <s v="Soulédé-Roua"/>
    <x v="13"/>
    <n v="10.75975"/>
    <n v="13.967943999999999"/>
    <x v="0"/>
  </r>
  <r>
    <n v="1482"/>
    <s v="EXN_073"/>
    <s v="IHS_MAR_049"/>
    <s v="EXN_073"/>
    <x v="9"/>
    <s v="Ndoukoula"/>
    <x v="0"/>
    <s v="Outdoor"/>
    <s v="Yagoua"/>
    <s v="Mayo-Tsanaga"/>
    <s v="Ndoukoula"/>
    <x v="13"/>
    <n v="10.278333"/>
    <n v="14.036917000000001"/>
    <x v="0"/>
  </r>
  <r>
    <n v="1483"/>
    <s v="EXN_136"/>
    <s v="IHS_MAR_351"/>
    <s v="EXN_136"/>
    <x v="8"/>
    <s v="Mousgoy "/>
    <x v="0"/>
    <s v="Outdoor"/>
    <s v="Garoua 2"/>
    <s v="MAYO- LOUTI"/>
    <s v="Guider"/>
    <x v="13"/>
    <n v="10.89456"/>
    <n v="13.89456"/>
    <x v="0"/>
  </r>
  <r>
    <n v="1484"/>
    <s v="EXN_175"/>
    <s v="IHS_MAR_368"/>
    <s v="EXN_175"/>
    <x v="9"/>
    <s v="Moude"/>
    <x v="0"/>
    <s v="Outdoor"/>
    <s v="Yagoua"/>
    <s v="Mayo-Tsanaga"/>
    <s v="Mogode"/>
    <x v="13"/>
    <n v="10.42773"/>
    <n v="13.566520000000001"/>
    <x v="0"/>
  </r>
  <r>
    <n v="1485"/>
    <s v="EXN_186"/>
    <s v="IHS_MAR_342"/>
    <s v="EXN_186"/>
    <x v="9"/>
    <s v="Mouda"/>
    <x v="0"/>
    <s v="Outdoor"/>
    <s v="Yagoua"/>
    <s v="Mayo-kani"/>
    <s v="Moutourwa"/>
    <x v="13"/>
    <n v="10.358115"/>
    <n v="14.232395"/>
    <x v="0"/>
  </r>
  <r>
    <n v="1486"/>
    <s v="T1403"/>
    <s v="IHS_MAR_044"/>
    <s v="T1403"/>
    <x v="9"/>
    <s v="Mokong"/>
    <x v="0"/>
    <s v="Outdoor"/>
    <s v="Yagoua"/>
    <s v="Mayo-kani"/>
    <s v="Mokolo"/>
    <x v="13"/>
    <n v="10.595139"/>
    <n v="13.994444"/>
    <x v="0"/>
  </r>
  <r>
    <n v="1487"/>
    <s v="T0880"/>
    <s v="IHS_MAR_032"/>
    <s v="T0880"/>
    <x v="9"/>
    <s v="Meskin"/>
    <x v="0"/>
    <s v="Outdoor"/>
    <s v="Maroua"/>
    <s v="Diamare"/>
    <s v="Maroua1"/>
    <x v="13"/>
    <n v="10.564"/>
    <n v="14.271000000000001"/>
    <x v="0"/>
  </r>
  <r>
    <n v="1488"/>
    <s v="EXN_169"/>
    <s v="IHS_MAR_341"/>
    <s v="EXN_169"/>
    <x v="9"/>
    <s v="MEME II"/>
    <x v="0"/>
    <s v="Outdoor"/>
    <s v="Maroua"/>
    <s v="Mayo-Sava"/>
    <s v="Mora"/>
    <x v="13"/>
    <n v="10.970418"/>
    <n v="14.232792"/>
    <x v="0"/>
  </r>
  <r>
    <n v="1489"/>
    <s v="EXN_162"/>
    <s v="IHS_MAR_361"/>
    <s v="EXN_162"/>
    <x v="9"/>
    <s v="Mayo Kaba"/>
    <x v="0"/>
    <s v="Outdoor"/>
    <s v="Yagoua"/>
    <s v="Mayo-Tsanaga"/>
    <s v="Hina"/>
    <x v="13"/>
    <n v="10.283970999999999"/>
    <n v="13.867554999999999"/>
    <x v="0"/>
  </r>
  <r>
    <n v="1490"/>
    <s v="EXN_066"/>
    <s v="IHS_MAR_011"/>
    <s v="EXN_066"/>
    <x v="9"/>
    <s v="Maroua-Stade"/>
    <x v="0"/>
    <s v="Outdoor"/>
    <s v="Maroua"/>
    <s v="Diamare"/>
    <s v="Maroua1"/>
    <x v="13"/>
    <n v="10.589971999999999"/>
    <n v="14.324583000000001"/>
    <x v="0"/>
  </r>
  <r>
    <n v="1491"/>
    <s v="T1643"/>
    <s v="IHS_MAR_312"/>
    <s v="T1643"/>
    <x v="8"/>
    <s v="Mandama "/>
    <x v="0"/>
    <s v="Outdoor"/>
    <s v="Garoua 2"/>
    <s v="MAYO- LOUTI"/>
    <s v="Mokolo"/>
    <x v="13"/>
    <n v="10.144028"/>
    <n v="13.704943999999999"/>
    <x v="0"/>
  </r>
  <r>
    <n v="1492"/>
    <s v="EXN_128"/>
    <s v="IHS_GAR_342"/>
    <s v="EXN_128"/>
    <x v="9"/>
    <s v="MAGADA"/>
    <x v="0"/>
    <s v="Outdoor"/>
    <s v="Yagoua"/>
    <s v="Mayo-kani"/>
    <s v="Kaele"/>
    <x v="13"/>
    <n v="10.106323"/>
    <n v="14.185765999999999"/>
    <x v="0"/>
  </r>
  <r>
    <n v="1493"/>
    <s v="EXN_102"/>
    <s v="IHS_MAR_211"/>
    <s v="EXN_102"/>
    <x v="9"/>
    <s v="Lara"/>
    <x v="0"/>
    <s v="Outdoor"/>
    <s v="Yagoua"/>
    <s v="Mayo-kani"/>
    <s v="lara"/>
    <x v="13"/>
    <n v="10.177004999999999"/>
    <n v="14.511312"/>
    <x v="0"/>
  </r>
  <r>
    <n v="1494"/>
    <s v="EXN_168"/>
    <s v="IHS_MAR_327"/>
    <s v="EXN_168"/>
    <x v="9"/>
    <s v="Kinguin OCM"/>
    <x v="0"/>
    <s v="Outdoor"/>
    <s v="Yagoua"/>
    <s v="Mayo-Tsanaga"/>
    <s v="Mogode"/>
    <x v="13"/>
    <n v="10.568894"/>
    <n v="13.663093999999999"/>
    <x v="0"/>
  </r>
  <r>
    <n v="1495"/>
    <s v="EXN_058"/>
    <s v="IHS_MAR_072"/>
    <s v="EXN_058"/>
    <x v="9"/>
    <s v="Kalfou"/>
    <x v="0"/>
    <s v="Outdoor"/>
    <s v="Yagoua"/>
    <s v="Mayo-DANAY"/>
    <s v="Kalfou"/>
    <x v="13"/>
    <n v="10.290722000000001"/>
    <n v="14.929278"/>
    <x v="0"/>
  </r>
  <r>
    <n v="1496"/>
    <s v="EXN_173"/>
    <s v="IHS_MAR_324"/>
    <s v="EXN_173"/>
    <x v="9"/>
    <s v="Guili Centre "/>
    <x v="0"/>
    <s v="Outdoor"/>
    <s v="Yagoua"/>
    <s v="Mayo-Tsanaga"/>
    <s v="BOURRHA"/>
    <x v="13"/>
    <n v="10.339729999999999"/>
    <n v="13.5503"/>
    <x v="0"/>
  </r>
  <r>
    <n v="1497"/>
    <s v="T2747"/>
    <s v="IHS_MAR_360"/>
    <s v="T2747"/>
    <x v="9"/>
    <s v="GUERE "/>
    <x v="0"/>
    <s v="Outdoor"/>
    <s v="Yagoua"/>
    <s v="Mayo-DANAY"/>
    <s v="Guere"/>
    <x v="13"/>
    <n v="10.028869"/>
    <n v="15.262480999999999"/>
    <x v="0"/>
  </r>
  <r>
    <n v="1498"/>
    <s v="EXN_126"/>
    <s v="IHS_MAR_359"/>
    <s v="EXN_126"/>
    <x v="9"/>
    <s v="Guere"/>
    <x v="0"/>
    <s v="Outdoor"/>
    <s v="Yagoua"/>
    <s v="Mayo-DANAY"/>
    <s v="Guere"/>
    <x v="13"/>
    <n v="10.022746"/>
    <n v="15.253399999999999"/>
    <x v="0"/>
  </r>
  <r>
    <n v="1499"/>
    <s v="EXN_163"/>
    <s v="IHS_MAR_362"/>
    <s v="EXN_163"/>
    <x v="9"/>
    <s v="Gamdougoum"/>
    <x v="0"/>
    <s v="Outdoor"/>
    <s v="Yagoua"/>
    <s v="Mayo-Tsanaga"/>
    <s v="Hina"/>
    <x v="13"/>
    <n v="10.296290000000001"/>
    <n v="13.751669"/>
    <x v="0"/>
  </r>
  <r>
    <n v="1500"/>
    <s v="T1609"/>
    <s v="IHS_GAR_125"/>
    <s v="T1609"/>
    <x v="9"/>
    <s v="Foulday "/>
    <x v="0"/>
    <s v="Outdoor"/>
    <s v="Yagoua"/>
    <s v="Mayo-Tsanaga"/>
    <s v="Hina"/>
    <x v="13"/>
    <n v="10.273361"/>
    <n v="13.892944999999999"/>
    <x v="0"/>
  </r>
  <r>
    <n v="1501"/>
    <s v="T2871"/>
    <s v="IHS_MAR_219"/>
    <s v="T2871"/>
    <x v="9"/>
    <s v="Dziguilao"/>
    <x v="0"/>
    <s v="Outdoor"/>
    <s v="Yagoua"/>
    <s v="Mayo-kani"/>
    <s v="Dziguilao"/>
    <x v="13"/>
    <n v="10.010778"/>
    <n v="14.782527999999999"/>
    <x v="0"/>
  </r>
  <r>
    <n v="1502"/>
    <s v="NRD_122"/>
    <s v="IHS_GAR_332"/>
    <s v="NRD_122"/>
    <x v="8"/>
    <s v="Douroum"/>
    <x v="0"/>
    <s v="Outdoor"/>
    <s v="Garoua 2"/>
    <s v="MAYO- LOUTI"/>
    <s v="Guider"/>
    <x v="13"/>
    <n v="10.098383999999999"/>
    <n v="13.756466"/>
    <x v="0"/>
  </r>
  <r>
    <n v="1503"/>
    <s v="EXN_118"/>
    <s v="IHS_MAR_157"/>
    <s v="EXN_118"/>
    <x v="9"/>
    <s v="Doreissou"/>
    <x v="0"/>
    <s v="Outdoor"/>
    <s v="Yagoua"/>
    <s v="Mayo-DANAY"/>
    <s v="Vele"/>
    <x v="13"/>
    <n v="10.567206000000001"/>
    <n v="15.135158000000001"/>
    <x v="0"/>
  </r>
  <r>
    <n v="1504"/>
    <s v="EXN_171"/>
    <s v="IHS_MAR_365"/>
    <s v="EXN_171"/>
    <x v="9"/>
    <s v="Dogba"/>
    <x v="0"/>
    <s v="Outdoor"/>
    <s v="Maroua"/>
    <s v="Diamare"/>
    <s v="Maroua2"/>
    <x v="13"/>
    <n v="10.794422000000001"/>
    <n v="14.311173"/>
    <x v="0"/>
  </r>
  <r>
    <n v="1505"/>
    <s v="EXN_135"/>
    <s v="IHS_MAR_316"/>
    <s v="EXN_135"/>
    <x v="9"/>
    <s v="BOUGOUDOUM"/>
    <x v="0"/>
    <s v="Outdoor"/>
    <s v="Yagoua"/>
    <s v="Mayo-DANAY"/>
    <s v="Gobo"/>
    <x v="13"/>
    <n v="10.06081"/>
    <n v="15.526540000000001"/>
    <x v="0"/>
  </r>
  <r>
    <n v="1506"/>
    <s v="NRD_092"/>
    <s v="IHS_GAR_89"/>
    <s v="NRD_092"/>
    <x v="8"/>
    <s v="BOUDVA"/>
    <x v="0"/>
    <s v="Outdoor"/>
    <s v="Maroua"/>
    <s v="MAYO- LOUTI"/>
    <s v="Guider"/>
    <x v="13"/>
    <n v="9.9999870000000008"/>
    <n v="14.173457000000001"/>
    <x v="0"/>
  </r>
  <r>
    <n v="1507"/>
    <s v="T0258"/>
    <s v="IHS_GAR_057"/>
    <s v="T0258"/>
    <x v="8"/>
    <s v="Bidzar"/>
    <x v="0"/>
    <s v="Indoor"/>
    <s v="Garoua 2"/>
    <s v="MAYO- LOUTI"/>
    <s v="Figuil"/>
    <x v="13"/>
    <n v="9.9139099999999996"/>
    <n v="14.08046"/>
    <x v="0"/>
  </r>
  <r>
    <n v="1508"/>
    <s v="EXN_167"/>
    <s v="IHS_MAR_315"/>
    <s v="EXN_167"/>
    <x v="9"/>
    <s v="Bariki-II"/>
    <x v="0"/>
    <s v="Outdoor"/>
    <s v="Yagoua"/>
    <s v="Mayo-Tsanaga"/>
    <s v="Mogode"/>
    <x v="13"/>
    <n v="10.583349999999999"/>
    <n v="13.76606"/>
    <x v="0"/>
  </r>
  <r>
    <n v="1509"/>
    <s v="T2901"/>
    <s v="IHS_MAR_224"/>
    <s v="T2901"/>
    <x v="9"/>
    <s v="BANGANA"/>
    <x v="0"/>
    <s v="Outdoor"/>
    <s v="Yagoua"/>
    <s v="Mayo-DANAY"/>
    <s v="Yagoua"/>
    <x v="13"/>
    <n v="10.226008"/>
    <n v="15.319925"/>
    <x v="0"/>
  </r>
  <r>
    <n v="1510"/>
    <s v="EXN_152"/>
    <s v="IHS_MAR_357"/>
    <s v="EXN_152"/>
    <x v="9"/>
    <s v="Badjonré"/>
    <x v="0"/>
    <s v="Outdoor"/>
    <s v="Yagoua"/>
    <s v="Mayo-kani"/>
    <s v="Moulvouday"/>
    <x v="13"/>
    <n v="10.334054999999999"/>
    <n v="14.66319"/>
    <x v="0"/>
  </r>
  <r>
    <n v="1511"/>
    <s v="T2900"/>
    <s v="IHS_MAR_217"/>
    <s v="T2900"/>
    <x v="9"/>
    <s v="AMCHIDEE TOWN"/>
    <x v="0"/>
    <s v="Outdoor"/>
    <s v="Maroua"/>
    <s v="Mayo Sava"/>
    <s v="Mora"/>
    <x v="13"/>
    <n v="11.246333"/>
    <n v="14.141222000000001"/>
    <x v="0"/>
  </r>
  <r>
    <n v="1512"/>
    <s v="EXN_172"/>
    <s v="IHS_MAR_349"/>
    <s v="EXN_172"/>
    <x v="9"/>
    <s v="Zouvoul-IHS"/>
    <x v="0"/>
    <s v="Outdoor"/>
    <s v="Yagoua"/>
    <s v="Mayo-Tsanaga"/>
    <s v="Hina"/>
    <x v="13"/>
    <n v="10.250033999999999"/>
    <n v="13.916611"/>
    <x v="0"/>
  </r>
  <r>
    <n v="1513"/>
    <s v="EXN_174"/>
    <s v="IHS_MAR_367"/>
    <s v="EXN_174"/>
    <x v="9"/>
    <s v="Zileng"/>
    <x v="0"/>
    <s v="Outdoor"/>
    <s v="Yagoua"/>
    <s v="Mayo-Tsanaga"/>
    <s v="Mokolo"/>
    <x v="13"/>
    <n v="10.713881000000001"/>
    <n v="13.82799"/>
    <x v="0"/>
  </r>
  <r>
    <n v="1514"/>
    <s v="EXN_154"/>
    <s v="IHS_MAR_348"/>
    <s v="EXN_154"/>
    <x v="9"/>
    <s v="Zidim IHS"/>
    <x v="0"/>
    <s v="Outdoor"/>
    <s v="Yagoua"/>
    <s v="Mayo-Tsanaga"/>
    <s v="Mokolo"/>
    <x v="13"/>
    <n v="10.487731"/>
    <n v="13.953222999999999"/>
    <x v="0"/>
  </r>
  <r>
    <n v="1515"/>
    <s v="EXN_178"/>
    <s v="IHS_MAR_346"/>
    <s v="EXN_178"/>
    <x v="9"/>
    <s v="Torock-IHS"/>
    <x v="0"/>
    <s v="Outdoor"/>
    <s v="Yagoua"/>
    <s v="Mayo-kani"/>
    <s v="Kaele"/>
    <x v="13"/>
    <n v="10.04734"/>
    <n v="14.521877999999999"/>
    <x v="0"/>
  </r>
  <r>
    <n v="1516"/>
    <s v="EXN_155"/>
    <s v="IHS_MAR_323"/>
    <s v="EXN_155"/>
    <x v="9"/>
    <s v="Minawao IHS"/>
    <x v="0"/>
    <s v="Outdoor"/>
    <s v="Yagoua"/>
    <s v="Mayo-Tsanaga"/>
    <s v="Mokolo"/>
    <x v="13"/>
    <n v="10.560693000000001"/>
    <n v="13.850013000000001"/>
    <x v="0"/>
  </r>
  <r>
    <n v="1517"/>
    <s v="EXN_145"/>
    <s v="IHS_MAR_336"/>
    <s v="EXN_145"/>
    <x v="9"/>
    <s v="maroua Pitouare"/>
    <x v="0"/>
    <s v="Outdoor"/>
    <s v="Maroua"/>
    <s v="Diamare"/>
    <s v="Maroua1"/>
    <x v="13"/>
    <n v="10.597708000000001"/>
    <n v="14.305595"/>
    <x v="0"/>
  </r>
  <r>
    <n v="1518"/>
    <s v="EXN_184"/>
    <s v="IHS_MAR_366"/>
    <s v="EXN_184"/>
    <x v="9"/>
    <s v="Maroua ouro Bah II"/>
    <x v="0"/>
    <s v="Outdoor"/>
    <s v="Maroua"/>
    <s v="Diamare"/>
    <s v="Maroua3"/>
    <x v="13"/>
    <n v="10.606389999999999"/>
    <n v="14.352209999999999"/>
    <x v="0"/>
  </r>
  <r>
    <n v="1519"/>
    <s v="EXN_143"/>
    <s v="IHS_MAR_334"/>
    <s v="EXN_143"/>
    <x v="9"/>
    <s v="Maroua Djarengol"/>
    <x v="0"/>
    <s v="Outdoor"/>
    <s v="Maroua"/>
    <s v="Diamare"/>
    <s v="Maroua3"/>
    <x v="13"/>
    <n v="10.614827999999999"/>
    <n v="14.366872000000001"/>
    <x v="0"/>
  </r>
  <r>
    <n v="1520"/>
    <s v="EXN_165"/>
    <s v="IHS_MAR_364"/>
    <s v="EXN_165"/>
    <x v="9"/>
    <s v="Doumo-IHS"/>
    <x v="0"/>
    <s v="Outdoor"/>
    <s v="Yagoua"/>
    <s v="Mayo-Tsanaga"/>
    <s v="Hina"/>
    <x v="13"/>
    <n v="10.292047999999999"/>
    <n v="13.830394999999999"/>
    <x v="0"/>
  </r>
  <r>
    <n v="1521"/>
    <s v="EXN_147"/>
    <s v="IHS_MAR_337"/>
    <s v="EXN_147"/>
    <x v="9"/>
    <s v="Maroua Zikirou"/>
    <x v="0"/>
    <s v="Outdoor"/>
    <s v="Maroua"/>
    <s v="Diamare"/>
    <s v="Maroua1"/>
    <x v="13"/>
    <n v="10.574059999999999"/>
    <n v="14.27586"/>
    <x v="0"/>
  </r>
  <r>
    <n v="1522"/>
    <s v="T0039"/>
    <s v="IHS_MAR_035"/>
    <s v="T0039"/>
    <x v="9"/>
    <s v="Godola"/>
    <x v="0"/>
    <s v="Indoor"/>
    <s v="Maroua"/>
    <s v="Diamare"/>
    <s v="Maroua2"/>
    <x v="13"/>
    <n v="10.685"/>
    <n v="14.279"/>
    <x v="0"/>
  </r>
  <r>
    <n v="1523"/>
    <s v="T0088"/>
    <s v="IHS_MAR_021"/>
    <s v="T0088"/>
    <x v="9"/>
    <s v="Misseguileo"/>
    <x v="0"/>
    <s v="Indoor"/>
    <s v="Maroua"/>
    <s v="Diamare"/>
    <s v="Maroua2"/>
    <x v="13"/>
    <n v="10.603999999999999"/>
    <n v="14.308999999999999"/>
    <x v="0"/>
  </r>
  <r>
    <n v="1524"/>
    <s v="T1213"/>
    <s v="IHS_MAR_026"/>
    <s v="T1213"/>
    <x v="9"/>
    <s v="Djarengol Delegue"/>
    <x v="0"/>
    <s v="Outdoor"/>
    <s v="Maroua"/>
    <s v="Diamare"/>
    <s v="Maroua1"/>
    <x v="13"/>
    <n v="10.586779999999999"/>
    <n v="14.2944"/>
    <x v="0"/>
  </r>
  <r>
    <n v="1525"/>
    <s v="T0433"/>
    <s v="IHS_MAR_013"/>
    <s v="T0433"/>
    <x v="9"/>
    <s v="Maroua Comice"/>
    <x v="0"/>
    <s v="Outdoor"/>
    <s v="Maroua"/>
    <s v="Diamare"/>
    <s v="COMMUNE MAROUA 1"/>
    <x v="13"/>
    <n v="10.589513999999999"/>
    <n v="14.319290000000001"/>
    <x v="1"/>
  </r>
  <r>
    <n v="1526"/>
    <s v="EXN_001"/>
    <s v="IHS_MAR_020"/>
    <s v="EXN_001"/>
    <x v="9"/>
    <s v="Sodecoton"/>
    <x v="0"/>
    <s v="Indoor"/>
    <s v="Maroua"/>
    <s v="Diamare"/>
    <s v="Maroua1"/>
    <x v="13"/>
    <n v="10.584474999999999"/>
    <n v="14.312806"/>
    <x v="0"/>
  </r>
  <r>
    <n v="1527"/>
    <s v="T1389"/>
    <s v="IHS_MAR_031"/>
    <s v="T1389"/>
    <x v="9"/>
    <s v="ZOKOK LADDEO"/>
    <x v="0"/>
    <s v="Outdoor"/>
    <s v="Maroua"/>
    <s v="Diamare"/>
    <s v="Maroua1"/>
    <x v="13"/>
    <n v="10.586472000000001"/>
    <n v="14.268416999999999"/>
    <x v="0"/>
  </r>
  <r>
    <n v="1528"/>
    <s v="T2870"/>
    <s v="IHS_MAR_210"/>
    <s v="T2870"/>
    <x v="9"/>
    <s v="Zamay"/>
    <x v="0"/>
    <s v="Outdoor"/>
    <s v="Yagoua"/>
    <s v="Mayo-Tsanaga"/>
    <s v="Mokolo"/>
    <x v="13"/>
    <n v="10.582833000000001"/>
    <n v="13.913917"/>
    <x v="0"/>
  </r>
  <r>
    <n v="1529"/>
    <s v="EXN_108"/>
    <s v="IHS_MAR_208"/>
    <s v="EXN_108"/>
    <x v="9"/>
    <s v="Roua-C1"/>
    <x v="0"/>
    <s v="Outdoor"/>
    <s v="Yagoua"/>
    <s v="Mayo-Tsanaga"/>
    <s v="Soulédé-Roua"/>
    <x v="13"/>
    <n v="10.778556"/>
    <n v="13.990138999999999"/>
    <x v="0"/>
  </r>
  <r>
    <n v="1530"/>
    <s v="T2874"/>
    <s v="IHS_MAR_220"/>
    <s v="T2874"/>
    <x v="9"/>
    <s v="POUSS"/>
    <x v="0"/>
    <s v="Outdoor"/>
    <s v="Maroua"/>
    <s v="Mayo-Danay"/>
    <s v="Maga"/>
    <x v="13"/>
    <n v="10.847571"/>
    <n v="15.051062999999999"/>
    <x v="0"/>
  </r>
  <r>
    <n v="1531"/>
    <s v="T1158"/>
    <s v="IHS_MAR_310"/>
    <s v="T1158"/>
    <x v="9"/>
    <s v="Mora 4"/>
    <x v="0"/>
    <s v="Outdoor"/>
    <s v="Maroua"/>
    <s v="Mayo-Sava"/>
    <s v="Mora"/>
    <x v="13"/>
    <n v="11.049433000000001"/>
    <n v="14.12865"/>
    <x v="0"/>
  </r>
  <r>
    <n v="1532"/>
    <s v="EXN_117"/>
    <s v="IHS_MAR_206"/>
    <s v="EXN_117"/>
    <x v="9"/>
    <s v="Maroua-University"/>
    <x v="0"/>
    <s v="Outdoor"/>
    <s v="Maroua"/>
    <s v="Diamare"/>
    <s v="Maroua3"/>
    <x v="13"/>
    <n v="10.629144"/>
    <n v="14.391306"/>
    <x v="0"/>
  </r>
  <r>
    <n v="1533"/>
    <s v="EXN_091"/>
    <s v="IHS_MAR_009"/>
    <s v="EXN_091"/>
    <x v="9"/>
    <s v="Maroua-Stade-Domayo(Hardé)"/>
    <x v="0"/>
    <s v="Outdoor"/>
    <s v="Maroua"/>
    <s v="Diamare"/>
    <s v="Maroua1"/>
    <x v="13"/>
    <n v="10.590265"/>
    <n v="14.332952000000001"/>
    <x v="0"/>
  </r>
  <r>
    <n v="1534"/>
    <s v="EXN_083"/>
    <s v="IHS_MAR_019"/>
    <s v="EXN_083"/>
    <x v="9"/>
    <s v="Maroua-Ouro-Bah"/>
    <x v="0"/>
    <s v="Outdoor"/>
    <s v="Maroua"/>
    <s v="Diamare"/>
    <s v="COMMUNE MAROUA 3"/>
    <x v="13"/>
    <n v="10.610666999999999"/>
    <n v="14.347360999999999"/>
    <x v="0"/>
  </r>
  <r>
    <n v="1535"/>
    <s v="EXN_111"/>
    <s v="IHS_MAR_205"/>
    <s v="EXN_111"/>
    <x v="9"/>
    <s v="Maroua-Doualare-II"/>
    <x v="0"/>
    <s v="Outdoor"/>
    <s v="Maroua"/>
    <s v="Diamare"/>
    <s v="COMMUNE MAROUA 2"/>
    <x v="13"/>
    <n v="10.627761"/>
    <n v="14.327464000000001"/>
    <x v="0"/>
  </r>
  <r>
    <n v="1536"/>
    <s v="EXN_114"/>
    <s v="IHS_MAR_201"/>
    <s v="EXN_114"/>
    <x v="9"/>
    <s v="Maroua-Diguirwo-IHS"/>
    <x v="0"/>
    <s v="Outdoor"/>
    <s v="Maroua"/>
    <s v="Diamare"/>
    <s v="Maroua2"/>
    <x v="13"/>
    <n v="10.602361"/>
    <n v="14.317289000000001"/>
    <x v="0"/>
  </r>
  <r>
    <n v="1537"/>
    <s v="EXN_110"/>
    <s v="IHS_MAR_218"/>
    <s v="EXN_110"/>
    <x v="9"/>
    <s v="Maga-Ville"/>
    <x v="0"/>
    <s v="Outdoor"/>
    <s v="Maroua"/>
    <s v="Mayo-Danay"/>
    <s v="Maga"/>
    <x v="13"/>
    <n v="10.857651000000001"/>
    <n v="14.97532"/>
    <x v="0"/>
  </r>
  <r>
    <n v="1538"/>
    <s v="T1382"/>
    <s v="IHS_MAR_054"/>
    <s v="T1382"/>
    <x v="9"/>
    <s v="Lara"/>
    <x v="0"/>
    <s v="Outdoor"/>
    <s v="Yagoua"/>
    <s v="Mayo-kani"/>
    <s v="lara"/>
    <x v="13"/>
    <n v="10.174187999999999"/>
    <n v="14.522304999999999"/>
    <x v="0"/>
  </r>
  <r>
    <n v="1539"/>
    <s v="T2041"/>
    <s v="IHS_MAR_214"/>
    <s v="T2041"/>
    <x v="9"/>
    <s v="GAREY"/>
    <x v="0"/>
    <s v="Outdoor"/>
    <s v="Yagoua"/>
    <s v="Mayo-kani"/>
    <s v="Kaele"/>
    <x v="13"/>
    <n v="10.028881999999999"/>
    <n v="14.326362"/>
    <x v="0"/>
  </r>
  <r>
    <n v="1540"/>
    <s v="EXN_074"/>
    <s v="IHS_MAR_079"/>
    <s v="EXN_074"/>
    <x v="9"/>
    <s v="Dziguilao"/>
    <x v="0"/>
    <s v="Outdoor"/>
    <s v="Yagoua"/>
    <s v="Mayo-kani"/>
    <s v="Dziguilao"/>
    <x v="13"/>
    <n v="10.015412"/>
    <n v="14.790951"/>
    <x v="0"/>
  </r>
  <r>
    <n v="1541"/>
    <s v="T2873"/>
    <s v="IHS_MAR_207"/>
    <s v="T2873"/>
    <x v="9"/>
    <s v="Dargala"/>
    <x v="0"/>
    <s v="Outdoor"/>
    <s v="Maroua"/>
    <s v="Diamare"/>
    <s v="Dargala"/>
    <x v="13"/>
    <n v="10.531055"/>
    <n v="14.605961000000001"/>
    <x v="0"/>
  </r>
  <r>
    <n v="1542"/>
    <s v="T0023"/>
    <s v="IHS_MAR_068"/>
    <s v="T0023"/>
    <x v="9"/>
    <s v="Mora Repeater"/>
    <x v="0"/>
    <s v="Indoor"/>
    <s v="Maroua"/>
    <s v="Mayo-Sava"/>
    <s v="Mora"/>
    <x v="13"/>
    <n v="11.032"/>
    <n v="14.169"/>
    <x v="0"/>
  </r>
  <r>
    <n v="1543"/>
    <s v="T0280"/>
    <s v="IHS_MAR_080"/>
    <s v="T0280"/>
    <x v="9"/>
    <s v="Kolofata"/>
    <x v="0"/>
    <s v="Indoor"/>
    <s v="Maroua"/>
    <s v="Mayo-Sava"/>
    <s v="Mora"/>
    <x v="13"/>
    <n v="11.163"/>
    <n v="14.022"/>
    <x v="0"/>
  </r>
  <r>
    <n v="1544"/>
    <s v="T1349"/>
    <s v="IHS_MAR_002"/>
    <s v="T1349"/>
    <x v="9"/>
    <s v="HARDE"/>
    <x v="0"/>
    <s v="Outdoor"/>
    <s v="Maroua"/>
    <s v="Diamare"/>
    <s v="Maroua1"/>
    <x v="13"/>
    <n v="10.59282"/>
    <n v="14.33338"/>
    <x v="0"/>
  </r>
  <r>
    <n v="1545"/>
    <s v="T0260"/>
    <s v="IHS_MAR_071"/>
    <s v="T0260"/>
    <x v="9"/>
    <s v="Guidiguis"/>
    <x v="0"/>
    <s v="Indoor"/>
    <s v="Yagoua"/>
    <s v="Mayo-kani"/>
    <s v="Guidiguis"/>
    <x v="13"/>
    <n v="10.135228"/>
    <n v="14.704224999999999"/>
    <x v="0"/>
  </r>
  <r>
    <n v="1546"/>
    <s v="EXN_030"/>
    <s v="IHS_MAR_017"/>
    <s v="EXN_030"/>
    <x v="9"/>
    <s v="Doualare"/>
    <x v="0"/>
    <s v="Indoor"/>
    <s v="Maroua"/>
    <s v="Diamare"/>
    <s v="COMMUNE MAROUA 2"/>
    <x v="13"/>
    <n v="10.617194"/>
    <n v="14.324972000000001"/>
    <x v="0"/>
  </r>
  <r>
    <n v="1547"/>
    <s v="EXN_007"/>
    <s v="IHS_MAR_088"/>
    <s v="EXN_007"/>
    <x v="9"/>
    <s v="Amchide"/>
    <x v="0"/>
    <s v="Indoor"/>
    <s v="Maroua"/>
    <s v="Mayo-Sava"/>
    <s v="Mora"/>
    <x v="13"/>
    <n v="11.241794000000001"/>
    <n v="14.153111000000001"/>
    <x v="0"/>
  </r>
  <r>
    <n v="1548"/>
    <s v="EXN_032"/>
    <s v="IHS_MAR_067"/>
    <s v="EXN_032"/>
    <x v="9"/>
    <s v="Mora-II"/>
    <x v="0"/>
    <s v="Indoor"/>
    <s v="Maroua"/>
    <s v="Mayo-Sava"/>
    <s v="Mora"/>
    <x v="13"/>
    <n v="11.030443999999999"/>
    <n v="14.168028"/>
    <x v="0"/>
  </r>
  <r>
    <n v="1549"/>
    <s v="EXN_015"/>
    <s v="IHS_MAR_047"/>
    <s v="EXN_015"/>
    <x v="9"/>
    <s v="Tokombere"/>
    <x v="0"/>
    <s v="Indoor"/>
    <s v="Maroua"/>
    <s v="Mayo-Sava"/>
    <s v="Tokombere"/>
    <x v="13"/>
    <n v="10.868194000000001"/>
    <n v="14.147500000000001"/>
    <x v="0"/>
  </r>
  <r>
    <n v="1550"/>
    <s v="EXN_053"/>
    <s v="IHS_MAR_029"/>
    <s v="EXN_053"/>
    <x v="9"/>
    <s v="Kodek-Djarengol"/>
    <x v="0"/>
    <s v="Outdoor"/>
    <s v="Maroua"/>
    <s v="Diamare"/>
    <s v="Maroua3"/>
    <x v="13"/>
    <n v="10.6238031"/>
    <n v="14.3734555"/>
    <x v="0"/>
  </r>
  <r>
    <n v="1551"/>
    <s v="T0283"/>
    <s v="IHS_MAR_069"/>
    <s v="T0283"/>
    <x v="9"/>
    <s v="Mora"/>
    <x v="0"/>
    <s v="Indoor"/>
    <s v="Maroua"/>
    <s v="Mayo-Sava"/>
    <s v="Mora"/>
    <x v="13"/>
    <n v="11.047000000000001"/>
    <n v="14.138999999999999"/>
    <x v="0"/>
  </r>
  <r>
    <n v="1552"/>
    <s v="T0881"/>
    <s v="IHS_MAR_074"/>
    <s v="T0881"/>
    <x v="9"/>
    <s v="Yagoua Lycee"/>
    <x v="0"/>
    <s v="Outdoor"/>
    <s v="Yagoua"/>
    <s v="Mayo-DANAY"/>
    <s v="Yagoua"/>
    <x v="13"/>
    <n v="10.35008"/>
    <n v="15.232710000000001"/>
    <x v="0"/>
  </r>
  <r>
    <n v="1553"/>
    <s v="T1347"/>
    <s v="IHS_MAR_025"/>
    <s v="T1347"/>
    <x v="9"/>
    <s v="Maroua palar"/>
    <x v="0"/>
    <s v="Outdoor"/>
    <s v="Maroua"/>
    <s v="Diamare"/>
    <s v="Maroua1"/>
    <x v="13"/>
    <n v="10.60263"/>
    <n v="14.29466"/>
    <x v="0"/>
  </r>
  <r>
    <n v="1554"/>
    <s v="T1348"/>
    <s v="IHS_MAR_010"/>
    <s v="T1348"/>
    <x v="9"/>
    <s v="DOMAYO"/>
    <x v="0"/>
    <s v="Outdoor"/>
    <s v="Maroua"/>
    <s v="Diamare"/>
    <s v="Maroua1"/>
    <x v="13"/>
    <n v="10.596139000000001"/>
    <n v="14.321284"/>
    <x v="0"/>
  </r>
  <r>
    <n v="1555"/>
    <s v="T0279"/>
    <s v="IHS_MAR_048"/>
    <s v="T0279"/>
    <x v="9"/>
    <s v="Tokombere"/>
    <x v="0"/>
    <s v="Indoor"/>
    <s v="Maroua"/>
    <s v="Mayo-Sava"/>
    <s v="Tokombere"/>
    <x v="13"/>
    <n v="10.86726"/>
    <n v="14.14254"/>
    <x v="0"/>
  </r>
  <r>
    <n v="1556"/>
    <s v="T0259"/>
    <s v="IHS_MAR_061"/>
    <s v="T0259"/>
    <x v="9"/>
    <s v="Mokola"/>
    <x v="0"/>
    <s v="Indoor"/>
    <s v="Yagoua"/>
    <s v="Mayo-Tsanaga"/>
    <s v="Mokolo"/>
    <x v="13"/>
    <n v="10.77037"/>
    <n v="13.81625"/>
    <x v="0"/>
  </r>
  <r>
    <n v="1557"/>
    <s v="EXN_071"/>
    <s v="IHS_MAR_014"/>
    <s v="EXN_071"/>
    <x v="9"/>
    <s v="Maroua-Camp-SIC"/>
    <x v="0"/>
    <s v="Outdoor"/>
    <s v="Maroua"/>
    <s v="Diamare"/>
    <s v="COMMUNE MAROUA 1"/>
    <x v="13"/>
    <n v="10.596080000000001"/>
    <n v="14.31574"/>
    <x v="0"/>
  </r>
  <r>
    <n v="1558"/>
    <s v="T0273"/>
    <s v="IHS_MAR_034"/>
    <s v="T0273"/>
    <x v="9"/>
    <s v="Katoual 2"/>
    <x v="0"/>
    <s v="Indoor"/>
    <s v="Maroua"/>
    <s v="Diamare"/>
    <s v="Maroua1"/>
    <x v="13"/>
    <n v="10.52327"/>
    <n v="14.206329999999999"/>
    <x v="0"/>
  </r>
  <r>
    <n v="1559"/>
    <s v="CTR_336"/>
    <s v="IHS_YND_212"/>
    <s v="CTR_336"/>
    <x v="3"/>
    <s v="H-General-Yde"/>
    <x v="0"/>
    <s v="Outdoor"/>
    <s v="OMNISPORT"/>
    <s v="MFOUNDI"/>
    <s v="YAOUNDE 5"/>
    <x v="13"/>
    <n v="10.114731000000001"/>
    <n v="14.445518"/>
    <x v="0"/>
  </r>
  <r>
    <n v="1560"/>
    <s v="EXN_069"/>
    <s v="IHS_MAR_075"/>
    <s v="EXN_069"/>
    <x v="9"/>
    <s v="Yagoua-Quinf"/>
    <x v="0"/>
    <s v="Outdoor"/>
    <s v="Yagoua"/>
    <s v="Mayo-DANAY"/>
    <s v="COMMUNE DE YAGOUA"/>
    <x v="13"/>
    <n v="10.344360999999999"/>
    <n v="15.224667"/>
    <x v="0"/>
  </r>
  <r>
    <n v="1561"/>
    <s v="EXN_008"/>
    <s v="IHS_MAR_037"/>
    <s v="EXN_008"/>
    <x v="9"/>
    <s v="Salack"/>
    <x v="0"/>
    <s v="Indoor"/>
    <s v="Maroua"/>
    <s v="Diamare"/>
    <s v="Maroua1"/>
    <x v="13"/>
    <n v="10.459709"/>
    <n v="14.258283"/>
    <x v="1"/>
  </r>
  <r>
    <n v="1562"/>
    <s v="T0282"/>
    <s v="IHS_MAR_065"/>
    <s v="T0282"/>
    <x v="9"/>
    <s v="Koza"/>
    <x v="0"/>
    <s v="Indoor"/>
    <s v="Yagoua"/>
    <s v="Mayo-Tsanaga"/>
    <s v="Koza"/>
    <x v="13"/>
    <n v="10.872859999999999"/>
    <n v="13.88374"/>
    <x v="0"/>
  </r>
  <r>
    <n v="1563"/>
    <s v="EXN_006"/>
    <s v="IHS_MAR_041"/>
    <s v="EXN_006"/>
    <x v="9"/>
    <s v="Bogo"/>
    <x v="0"/>
    <s v="Indoor"/>
    <s v="Maroua"/>
    <s v="Diamare"/>
    <s v="Bogo"/>
    <x v="13"/>
    <n v="10.736986"/>
    <n v="14.616889"/>
    <x v="0"/>
  </r>
  <r>
    <n v="1564"/>
    <s v="T1210"/>
    <s v="IHS_GAR_059"/>
    <s v="T1210"/>
    <x v="8"/>
    <s v="SAGAMLA"/>
    <x v="0"/>
    <s v="Outdoor"/>
    <s v="Garoua 2"/>
    <s v="MAYO- LOUTI"/>
    <s v="Guider"/>
    <x v="13"/>
    <n v="9.9434719999999999"/>
    <n v="13.9435"/>
    <x v="0"/>
  </r>
  <r>
    <n v="1565"/>
    <s v="EXN_087"/>
    <s v="IHS_MAR_008"/>
    <s v="EXN_087"/>
    <x v="9"/>
    <s v="Maroua-Douggoy-Masalare"/>
    <x v="0"/>
    <s v="Outdoor"/>
    <s v="Maroua"/>
    <s v="Diamare"/>
    <s v="Maroua3"/>
    <x v="13"/>
    <n v="10.606139000000001"/>
    <n v="14.343028"/>
    <x v="0"/>
  </r>
  <r>
    <n v="1566"/>
    <s v="EXN_092"/>
    <s v="IHS_MAR_028"/>
    <s v="EXN_092"/>
    <x v="9"/>
    <s v="Maroua-Titouare(Ouro Tchédé)"/>
    <x v="0"/>
    <s v="Outdoor"/>
    <s v="Maroua"/>
    <s v="Diamare"/>
    <s v="Maroua1"/>
    <x v="13"/>
    <n v="10.583328"/>
    <n v="14.28251"/>
    <x v="0"/>
  </r>
  <r>
    <n v="1567"/>
    <s v="EXN_086"/>
    <s v="IHS_MAR_024"/>
    <s v="EXN_086"/>
    <x v="9"/>
    <s v="Maroua-Titouare-II"/>
    <x v="0"/>
    <s v="Outdoor"/>
    <s v="Maroua"/>
    <s v="Diamare"/>
    <s v="COMMUNE MAROUA 1"/>
    <x v="13"/>
    <n v="10.593056000000001"/>
    <n v="14.300611"/>
    <x v="0"/>
  </r>
  <r>
    <n v="1568"/>
    <s v="EXN_089"/>
    <s v="IHS_MAR_004"/>
    <s v="EXN_089"/>
    <x v="9"/>
    <s v="Maroua-Boussaore(barmare)"/>
    <x v="0"/>
    <s v="Outdoor"/>
    <s v="Maroua"/>
    <s v="Diamare"/>
    <s v="COMMUNE MAROUA 3"/>
    <x v="13"/>
    <n v="10.600332999999999"/>
    <n v="14.335528"/>
    <x v="0"/>
  </r>
  <r>
    <n v="1569"/>
    <s v="T1392"/>
    <s v="IHS_MAR_057"/>
    <s v="T1392"/>
    <x v="9"/>
    <s v="GOUZOUGOUI"/>
    <x v="0"/>
    <s v="Outdoor"/>
    <s v="Yagoua"/>
    <s v="Mayo-kani"/>
    <s v="Kaele"/>
    <x v="13"/>
    <n v="10.095280000000001"/>
    <n v="14.426674"/>
    <x v="0"/>
  </r>
  <r>
    <n v="1570"/>
    <s v="EXN_016"/>
    <s v="IHS_MAR_023"/>
    <s v="EXN_016"/>
    <x v="9"/>
    <s v="Maroua-Douggoy"/>
    <x v="0"/>
    <s v="Indoor"/>
    <s v="Maroua"/>
    <s v="Diamare"/>
    <s v="Maroua3"/>
    <x v="13"/>
    <n v="10.606978"/>
    <n v="14.357969000000001"/>
    <x v="0"/>
  </r>
  <r>
    <n v="1571"/>
    <s v="T1391"/>
    <s v="IHS_MAR_059"/>
    <s v="T1391"/>
    <x v="9"/>
    <s v="Mora technical school"/>
    <x v="0"/>
    <s v="Outdoor"/>
    <s v="Maroua"/>
    <s v="Mayo-Sava"/>
    <s v="Mora"/>
    <x v="13"/>
    <n v="11.056367"/>
    <n v="14.125545000000001"/>
    <x v="0"/>
  </r>
  <r>
    <n v="1572"/>
    <s v="T1950"/>
    <s v="IHS_MAR_200"/>
    <s v="T1950"/>
    <x v="9"/>
    <s v="MAROUA LOPERE"/>
    <x v="0"/>
    <s v="Outdoor"/>
    <s v="Maroua"/>
    <s v="Diamare"/>
    <s v="Maroua2"/>
    <x v="13"/>
    <n v="10.606444"/>
    <n v="14.326222"/>
    <x v="0"/>
  </r>
  <r>
    <n v="1573"/>
    <s v="EXN_096"/>
    <s v="IHS_MAR_223"/>
    <s v="EXN_096"/>
    <x v="9"/>
    <s v="Yagoua-Ville"/>
    <x v="0"/>
    <s v="Outdoor"/>
    <s v="Yagoua"/>
    <s v="Mayo-DANAY"/>
    <s v="Yagoua"/>
    <x v="13"/>
    <n v="10.343389"/>
    <n v="15.232222"/>
    <x v="0"/>
  </r>
  <r>
    <n v="1574"/>
    <s v="EXN_116"/>
    <s v="IHS_MAR_204"/>
    <s v="EXN_116"/>
    <x v="9"/>
    <s v="Maroua-Zokok-Palar-IHS"/>
    <x v="0"/>
    <s v="Outdoor"/>
    <s v="Maroua"/>
    <s v="Diamare"/>
    <s v="Maroua1"/>
    <x v="13"/>
    <n v="10.6028"/>
    <n v="14.299277999999999"/>
    <x v="0"/>
  </r>
  <r>
    <n v="1575"/>
    <s v="T1819"/>
    <s v="IHS_MAR_039"/>
    <s v="T1819"/>
    <x v="9"/>
    <s v="GAZAWA"/>
    <x v="0"/>
    <s v="Outdoor"/>
    <s v="Yagoua"/>
    <s v="Mayo-Tsanaga"/>
    <s v="Gazawa"/>
    <x v="13"/>
    <n v="10.536694000000001"/>
    <n v="14.133694"/>
    <x v="0"/>
  </r>
  <r>
    <n v="1576"/>
    <s v="EXN_095"/>
    <s v="IHS_MAR_212"/>
    <s v="EXN_095"/>
    <x v="9"/>
    <s v="Kaele-Guiedame"/>
    <x v="0"/>
    <s v="Outdoor"/>
    <s v="Yagoua"/>
    <s v="Mayo-kani"/>
    <s v="Kaele"/>
    <x v="13"/>
    <n v="10.114744"/>
    <n v="14.445538000000001"/>
    <x v="0"/>
  </r>
  <r>
    <n v="1577"/>
    <s v="T0034"/>
    <s v="IHS_MAR_076"/>
    <s v="T0034"/>
    <x v="9"/>
    <s v="Yagoua"/>
    <x v="0"/>
    <s v="Indoor"/>
    <s v="Yagoua"/>
    <s v="Mayo-DANAY"/>
    <s v="Yagoua"/>
    <x v="13"/>
    <n v="10.324242999999999"/>
    <n v="15.237147999999999"/>
    <x v="0"/>
  </r>
  <r>
    <n v="1578"/>
    <s v="T1385"/>
    <s v="IHS_MAR_051"/>
    <s v="T1385"/>
    <x v="9"/>
    <s v="Guirvidig"/>
    <x v="0"/>
    <s v="Outdoor"/>
    <s v="Maroua"/>
    <s v="Mayo-Danay"/>
    <s v="Maga"/>
    <x v="13"/>
    <n v="10.883027999999999"/>
    <n v="14.830861000000001"/>
    <x v="0"/>
  </r>
  <r>
    <n v="1579"/>
    <s v="T1421"/>
    <s v="IHS_MAR_399"/>
    <s v="T1421"/>
    <x v="9"/>
    <s v="MAROUA TOTAL DOMAYO"/>
    <x v="0"/>
    <s v="Outdoor"/>
    <s v="Maroua"/>
    <s v="Diamare"/>
    <s v="Maroua1"/>
    <x v="13"/>
    <n v="10.589737"/>
    <n v="14.309298"/>
    <x v="0"/>
  </r>
  <r>
    <n v="1580"/>
    <s v="T1409"/>
    <s v="IHS_MAR_213"/>
    <s v="T1409"/>
    <x v="9"/>
    <s v="MOKOLO DJIMETA"/>
    <x v="0"/>
    <s v="Outdoor"/>
    <s v="Yagoua"/>
    <s v="Mayo-Tsanaga"/>
    <s v="Mokolo"/>
    <x v="13"/>
    <n v="10.735528"/>
    <n v="13.797416999999999"/>
    <x v="0"/>
  </r>
  <r>
    <n v="1581"/>
    <s v="T0031"/>
    <s v="IHS_MAR_055"/>
    <s v="T0031"/>
    <x v="9"/>
    <s v="Kaele"/>
    <x v="0"/>
    <s v="Indoor"/>
    <s v="Yagoua"/>
    <s v="Mayo-kani"/>
    <s v="Kaele"/>
    <x v="13"/>
    <n v="10.107937"/>
    <n v="14.460948"/>
    <x v="0"/>
  </r>
  <r>
    <n v="1582"/>
    <s v="T1154"/>
    <s v="IHS_MAR_309"/>
    <s v="T1154"/>
    <x v="9"/>
    <s v="Mokolo 3"/>
    <x v="0"/>
    <s v="Outdoor"/>
    <s v="Yagoua"/>
    <s v="Mayo-Tsanaga"/>
    <s v="Mokolo"/>
    <x v="13"/>
    <n v="10.743758"/>
    <n v="13.8028"/>
    <x v="0"/>
  </r>
  <r>
    <n v="1583"/>
    <s v="NRD_076"/>
    <s v="IHS_GAR_119"/>
    <s v="NRD_076"/>
    <x v="8"/>
    <s v="Guider-Ville"/>
    <x v="0"/>
    <s v="Outdoor"/>
    <s v="Garoua 2"/>
    <s v="MAYO- LOUTI"/>
    <s v="Guider"/>
    <x v="13"/>
    <n v="9.9311799999999995"/>
    <n v="13.943388000000001"/>
    <x v="0"/>
  </r>
  <r>
    <n v="1584"/>
    <s v="EXN_018"/>
    <s v="IHS_MAR_070"/>
    <s v="EXN_018"/>
    <x v="9"/>
    <s v="Guidiguis"/>
    <x v="0"/>
    <s v="Indoor"/>
    <s v="Yagoua"/>
    <s v="Mayo-kani"/>
    <s v="Guidiguis"/>
    <x v="13"/>
    <n v="10.141780000000001"/>
    <n v="14.703192"/>
    <x v="0"/>
  </r>
  <r>
    <n v="1585"/>
    <s v="EXN_017"/>
    <s v="IHS_MAR_077"/>
    <s v="EXN_017"/>
    <x v="9"/>
    <s v="Tchatibali"/>
    <x v="0"/>
    <s v="Indoor"/>
    <s v="Yagoua"/>
    <s v="Mayo-kani"/>
    <s v="Tchatibali"/>
    <x v="13"/>
    <n v="10.055694000000001"/>
    <n v="14.913417000000001"/>
    <x v="0"/>
  </r>
  <r>
    <n v="1586"/>
    <s v="T0356"/>
    <s v="IHS_MAR_073"/>
    <s v="T0356"/>
    <x v="9"/>
    <s v="Kalfou"/>
    <x v="0"/>
    <s v="Indoor"/>
    <s v="Yagoua"/>
    <s v="Mayo-DANAY"/>
    <s v="Kalfou"/>
    <x v="13"/>
    <n v="10.288489999999999"/>
    <n v="14.9352"/>
    <x v="0"/>
  </r>
  <r>
    <n v="1587"/>
    <s v="EXN_011"/>
    <s v="IHS_MAR_056"/>
    <s v="EXN_011"/>
    <x v="9"/>
    <s v="Kaele"/>
    <x v="0"/>
    <s v="Indoor"/>
    <s v="Yagoua"/>
    <s v="Mayo-kani"/>
    <s v="Kaele"/>
    <x v="13"/>
    <n v="10.098636000000001"/>
    <n v="14.454416999999999"/>
    <x v="0"/>
  </r>
  <r>
    <n v="1588"/>
    <s v="T0028"/>
    <s v="IHS_MAR_050"/>
    <s v="T0028"/>
    <x v="9"/>
    <s v="Moutourwa"/>
    <x v="0"/>
    <s v="Indoor"/>
    <s v="Yagoua"/>
    <s v="Mayo-kani"/>
    <s v="Moutourwa"/>
    <x v="13"/>
    <n v="10.20096"/>
    <n v="14.177390000000001"/>
    <x v="0"/>
  </r>
  <r>
    <n v="1589"/>
    <s v="T0887"/>
    <s v="IHS_MAR_005"/>
    <s v="T0887"/>
    <x v="9"/>
    <s v="Maroua Market"/>
    <x v="0"/>
    <s v="Outdoor"/>
    <s v="Maroua"/>
    <s v="Diamare"/>
    <s v="Maroua2"/>
    <x v="13"/>
    <n v="10.602259999999999"/>
    <n v="14.33018"/>
    <x v="1"/>
  </r>
  <r>
    <n v="1590"/>
    <s v="EXN_002"/>
    <s v="IHS_MAR_007"/>
    <s v="EXN_002"/>
    <x v="9"/>
    <s v="Douggoy"/>
    <x v="0"/>
    <s v="Indoor"/>
    <s v="Maroua"/>
    <s v="Diamare"/>
    <s v="Maroua3"/>
    <x v="13"/>
    <n v="10.605667"/>
    <n v="14.336888999999999"/>
    <x v="0"/>
  </r>
  <r>
    <n v="1591"/>
    <s v="T0037"/>
    <s v="IHS_MAR_046"/>
    <s v="T0037"/>
    <x v="9"/>
    <s v="Makalingai"/>
    <x v="0"/>
    <s v="Indoor"/>
    <s v="Maroua"/>
    <s v="Mayo-Sava"/>
    <s v="Tokombere"/>
    <x v="13"/>
    <n v="10.87032"/>
    <n v="14.24578"/>
    <x v="0"/>
  </r>
  <r>
    <n v="1592"/>
    <s v="EXN_019"/>
    <s v="IHS_MAR_085"/>
    <s v="EXN_019"/>
    <x v="8"/>
    <s v="Bourha"/>
    <x v="0"/>
    <s v="Indoor"/>
    <s v="Garoua 2"/>
    <s v="MAYO- LOUTI"/>
    <s v="BOURRHA"/>
    <x v="13"/>
    <n v="10.253"/>
    <n v="13.516400000000001"/>
    <x v="0"/>
  </r>
  <r>
    <n v="1593"/>
    <s v="T0551"/>
    <s v="IHS_MAR_030"/>
    <s v="T0551"/>
    <x v="9"/>
    <s v="Djarengol"/>
    <x v="0"/>
    <s v="Outdoor"/>
    <s v="Maroua"/>
    <s v="Diamare"/>
    <s v="Maroua3"/>
    <x v="13"/>
    <n v="10.620557"/>
    <n v="14.382971"/>
    <x v="0"/>
  </r>
  <r>
    <n v="1594"/>
    <s v="T0364"/>
    <s v="IHS_MAR_040"/>
    <s v="T0364"/>
    <x v="9"/>
    <s v="Bogo"/>
    <x v="0"/>
    <s v="Outdoor"/>
    <s v="Maroua"/>
    <s v="Diamare"/>
    <s v="Bogo"/>
    <x v="13"/>
    <n v="10.734609000000001"/>
    <n v="14.600436"/>
    <x v="0"/>
  </r>
  <r>
    <n v="1595"/>
    <s v="EXN_014"/>
    <s v="IHS_MAR_052"/>
    <s v="EXN_014"/>
    <x v="9"/>
    <s v="Maga"/>
    <x v="0"/>
    <s v="Indoor"/>
    <s v="Maroua"/>
    <s v="Mayo-Danay"/>
    <s v="Maga"/>
    <x v="13"/>
    <n v="10.840889000000001"/>
    <n v="14.944667000000001"/>
    <x v="0"/>
  </r>
  <r>
    <n v="1596"/>
    <s v="EXN_037"/>
    <s v="IHS_MAR_043"/>
    <s v="EXN_037"/>
    <x v="9"/>
    <s v="Mindif"/>
    <x v="0"/>
    <s v="Outdoor"/>
    <s v="Yagoua"/>
    <s v="Mayo-kani"/>
    <s v="Mindif"/>
    <x v="13"/>
    <n v="10.404639"/>
    <n v="14.441917"/>
    <x v="0"/>
  </r>
  <r>
    <n v="1597"/>
    <s v="EXN_055"/>
    <s v="IHS_MAR_027"/>
    <s v="EXN_055"/>
    <x v="9"/>
    <s v="Palar"/>
    <x v="0"/>
    <s v="Outdoor"/>
    <s v="Maroua"/>
    <s v="Diamare"/>
    <s v="Maroua1"/>
    <x v="13"/>
    <n v="10.6045"/>
    <n v="14.283972"/>
    <x v="0"/>
  </r>
  <r>
    <n v="1598"/>
    <s v="T0752"/>
    <s v="IHS_MAR_082"/>
    <s v="T0752"/>
    <x v="9"/>
    <s v="Rhumsiki"/>
    <x v="0"/>
    <s v="Outdoor"/>
    <s v="Yagoua"/>
    <s v="Mayo-Tsanaga"/>
    <s v="Mogode"/>
    <x v="13"/>
    <n v="10.515280000000001"/>
    <n v="13.60042"/>
    <x v="0"/>
  </r>
  <r>
    <n v="1599"/>
    <s v="EXN_023"/>
    <s v="IHS_MAR_045"/>
    <s v="EXN_023"/>
    <x v="9"/>
    <s v="Meri"/>
    <x v="0"/>
    <s v="Outdoor"/>
    <s v="Maroua"/>
    <s v="Diamare"/>
    <s v="Meri"/>
    <x v="13"/>
    <n v="10.766166999999999"/>
    <n v="14.128583000000001"/>
    <x v="0"/>
  </r>
  <r>
    <n v="1600"/>
    <s v="EXN_054"/>
    <s v="IHS_MAR_003"/>
    <s v="EXN_054"/>
    <x v="9"/>
    <s v="Domayo"/>
    <x v="0"/>
    <s v="Outdoor"/>
    <s v="Maroua"/>
    <s v="Diamare"/>
    <s v="Maroua1"/>
    <x v="13"/>
    <n v="10.593778"/>
    <n v="14.337"/>
    <x v="0"/>
  </r>
  <r>
    <n v="1601"/>
    <s v="T1212"/>
    <s v="IHS_MAR_022"/>
    <s v="T1212"/>
    <x v="9"/>
    <s v="MAROUADOUGOY1212"/>
    <x v="0"/>
    <s v="Outdoor"/>
    <s v="Maroua"/>
    <s v="Diamare"/>
    <s v="Maroua3"/>
    <x v="13"/>
    <n v="10.604153"/>
    <n v="14.359123"/>
    <x v="0"/>
  </r>
  <r>
    <n v="1602"/>
    <s v="EXN_090"/>
    <s v="IHS_MAR_016"/>
    <s v="EXN_090"/>
    <x v="9"/>
    <s v="Maroua-Lopere-II(Djoudandé)"/>
    <x v="0"/>
    <s v="Outdoor"/>
    <s v="Maroua"/>
    <s v="Diamare"/>
    <s v="Maroua2"/>
    <x v="13"/>
    <n v="10.608879999999999"/>
    <n v="14.324437"/>
    <x v="0"/>
  </r>
  <r>
    <n v="1603"/>
    <s v="EXN_115"/>
    <s v="IHS_MAR_202"/>
    <s v="EXN_115"/>
    <x v="9"/>
    <s v="Maroua-Douggoy-Lopere-IHS"/>
    <x v="0"/>
    <s v="Outdoor"/>
    <s v="Maroua"/>
    <s v="Diamare"/>
    <s v="Maroua2"/>
    <x v="13"/>
    <n v="10.612261"/>
    <n v="14.335153"/>
    <x v="0"/>
  </r>
  <r>
    <n v="1604"/>
    <s v="EXN_082"/>
    <s v="IHS_MAR_015"/>
    <s v="EXN_082"/>
    <x v="9"/>
    <s v="Maroua-Loperey"/>
    <x v="0"/>
    <s v="Outdoor"/>
    <s v="Maroua"/>
    <s v="Diamare"/>
    <s v="COMMUNE MAROUA 2"/>
    <x v="13"/>
    <n v="10.608499999999999"/>
    <n v="14.330194000000001"/>
    <x v="1"/>
  </r>
  <r>
    <n v="1605"/>
    <s v="EXN_067"/>
    <s v="IHS_MAR_018"/>
    <s v="EXN_067"/>
    <x v="9"/>
    <s v="Maroua-Doursogo"/>
    <x v="0"/>
    <s v="Outdoor"/>
    <s v="Maroua"/>
    <s v="Diamare"/>
    <s v="Maroua3"/>
    <x v="13"/>
    <n v="10.601741000000001"/>
    <n v="14.349188"/>
    <x v="0"/>
  </r>
  <r>
    <n v="1606"/>
    <s v="EXN_084"/>
    <s v="IHS_MAR_001"/>
    <s v="EXN_084"/>
    <x v="9"/>
    <s v="Maroua-Lougol"/>
    <x v="0"/>
    <s v="Outdoor"/>
    <s v="Maroua"/>
    <s v="Diamare"/>
    <s v="COMMUNE MAROUA 1"/>
    <x v="13"/>
    <n v="10.595389000000001"/>
    <n v="14.330667"/>
    <x v="1"/>
  </r>
  <r>
    <n v="1607"/>
    <s v="EXN_085"/>
    <s v="IHS_MAR_006"/>
    <s v="EXN_085"/>
    <x v="9"/>
    <s v="Maroua-Marche-Abattoir"/>
    <x v="0"/>
    <s v="Outdoor"/>
    <s v="Maroua"/>
    <s v="Diamare"/>
    <s v="Maroua2"/>
    <x v="13"/>
    <n v="10.603417"/>
    <n v="14.332000000000001"/>
    <x v="1"/>
  </r>
  <r>
    <n v="1608"/>
    <s v="EXN_088"/>
    <s v="IHS_MAR_012"/>
    <s v="EXN_088"/>
    <x v="9"/>
    <s v="Maroua-Diarenga"/>
    <x v="0"/>
    <s v="Outdoor"/>
    <s v="Maroua"/>
    <s v="Diamare"/>
    <s v="Maroua1"/>
    <x v="13"/>
    <n v="10.589722999999999"/>
    <n v="14.319608000000001"/>
    <x v="1"/>
  </r>
  <r>
    <n v="1609"/>
    <s v="T0879"/>
    <s v="IHS_MAR_038"/>
    <s v="T0879"/>
    <x v="9"/>
    <s v="Salak"/>
    <x v="0"/>
    <s v="Outdoor"/>
    <s v="Maroua"/>
    <s v="Diamare"/>
    <s v="Maroua1"/>
    <x v="13"/>
    <n v="10.448142000000001"/>
    <n v="14.234572"/>
    <x v="0"/>
  </r>
  <r>
    <n v="1610"/>
    <s v="T0886"/>
    <s v="IHS_MAR_089"/>
    <s v="T0886"/>
    <x v="9"/>
    <s v="DOUBLE   (DJAKARAMANI)"/>
    <x v="0"/>
    <s v="Outdoor"/>
    <s v="Kousseri"/>
    <s v="LOGONE ET CHARI"/>
    <s v="MORA"/>
    <x v="13"/>
    <n v="11.22386"/>
    <n v="14.2963"/>
    <x v="0"/>
  </r>
  <r>
    <n v="1611"/>
    <s v="T1252"/>
    <s v="IHS_MAR_084"/>
    <s v="T1252"/>
    <x v="9"/>
    <s v="DATCHIEKA"/>
    <x v="0"/>
    <s v="Outdoor"/>
    <s v="Yagoua"/>
    <s v="Mayo-DANAY"/>
    <s v="Datcheka"/>
    <x v="13"/>
    <n v="10.01136"/>
    <n v="15.13386"/>
    <x v="0"/>
  </r>
  <r>
    <n v="1612"/>
    <s v="EXN_052"/>
    <s v="IHS_MAR_060"/>
    <s v="EXN_052"/>
    <x v="9"/>
    <s v="Soulede"/>
    <x v="0"/>
    <s v="Outdoor"/>
    <s v="Yagoua"/>
    <s v="Mayo-tsanaga"/>
    <s v="Soulédé-Roua"/>
    <x v="13"/>
    <n v="10.750249999999999"/>
    <n v="13.911111"/>
    <x v="0"/>
  </r>
  <r>
    <n v="1613"/>
    <s v="EXN_042"/>
    <s v="IHS_MAR_066"/>
    <s v="EXN_042"/>
    <x v="9"/>
    <s v="Mozogo"/>
    <x v="0"/>
    <s v="Outdoor"/>
    <s v="Yagoua"/>
    <s v="Mayo-Tsanaga"/>
    <s v="Mozogo"/>
    <x v="13"/>
    <n v="10.959139"/>
    <n v="13.906556"/>
    <x v="0"/>
  </r>
  <r>
    <n v="1614"/>
    <s v="EXN_038"/>
    <s v="IHS_MAR_053"/>
    <s v="EXN_038"/>
    <x v="9"/>
    <s v="Moulvouday"/>
    <x v="0"/>
    <s v="Outdoor"/>
    <s v="Yagoua"/>
    <s v="Mayo-DANAY"/>
    <s v="Moulvouday"/>
    <x v="13"/>
    <n v="10.407313"/>
    <n v="14.860675000000001"/>
    <x v="0"/>
  </r>
  <r>
    <n v="1615"/>
    <s v="T2011"/>
    <s v="IHS_MAR_215"/>
    <s v="T2011"/>
    <x v="9"/>
    <s v="MOSKOTA"/>
    <x v="0"/>
    <s v="Outdoor"/>
    <s v="Yagoua"/>
    <s v="Mayo-Tsanaga"/>
    <s v="Mozogo"/>
    <x v="13"/>
    <n v="10.94225"/>
    <n v="13.866528000000001"/>
    <x v="0"/>
  </r>
  <r>
    <n v="1616"/>
    <s v="EXN_024"/>
    <s v="IHS_MAR_081"/>
    <s v="EXN_024"/>
    <x v="9"/>
    <s v="Mogode"/>
    <x v="0"/>
    <s v="Outdoor"/>
    <s v="Yagoua"/>
    <s v="Mayo-Tsanaga"/>
    <s v="Mogode"/>
    <x v="13"/>
    <n v="10.614833000000001"/>
    <n v="13.572333"/>
    <x v="0"/>
  </r>
  <r>
    <n v="1617"/>
    <s v="T0885"/>
    <s v="IHS_GAR_060"/>
    <s v="T0885"/>
    <x v="8"/>
    <s v="Kong Kong"/>
    <x v="0"/>
    <s v="Outdoor"/>
    <s v="Maroua"/>
    <s v="MAYO- LOUTI"/>
    <s v="Guider"/>
    <x v="13"/>
    <n v="10.042376000000001"/>
    <n v="14.177223"/>
    <x v="0"/>
  </r>
  <r>
    <n v="1618"/>
    <s v="EXN_050"/>
    <s v="IHS_MAR_063"/>
    <s v="EXN_050"/>
    <x v="9"/>
    <s v="Kay-Kay"/>
    <x v="0"/>
    <s v="Outdoor"/>
    <s v="Yagoua"/>
    <s v="Mayo-DANAY"/>
    <s v="kay kay"/>
    <x v="13"/>
    <n v="10.667611000000001"/>
    <n v="15.023083"/>
    <x v="0"/>
  </r>
  <r>
    <n v="1619"/>
    <s v="EXN_047"/>
    <s v="IHS_MAR_058"/>
    <s v="EXN_047"/>
    <x v="9"/>
    <s v="Hina"/>
    <x v="0"/>
    <s v="Outdoor"/>
    <s v="Yagoua"/>
    <s v="Mayo-Tsanaga"/>
    <s v="Hina"/>
    <x v="13"/>
    <n v="10.376773999999999"/>
    <n v="13.858157"/>
    <x v="0"/>
  </r>
  <r>
    <n v="1620"/>
    <s v="EXN_049"/>
    <s v="IHS_MAR_064"/>
    <s v="EXN_049"/>
    <x v="9"/>
    <s v="Gueme"/>
    <x v="0"/>
    <s v="Outdoor"/>
    <s v="Yagoua"/>
    <s v="Mayo-DANAY"/>
    <s v="Vele"/>
    <x v="13"/>
    <n v="10.494361"/>
    <n v="15.196721999999999"/>
    <x v="0"/>
  </r>
  <r>
    <n v="1621"/>
    <s v="EXN_048"/>
    <s v="IHS_MAR_087"/>
    <s v="EXN_048"/>
    <x v="9"/>
    <s v="Gobo"/>
    <x v="0"/>
    <s v="Outdoor"/>
    <s v="Yagoua"/>
    <s v="Mayo-DANAY"/>
    <s v="Gobo"/>
    <x v="13"/>
    <n v="10.006167"/>
    <n v="15.425083000000001"/>
    <x v="0"/>
  </r>
  <r>
    <n v="1622"/>
    <s v="EXN_075"/>
    <s v="IHS_MAR_083"/>
    <s v="EXN_075"/>
    <x v="9"/>
    <s v="Datcheka"/>
    <x v="0"/>
    <s v="Outdoor"/>
    <s v="Yagoua"/>
    <s v="Mayo-DANAY"/>
    <s v="COMMUNE DE DATCHEKA"/>
    <x v="13"/>
    <n v="10.012028000000001"/>
    <n v="15.106472"/>
    <x v="0"/>
  </r>
  <r>
    <n v="1623"/>
    <s v="EXN_046"/>
    <s v="IHS_MAR_033"/>
    <s v="EXN_046"/>
    <x v="9"/>
    <s v="Bellare"/>
    <x v="0"/>
    <s v="Outdoor"/>
    <s v="Maroua"/>
    <s v="Diamare"/>
    <s v="Maroua1"/>
    <x v="13"/>
    <n v="10.567306"/>
    <n v="14.260667"/>
    <x v="0"/>
  </r>
  <r>
    <n v="1624"/>
    <s v="EXN_036"/>
    <s v="IHS_MAR_036"/>
    <s v="EXN_036"/>
    <x v="9"/>
    <s v="Balaza"/>
    <x v="0"/>
    <s v="Outdoor"/>
    <s v="Maroua"/>
    <s v="Diamare"/>
    <s v="Maroua3"/>
    <x v="13"/>
    <n v="10.695971999999999"/>
    <n v="14.478139000000001"/>
    <x v="0"/>
  </r>
  <r>
    <n v="1625"/>
    <s v="EXN_022"/>
    <s v="IHS_MAR_078"/>
    <s v="EXN_022"/>
    <x v="9"/>
    <s v="Kar-Hay"/>
    <x v="0"/>
    <s v="Outdoor"/>
    <s v="Yagoua"/>
    <s v="Mayo-DANAY"/>
    <s v="Kar-hay"/>
    <x v="13"/>
    <n v="10.105111000000001"/>
    <n v="14.968667"/>
    <x v="0"/>
  </r>
  <r>
    <n v="1626"/>
    <s v="T1957"/>
    <s v="IHS_MAR_369"/>
    <s v="T1957"/>
    <x v="9"/>
    <s v="Kolara"/>
    <x v="0"/>
    <s v="Outdoor"/>
    <s v="Yagoua"/>
    <s v="Mayo-kani"/>
    <s v="Lara"/>
    <x v="13"/>
    <n v="10.270930999999999"/>
    <n v="14.644629"/>
    <x v="0"/>
  </r>
  <r>
    <n v="1627"/>
    <s v="T1958"/>
    <s v="IHS_MAR_370"/>
    <s v="T1958"/>
    <x v="9"/>
    <s v="Korre"/>
    <x v="0"/>
    <s v="Outdoor"/>
    <s v="Yagoua"/>
    <s v="Mayo-DANAY"/>
    <s v="Moulvouday"/>
    <x v="13"/>
    <n v="10.460739"/>
    <n v="14.714650000000001"/>
    <x v="0"/>
  </r>
  <r>
    <n v="1628"/>
    <s v="T1961"/>
    <s v="IHS_MAR_377"/>
    <s v="T1961"/>
    <x v="9"/>
    <s v="Mazera"/>
    <x v="0"/>
    <s v="Outdoor"/>
    <s v="Kousseri"/>
    <s v="LOGONE ET CHARI"/>
    <s v="Zina"/>
    <x v="13"/>
    <n v="11.15605"/>
    <n v="15.042439"/>
    <x v="0"/>
  </r>
  <r>
    <n v="1629"/>
    <s v="T2902"/>
    <s v="IHS_MAR_374"/>
    <s v="T2902"/>
    <x v="9"/>
    <s v="RHUMZU"/>
    <x v="0"/>
    <s v="Outdoor"/>
    <s v="Yagoua"/>
    <s v="Mayo-Tsanaga"/>
    <s v="Mogode"/>
    <x v="13"/>
    <n v="10.70402"/>
    <n v="13.621629"/>
    <x v="0"/>
  </r>
  <r>
    <n v="1630"/>
    <s v="T2049"/>
    <s v="IHS_MAR_375"/>
    <s v="T2049"/>
    <x v="9"/>
    <s v="TCHERE"/>
    <x v="0"/>
    <s v="Outdoor"/>
    <s v="Maroua"/>
    <s v="Diamare"/>
    <s v="Maroua2"/>
    <x v="13"/>
    <n v="10.72085"/>
    <n v="14.232561"/>
    <x v="0"/>
  </r>
  <r>
    <n v="1631"/>
    <s v="T2047"/>
    <s v="IHS_MAR_373"/>
    <s v="T2047"/>
    <x v="9"/>
    <s v="MOGOM"/>
    <x v="0"/>
    <s v="Outdoor"/>
    <s v="Yagoua"/>
    <s v="Mayo-DANAY"/>
    <s v="Kalfou"/>
    <x v="13"/>
    <n v="10.179299"/>
    <n v="14.947343"/>
    <x v="0"/>
  </r>
  <r>
    <n v="1632"/>
    <s v="T2045"/>
    <s v="IHS_MAR_371"/>
    <s v="T2045"/>
    <x v="9"/>
    <s v="MAMBANG"/>
    <x v="0"/>
    <s v="Outdoor"/>
    <s v="Maroua"/>
    <s v="Diamare"/>
    <s v="Maroua2"/>
    <x v="13"/>
    <n v="10.660450000000001"/>
    <n v="14.276263999999999"/>
    <x v="0"/>
  </r>
  <r>
    <n v="1633"/>
    <s v="EXN_211"/>
    <s v="IHS_MAR_378"/>
    <s v="EXN_211"/>
    <x v="9"/>
    <s v="Dakana  "/>
    <x v="0"/>
    <s v="Outdoor"/>
    <s v="Maroua"/>
    <s v="Diamare"/>
    <s v="Maroua2"/>
    <x v="13"/>
    <n v="10.7875"/>
    <n v="14.395799999999999"/>
    <x v="0"/>
  </r>
  <r>
    <n v="1634"/>
    <s v="EXN_200"/>
    <s v="IHS_MAR_380"/>
    <s v="EXN_200"/>
    <x v="9"/>
    <s v="Goulourgou"/>
    <x v="0"/>
    <s v="Outdoor"/>
    <s v="Yagoua"/>
    <s v="Mayo-DANAY"/>
    <s v="Kar-hay"/>
    <x v="13"/>
    <n v="10.145799999999999"/>
    <n v="15.0634"/>
    <x v="0"/>
  </r>
  <r>
    <n v="1635"/>
    <s v="EXN_207"/>
    <s v="IHS_MAR_381"/>
    <s v="EXN_207"/>
    <x v="9"/>
    <s v="Matafal "/>
    <x v="0"/>
    <s v="Outdoor"/>
    <s v="Yagoua"/>
    <s v="Mayo-tsanaga"/>
    <s v="commune de matafal"/>
    <x v="13"/>
    <n v="10.112500000000001"/>
    <n v="14.029199999999999"/>
    <x v="0"/>
  </r>
  <r>
    <n v="1636"/>
    <s v="EXN_208"/>
    <s v="IHS_MAR_385"/>
    <s v="EXN_208"/>
    <x v="9"/>
    <s v="Kuruda  "/>
    <x v="0"/>
    <s v="Outdoor"/>
    <s v="Yagoua"/>
    <s v="Mayo-DANAY"/>
    <s v="Yagoua"/>
    <x v="13"/>
    <n v="10.470800000000001"/>
    <n v="15.0875"/>
    <x v="0"/>
  </r>
  <r>
    <n v="1637"/>
    <s v="EXN_199"/>
    <s v="IHS_MAR_379"/>
    <s v="EXN_199"/>
    <x v="9"/>
    <s v="Ouro Zangui "/>
    <x v="0"/>
    <s v="Outdoor"/>
    <s v="Maroua"/>
    <s v="Diamare"/>
    <s v="Dargala"/>
    <x v="13"/>
    <n v="10.520799999999999"/>
    <n v="14.495799999999999"/>
    <x v="0"/>
  </r>
  <r>
    <n v="1638"/>
    <s v="EXN_210"/>
    <s v="IHS_MAR_383"/>
    <s v="EXN_210"/>
    <x v="9"/>
    <s v="Gabarairou"/>
    <x v="0"/>
    <s v="Outdoor"/>
    <s v="Yagoua"/>
    <s v="Mayo-DANAY"/>
    <s v="Moulvouday"/>
    <x v="13"/>
    <n v="10.5792"/>
    <n v="14.8292"/>
    <x v="0"/>
  </r>
  <r>
    <n v="1639"/>
    <s v="EXN_218"/>
    <s v="IHS_MAR_386"/>
    <s v="EXN_218"/>
    <x v="9"/>
    <s v="SEDEK"/>
    <x v="0"/>
    <s v="Outdoor"/>
    <s v="Maroua"/>
    <s v="Diamare"/>
    <s v="Dargala"/>
    <x v="13"/>
    <n v="10.671319"/>
    <n v="14.729955"/>
    <x v="0"/>
  </r>
  <r>
    <n v="1640"/>
    <s v="T1787"/>
    <s v="IHS_MAR_398"/>
    <s v="T1787"/>
    <x v="9"/>
    <s v="Tagawa"/>
    <x v="1"/>
    <s v="Outdoor"/>
    <s v="Kousseri"/>
    <s v="LOGONE ET CHARI"/>
    <s v="WAZA"/>
    <x v="13"/>
    <n v="11.327747199999999"/>
    <n v="14.4548694"/>
    <x v="0"/>
  </r>
  <r>
    <n v="1641"/>
    <s v="T4865"/>
    <s v="IHS_MAR_400"/>
    <s v="T4865"/>
    <x v="9"/>
    <s v="Boudoum"/>
    <x v="0"/>
    <s v="Outdoor"/>
    <s v="Yagoua"/>
    <s v="Mayo-tsanaga"/>
    <s v="Hina"/>
    <x v="13"/>
    <n v="10.474830000000001"/>
    <n v="13.88869"/>
    <x v="0"/>
  </r>
  <r>
    <n v="1642"/>
    <s v="T4870"/>
    <s v="IHS_MAR_401"/>
    <s v="T4870"/>
    <x v="9"/>
    <s v="Gnibango"/>
    <x v="0"/>
    <s v="Outdoor"/>
    <s v="Yagoua"/>
    <s v="Mayo-tsanaga"/>
    <s v="Hina"/>
    <x v="13"/>
    <n v="10.48517"/>
    <n v="13.815149999999999"/>
    <x v="0"/>
  </r>
  <r>
    <n v="1643"/>
    <s v="T4709"/>
    <s v="IHS_MAR_402"/>
    <s v="T4709"/>
    <x v="9"/>
    <s v="FADARE"/>
    <x v="0"/>
    <s v="Outdoor"/>
    <s v="Maroua"/>
    <s v="Yagoua"/>
    <s v="Mayo-kani"/>
    <x v="13"/>
    <n v="10.91858"/>
    <n v="14.59545"/>
    <x v="0"/>
  </r>
  <r>
    <n v="1644"/>
    <s v="T4687"/>
    <s v="IHS_MAR_403"/>
    <s v="T4687"/>
    <x v="9"/>
    <s v="Djowde"/>
    <x v="1"/>
    <s v="Outdoor"/>
    <s v="Kousseri"/>
    <s v="LOGONE ET CHARI"/>
    <s v="WAZA"/>
    <x v="13"/>
    <n v="11.0436"/>
    <n v="14.43723"/>
    <x v="0"/>
  </r>
  <r>
    <n v="1645"/>
    <s v="T4667"/>
    <s v="IHS_MAR_406"/>
    <s v="T4667"/>
    <x v="9"/>
    <s v="Matfay Djogobe"/>
    <x v="0"/>
    <s v="Outdoor"/>
    <s v="Yagoua"/>
    <s v=" Mayo Tshanaga"/>
    <s v=" Mokolo"/>
    <x v="13"/>
    <n v="10.491669999999999"/>
    <n v="14.39686"/>
    <x v="0"/>
  </r>
  <r>
    <n v="1646"/>
    <s v="T4946"/>
    <s v="IHS_MAR_405"/>
    <s v="T4946"/>
    <x v="9"/>
    <s v="Goulmoun"/>
    <x v="0"/>
    <s v="Outdoor"/>
    <s v="Maroua"/>
    <s v="Mayo-Danay"/>
    <s v="Maga"/>
    <x v="13"/>
    <n v="10.91582"/>
    <n v="15.00109"/>
    <x v="0"/>
  </r>
  <r>
    <n v="1647"/>
    <s v="T4924"/>
    <s v="IHS_MAR_404"/>
    <s v="T4924"/>
    <x v="9"/>
    <s v="Gouzouboumlam"/>
    <x v="0"/>
    <s v="Outdoor"/>
    <s v="Maroua"/>
    <s v="Diamare"/>
    <s v="Dargala"/>
    <x v="13"/>
    <n v="10.77286"/>
    <n v="14.70856"/>
    <x v="0"/>
  </r>
  <r>
    <n v="1648"/>
    <s v="T1929"/>
    <s v="IHS_MAR_093"/>
    <s v="T1929"/>
    <x v="9"/>
    <s v="Mora 5"/>
    <x v="0"/>
    <s v="Outdoor"/>
    <s v="Maroua"/>
    <s v="Mayo-Sava"/>
    <s v="Mora"/>
    <x v="13"/>
    <n v="11.04204"/>
    <n v="14.131913000000001"/>
    <x v="0"/>
  </r>
  <r>
    <n v="1649"/>
    <s v="T1913"/>
    <s v="IHS_GAR_129"/>
    <s v="T1913"/>
    <x v="9"/>
    <s v="Guider 4"/>
    <x v="0"/>
    <s v="Outdoor"/>
    <s v="Garoua 2"/>
    <s v="MAYO- LOUTI"/>
    <s v="Guider"/>
    <x v="13"/>
    <n v="9.9226489999999998"/>
    <n v="13.948767"/>
    <x v="0"/>
  </r>
  <r>
    <n v="1650"/>
    <s v="T1663"/>
    <s v="IHS_NGD_217"/>
    <s v="T1663"/>
    <x v="2"/>
    <s v="YARBANG GAZIYA        "/>
    <x v="0"/>
    <s v="Outdoor"/>
    <s v="Ngaoundere"/>
    <s v="MBERE"/>
    <s v="DJOHONG"/>
    <x v="14"/>
    <n v="7.0131810000000003"/>
    <n v="14.976239"/>
    <x v="0"/>
  </r>
  <r>
    <n v="1651"/>
    <s v="ADM_023"/>
    <s v="IHS_NGD_053"/>
    <s v="ADM_023"/>
    <x v="2"/>
    <s v="Ngam"/>
    <x v="0"/>
    <s v="Outdoor"/>
    <s v="Meiganga"/>
    <s v="MBERE"/>
    <s v="DJOHONG"/>
    <x v="14"/>
    <n v="6.7493059999999998"/>
    <n v="14.580722"/>
    <x v="0"/>
  </r>
  <r>
    <n v="1652"/>
    <s v="EST_073"/>
    <s v="IHS_BER_078"/>
    <s v="EST_073"/>
    <x v="4"/>
    <s v="Bonga"/>
    <x v="0"/>
    <s v="Outdoor"/>
    <s v="Garoua Boulai"/>
    <s v="Lom et Djerem "/>
    <s v="Garoua Boulai"/>
    <x v="14"/>
    <n v="5.9833769999999999"/>
    <n v="14.439457000000001"/>
    <x v="0"/>
  </r>
  <r>
    <n v="1653"/>
    <s v="T1116"/>
    <s v="IHS_BER_108"/>
    <s v="T1116"/>
    <x v="4"/>
    <s v="Betare oya 2 "/>
    <x v="0"/>
    <s v="Outdoor"/>
    <s v="Garoua Boulai"/>
    <s v="Lom et Djerem "/>
    <s v="BETARE OYA"/>
    <x v="14"/>
    <n v="5.5891359999999999"/>
    <n v="14.085990000000001"/>
    <x v="0"/>
  </r>
  <r>
    <n v="1654"/>
    <s v="T1413"/>
    <s v="IHS_GAR_121"/>
    <s v="T1413"/>
    <x v="8"/>
    <s v="BEMBOYO"/>
    <x v="0"/>
    <s v="Indoor"/>
    <s v="Garoua 1"/>
    <s v="MAYO REY"/>
    <s v="touboro"/>
    <x v="14"/>
    <n v="7.3103889999999998"/>
    <n v="15.160111000000001"/>
    <x v="0"/>
  </r>
  <r>
    <n v="1655"/>
    <s v="T2879"/>
    <s v="IHS_NGD_212"/>
    <s v="T2879"/>
    <x v="2"/>
    <s v="Batoua Godole"/>
    <x v="0"/>
    <s v="Outdoor"/>
    <s v="Meiganga"/>
    <s v="MBERE"/>
    <s v="MEIGANGA"/>
    <x v="14"/>
    <n v="6.3286939999999996"/>
    <n v="14.725"/>
    <x v="0"/>
  </r>
  <r>
    <n v="1656"/>
    <s v="ADM_052"/>
    <s v="IHS_NGD_079"/>
    <s v="ADM_052"/>
    <x v="2"/>
    <s v="Bagodo"/>
    <x v="0"/>
    <s v="Outdoor"/>
    <s v="Meiganga"/>
    <s v="Meiganga"/>
    <s v="DIR"/>
    <x v="14"/>
    <n v="6.4254319999999998"/>
    <n v="13.386085"/>
    <x v="0"/>
  </r>
  <r>
    <n v="1657"/>
    <s v="NRO_100"/>
    <s v="IHS_BMD_2226"/>
    <s v="NRO_100"/>
    <x v="0"/>
    <s v="Bambalang"/>
    <x v="1"/>
    <s v="Outdoor"/>
    <s v="Bamenda 1"/>
    <s v="NGO-KETUNJIA"/>
    <s v="Balikumbat"/>
    <x v="14"/>
    <n v="5.8903999999999996"/>
    <n v="13.52262"/>
    <x v="0"/>
  </r>
  <r>
    <n v="1658"/>
    <s v="T1631"/>
    <s v="IHS_BER_070"/>
    <s v="T1631"/>
    <x v="4"/>
    <s v="GAROUA BOULAI 2"/>
    <x v="0"/>
    <s v="Outdoor"/>
    <s v="Garoua Boulai"/>
    <s v="LOM-ET-DJEREM"/>
    <s v="Garoua Boulai"/>
    <x v="14"/>
    <n v="5.8921169999999998"/>
    <n v="14.557543000000001"/>
    <x v="0"/>
  </r>
  <r>
    <n v="1659"/>
    <s v="T1152"/>
    <s v="IHS_NGD_218"/>
    <s v="T1152"/>
    <x v="2"/>
    <s v="Meiganga 4 "/>
    <x v="0"/>
    <s v="Outdoor"/>
    <s v="Meiganga"/>
    <s v="MBERE"/>
    <s v="MEIGANGA"/>
    <x v="14"/>
    <n v="6.5196480000000001"/>
    <n v="14.298069999999999"/>
    <x v="0"/>
  </r>
  <r>
    <n v="1660"/>
    <s v="ADM_005"/>
    <s v="IHS_GAR_078"/>
    <s v="ADM_005"/>
    <x v="8"/>
    <s v="Touboro"/>
    <x v="0"/>
    <s v="Indoor"/>
    <s v="Garoua 1"/>
    <s v="MAYO REY"/>
    <s v="touboro"/>
    <x v="14"/>
    <n v="7.5566222219999997"/>
    <n v="15.394305559999999"/>
    <x v="0"/>
  </r>
  <r>
    <n v="1661"/>
    <s v="T1949"/>
    <s v="IHS_NGD_207"/>
    <s v="T1949"/>
    <x v="2"/>
    <s v="Djohong"/>
    <x v="0"/>
    <s v="Outdoor"/>
    <s v="Meiganga"/>
    <s v="MBERE"/>
    <s v="DJOHONG"/>
    <x v="14"/>
    <n v="6.8366670000000003"/>
    <n v="14.679194000000001"/>
    <x v="0"/>
  </r>
  <r>
    <n v="1662"/>
    <s v="EST_080"/>
    <s v="IHS_BER_069"/>
    <s v="EST_080"/>
    <x v="4"/>
    <s v="Garoua-Boulai-Frontiere"/>
    <x v="0"/>
    <s v="Outdoor"/>
    <s v="Garoua Boulai"/>
    <s v="LOM-ET-DJEREM"/>
    <s v="Garoua Boulai"/>
    <x v="14"/>
    <n v="5.8949569999999998"/>
    <n v="14.549227999999999"/>
    <x v="0"/>
  </r>
  <r>
    <n v="1663"/>
    <s v="T0189"/>
    <s v="IHS_NGD_055"/>
    <s v="T0189"/>
    <x v="2"/>
    <s v="Gale"/>
    <x v="0"/>
    <s v="Indoor"/>
    <s v="Meiganga"/>
    <s v="MBERE"/>
    <s v="MEIGANGA"/>
    <x v="14"/>
    <n v="6.5581149999999999"/>
    <n v="14.257445000000001"/>
    <x v="0"/>
  </r>
  <r>
    <n v="1664"/>
    <s v="T0192"/>
    <s v="IHS_NGD_047"/>
    <s v="T0192"/>
    <x v="2"/>
    <s v="Mboulai"/>
    <x v="0"/>
    <s v="Indoor"/>
    <s v="Meiganga"/>
    <s v="MBERE"/>
    <s v="MEIGANGA"/>
    <x v="14"/>
    <n v="6.8434340000000002"/>
    <n v="14.151503"/>
    <x v="0"/>
  </r>
  <r>
    <n v="1665"/>
    <s v="ADM_028"/>
    <s v="IHS_NGD_054"/>
    <s v="ADM_028"/>
    <x v="2"/>
    <s v="Galle"/>
    <x v="0"/>
    <s v="Indoor"/>
    <s v="Meiganga"/>
    <s v="MBERE"/>
    <s v="MEIGANGA"/>
    <x v="14"/>
    <n v="6.5585889999999996"/>
    <n v="14.257821"/>
    <x v="0"/>
  </r>
  <r>
    <n v="1666"/>
    <s v="T1215"/>
    <s v="IHS_NGD_056"/>
    <s v="T1215"/>
    <x v="2"/>
    <s v="Meiganga EELC"/>
    <x v="0"/>
    <s v="Outdoor"/>
    <s v="Meiganga"/>
    <s v="MBERE"/>
    <s v="MEIGANGA"/>
    <x v="14"/>
    <n v="6.5129200000000003"/>
    <n v="14.28619"/>
    <x v="0"/>
  </r>
  <r>
    <n v="1667"/>
    <s v="T1422"/>
    <s v="IHS_NGD_211"/>
    <s v="T1422"/>
    <x v="2"/>
    <s v="MEIGANGA MARKET"/>
    <x v="0"/>
    <s v="Outdoor"/>
    <s v="Meiganga"/>
    <s v="MBERE"/>
    <s v="MEIGANGA"/>
    <x v="14"/>
    <n v="6.5198330000000002"/>
    <n v="14.291221999999999"/>
    <x v="0"/>
  </r>
  <r>
    <n v="1668"/>
    <s v="T0413"/>
    <s v="IHS_BER_067"/>
    <s v="T0413"/>
    <x v="4"/>
    <s v="Garoua Boulai"/>
    <x v="0"/>
    <s v="Indoor"/>
    <s v="Garoua Boulai"/>
    <s v="LOM-ET-DJEREM"/>
    <s v="Garoua Boulai"/>
    <x v="14"/>
    <n v="5.8836750000000002"/>
    <n v="14.547117999999999"/>
    <x v="0"/>
  </r>
  <r>
    <n v="1669"/>
    <s v="T0930"/>
    <s v="IHS_NGD_073"/>
    <s v="T0930"/>
    <x v="2"/>
    <s v="Ngawi"/>
    <x v="0"/>
    <s v="Outdoor"/>
    <s v="Meiganga"/>
    <s v="MBERE"/>
    <s v="NGAOUI"/>
    <x v="14"/>
    <n v="6.7425800000000002"/>
    <n v="14.95933"/>
    <x v="0"/>
  </r>
  <r>
    <n v="1670"/>
    <s v="T0806"/>
    <s v="IHS_NGD_065"/>
    <s v="T0806"/>
    <x v="2"/>
    <s v="Meidougou"/>
    <x v="0"/>
    <s v="Outdoor"/>
    <s v="Meiganga"/>
    <s v="MBERE"/>
    <s v="MEIGANGA"/>
    <x v="14"/>
    <n v="6.4134599999999997"/>
    <n v="14.21979"/>
    <x v="0"/>
  </r>
  <r>
    <n v="1671"/>
    <s v="T0891"/>
    <s v="IHS_NGD_044"/>
    <s v="T0891"/>
    <x v="2"/>
    <s v="MBERE"/>
    <x v="0"/>
    <s v="Outdoor"/>
    <s v="Meiganga"/>
    <s v="VINA"/>
    <s v="NYAMBAKA"/>
    <x v="14"/>
    <n v="6.9688629999999998"/>
    <n v="14.051608999999999"/>
    <x v="0"/>
  </r>
  <r>
    <n v="1672"/>
    <s v="T1031"/>
    <s v="IHS_NGD_052"/>
    <s v="T1031"/>
    <x v="2"/>
    <s v="DOUAYEL"/>
    <x v="0"/>
    <s v="Outdoor"/>
    <s v="Meiganga"/>
    <s v="MBERE"/>
    <s v="MEIGANGA"/>
    <x v="14"/>
    <n v="6.70906"/>
    <n v="14.20514"/>
    <x v="0"/>
  </r>
  <r>
    <n v="1673"/>
    <s v="T1020"/>
    <s v="IHS_BER_056"/>
    <s v="T1020"/>
    <x v="4"/>
    <s v="Mombal"/>
    <x v="0"/>
    <s v="Outdoor"/>
    <s v="Garoua Boulai"/>
    <s v="LOM-ET-DJEREM"/>
    <s v="Garoua Boulai"/>
    <x v="14"/>
    <n v="5.6055400000000004"/>
    <n v="14.36239"/>
    <x v="0"/>
  </r>
  <r>
    <n v="1674"/>
    <s v="T1094"/>
    <s v="IHS_NGD_068"/>
    <s v="T1094"/>
    <x v="2"/>
    <s v="GORO"/>
    <x v="0"/>
    <s v="Outdoor"/>
    <s v="Meiganga"/>
    <s v="MBERE"/>
    <s v="DIR"/>
    <x v="14"/>
    <n v="6.4114699999999996"/>
    <n v="13.87828"/>
    <x v="0"/>
  </r>
  <r>
    <n v="1675"/>
    <s v="T0366"/>
    <s v="IHS_GAR_080"/>
    <s v="T0366"/>
    <x v="8"/>
    <s v="Dompta"/>
    <x v="0"/>
    <s v="Indoor"/>
    <s v="Garoua 1"/>
    <s v="BENOUE"/>
    <s v="touboro"/>
    <x v="14"/>
    <n v="7.2898870000000002"/>
    <n v="15.12289"/>
    <x v="0"/>
  </r>
  <r>
    <n v="1676"/>
    <s v="ADM_021"/>
    <s v="IHS_NGD_077"/>
    <s v="ADM_021"/>
    <x v="2"/>
    <s v="Dir"/>
    <x v="0"/>
    <s v="Outdoor"/>
    <s v="Meiganga"/>
    <s v="Meiganga"/>
    <s v="DIR"/>
    <x v="14"/>
    <n v="6.3273060000000001"/>
    <n v="13.543889"/>
    <x v="0"/>
  </r>
  <r>
    <n v="1677"/>
    <s v="ADM_037"/>
    <s v="IHS_NGD_072"/>
    <s v="ADM_037"/>
    <x v="2"/>
    <s v="Ngaoui"/>
    <x v="0"/>
    <s v="Outdoor"/>
    <s v="Meiganga"/>
    <s v="MBERE"/>
    <s v="NGAOUI"/>
    <x v="14"/>
    <n v="6.7486389999999998"/>
    <n v="14.948028000000001"/>
    <x v="0"/>
  </r>
  <r>
    <n v="1678"/>
    <s v="ADM_051"/>
    <s v="IHS_NGD_066"/>
    <s v="ADM_051"/>
    <x v="2"/>
    <s v="Lokoti"/>
    <x v="0"/>
    <s v="Outdoor"/>
    <s v="Meiganga"/>
    <s v="MBERE"/>
    <s v="MEIGANGA"/>
    <x v="14"/>
    <n v="6.3798880000000002"/>
    <n v="14.316743000000001"/>
    <x v="0"/>
  </r>
  <r>
    <n v="1679"/>
    <s v="T0156"/>
    <s v="IHS_NGD_067"/>
    <s v="T0156"/>
    <x v="2"/>
    <s v="Kaladi"/>
    <x v="0"/>
    <s v="Indoor"/>
    <s v="Meiganga"/>
    <s v="MBERE"/>
    <s v="MEIGANGA"/>
    <x v="14"/>
    <n v="6.5013620000000003"/>
    <n v="14.066504999999999"/>
    <x v="0"/>
  </r>
  <r>
    <n v="1680"/>
    <s v="EST_055"/>
    <s v="IHS_BER_066"/>
    <s v="EST_055"/>
    <x v="4"/>
    <s v="Gado-Badzere"/>
    <x v="0"/>
    <s v="Indoor"/>
    <s v="Garoua Boulai"/>
    <s v="LOM-ET-DJEREM"/>
    <s v="Garoua Boulai"/>
    <x v="14"/>
    <n v="5.745584"/>
    <n v="14.441516"/>
    <x v="0"/>
  </r>
  <r>
    <n v="1681"/>
    <s v="T0200"/>
    <s v="IHS_BER_065"/>
    <s v="T0200"/>
    <x v="4"/>
    <s v="Gado Badzere"/>
    <x v="0"/>
    <s v="Indoor"/>
    <s v="Garoua Boulai"/>
    <s v="LOM-ET-DJEREM"/>
    <s v="Garoua Boulai"/>
    <x v="14"/>
    <n v="5.7447889999999999"/>
    <n v="14.441345"/>
    <x v="0"/>
  </r>
  <r>
    <n v="1682"/>
    <s v="T0114"/>
    <s v="IHS_NGD_069"/>
    <s v="T0114"/>
    <x v="2"/>
    <s v="Dobiri"/>
    <x v="0"/>
    <s v="Indoor"/>
    <s v="Meiganga"/>
    <s v="MBERE"/>
    <s v="DIR"/>
    <x v="14"/>
    <n v="6.3509010000000004"/>
    <n v="13.739127"/>
    <x v="0"/>
  </r>
  <r>
    <n v="1683"/>
    <s v="ADM_022"/>
    <s v="IHS_NGD_058"/>
    <s v="ADM_022"/>
    <x v="2"/>
    <s v="Djohong"/>
    <x v="0"/>
    <s v="Outdoor"/>
    <s v="Meiganga"/>
    <s v="MBERE"/>
    <s v="DJOHONG"/>
    <x v="14"/>
    <n v="6.8320559999999997"/>
    <n v="14.689667"/>
    <x v="0"/>
  </r>
  <r>
    <n v="1684"/>
    <s v="T1079"/>
    <s v="IHS_NGD_045"/>
    <s v="T1079"/>
    <x v="2"/>
    <s v="Djerkoka"/>
    <x v="0"/>
    <s v="Outdoor"/>
    <s v="Meiganga"/>
    <s v="VINA"/>
    <s v="BELEL"/>
    <x v="14"/>
    <n v="7.11998"/>
    <n v="14.328474999999999"/>
    <x v="0"/>
  </r>
  <r>
    <n v="1685"/>
    <s v="T0803"/>
    <s v="IHS_NGD_078"/>
    <s v="T0803"/>
    <x v="2"/>
    <s v="Dir"/>
    <x v="0"/>
    <s v="Outdoor"/>
    <s v="Meiganga"/>
    <s v="Meiganga"/>
    <s v="DIR"/>
    <x v="14"/>
    <n v="6.3419169999999996"/>
    <n v="13.529059"/>
    <x v="0"/>
  </r>
  <r>
    <n v="1686"/>
    <s v="EST_014"/>
    <s v="IHS_BER_047"/>
    <s v="EST_014"/>
    <x v="4"/>
    <s v="Betare-Oya"/>
    <x v="0"/>
    <s v="Indoor"/>
    <s v="Garoua Boulai"/>
    <s v="LOM-ET-DJEREM"/>
    <s v="BETARE OYA"/>
    <x v="14"/>
    <n v="5.5631969999999997"/>
    <n v="14.087555999999999"/>
    <x v="0"/>
  </r>
  <r>
    <n v="1687"/>
    <s v="T0377"/>
    <s v="IHS_NGD_048"/>
    <s v="T0377"/>
    <x v="2"/>
    <s v="Belel"/>
    <x v="0"/>
    <s v="Outdoor"/>
    <s v="Meiganga"/>
    <s v="VINA"/>
    <s v="BELEL"/>
    <x v="14"/>
    <n v="7.0499299999999998"/>
    <n v="14.43802"/>
    <x v="0"/>
  </r>
  <r>
    <n v="1688"/>
    <s v="T0202"/>
    <s v="IHS_NGD_070"/>
    <s v="T0202"/>
    <x v="2"/>
    <s v="Bata"/>
    <x v="0"/>
    <s v="Indoor"/>
    <s v="Meiganga"/>
    <s v="MBERE"/>
    <s v="MEIGANGA"/>
    <x v="14"/>
    <n v="6.1363570000000003"/>
    <n v="14.382668000000001"/>
    <x v="0"/>
  </r>
  <r>
    <n v="1689"/>
    <s v="ADM_008"/>
    <s v="IHS_GAR_079"/>
    <s v="ADM_008"/>
    <x v="8"/>
    <s v="Baiboum"/>
    <x v="0"/>
    <s v="Indoor"/>
    <s v="Garoua 1"/>
    <s v="MAYO REY"/>
    <s v="touboro"/>
    <x v="14"/>
    <n v="7.5524440000000004"/>
    <n v="15.438361"/>
    <x v="0"/>
  </r>
  <r>
    <n v="1690"/>
    <s v="ADM_027"/>
    <s v="IHS_NGD_071"/>
    <s v="ADM_027"/>
    <x v="2"/>
    <s v="Bata"/>
    <x v="0"/>
    <s v="Indoor"/>
    <s v="Meiganga"/>
    <s v="MBERE"/>
    <s v="MEIGANGA"/>
    <x v="14"/>
    <n v="6.1365829999999999"/>
    <n v="14.382444"/>
    <x v="0"/>
  </r>
  <r>
    <n v="1691"/>
    <s v="T2076"/>
    <s v="IHS_GAR_340"/>
    <s v="T2076"/>
    <x v="8"/>
    <s v="Wakassao"/>
    <x v="0"/>
    <s v="Outdoor"/>
    <s v="Garoua 1"/>
    <s v="MAYO REY"/>
    <s v="touboro"/>
    <x v="14"/>
    <n v="7.3462800000000001"/>
    <n v="15.296709999999999"/>
    <x v="0"/>
  </r>
  <r>
    <n v="1692"/>
    <s v="T3559"/>
    <s v="IHS_GAR_339"/>
    <s v="T3559"/>
    <x v="8"/>
    <s v="MAAN Baibouum"/>
    <x v="0"/>
    <s v="Outdoor"/>
    <s v="Garoua 1"/>
    <s v="MAYO REY"/>
    <s v="touboro"/>
    <x v="14"/>
    <n v="7.4565900000000003"/>
    <n v="15.372479999999999"/>
    <x v="0"/>
  </r>
  <r>
    <n v="1693"/>
    <s v="T2077"/>
    <s v="IHS_GAR_341"/>
    <s v="T2077"/>
    <x v="8"/>
    <s v="Benoui"/>
    <x v="0"/>
    <s v="Outdoor"/>
    <s v="Garoua 1"/>
    <s v="MAYO REY"/>
    <s v="touboro"/>
    <x v="14"/>
    <n v="7.1640600000000001"/>
    <n v="14.836372000000001"/>
    <x v="0"/>
  </r>
  <r>
    <n v="1694"/>
    <s v="T0777"/>
    <s v="IHS_BER_164"/>
    <s v="T0777"/>
    <x v="4"/>
    <s v="Garoua Boulai Sabongari"/>
    <x v="0"/>
    <s v="Outdoor"/>
    <s v="Garoua Boulai"/>
    <s v="LOM-ET-DJEREM"/>
    <s v="Garoua Boulai"/>
    <x v="14"/>
    <n v="5.8863719999999997"/>
    <n v="14.564285"/>
    <x v="0"/>
  </r>
  <r>
    <n v="1695"/>
    <s v="T2591"/>
    <s v="IHS_GAR_348"/>
    <s v="T2591"/>
    <x v="8"/>
    <s v="Mbaiboum 2"/>
    <x v="0"/>
    <s v="Outdoor"/>
    <s v="Garoua 2"/>
    <s v="Mayo-Rey"/>
    <s v="Touboro"/>
    <x v="14"/>
    <n v="7.5407900000000003"/>
    <n v="15.449840999999999"/>
    <x v="0"/>
  </r>
  <r>
    <n v="1696"/>
    <s v="T2593"/>
    <s v="IHS_GAR_349"/>
    <s v="T2593"/>
    <x v="2"/>
    <s v="Mbang Rey"/>
    <x v="0"/>
    <s v="Outdoor"/>
    <s v="Meiganga"/>
    <s v="MBERE"/>
    <s v="MEIGANGA"/>
    <x v="14"/>
    <n v="7.1677160000000004"/>
    <n v="14.475781"/>
    <x v="0"/>
  </r>
  <r>
    <n v="1697"/>
    <s v="T2309"/>
    <s v="IHS_BER_287"/>
    <s v="T2309"/>
    <x v="4"/>
    <s v="Borongo"/>
    <x v="0"/>
    <s v="Outdoor"/>
    <s v="Garoua Boulai"/>
    <s v="Lom-et-Djerem"/>
    <s v="BETARE OYA"/>
    <x v="14"/>
    <n v="5.4982980000000001"/>
    <n v="14.299773"/>
    <x v="0"/>
  </r>
  <r>
    <n v="1698"/>
    <s v="T3208"/>
    <s v="IHS_BER_290"/>
    <s v="T3208"/>
    <x v="4"/>
    <s v="Garoua boulai sabal"/>
    <x v="0"/>
    <s v="Outdoor"/>
    <s v="Garoua Boulai"/>
    <s v="Lom-et-Djerem"/>
    <s v="Garoua Boulai"/>
    <x v="14"/>
    <n v="5.9071100000000003"/>
    <n v="14.539350000000001"/>
    <x v="0"/>
  </r>
  <r>
    <n v="1699"/>
    <s v="T1574"/>
    <s v="IHS_NGD_245"/>
    <s v="T1574"/>
    <x v="2"/>
    <s v="Meiganga Pitoa"/>
    <x v="0"/>
    <s v="Outdoor"/>
    <s v="Meiganga"/>
    <s v="MBERE"/>
    <s v="MEIGANGA"/>
    <x v="14"/>
    <n v="6.5330310000000003"/>
    <n v="14.277452"/>
    <x v="0"/>
  </r>
  <r>
    <n v="1700"/>
    <s v="T1306"/>
    <s v="IHS_BER_303"/>
    <s v="T1306"/>
    <x v="4"/>
    <s v="Garoua Boulai Yokosiré"/>
    <x v="0"/>
    <s v="Outdoor"/>
    <s v="Garoua Boulai"/>
    <s v="Lom et Djerem "/>
    <s v="Garoua Boulai"/>
    <x v="14"/>
    <n v="5.8277340000000004"/>
    <n v="14.566141"/>
    <x v="0"/>
  </r>
  <r>
    <n v="1701"/>
    <s v="T1508"/>
    <s v="IHS_NGD_248"/>
    <s v="T1508"/>
    <x v="2"/>
    <s v="Dir Dobori"/>
    <x v="0"/>
    <s v="Outdoor"/>
    <s v="Meiganga"/>
    <s v="Mbere"/>
    <s v="DIR"/>
    <x v="14"/>
    <n v="6.3069170000000003"/>
    <n v="13.637361"/>
    <x v="0"/>
  </r>
  <r>
    <n v="1702"/>
    <s v="T1538"/>
    <s v="IHS_NGD_249"/>
    <s v="T1538"/>
    <x v="2"/>
    <s v="Goro Bekaski"/>
    <x v="0"/>
    <s v="Outdoor"/>
    <s v="Meiganga"/>
    <s v="Mbere"/>
    <s v="DIR"/>
    <x v="14"/>
    <n v="6.4559530000000001"/>
    <n v="13.945722"/>
    <x v="0"/>
  </r>
  <r>
    <n v="1703"/>
    <s v="T2099"/>
    <s v="IHS_GAR_127"/>
    <s v="T2099"/>
    <x v="8"/>
    <s v="Touboro Ville 2"/>
    <x v="0"/>
    <s v="Outdoor"/>
    <s v="Garoua 1"/>
    <s v="MAYO REY"/>
    <s v="touboro"/>
    <x v="14"/>
    <n v="7.7587130000000002"/>
    <n v="15.352148"/>
    <x v="0"/>
  </r>
  <r>
    <n v="1704"/>
    <s v="T1412"/>
    <s v="IHS_NGD_209"/>
    <s v="T1412"/>
    <x v="2"/>
    <s v="TEKEL"/>
    <x v="0"/>
    <s v="Outdoor"/>
    <s v="Tibati"/>
    <s v="TIBATI"/>
    <s v="NGAOUNDAL"/>
    <x v="15"/>
    <n v="6.8271940000000004"/>
    <n v="13.176917"/>
    <x v="0"/>
  </r>
  <r>
    <n v="1705"/>
    <s v="T0892"/>
    <s v="IHS_GAR_071"/>
    <s v="T0892"/>
    <x v="8"/>
    <s v="Ngaouyanga"/>
    <x v="0"/>
    <s v="Outdoor"/>
    <s v="Garoua 1"/>
    <s v="VINA"/>
    <s v="mbe"/>
    <x v="15"/>
    <n v="7.9004709999999996"/>
    <n v="13.617796"/>
    <x v="0"/>
  </r>
  <r>
    <n v="1706"/>
    <s v="ADM_127"/>
    <s v="IHS_NGD_226"/>
    <s v="ADM_127"/>
    <x v="2"/>
    <s v="Ngaoundere University II "/>
    <x v="0"/>
    <s v="Indoor"/>
    <s v="Ngaoundere"/>
    <s v="VINA"/>
    <s v="NGAOUNDERE 3"/>
    <x v="15"/>
    <n v="7.4138270000000004"/>
    <n v="13.553395"/>
    <x v="0"/>
  </r>
  <r>
    <n v="1707"/>
    <s v="T0207"/>
    <s v="IHS_NGD_031"/>
    <s v="T0207"/>
    <x v="2"/>
    <s v="Lere"/>
    <x v="0"/>
    <s v="Indoor"/>
    <s v="Ngaoundere"/>
    <s v="VINA"/>
    <s v="NGAOUNDERE 3"/>
    <x v="15"/>
    <n v="7.5750000000000002"/>
    <n v="13.56095"/>
    <x v="0"/>
  </r>
  <r>
    <n v="1708"/>
    <s v="T1822"/>
    <s v="IHS_NGD_208"/>
    <s v="T1822"/>
    <x v="2"/>
    <s v="DEONE"/>
    <x v="0"/>
    <s v="Outdoor"/>
    <s v="Ngaoundere"/>
    <s v="VINA"/>
    <s v="NGAOUNDERE 3"/>
    <x v="15"/>
    <n v="7.5845560000000001"/>
    <n v="13.777139"/>
    <x v="0"/>
  </r>
  <r>
    <n v="1709"/>
    <s v="T2733"/>
    <s v="IHS_NGD_219"/>
    <s v="T2733"/>
    <x v="2"/>
    <s v="BAWA"/>
    <x v="0"/>
    <s v="Outdoor"/>
    <s v="Ngaoundere"/>
    <s v="VINA"/>
    <s v="MARTAP"/>
    <x v="15"/>
    <n v="7.2202390000000003"/>
    <n v="13.357117000000001"/>
    <x v="0"/>
  </r>
  <r>
    <n v="1710"/>
    <s v="T1149"/>
    <s v="IHS_NGD_213"/>
    <s v="T1149"/>
    <x v="2"/>
    <s v="Ngaoundal 3"/>
    <x v="0"/>
    <s v="Outdoor"/>
    <s v="Meiganga"/>
    <s v="Meiganga"/>
    <s v="NGAOUNDAL"/>
    <x v="15"/>
    <n v="6.4695720000000003"/>
    <n v="13.275081999999999"/>
    <x v="0"/>
  </r>
  <r>
    <n v="1711"/>
    <s v="ADM_073"/>
    <s v="IHS_NGD_003"/>
    <s v="ADM_073"/>
    <x v="2"/>
    <s v="Ngd-Yarban"/>
    <x v="0"/>
    <s v="Outdoor"/>
    <s v="Ngaoundere"/>
    <s v="VINA"/>
    <s v="NGAOUNDERE 1"/>
    <x v="15"/>
    <n v="7.3185830000000003"/>
    <n v="13.586221999999999"/>
    <x v="0"/>
  </r>
  <r>
    <n v="1712"/>
    <s v="T1354"/>
    <s v="IHS_NGD_020"/>
    <s v="T1354"/>
    <x v="2"/>
    <s v="Bamyaga"/>
    <x v="0"/>
    <s v="Outdoor"/>
    <s v="Ngaoundere"/>
    <s v="VINA"/>
    <s v="NGAOUNDERE 1"/>
    <x v="15"/>
    <n v="7.2962400000000001"/>
    <n v="13.568860000000001"/>
    <x v="0"/>
  </r>
  <r>
    <n v="1713"/>
    <s v="T1351"/>
    <s v="IHS_NGD_002"/>
    <s v="T1351"/>
    <x v="2"/>
    <s v="Haoussa area"/>
    <x v="0"/>
    <s v="Outdoor"/>
    <s v="Ngaoundere"/>
    <s v="VINA"/>
    <s v="NGAOUNDERE 1"/>
    <x v="15"/>
    <n v="7.3225319999999998"/>
    <n v="13.588034"/>
    <x v="0"/>
  </r>
  <r>
    <n v="1714"/>
    <s v="ADM_084"/>
    <s v="IHS_NGD_201"/>
    <s v="ADM_084"/>
    <x v="2"/>
    <s v="NG'DERE MADAGASCAR-IHS"/>
    <x v="0"/>
    <s v="Outdoor"/>
    <s v="Ngaoundere"/>
    <s v="VINA"/>
    <s v="NGAOUNDERE 1"/>
    <x v="15"/>
    <n v="7.3346229999999997"/>
    <n v="13.576738000000001"/>
    <x v="0"/>
  </r>
  <r>
    <n v="1715"/>
    <s v="ADM_085"/>
    <s v="IHS_NGD_206"/>
    <s v="ADM_085"/>
    <x v="2"/>
    <s v="Ngd-Bamyangal-II"/>
    <x v="0"/>
    <s v="Outdoor"/>
    <s v="Ngaoundere"/>
    <s v="VINA"/>
    <s v="NGAOUNDERE 1"/>
    <x v="15"/>
    <n v="7.2969080000000002"/>
    <n v="13.579713999999999"/>
    <x v="0"/>
  </r>
  <r>
    <n v="1716"/>
    <s v="T1516"/>
    <s v="IHS_NGD_223"/>
    <s v="T1516"/>
    <x v="2"/>
    <s v="Ngaoundere Bini "/>
    <x v="0"/>
    <s v="Outdoor"/>
    <s v="Ngaoundere"/>
    <s v="VINA"/>
    <s v="NGAOUNDERE 1"/>
    <x v="15"/>
    <n v="7.4126349999999999"/>
    <n v="13.549448"/>
    <x v="0"/>
  </r>
  <r>
    <n v="1717"/>
    <s v="T0252"/>
    <s v="IHS_NGD_227"/>
    <s v="T0252"/>
    <x v="2"/>
    <s v="Ngaoundere Baladji 2"/>
    <x v="0"/>
    <s v="Outdoor"/>
    <s v="Ngaoundere"/>
    <s v="VINA"/>
    <s v="NGAOUNDERE 1"/>
    <x v="15"/>
    <n v="7.3296260000000002"/>
    <n v="13.578984"/>
    <x v="0"/>
  </r>
  <r>
    <n v="1718"/>
    <s v="T1350"/>
    <s v="IHS_NGD_009"/>
    <s v="T1350"/>
    <x v="2"/>
    <s v="BALADJI"/>
    <x v="0"/>
    <s v="Outdoor"/>
    <s v="Ngaoundere"/>
    <s v="VINA"/>
    <s v="NGAOUNDERE 1"/>
    <x v="15"/>
    <n v="7.3280500000000002"/>
    <n v="13.571440000000001"/>
    <x v="0"/>
  </r>
  <r>
    <n v="1719"/>
    <s v="ADM_101"/>
    <s v="IHS_NGD_205"/>
    <s v="ADM_101"/>
    <x v="2"/>
    <s v="Ngd-Gambara"/>
    <x v="0"/>
    <s v="Outdoor"/>
    <s v="Ngaoundere"/>
    <s v="VINA"/>
    <s v="NGAOUNDERE 1"/>
    <x v="15"/>
    <n v="7.2964840000000004"/>
    <n v="13.603700999999999"/>
    <x v="0"/>
  </r>
  <r>
    <n v="1720"/>
    <s v="T1352"/>
    <s v="IHS_NGD_024"/>
    <s v="T1352"/>
    <x v="2"/>
    <s v="Mawi"/>
    <x v="0"/>
    <s v="Outdoor"/>
    <s v="Ngaoundere"/>
    <s v="VINA"/>
    <s v="NGAOUNDERE 1"/>
    <x v="15"/>
    <n v="7.3870639999999996"/>
    <n v="13.549194"/>
    <x v="0"/>
  </r>
  <r>
    <n v="1721"/>
    <s v="T0802"/>
    <s v="IHS_NGD_021"/>
    <s v="T0802"/>
    <x v="2"/>
    <s v="Gada Mabanga"/>
    <x v="0"/>
    <s v="Outdoor"/>
    <s v="Ngaoundere"/>
    <s v="VINA"/>
    <s v="NGAOUNDERE 1"/>
    <x v="15"/>
    <n v="7.3573700000000004"/>
    <n v="13.581490000000001"/>
    <x v="0"/>
  </r>
  <r>
    <n v="1722"/>
    <s v="T0255"/>
    <s v="IHS_NGD_028"/>
    <s v="T0255"/>
    <x v="2"/>
    <s v="Ngaoundere University"/>
    <x v="0"/>
    <s v="Indoor"/>
    <s v="Ngaoundere"/>
    <s v="VINA"/>
    <s v="NGAOUNDERE 3"/>
    <x v="15"/>
    <n v="7.4183139999999996"/>
    <n v="13.551437999999999"/>
    <x v="0"/>
  </r>
  <r>
    <n v="1723"/>
    <s v="ADM_048"/>
    <s v="IHS_NGD_006"/>
    <s v="ADM_048"/>
    <x v="2"/>
    <s v="Ngd-Q-Haoussa"/>
    <x v="0"/>
    <s v="Outdoor"/>
    <s v="Ngaoundere"/>
    <s v="VINA"/>
    <s v="NGAOUNDERE 1"/>
    <x v="15"/>
    <n v="7.3243609999999997"/>
    <n v="13.593556"/>
    <x v="0"/>
  </r>
  <r>
    <n v="1724"/>
    <s v="ADM_011"/>
    <s v="IHS_NGD_062"/>
    <s v="ADM_011"/>
    <x v="2"/>
    <s v="Tignere"/>
    <x v="0"/>
    <s v="Indoor"/>
    <s v="Tibati"/>
    <s v="TIBATI"/>
    <s v="TIGNERE"/>
    <x v="15"/>
    <n v="7.3697379999999999"/>
    <n v="12.662181"/>
    <x v="0"/>
  </r>
  <r>
    <n v="1725"/>
    <s v="T1374"/>
    <s v="IHS_NGD_023"/>
    <s v="T1374"/>
    <x v="2"/>
    <s v="BEKA HOSSERE"/>
    <x v="0"/>
    <s v="Outdoor"/>
    <s v="Ngaoundere"/>
    <s v="VINA"/>
    <s v="NGAOUNDERE 1"/>
    <x v="15"/>
    <n v="7.3109250000000001"/>
    <n v="13.547790000000001"/>
    <x v="0"/>
  </r>
  <r>
    <n v="1726"/>
    <s v="T1202"/>
    <s v="IHS_NGD_008"/>
    <s v="T1202"/>
    <x v="2"/>
    <s v="NGAOUNDERE MADAGASCAR"/>
    <x v="0"/>
    <s v="Outdoor"/>
    <s v="Ngaoundere"/>
    <s v="VINA"/>
    <s v="NGAOUNDERE 1"/>
    <x v="15"/>
    <n v="7.33209"/>
    <n v="13.58494"/>
    <x v="0"/>
  </r>
  <r>
    <n v="1727"/>
    <s v="T1209"/>
    <s v="IHS_NGD_016"/>
    <s v="T1209"/>
    <x v="2"/>
    <s v="NGAOUNDERE NORVEGIEN"/>
    <x v="0"/>
    <s v="Outdoor"/>
    <s v="Ngaoundere"/>
    <s v="VINA"/>
    <s v="COMMUNE NGAOUNDERE 1"/>
    <x v="15"/>
    <n v="7.3095999999999997"/>
    <n v="13.598330000000001"/>
    <x v="0"/>
  </r>
  <r>
    <n v="1728"/>
    <s v="ADM_003"/>
    <s v="IHS_NGD_027"/>
    <s v="ADM_003"/>
    <x v="2"/>
    <s v="Ngd-Universite"/>
    <x v="0"/>
    <s v="Indoor"/>
    <s v="Ngaoundere"/>
    <s v="VINA"/>
    <s v="COMMUNE NGAOUNDERE3"/>
    <x v="15"/>
    <n v="7.4143749999999997"/>
    <n v="13.54744"/>
    <x v="1"/>
  </r>
  <r>
    <n v="1729"/>
    <s v="ADM_017"/>
    <s v="IHS_NGD_029"/>
    <s v="ADM_017"/>
    <x v="2"/>
    <s v="Ngd-Dang"/>
    <x v="0"/>
    <s v="Indoor"/>
    <s v="Ngaoundere"/>
    <s v="VINA"/>
    <s v="NGAOUNDERE 3"/>
    <x v="15"/>
    <n v="7.4322699999999999"/>
    <n v="13.557088"/>
    <x v="0"/>
  </r>
  <r>
    <n v="1730"/>
    <s v="T1353"/>
    <s v="IHS_NGD_018"/>
    <s v="T1353"/>
    <x v="2"/>
    <s v="Mbideng"/>
    <x v="0"/>
    <s v="Outdoor"/>
    <s v="Ngaoundere"/>
    <s v="VINA"/>
    <s v="NGAOUNEDERE 1"/>
    <x v="15"/>
    <n v="7.3018900000000002"/>
    <n v="13.581160000000001"/>
    <x v="0"/>
  </r>
  <r>
    <n v="1731"/>
    <s v="ADM_035"/>
    <s v="IHS_NGD_010"/>
    <s v="ADM_035"/>
    <x v="2"/>
    <s v="Ngd-Baladji"/>
    <x v="0"/>
    <s v="Outdoor"/>
    <s v="Ngaoundere"/>
    <s v="VINA"/>
    <s v="NGAOUNEDERE 1"/>
    <x v="15"/>
    <n v="7.329472"/>
    <n v="13.568389"/>
    <x v="0"/>
  </r>
  <r>
    <n v="1732"/>
    <s v="T1426"/>
    <s v="IHS_NGD_203"/>
    <s v="T1426"/>
    <x v="2"/>
    <s v="NGAOUNDERE SABONGARI"/>
    <x v="0"/>
    <s v="Outdoor"/>
    <s v="Ngaoundere"/>
    <s v="VINA"/>
    <s v="NGAOUNEDERE 1"/>
    <x v="15"/>
    <n v="7.33277"/>
    <n v="13.592139"/>
    <x v="0"/>
  </r>
  <r>
    <n v="1733"/>
    <s v="T1424"/>
    <s v="IHS_NGD_210"/>
    <s v="T1424"/>
    <x v="2"/>
    <s v="NGAOUNDAL SDO"/>
    <x v="0"/>
    <s v="Outdoor"/>
    <s v="Meiganga"/>
    <s v="Meiganga"/>
    <s v="NGAOUNDAL"/>
    <x v="15"/>
    <n v="6.4556069999999997"/>
    <n v="13.276820000000001"/>
    <x v="0"/>
  </r>
  <r>
    <n v="1734"/>
    <s v="T0876"/>
    <s v="IHS_NGD_013"/>
    <s v="T0876"/>
    <x v="2"/>
    <s v="Ngaoundere EPC"/>
    <x v="0"/>
    <s v="Outdoor"/>
    <s v="Ngaoundere"/>
    <s v="VINA"/>
    <s v="NGAOUNEDERE 1"/>
    <x v="15"/>
    <n v="7.3101099999999999"/>
    <n v="13.57368"/>
    <x v="0"/>
  </r>
  <r>
    <n v="1735"/>
    <s v="ADM_074"/>
    <s v="IHS_NGD_007"/>
    <s v="ADM_074"/>
    <x v="2"/>
    <s v="Ngd-Troua-Mala-II"/>
    <x v="0"/>
    <s v="Outdoor"/>
    <s v="Ngaoundere"/>
    <s v="VINA"/>
    <s v="NGAOUNEDERE 1"/>
    <x v="15"/>
    <n v="7.3309350000000002"/>
    <n v="13.590002"/>
    <x v="0"/>
  </r>
  <r>
    <n v="1736"/>
    <s v="T2825"/>
    <s v="IHS_NGD_220"/>
    <s v="T2825"/>
    <x v="2"/>
    <s v="Ngaoundere Bideng 2"/>
    <x v="0"/>
    <s v="Outdoor"/>
    <s v="Ngaoundere"/>
    <s v="VINA"/>
    <s v="NGAOUNEDERE 1"/>
    <x v="15"/>
    <n v="7.302962"/>
    <n v="13.593737000000001"/>
    <x v="0"/>
  </r>
  <r>
    <n v="1737"/>
    <s v="ADM_087"/>
    <s v="IHS_NGD_204"/>
    <s v="ADM_087"/>
    <x v="2"/>
    <s v="Gada Mabanga"/>
    <x v="0"/>
    <s v="Outdoor"/>
    <s v="Ngaoundere"/>
    <s v="VINA"/>
    <s v="NGAOUNEDERE 1"/>
    <x v="15"/>
    <n v="7.3402219999999998"/>
    <n v="13.576074999999999"/>
    <x v="0"/>
  </r>
  <r>
    <n v="1738"/>
    <s v="T1373"/>
    <s v="IHS_NGD_030"/>
    <s v="T1373"/>
    <x v="2"/>
    <s v="DANG"/>
    <x v="0"/>
    <s v="Outdoor"/>
    <s v="Ngaoundere"/>
    <s v="VINA"/>
    <s v="NGAOUNEDERE 3"/>
    <x v="15"/>
    <n v="7.4373060000000004"/>
    <n v="13.557667"/>
    <x v="0"/>
  </r>
  <r>
    <n v="1739"/>
    <s v="T0432"/>
    <s v="IHS_NGD_012"/>
    <s v="T0432"/>
    <x v="2"/>
    <s v="Ngaoundere CIFAN"/>
    <x v="0"/>
    <s v="Outdoor"/>
    <s v="Ngaoundere"/>
    <s v="VINA"/>
    <s v="NGAOUNEDERE 1"/>
    <x v="15"/>
    <n v="7.3346400000000003"/>
    <n v="13.60341"/>
    <x v="0"/>
  </r>
  <r>
    <n v="1740"/>
    <s v="T2096"/>
    <s v="IHS_NGD_215"/>
    <s v="T2096"/>
    <x v="2"/>
    <s v="Ngaoundere SC2"/>
    <x v="0"/>
    <s v="Indoor"/>
    <s v="Ngaoundere"/>
    <s v="VINA"/>
    <s v="NGAOUNEDERE 1"/>
    <x v="15"/>
    <n v="7.3216999999999999"/>
    <n v="13.5777"/>
    <x v="0"/>
  </r>
  <r>
    <n v="1741"/>
    <s v="T0742"/>
    <s v="IHS_NGD_061"/>
    <s v="T0742"/>
    <x v="2"/>
    <s v="Tignere"/>
    <x v="0"/>
    <s v="Outdoor"/>
    <s v="Tibati"/>
    <s v="TIBATI"/>
    <s v="TIGNERE"/>
    <x v="15"/>
    <n v="7.3718490000000001"/>
    <n v="12.653734"/>
    <x v="0"/>
  </r>
  <r>
    <n v="1742"/>
    <s v="T1376"/>
    <s v="IHS_NGD_057"/>
    <s v="T1376"/>
    <x v="2"/>
    <s v="NGAOUNDERE BAMYANGA2"/>
    <x v="0"/>
    <s v="Outdoor"/>
    <s v="Ngaoundere"/>
    <s v="VINA"/>
    <s v="NGAOUNEDERE 1"/>
    <x v="15"/>
    <n v="7.2897369999999997"/>
    <n v="13.577116999999999"/>
    <x v="0"/>
  </r>
  <r>
    <n v="1743"/>
    <s v="T0416"/>
    <s v="IHS_NGD_036"/>
    <s v="T0416"/>
    <x v="2"/>
    <s v="Dibi"/>
    <x v="0"/>
    <s v="Indoor"/>
    <s v="Ngaoundere"/>
    <s v="VINA"/>
    <s v="NGAOUNEDERE 1"/>
    <x v="15"/>
    <n v="7.1550929999999999"/>
    <n v="13.719018"/>
    <x v="0"/>
  </r>
  <r>
    <n v="1744"/>
    <s v="T0193"/>
    <s v="IHS_NGD_041"/>
    <s v="T0193"/>
    <x v="2"/>
    <s v="Soukounga"/>
    <x v="0"/>
    <s v="Indoor"/>
    <s v="Ngaoundere"/>
    <s v="VINA"/>
    <s v="NYAMBAKA"/>
    <x v="15"/>
    <n v="7.0313540000000003"/>
    <n v="13.946262000000001"/>
    <x v="0"/>
  </r>
  <r>
    <n v="1745"/>
    <s v="ADM_031"/>
    <s v="IHS_NGD_039"/>
    <s v="ADM_031"/>
    <x v="2"/>
    <s v="Galdi"/>
    <x v="0"/>
    <s v="Indoor"/>
    <s v="Ngaoundere"/>
    <s v="VINA"/>
    <s v="NYAMBAKA"/>
    <x v="15"/>
    <n v="7.0960279999999996"/>
    <n v="13.849861000000001"/>
    <x v="0"/>
  </r>
  <r>
    <n v="1746"/>
    <s v="T0326"/>
    <s v="IHS_NGD_080"/>
    <s v="T0326"/>
    <x v="2"/>
    <s v="Ngaoundal"/>
    <x v="0"/>
    <s v="Indoor"/>
    <s v="Meiganga"/>
    <s v="Meiganga"/>
    <s v="NGAOUNDAL"/>
    <x v="15"/>
    <n v="6.4647220000000001"/>
    <n v="13.263265000000001"/>
    <x v="0"/>
  </r>
  <r>
    <n v="1747"/>
    <s v="ADM_018"/>
    <s v="IHS_NGD_011"/>
    <s v="ADM_018"/>
    <x v="2"/>
    <s v="Ngd-Ville"/>
    <x v="0"/>
    <s v="Indoor"/>
    <s v="Ngaoundere"/>
    <s v="VINA"/>
    <s v="NGAOUNEDERE 1"/>
    <x v="15"/>
    <n v="7.3279170000000002"/>
    <n v="13.604056"/>
    <x v="0"/>
  </r>
  <r>
    <n v="1748"/>
    <s v="T1425"/>
    <s v="IHS_NGD_202"/>
    <s v="T1425"/>
    <x v="2"/>
    <s v="NGAOUNDERE AOUDI"/>
    <x v="0"/>
    <s v="Indoor"/>
    <s v="Ngaoundere"/>
    <s v="VINA"/>
    <s v="NGAOUNEDERE 1"/>
    <x v="15"/>
    <n v="7.3210350000000002"/>
    <n v="13.593658"/>
    <x v="0"/>
  </r>
  <r>
    <n v="1749"/>
    <s v="T1768"/>
    <s v="IHS_NGD_214"/>
    <s v="T1768"/>
    <x v="2"/>
    <s v="Ngaoundere Sabongari America"/>
    <x v="0"/>
    <s v="Outdoor"/>
    <s v="Ngaoundere"/>
    <s v="VINA"/>
    <s v="NGAOUNEDERE 1"/>
    <x v="15"/>
    <n v="7.317412"/>
    <n v="13.597588999999999"/>
    <x v="0"/>
  </r>
  <r>
    <n v="1750"/>
    <s v="ADM_036"/>
    <s v="IHS_NGD_017"/>
    <s v="ADM_036"/>
    <x v="2"/>
    <s v="Ngd-Burkina"/>
    <x v="0"/>
    <s v="Outdoor"/>
    <s v="Ngaoundere"/>
    <s v="VINA"/>
    <s v="NGAOUNEDERE 1"/>
    <x v="15"/>
    <n v="7.3099550000000004"/>
    <n v="13.599223"/>
    <x v="0"/>
  </r>
  <r>
    <n v="1751"/>
    <s v="ADM_034"/>
    <s v="IHS_NGD_025"/>
    <s v="ADM_034"/>
    <x v="2"/>
    <s v="Ngd-Projet-Laitier"/>
    <x v="0"/>
    <s v="Outdoor"/>
    <s v="Ngaoundere"/>
    <s v="VINA"/>
    <s v="COMMUNE NGAOUNDERE 3"/>
    <x v="15"/>
    <n v="7.3825560000000001"/>
    <n v="13.549333000000001"/>
    <x v="0"/>
  </r>
  <r>
    <n v="1752"/>
    <s v="ADM_069"/>
    <s v="IHS_NGD_026"/>
    <s v="ADM_069"/>
    <x v="2"/>
    <s v="Ngd-Bini"/>
    <x v="0"/>
    <s v="Outdoor"/>
    <s v="Ngaoundere"/>
    <s v="VINA"/>
    <s v="NGAOUNEDERE 1"/>
    <x v="15"/>
    <n v="7.4119999999999999"/>
    <n v="13.548806000000001"/>
    <x v="1"/>
  </r>
  <r>
    <n v="1753"/>
    <s v="T1427"/>
    <s v="IHS_NGD_200"/>
    <s v="T1427"/>
    <x v="2"/>
    <s v="NGAOUNDERE TONGO"/>
    <x v="0"/>
    <s v="Outdoor"/>
    <s v="Ngaoundere"/>
    <s v="VINA"/>
    <s v="NGAOUNEDERE 1"/>
    <x v="15"/>
    <n v="7.3262349999999996"/>
    <n v="13.585054"/>
    <x v="1"/>
  </r>
  <r>
    <n v="1754"/>
    <s v="ADM_057"/>
    <s v="IHS_NGD_035"/>
    <s v="ADM_057"/>
    <x v="2"/>
    <s v="Ngd-Stade"/>
    <x v="0"/>
    <s v="Outdoor"/>
    <s v="Ngaoundere"/>
    <s v="VINA"/>
    <s v="NGAOUNEDERE 1"/>
    <x v="15"/>
    <n v="7.3281080000000003"/>
    <n v="13.58263"/>
    <x v="1"/>
  </r>
  <r>
    <n v="1755"/>
    <s v="ADM_071"/>
    <s v="IHS_NGD_001"/>
    <s v="ADM_071"/>
    <x v="2"/>
    <s v="Ngd-Crf-Texaco"/>
    <x v="0"/>
    <s v="Outdoor"/>
    <s v="Ngaoundere"/>
    <s v="VINA"/>
    <s v="NGAOUNEDERE 1"/>
    <x v="15"/>
    <n v="7.3239999999999998"/>
    <n v="13.584417"/>
    <x v="1"/>
  </r>
  <r>
    <n v="1756"/>
    <s v="ADM_058"/>
    <s v="IHS_NGD_015"/>
    <s v="ADM_058"/>
    <x v="2"/>
    <s v="Ngd-Trouamala"/>
    <x v="0"/>
    <s v="Outdoor"/>
    <s v="Ngaoundere"/>
    <s v="VINA"/>
    <s v="NGAOUNEDERE 1"/>
    <x v="15"/>
    <n v="7.30375"/>
    <n v="13.588778"/>
    <x v="0"/>
  </r>
  <r>
    <n v="1757"/>
    <s v="T0194"/>
    <s v="IHS_NGD_033"/>
    <s v="T0194"/>
    <x v="2"/>
    <s v="WAKWA194"/>
    <x v="0"/>
    <s v="Outdoor"/>
    <s v="Ngaoundere"/>
    <s v="VINA"/>
    <s v="NGAOUNEDERE 1"/>
    <x v="15"/>
    <n v="7.2422370000000003"/>
    <n v="13.558166999999999"/>
    <x v="0"/>
  </r>
  <r>
    <n v="1758"/>
    <s v="T0805"/>
    <s v="IHS_NGD_042"/>
    <s v="T0805"/>
    <x v="2"/>
    <s v="Tello"/>
    <x v="0"/>
    <s v="Outdoor"/>
    <s v="Ngaoundere"/>
    <s v="VINA"/>
    <s v="BELEL"/>
    <x v="15"/>
    <n v="7.1790469999999997"/>
    <n v="14.148662"/>
    <x v="0"/>
  </r>
  <r>
    <n v="1759"/>
    <s v="T1010"/>
    <s v="IHS_NGD_051"/>
    <s v="T1010"/>
    <x v="2"/>
    <s v="Nyazoro"/>
    <x v="0"/>
    <s v="Outdoor"/>
    <s v="Tibati"/>
    <s v="TIBATI"/>
    <s v="MARTAP"/>
    <x v="15"/>
    <n v="7.0278929999999997"/>
    <n v="12.826055"/>
    <x v="0"/>
  </r>
  <r>
    <n v="1760"/>
    <s v="T1197"/>
    <s v="IHS_NGD_038"/>
    <s v="T1197"/>
    <x v="2"/>
    <s v="NGANHA"/>
    <x v="0"/>
    <s v="Outdoor"/>
    <s v="Ngaoundere"/>
    <s v="MAYO REY"/>
    <s v="NGANHA"/>
    <x v="15"/>
    <n v="7.4247100000000001"/>
    <n v="13.929080000000001"/>
    <x v="0"/>
  </r>
  <r>
    <n v="1761"/>
    <s v="T1012"/>
    <s v="IHS_NGD_049"/>
    <s v="T1012"/>
    <x v="2"/>
    <s v="Bobodji"/>
    <x v="0"/>
    <s v="Outdoor"/>
    <s v="Tibati"/>
    <s v="TIBATI"/>
    <s v="MARTAP"/>
    <x v="15"/>
    <n v="6.9945380000000004"/>
    <n v="12.999995"/>
    <x v="0"/>
  </r>
  <r>
    <n v="1762"/>
    <s v="T1011"/>
    <s v="IHS_NGD_050"/>
    <s v="T1011"/>
    <x v="2"/>
    <s v="Balissa"/>
    <x v="0"/>
    <s v="Outdoor"/>
    <s v="Tibati"/>
    <s v="TIBATI"/>
    <s v="MARTAP"/>
    <x v="15"/>
    <n v="6.9617100000000001"/>
    <n v="12.94182"/>
    <x v="0"/>
  </r>
  <r>
    <n v="1763"/>
    <s v="ADM_060"/>
    <s v="IHS_NGD_046"/>
    <s v="ADM_060"/>
    <x v="2"/>
    <s v="Martap"/>
    <x v="0"/>
    <s v="Outdoor"/>
    <s v="Tibati"/>
    <s v="TIBATI"/>
    <s v="MARTAP"/>
    <x v="15"/>
    <n v="6.8941670000000004"/>
    <n v="13.048833"/>
    <x v="0"/>
  </r>
  <r>
    <n v="1764"/>
    <s v="T0206"/>
    <s v="IHS_GAR_061"/>
    <s v="T0206"/>
    <x v="8"/>
    <s v="Wani Banda"/>
    <x v="0"/>
    <s v="Indoor"/>
    <s v="Garoua 1"/>
    <s v="MAYO REY"/>
    <s v="lagdo"/>
    <x v="15"/>
    <n v="8.1985480000000006"/>
    <n v="13.640499"/>
    <x v="0"/>
  </r>
  <r>
    <n v="1765"/>
    <s v="T1081"/>
    <s v="IHS_NGD_040"/>
    <s v="T1081"/>
    <x v="2"/>
    <s v="Tourningal"/>
    <x v="0"/>
    <s v="Outdoor"/>
    <s v="Ngaoundere"/>
    <s v="VINA"/>
    <s v="BELEL"/>
    <x v="15"/>
    <n v="7.2403719999999998"/>
    <n v="14.023059999999999"/>
    <x v="0"/>
  </r>
  <r>
    <n v="1766"/>
    <s v="ADM_016"/>
    <s v="IHS_NGD_032"/>
    <s v="ADM_016"/>
    <x v="2"/>
    <s v="Tchabal"/>
    <x v="0"/>
    <s v="Indoor"/>
    <s v="Ngaoundere"/>
    <s v="VINA"/>
    <s v="NGAOUNEDERE 3"/>
    <x v="15"/>
    <n v="7.5756389999999998"/>
    <n v="13.562028"/>
    <x v="0"/>
  </r>
  <r>
    <n v="1767"/>
    <s v="ADM_042"/>
    <s v="IHS_NGD_082"/>
    <s v="ADM_042"/>
    <x v="2"/>
    <s v="Mbong"/>
    <x v="0"/>
    <s v="Indoor"/>
    <s v="Tibati"/>
    <s v="TIBATI"/>
    <s v="NGAOUNDAL"/>
    <x v="15"/>
    <n v="6.6808329999999998"/>
    <n v="13.099"/>
    <x v="0"/>
  </r>
  <r>
    <n v="1768"/>
    <s v="T0670"/>
    <s v="IHS_GAR_073"/>
    <s v="T0670"/>
    <x v="8"/>
    <s v="Mbe Water Tank"/>
    <x v="0"/>
    <s v="Outdoor"/>
    <s v="Garoua 1"/>
    <s v="MAYO REY"/>
    <s v="MBE"/>
    <x v="15"/>
    <n v="7.8624679999999998"/>
    <n v="13.589921"/>
    <x v="0"/>
  </r>
  <r>
    <n v="1769"/>
    <s v="T1014"/>
    <s v="IHS_NGD_037"/>
    <s v="T1014"/>
    <x v="2"/>
    <s v="LIKOK1014"/>
    <x v="0"/>
    <s v="Outdoor"/>
    <s v="Ngaoundere"/>
    <s v="VINA"/>
    <s v="MARTAP"/>
    <x v="15"/>
    <n v="7.2764879999999996"/>
    <n v="13.272443000000001"/>
    <x v="0"/>
  </r>
  <r>
    <n v="1770"/>
    <s v="T1013"/>
    <s v="IHS_NGD_043"/>
    <s v="T1013"/>
    <x v="2"/>
    <s v="Lewa"/>
    <x v="0"/>
    <s v="Outdoor"/>
    <s v="Tibati"/>
    <s v="TIBATI"/>
    <s v="MARTAP"/>
    <x v="15"/>
    <n v="7.0053999999999998"/>
    <n v="13.143872"/>
    <x v="0"/>
  </r>
  <r>
    <n v="1771"/>
    <s v="T1080"/>
    <s v="IHS_NGD_034"/>
    <s v="T1080"/>
    <x v="2"/>
    <s v="Laore"/>
    <x v="0"/>
    <s v="Outdoor"/>
    <s v="Ngaoundere"/>
    <s v="VINA"/>
    <s v="NGAOUNDERE 1"/>
    <x v="15"/>
    <n v="7.2766580000000003"/>
    <n v="13.77622"/>
    <x v="0"/>
  </r>
  <r>
    <n v="1772"/>
    <s v="ADM_041"/>
    <s v="IHS_NGD_075"/>
    <s v="ADM_041"/>
    <x v="2"/>
    <s v="Kanje-I"/>
    <x v="0"/>
    <s v="Indoor"/>
    <s v="Tibati"/>
    <s v="TIBATI"/>
    <s v="COMMUNE TIBATI"/>
    <x v="15"/>
    <n v="6.596444"/>
    <n v="12.881722"/>
    <x v="0"/>
  </r>
  <r>
    <n v="1773"/>
    <s v="T2125"/>
    <s v="IHS_GAR_120"/>
    <s v="T2125"/>
    <x v="8"/>
    <s v="HOME"/>
    <x v="0"/>
    <s v="Outdoor"/>
    <s v="Garoua 1"/>
    <s v="MAYO REY"/>
    <s v="touboro"/>
    <x v="15"/>
    <n v="7.726972"/>
    <n v="14.644028"/>
    <x v="0"/>
  </r>
  <r>
    <n v="1774"/>
    <s v="T1030"/>
    <s v="IHS_GAR_070"/>
    <s v="T1030"/>
    <x v="8"/>
    <s v="GAMBA"/>
    <x v="0"/>
    <s v="Outdoor"/>
    <s v="Garoua 1"/>
    <s v="MAYO REY"/>
    <s v="lagdo"/>
    <x v="15"/>
    <n v="8.0854020000000002"/>
    <n v="13.590923"/>
    <x v="0"/>
  </r>
  <r>
    <n v="1775"/>
    <s v="T0329"/>
    <s v="IHS_NGD_081"/>
    <s v="T0329"/>
    <x v="2"/>
    <s v="Febadi"/>
    <x v="0"/>
    <s v="Indoor"/>
    <s v="Tibati"/>
    <s v="TIBATI"/>
    <s v="NGAOUNDAL"/>
    <x v="15"/>
    <n v="6.5978180000000002"/>
    <n v="13.105095"/>
    <x v="0"/>
  </r>
  <r>
    <n v="1776"/>
    <s v="T1029"/>
    <s v="IHS_GAR_075"/>
    <s v="T1029"/>
    <x v="8"/>
    <s v="DEENA"/>
    <x v="0"/>
    <s v="Outdoor"/>
    <s v="Ngaoundere"/>
    <s v="MAYO REY"/>
    <s v="MBE"/>
    <x v="15"/>
    <n v="7.7253480000000003"/>
    <n v="13.539253"/>
    <x v="0"/>
  </r>
  <r>
    <n v="1777"/>
    <s v="T0804"/>
    <s v="IHS_NGD_076"/>
    <s v="T0804"/>
    <x v="2"/>
    <s v="Danfili"/>
    <x v="0"/>
    <s v="Outdoor"/>
    <s v="Tibati"/>
    <s v="TIBATI"/>
    <s v="NGAOUNDAL"/>
    <x v="15"/>
    <n v="6.6073890000000004"/>
    <n v="12.998417"/>
    <x v="0"/>
  </r>
  <r>
    <n v="1778"/>
    <s v="NRD_029"/>
    <s v="IHS_GAR_062"/>
    <s v="NRD_029"/>
    <x v="8"/>
    <s v="Banda"/>
    <x v="0"/>
    <s v="Indoor"/>
    <s v="Garoua 1"/>
    <s v="BENOUE"/>
    <s v="lagdo"/>
    <x v="15"/>
    <n v="8.1940570000000008"/>
    <n v="13.639842"/>
    <x v="0"/>
  </r>
  <r>
    <n v="1779"/>
    <s v="T3545"/>
    <s v="IHS_NGD_233"/>
    <s v="T3545"/>
    <x v="2"/>
    <s v="Kanje-I "/>
    <x v="0"/>
    <s v="Outdoor"/>
    <s v="Tibati"/>
    <s v="TIBATI"/>
    <s v="NGAOUNDAL"/>
    <x v="15"/>
    <n v="6.5982130000000003"/>
    <n v="12.883041"/>
    <x v="0"/>
  </r>
  <r>
    <n v="1780"/>
    <s v="T1671"/>
    <s v="IHS_NGD_230"/>
    <s v="T1671"/>
    <x v="2"/>
    <s v="Warrack Lemon"/>
    <x v="0"/>
    <s v="Outdoor"/>
    <s v="Ngaoundere"/>
    <s v="VINA"/>
    <s v="NGANHA"/>
    <x v="15"/>
    <n v="7.5157780000000001"/>
    <n v="13.888667"/>
    <x v="0"/>
  </r>
  <r>
    <n v="1781"/>
    <s v="ADM_010"/>
    <s v="IHS_NGD_235"/>
    <s v="ADM_010"/>
    <x v="2"/>
    <s v="Ngaoundal PDH"/>
    <x v="0"/>
    <s v="Indoor"/>
    <s v="Meiganga"/>
    <s v="Meiganga"/>
    <s v="COMMUNE DE NGAOUNDAL"/>
    <x v="15"/>
    <n v="6.4642499999999998"/>
    <n v="13.26389"/>
    <x v="0"/>
  </r>
  <r>
    <n v="1782"/>
    <s v="T1534"/>
    <s v="IHS_NGD_236"/>
    <s v="T1534"/>
    <x v="2"/>
    <s v="Ngaoundere ONAREF"/>
    <x v="0"/>
    <s v="Outdoor"/>
    <s v="Ngaoundere"/>
    <s v="Vina"/>
    <s v="Ngoundere 1"/>
    <x v="15"/>
    <n v="7.3184319999999996"/>
    <n v="13.569753"/>
    <x v="0"/>
  </r>
  <r>
    <n v="1783"/>
    <s v="T1675"/>
    <s v="IHS_GAR_354"/>
    <s v="T1675"/>
    <x v="8"/>
    <s v="Yoko North"/>
    <x v="0"/>
    <s v="Outdoor"/>
    <s v="Garoua 2"/>
    <s v="Mayo-Rey"/>
    <s v="Touboro"/>
    <x v="15"/>
    <n v="7.6966190000000001"/>
    <n v="14.542510999999999"/>
    <x v="0"/>
  </r>
  <r>
    <n v="1784"/>
    <s v="T1561"/>
    <s v="IHS_NGD_250"/>
    <s v="T1561"/>
    <x v="2"/>
    <s v="Mbarnang"/>
    <x v="0"/>
    <s v="Outdoor"/>
    <s v="Tibati"/>
    <s v=" Djerem"/>
    <s v=" Ngaoundal"/>
    <x v="15"/>
    <n v="6.4782570000000002"/>
    <n v="13.265807000000001"/>
    <x v="0"/>
  </r>
  <r>
    <n v="1785"/>
    <s v="T2065"/>
    <s v="IHS_NGD_104"/>
    <s v="T2065"/>
    <x v="2"/>
    <s v="Ngaoundere Logement Sociaux"/>
    <x v="0"/>
    <s v="Outdoor"/>
    <s v="Ngaoundere"/>
    <s v="VINA"/>
    <s v="NGAOUNEDERE 1"/>
    <x v="15"/>
    <n v="7.3248009999999999"/>
    <n v="13.548888"/>
    <x v="0"/>
  </r>
  <r>
    <n v="1786"/>
    <s v="T1897"/>
    <s v="IHS_NGD_105"/>
    <s v="T1897"/>
    <x v="2"/>
    <s v="Ngaoundal Entrance"/>
    <x v="0"/>
    <s v="Outdoor"/>
    <s v="Meiganga"/>
    <s v="Meiganga"/>
    <s v="NGAOUNDAL"/>
    <x v="15"/>
    <n v="6.4303150000000002"/>
    <n v="13.330802"/>
    <x v="0"/>
  </r>
  <r>
    <n v="1787"/>
    <s v="LIT_212"/>
    <s v="IHS_MBG_030"/>
    <s v="LIT_212"/>
    <x v="6"/>
    <s v="Sole"/>
    <x v="0"/>
    <s v="Outdoor"/>
    <s v="Loum"/>
    <s v="MOUNGO"/>
    <s v="yabassi"/>
    <x v="6"/>
    <n v="4.6047500000000001"/>
    <n v="9.8095099999999995"/>
    <x v="0"/>
  </r>
  <r>
    <n v="1788"/>
    <s v="T1666"/>
    <s v="IHS_EDA_058"/>
    <s v="T1666"/>
    <x v="0"/>
    <s v="SOHOCK"/>
    <x v="0"/>
    <s v="Outdoor"/>
    <s v="Bafang"/>
    <s v="Nkam"/>
    <s v="Nkondjock"/>
    <x v="6"/>
    <n v="4.9741900000000001"/>
    <n v="10.229229999999999"/>
    <x v="0"/>
  </r>
  <r>
    <n v="1789"/>
    <s v="LIT_169"/>
    <s v="IHS_NKS_100"/>
    <s v="LIT_169"/>
    <x v="6"/>
    <s v="Nkong-Q3 CIM"/>
    <x v="0"/>
    <s v="Outdoor"/>
    <s v="Loum"/>
    <s v="MOUNGO"/>
    <s v="nkongsamba 2"/>
    <x v="6"/>
    <n v="4.9723040000000003"/>
    <n v="9.9402880000000007"/>
    <x v="0"/>
  </r>
  <r>
    <n v="1790"/>
    <s v="T1948"/>
    <s v="IHS_KMB_104"/>
    <s v="T1948"/>
    <x v="6"/>
    <s v="NGUSI"/>
    <x v="2"/>
    <s v="Outdoor"/>
    <s v="Kumba"/>
    <s v="Meme"/>
    <s v="Tombel"/>
    <x v="6"/>
    <n v="4.8634170000000001"/>
    <n v="9.6634720000000005"/>
    <x v="0"/>
  </r>
  <r>
    <n v="1791"/>
    <s v="T1894"/>
    <s v="IHS_MBG_027"/>
    <s v="T1894"/>
    <x v="6"/>
    <s v="Loum Bonkeng"/>
    <x v="1"/>
    <s v="Outdoor"/>
    <s v="Loum"/>
    <s v="MOUNGO"/>
    <s v="loum   "/>
    <x v="6"/>
    <n v="4.7097920000000002"/>
    <n v="9.7479770000000006"/>
    <x v="0"/>
  </r>
  <r>
    <n v="1792"/>
    <s v="T1639"/>
    <s v="IHS_EDA_054"/>
    <s v="T1639"/>
    <x v="0"/>
    <s v="KOUEDJOU"/>
    <x v="0"/>
    <s v="Outdoor"/>
    <s v="Bafang"/>
    <s v="Nkam"/>
    <s v="Nkondjock"/>
    <x v="6"/>
    <n v="4.7744999999999997"/>
    <n v="10.292332999999999"/>
    <x v="0"/>
  </r>
  <r>
    <n v="1793"/>
    <s v="OST_103"/>
    <s v="IHS_BFG_012"/>
    <s v="OST_103"/>
    <x v="0"/>
    <s v="Kekem"/>
    <x v="0"/>
    <s v="Outdoor"/>
    <s v="Bafang"/>
    <s v="HAUT-NKAM"/>
    <s v="Kekem"/>
    <x v="6"/>
    <n v="5.1633889999999996"/>
    <n v="10.036611000000001"/>
    <x v="0"/>
  </r>
  <r>
    <n v="1794"/>
    <s v="OST_158"/>
    <s v="IHS_BFG_017"/>
    <s v="OST_158"/>
    <x v="0"/>
    <s v="FONDJANTI"/>
    <x v="0"/>
    <s v="Outdoor"/>
    <s v="Bafang"/>
    <s v="HAUT-NKAM"/>
    <s v="Bakou"/>
    <x v="6"/>
    <n v="5.0668049999999996"/>
    <n v="10.216673999999999"/>
    <x v="0"/>
  </r>
  <r>
    <n v="1795"/>
    <s v="OST_182"/>
    <s v="IHS_BFG_020"/>
    <s v="OST_182"/>
    <x v="0"/>
    <s v="Bakou"/>
    <x v="0"/>
    <s v="Outdoor"/>
    <s v="Bafang"/>
    <s v="HAUT-NKAM"/>
    <s v="Bakou"/>
    <x v="6"/>
    <n v="5.0770499999999998"/>
    <n v="10.181570000000001"/>
    <x v="0"/>
  </r>
  <r>
    <n v="1796"/>
    <s v="T1745"/>
    <s v="IHS_NKS_012"/>
    <s v="T1745"/>
    <x v="0"/>
    <s v="Melong Market"/>
    <x v="0"/>
    <s v="Outdoor"/>
    <s v="Bafang"/>
    <s v="Moungo"/>
    <s v="Melong"/>
    <x v="6"/>
    <n v="5.1165000000000003"/>
    <n v="9.9460560000000005"/>
    <x v="0"/>
  </r>
  <r>
    <n v="1797"/>
    <s v="T1305"/>
    <s v="IHS_KMB_118"/>
    <s v="T1305"/>
    <x v="0"/>
    <s v="BANGUEM STREET II"/>
    <x v="1"/>
    <s v="Outdoor"/>
    <s v="Bafang"/>
    <s v="Koupe-Manengouba"/>
    <s v="Banguem"/>
    <x v="6"/>
    <n v="5.0845039999999999"/>
    <n v="9.769304"/>
    <x v="0"/>
  </r>
  <r>
    <n v="1798"/>
    <s v="T0572"/>
    <s v="IHS_NKS_017"/>
    <s v="T0572"/>
    <x v="6"/>
    <s v="Manjo2"/>
    <x v="1"/>
    <s v="Outdoor"/>
    <s v="Loum"/>
    <s v="MOUNGO"/>
    <s v="MANJO"/>
    <x v="6"/>
    <n v="4.85304"/>
    <n v="9.8334919999999997"/>
    <x v="0"/>
  </r>
  <r>
    <n v="1799"/>
    <s v="T1741"/>
    <s v="IHS_NKS_016"/>
    <s v="T1741"/>
    <x v="0"/>
    <s v="Mbouroukou"/>
    <x v="0"/>
    <s v="Outdoor"/>
    <s v="Bafang"/>
    <s v="Moungo"/>
    <s v="Melong"/>
    <x v="6"/>
    <n v="5.0613890000000001"/>
    <n v="9.8936670000000007"/>
    <x v="0"/>
  </r>
  <r>
    <n v="1800"/>
    <s v="T1717"/>
    <s v="IHS_NKS_002"/>
    <s v="T1717"/>
    <x v="6"/>
    <s v="NKONGSAMBA Q3 CATHEDRALE"/>
    <x v="0"/>
    <s v="Outdoor"/>
    <s v="Loum"/>
    <s v="MOUNGO"/>
    <s v="nkongsamba 2"/>
    <x v="6"/>
    <n v="4.9617950000000004"/>
    <n v="9.9390400000000003"/>
    <x v="0"/>
  </r>
  <r>
    <n v="1801"/>
    <s v="T0662"/>
    <s v="IHS_NKS_006"/>
    <s v="T0662"/>
    <x v="6"/>
    <s v="Nkongsamba Q5 Aviation"/>
    <x v="1"/>
    <s v="Outdoor"/>
    <s v="Loum"/>
    <s v="MOUNGO"/>
    <s v="nkongsamba3"/>
    <x v="6"/>
    <n v="4.936299"/>
    <n v="9.9313350000000007"/>
    <x v="1"/>
  </r>
  <r>
    <n v="1802"/>
    <s v="T0482"/>
    <s v="IHS_DLA_305"/>
    <s v="T0482"/>
    <x v="0"/>
    <s v="Nkondjock"/>
    <x v="0"/>
    <s v="Outdoor"/>
    <s v="Bafang"/>
    <s v="Nkam"/>
    <s v="Nkondjock"/>
    <x v="6"/>
    <n v="4.8526340000000001"/>
    <n v="10.243321999999999"/>
    <x v="0"/>
  </r>
  <r>
    <n v="1803"/>
    <s v="T1651"/>
    <s v="IHS_NKS_022"/>
    <s v="T1651"/>
    <x v="0"/>
    <s v="MOUANGUEL"/>
    <x v="0"/>
    <s v="Outdoor"/>
    <s v="Bafang"/>
    <s v="Moungo"/>
    <s v="Mouanguel"/>
    <x v="6"/>
    <n v="5.1017219999999996"/>
    <n v="9.8460560000000008"/>
    <x v="0"/>
  </r>
  <r>
    <n v="1804"/>
    <s v="T0405"/>
    <s v="IHS_NKS_003"/>
    <s v="T0405"/>
    <x v="6"/>
    <s v="Nkongsamba Q8"/>
    <x v="0"/>
    <s v="Indoor"/>
    <s v="Loum"/>
    <s v="MOUNGO"/>
    <s v="nkongsamba 1"/>
    <x v="6"/>
    <n v="4.9432989999999997"/>
    <n v="9.9436"/>
    <x v="0"/>
  </r>
  <r>
    <n v="1805"/>
    <s v="LIT_071"/>
    <s v="IHS_NKS_001"/>
    <s v="LIT_071"/>
    <x v="6"/>
    <s v="Nkong-Marche"/>
    <x v="0"/>
    <s v="Indoor"/>
    <s v="Loum"/>
    <s v="MOUNGO"/>
    <s v="nkongsamba 1"/>
    <x v="6"/>
    <n v="4.9568469999999998"/>
    <n v="9.9386390000000002"/>
    <x v="1"/>
  </r>
  <r>
    <n v="1806"/>
    <s v="T1453"/>
    <s v="IHS_BFG_005"/>
    <s v="T1453"/>
    <x v="0"/>
    <s v="BAFANG OCM"/>
    <x v="0"/>
    <s v="Outdoor"/>
    <s v="Bafang"/>
    <s v="HAUT-NKAM"/>
    <s v="Bafang"/>
    <x v="6"/>
    <n v="5.1525800000000004"/>
    <n v="10.166230000000001"/>
    <x v="0"/>
  </r>
  <r>
    <n v="1807"/>
    <s v="T1848"/>
    <s v="IHS_NKS_007"/>
    <s v="T1848"/>
    <x v="6"/>
    <s v="Nkongsamba Q5 Village"/>
    <x v="0"/>
    <s v="Outdoor"/>
    <s v="Loum"/>
    <s v="MOUNGO"/>
    <s v="nkongsamba3"/>
    <x v="6"/>
    <n v="4.9448280000000002"/>
    <n v="9.9232379999999996"/>
    <x v="0"/>
  </r>
  <r>
    <n v="1808"/>
    <s v="T0243"/>
    <s v="IHS_NKS_005"/>
    <s v="T0243"/>
    <x v="6"/>
    <s v="Nkongsamba SDH"/>
    <x v="1"/>
    <s v="Indoor"/>
    <s v="Loum"/>
    <s v="MOUNGO"/>
    <s v="nkongsamba 3"/>
    <x v="6"/>
    <n v="4.9714499999999999"/>
    <n v="9.9169990000000006"/>
    <x v="0"/>
  </r>
  <r>
    <n v="1809"/>
    <s v="T0646"/>
    <s v="IHS_BFG_009"/>
    <s v="T0646"/>
    <x v="0"/>
    <s v="Bafang2"/>
    <x v="0"/>
    <s v="Outdoor"/>
    <s v="Bafang"/>
    <s v="HAUT-NKAM"/>
    <s v="Bafang"/>
    <x v="6"/>
    <n v="5.1073599999999999"/>
    <n v="10.18317"/>
    <x v="0"/>
  </r>
  <r>
    <n v="1810"/>
    <s v="T1452"/>
    <s v="IHS_BFG_003"/>
    <s v="T1452"/>
    <x v="0"/>
    <s v="Bafang hotel"/>
    <x v="0"/>
    <s v="Outdoor"/>
    <s v="Bafang"/>
    <s v="HAUT-NKAM"/>
    <s v="Bafang"/>
    <x v="6"/>
    <n v="5.1547999999999998"/>
    <n v="10.17008"/>
    <x v="1"/>
  </r>
  <r>
    <n v="1811"/>
    <s v="T1300"/>
    <s v="IHS_NKS_101"/>
    <s v="T1300"/>
    <x v="6"/>
    <s v="NKONGSAMBA Q8 CIMETIERE"/>
    <x v="0"/>
    <s v="Outdoor"/>
    <s v="Loum"/>
    <s v="MOUNGO"/>
    <s v="nkongsamba 1"/>
    <x v="6"/>
    <n v="4.9499110000000002"/>
    <n v="9.9377189999999995"/>
    <x v="0"/>
  </r>
  <r>
    <n v="1812"/>
    <s v="LIT_109"/>
    <s v="IHS_NKS_010"/>
    <s v="LIT_109"/>
    <x v="6"/>
    <s v="Ndoungue"/>
    <x v="0"/>
    <s v="Indoor"/>
    <s v="Loum"/>
    <s v="MOUNGO"/>
    <s v="EBONE"/>
    <x v="6"/>
    <n v="4.9266670000000001"/>
    <n v="9.891"/>
    <x v="0"/>
  </r>
  <r>
    <n v="1813"/>
    <s v="LIT_112"/>
    <s v="IHS_NKS_011"/>
    <s v="LIT_112"/>
    <x v="6"/>
    <s v="Bare"/>
    <x v="0"/>
    <s v="Indoor"/>
    <s v="Loum"/>
    <s v="MOUNGO"/>
    <s v="BARE"/>
    <x v="6"/>
    <n v="5.0229150000000002"/>
    <n v="9.9660860000000007"/>
    <x v="0"/>
  </r>
  <r>
    <n v="1814"/>
    <s v="T1035"/>
    <s v="IHS_BFG_013"/>
    <s v="T1035"/>
    <x v="0"/>
    <s v="Kekem"/>
    <x v="0"/>
    <s v="Outdoor"/>
    <s v="Bafang"/>
    <s v="HAUT-NKAM"/>
    <s v="Kekem"/>
    <x v="6"/>
    <n v="5.1428269999999996"/>
    <n v="10.019307"/>
    <x v="0"/>
  </r>
  <r>
    <n v="1815"/>
    <s v="LIT_356"/>
    <s v="IHS_NKS_015"/>
    <s v="LIT_356"/>
    <x v="6"/>
    <s v="Manengole"/>
    <x v="0"/>
    <s v="Outdoor"/>
    <s v="Loum"/>
    <s v="MOUNGO"/>
    <s v="MANJO"/>
    <x v="6"/>
    <n v="4.8759949999999996"/>
    <n v="9.8637759999999997"/>
    <x v="0"/>
  </r>
  <r>
    <n v="1816"/>
    <s v="T0070"/>
    <s v="IHS_NKS_013"/>
    <s v="T0070"/>
    <x v="0"/>
    <s v="Melong"/>
    <x v="0"/>
    <s v="Indoor"/>
    <s v="Bafang"/>
    <s v="Moungo"/>
    <s v="Melong"/>
    <x v="6"/>
    <n v="5.1247299999999996"/>
    <n v="9.9426100000000002"/>
    <x v="0"/>
  </r>
  <r>
    <n v="1817"/>
    <s v="T0797"/>
    <s v="IHS_NKS_009"/>
    <s v="T0797"/>
    <x v="6"/>
    <s v="Ndoungue"/>
    <x v="1"/>
    <s v="Outdoor"/>
    <s v="Loum"/>
    <s v="MOUNGO"/>
    <s v="EBONE"/>
    <x v="6"/>
    <n v="4.9224240000000004"/>
    <n v="9.893497"/>
    <x v="0"/>
  </r>
  <r>
    <n v="1818"/>
    <s v="T0116"/>
    <s v="IHS_BFG_010"/>
    <s v="T0116"/>
    <x v="0"/>
    <s v="Fonkouakem"/>
    <x v="0"/>
    <s v="Indoor"/>
    <s v="Bafang"/>
    <s v="HAUT-NKAM"/>
    <s v="Kekem"/>
    <x v="6"/>
    <n v="5.1649700000000003"/>
    <n v="10.08859"/>
    <x v="0"/>
  </r>
  <r>
    <n v="1819"/>
    <s v="OST_099"/>
    <s v="IHS_BFG_006"/>
    <s v="OST_099"/>
    <x v="0"/>
    <s v="Bafang-Chefferie"/>
    <x v="0"/>
    <s v="Outdoor"/>
    <s v="Bafang"/>
    <s v="HAUT-NKAM"/>
    <s v="Bafang"/>
    <x v="6"/>
    <n v="5.1540720000000002"/>
    <n v="10.159383"/>
    <x v="0"/>
  </r>
  <r>
    <n v="1820"/>
    <s v="OST_089"/>
    <s v="IHS_BFG_015"/>
    <s v="OST_089"/>
    <x v="0"/>
    <s v="Banwa"/>
    <x v="0"/>
    <s v="Outdoor"/>
    <s v="Bafang"/>
    <s v="HAUT-NKAM"/>
    <s v="Banwa"/>
    <x v="6"/>
    <n v="5.1036669999999997"/>
    <n v="10.075278000000001"/>
    <x v="0"/>
  </r>
  <r>
    <n v="1821"/>
    <s v="T1034"/>
    <s v="IHS_BFG_008"/>
    <s v="T1034"/>
    <x v="0"/>
    <s v="Famkeu"/>
    <x v="0"/>
    <s v="Outdoor"/>
    <s v="Bafang"/>
    <s v="HAUT-NKAM"/>
    <s v="Bafang"/>
    <x v="6"/>
    <n v="5.1532299999999998"/>
    <n v="10.12814"/>
    <x v="0"/>
  </r>
  <r>
    <n v="1822"/>
    <s v="T0115"/>
    <s v="IHS_NKS_019"/>
    <s v="T0115"/>
    <x v="6"/>
    <s v="Manjo"/>
    <x v="1"/>
    <s v="Indoor"/>
    <s v="Loum"/>
    <s v="MOUNGO"/>
    <s v="MANJO"/>
    <x v="6"/>
    <n v="4.8483999999999998"/>
    <n v="9.8259000000000007"/>
    <x v="0"/>
  </r>
  <r>
    <n v="1823"/>
    <s v="LIT_062"/>
    <s v="IHS_NKS_018"/>
    <s v="LIT_062"/>
    <x v="6"/>
    <s v="Manjo"/>
    <x v="0"/>
    <s v="Indoor"/>
    <s v="Loum"/>
    <s v="MOUNGO"/>
    <s v="MANJO"/>
    <x v="6"/>
    <n v="4.850886"/>
    <n v="9.8316669999999995"/>
    <x v="0"/>
  </r>
  <r>
    <n v="1824"/>
    <s v="LIT_063"/>
    <s v="IHS_NKS_014"/>
    <s v="LIT_063"/>
    <x v="0"/>
    <s v="Melong"/>
    <x v="0"/>
    <s v="Indoor"/>
    <s v="Bafang"/>
    <s v="Moungo"/>
    <s v="Melong"/>
    <x v="6"/>
    <n v="5.1240220000000001"/>
    <n v="9.9424720000000004"/>
    <x v="0"/>
  </r>
  <r>
    <n v="1825"/>
    <s v="SUO_013"/>
    <s v="IHS_KMB_058"/>
    <s v="SUO_013"/>
    <x v="0"/>
    <s v="Banguem"/>
    <x v="1"/>
    <s v="Indoor"/>
    <s v="Bafang"/>
    <s v="Koupe-Manengouba"/>
    <s v="Banguem"/>
    <x v="6"/>
    <n v="5.0767499999999997"/>
    <n v="9.7753610000000002"/>
    <x v="0"/>
  </r>
  <r>
    <n v="1826"/>
    <s v="T0492"/>
    <s v="IHS_KMB_070"/>
    <s v="T0492"/>
    <x v="0"/>
    <s v="Banguem"/>
    <x v="1"/>
    <s v="Outdoor"/>
    <s v="Bafang"/>
    <s v="Koupe-Manengouba"/>
    <s v="Banguem"/>
    <x v="6"/>
    <n v="5.0737569999999996"/>
    <n v="9.7635380000000005"/>
    <x v="0"/>
  </r>
  <r>
    <n v="1827"/>
    <s v="T0561"/>
    <s v="IHS_KMB_034"/>
    <s v="T0561"/>
    <x v="6"/>
    <s v="Nyasoso"/>
    <x v="1"/>
    <s v="Outdoor"/>
    <s v="Loum"/>
    <s v="MOUNGO"/>
    <s v="TOMBEL"/>
    <x v="6"/>
    <n v="4.82951"/>
    <n v="9.6786399999999997"/>
    <x v="0"/>
  </r>
  <r>
    <n v="1828"/>
    <s v="T0722"/>
    <s v="IHS_DLA_306"/>
    <s v="T0722"/>
    <x v="7"/>
    <s v="Yingui"/>
    <x v="0"/>
    <s v="Outdoor"/>
    <s v="PK12"/>
    <s v="NKAM"/>
    <s v="yabassi"/>
    <x v="6"/>
    <n v="4.5128329999999997"/>
    <n v="10.285306"/>
    <x v="0"/>
  </r>
  <r>
    <n v="1829"/>
    <s v="T0924"/>
    <s v="IHS_NKS_023"/>
    <s v="T0924"/>
    <x v="6"/>
    <s v="KOLA"/>
    <x v="1"/>
    <s v="Outdoor"/>
    <s v="Loum"/>
    <s v="MOUNGO"/>
    <s v="manjo"/>
    <x v="6"/>
    <n v="4.8058189999999996"/>
    <n v="9.7655309999999993"/>
    <x v="0"/>
  </r>
  <r>
    <n v="1830"/>
    <s v="T4584"/>
    <s v="IHS_BFG_021"/>
    <s v="T4584"/>
    <x v="0"/>
    <s v="Lelem"/>
    <x v="0"/>
    <s v="Outdoor"/>
    <s v="Dschang"/>
    <s v="Mbam et inoubou"/>
    <s v="N/A"/>
    <x v="6"/>
    <n v="5.1884499999999996"/>
    <n v="9.9850700000000003"/>
    <x v="0"/>
  </r>
  <r>
    <n v="1831"/>
    <s v="T3273"/>
    <s v="IHS_KMB_130"/>
    <s v="T3273"/>
    <x v="6"/>
    <s v="Nkikoh"/>
    <x v="1"/>
    <s v="Outdoor"/>
    <s v="Bafang"/>
    <s v="Fako"/>
    <s v="Kumba 1"/>
    <x v="6"/>
    <n v="5.0864000000000003"/>
    <n v="9.8047810000000002"/>
    <x v="0"/>
  </r>
  <r>
    <n v="1832"/>
    <s v="T1106"/>
    <s v="IHS_BMD_354"/>
    <s v="T1106"/>
    <x v="1"/>
    <s v="Bamenda Sacred Heart"/>
    <x v="1"/>
    <s v="Outdoor"/>
    <s v="Bamenda 3"/>
    <s v="MEZAM"/>
    <s v="Bamenda 2"/>
    <x v="6"/>
    <n v="4.7012999999999998"/>
    <n v="10.233700000000001"/>
    <x v="0"/>
  </r>
  <r>
    <n v="1833"/>
    <s v="T1464"/>
    <s v="IHS_DLA_524"/>
    <s v="T1464"/>
    <x v="7"/>
    <s v="Ndokiti"/>
    <x v="0"/>
    <s v="Outdoor"/>
    <s v="PK12"/>
    <s v=" NKAM"/>
    <s v="yabassi"/>
    <x v="6"/>
    <n v="4.7014360000000002"/>
    <n v="10.233653"/>
    <x v="0"/>
  </r>
  <r>
    <n v="1834"/>
    <s v="CTR_206"/>
    <s v="IHS_YND_550"/>
    <s v="CTR_206"/>
    <x v="0"/>
    <s v="TALBA"/>
    <x v="0"/>
    <s v="Outdoor"/>
    <s v="Bafia"/>
    <s v="MBAM ET KIM"/>
    <s v="Mbangassina"/>
    <x v="16"/>
    <n v="4.6001979999999998"/>
    <n v="11.475698"/>
    <x v="0"/>
  </r>
  <r>
    <n v="1835"/>
    <s v="T1615"/>
    <s v="IHS_YND_323"/>
    <s v="T1615"/>
    <x v="3"/>
    <s v="SOA VILLAGE"/>
    <x v="0"/>
    <s v="Outdoor"/>
    <s v="OMNISPORT"/>
    <s v="MFOUNDI"/>
    <s v="SOA"/>
    <x v="16"/>
    <n v="3.9939"/>
    <n v="11.59984"/>
    <x v="0"/>
  </r>
  <r>
    <n v="1836"/>
    <s v="T2142"/>
    <s v="IHS_SGM_100"/>
    <s v="T2142"/>
    <x v="5"/>
    <s v="OVENG"/>
    <x v="0"/>
    <s v="Outdoor"/>
    <s v="Djoum"/>
    <s v="DJA-ET-LOBO"/>
    <s v="COMMUNE DE OVENG"/>
    <x v="16"/>
    <n v="2.42"/>
    <n v="12.260361"/>
    <x v="0"/>
  </r>
  <r>
    <n v="1837"/>
    <s v="CTR_441"/>
    <s v="IHS_YND_687"/>
    <s v="CTR_441"/>
    <x v="3"/>
    <s v="OLAMA"/>
    <x v="0"/>
    <s v="Outdoor"/>
    <s v="BARRIERE 1"/>
    <s v="MEFOU-ET-AKONO "/>
    <s v="AKONO"/>
    <x v="16"/>
    <n v="3.4271980000000002"/>
    <n v="11.2799"/>
    <x v="0"/>
  </r>
  <r>
    <n v="1838"/>
    <s v="T1626"/>
    <s v="IHS_YND_354"/>
    <s v="T1626"/>
    <x v="3"/>
    <s v="OBALA CARREFOUR"/>
    <x v="0"/>
    <s v="Outdoor"/>
    <s v="Obala"/>
    <s v="LEKIE "/>
    <s v="OBALA"/>
    <x v="16"/>
    <n v="4.1472449999999998"/>
    <n v="11.512238999999999"/>
    <x v="0"/>
  </r>
  <r>
    <n v="1839"/>
    <s v="LIT_349"/>
    <s v="IHS_EDA_051"/>
    <s v="LIT_349"/>
    <x v="3"/>
    <s v="Nyanon"/>
    <x v="0"/>
    <s v="Outdoor"/>
    <s v="NKOLBISSON"/>
    <s v="HAUTE-SANAGA "/>
    <s v="NYANON"/>
    <x v="16"/>
    <n v="4.26295"/>
    <n v="10.96026"/>
    <x v="0"/>
  </r>
  <r>
    <n v="1840"/>
    <s v="T2022"/>
    <s v="IHS_EBO_100"/>
    <s v="T2022"/>
    <x v="5"/>
    <s v="NSELANG"/>
    <x v="0"/>
    <s v="Outdoor"/>
    <s v="Ebolowa"/>
    <s v="MVILLA"/>
    <s v="biwong boulou"/>
    <x v="16"/>
    <n v="2.8416670000000002"/>
    <n v="11.558861"/>
    <x v="0"/>
  </r>
  <r>
    <n v="1841"/>
    <s v="SUD_050"/>
    <s v="IHS_SGM_108"/>
    <s v="SUD_050"/>
    <x v="5"/>
    <s v="NKOUMADJAP II"/>
    <x v="0"/>
    <s v="Outdoor"/>
    <s v="Sangmelima"/>
    <s v="NYON-ET-SO'O"/>
    <s v="COMMUNE DE SANGMELIMA"/>
    <x v="16"/>
    <n v="3.20045"/>
    <n v="11.948378999999999"/>
    <x v="0"/>
  </r>
  <r>
    <n v="1842"/>
    <s v="CTR_531"/>
    <s v="IHS_YND_705"/>
    <s v="CTR_531"/>
    <x v="3"/>
    <s v="Nkolve"/>
    <x v="0"/>
    <s v="Outdoor"/>
    <s v="Obala"/>
    <s v="LEKIE "/>
    <s v="MONATELE"/>
    <x v="16"/>
    <n v="4.2196129999999998"/>
    <n v="11.363479999999999"/>
    <x v="0"/>
  </r>
  <r>
    <n v="1843"/>
    <s v="CTR_442"/>
    <s v="IHS_YND_554"/>
    <s v="CTR_442"/>
    <x v="5"/>
    <s v="NKOLMEYANG"/>
    <x v="0"/>
    <s v="Outdoor"/>
    <s v="Mbalmayo"/>
    <s v="NYON-ET-SO'O"/>
    <s v="ngomedzap"/>
    <x v="16"/>
    <n v="3.1907220000000001"/>
    <n v="11.224667"/>
    <x v="0"/>
  </r>
  <r>
    <n v="1844"/>
    <s v="CTR_440"/>
    <s v="IHS_YND_553"/>
    <s v="CTR_440"/>
    <x v="5"/>
    <s v="Nkolbewae"/>
    <x v="0"/>
    <s v="Outdoor"/>
    <s v="Mbalmayo"/>
    <s v="NYON-ET-SO'O"/>
    <s v="ngomedzap"/>
    <x v="16"/>
    <n v="3.349297"/>
    <n v="11.220005"/>
    <x v="0"/>
  </r>
  <r>
    <n v="1845"/>
    <s v="CTR_299"/>
    <s v="IHS_YND_433"/>
    <s v="CTR_299"/>
    <x v="3"/>
    <s v="Nguila"/>
    <x v="0"/>
    <s v="Outdoor"/>
    <s v="N'TUI"/>
    <s v="MBAM ET KIM"/>
    <s v="NTUI"/>
    <x v="16"/>
    <n v="4.7234759999999998"/>
    <n v="11.690512"/>
    <x v="0"/>
  </r>
  <r>
    <n v="1846"/>
    <s v="CTR_300"/>
    <s v="IHS_YND_454"/>
    <s v="CTR_300"/>
    <x v="3"/>
    <s v="Ngouetou"/>
    <x v="0"/>
    <s v="Outdoor"/>
    <s v="N'TUI"/>
    <s v="MBAM ET KIM"/>
    <s v="YOKO"/>
    <x v="16"/>
    <n v="5.1002539999999996"/>
    <n v="12.08738"/>
    <x v="0"/>
  </r>
  <r>
    <n v="1847"/>
    <s v="T2136"/>
    <s v="IHS_YND_678"/>
    <s v="T2136"/>
    <x v="5"/>
    <s v="NGOMEDZAP"/>
    <x v="0"/>
    <s v="Outdoor"/>
    <s v="Mbalmayo"/>
    <s v="NYON-ET-SO'O"/>
    <s v="ngomedzap"/>
    <x v="16"/>
    <n v="3.2702610000000001"/>
    <n v="11.191618999999999"/>
    <x v="0"/>
  </r>
  <r>
    <n v="1848"/>
    <s v="T2761"/>
    <s v="IHS_EBO_109"/>
    <s v="T2761"/>
    <x v="5"/>
    <s v="Mvangan"/>
    <x v="0"/>
    <s v="Outdoor"/>
    <s v="Sangmelima"/>
    <s v="MVILLA"/>
    <s v="COMMUNE DE MVANGAN"/>
    <x v="16"/>
    <n v="2.656444"/>
    <n v="11.741167000000001"/>
    <x v="0"/>
  </r>
  <r>
    <n v="1849"/>
    <s v="T0917"/>
    <s v="IHS_YND_371"/>
    <s v="T0917"/>
    <x v="3"/>
    <s v="Minka"/>
    <x v="0"/>
    <s v="Outdoor"/>
    <s v="BARRIERE 1"/>
    <s v="NYONG-ET-KELLE "/>
    <s v="MAKAK"/>
    <x v="16"/>
    <n v="3.5748530000000001"/>
    <n v="11.142967000000001"/>
    <x v="0"/>
  </r>
  <r>
    <n v="1850"/>
    <s v="SUD_256"/>
    <s v="IHS_EBO_016"/>
    <s v="SUD_256"/>
    <x v="5"/>
    <s v="Melane"/>
    <x v="0"/>
    <s v="Outdoor"/>
    <s v="Ebolowa"/>
    <s v="MVILLA"/>
    <s v="MENGONG"/>
    <x v="16"/>
    <n v="2.9825499999999998"/>
    <n v="11.561223"/>
    <x v="0"/>
  </r>
  <r>
    <n v="1851"/>
    <s v="SUD_069"/>
    <s v="IHS_SGM_109"/>
    <s v="SUD_069"/>
    <x v="5"/>
    <s v="Mbile"/>
    <x v="0"/>
    <s v="Outdoor"/>
    <s v="Sangmelima"/>
    <s v="DJA-ET-LOBO"/>
    <s v="COMMUNE DE SANGMELIMA"/>
    <x v="16"/>
    <n v="2.6518600000000001"/>
    <n v="12.150824999999999"/>
    <x v="0"/>
  </r>
  <r>
    <n v="1852"/>
    <s v="CTR_528"/>
    <s v="IHS_YND_695"/>
    <s v="CTR_528"/>
    <x v="3"/>
    <s v="Mbankomo IHS"/>
    <x v="0"/>
    <s v="Outdoor"/>
    <s v="BARRIERE 1"/>
    <s v="MEFOU-ET-AKONO "/>
    <s v="MBANKOMO"/>
    <x v="16"/>
    <n v="3.7959619999999998"/>
    <n v="11.371364"/>
    <x v="0"/>
  </r>
  <r>
    <n v="1853"/>
    <s v="CTR_097"/>
    <s v="IHS_YND_350"/>
    <s v="CTR_097"/>
    <x v="3"/>
    <s v="Mambine"/>
    <x v="0"/>
    <s v="Outdoor"/>
    <s v="BARRIERE 1"/>
    <s v="NYONG-ET-KELLE "/>
    <s v="MAKAK"/>
    <x v="16"/>
    <n v="3.730111"/>
    <n v="11.171528"/>
    <x v="0"/>
  </r>
  <r>
    <n v="1854"/>
    <s v="CTR_356"/>
    <s v="IHS_YND_376"/>
    <s v="CTR_356"/>
    <x v="3"/>
    <s v="Mamb"/>
    <x v="0"/>
    <s v="Outdoor"/>
    <s v="BARRIERE 2"/>
    <s v="NYONG-ET-KELLE "/>
    <s v="MAKAK"/>
    <x v="16"/>
    <n v="3.8720279999999998"/>
    <n v="10.898833"/>
    <x v="0"/>
  </r>
  <r>
    <n v="1855"/>
    <s v="T0236"/>
    <s v="IHS_YND_373"/>
    <s v="T0236"/>
    <x v="3"/>
    <s v="Maloun"/>
    <x v="0"/>
    <s v="Indoor"/>
    <s v="BARRIERE 2"/>
    <s v="NYONG-ET-KELLE "/>
    <s v="MAKAK"/>
    <x v="16"/>
    <n v="3.801917"/>
    <n v="11.046823"/>
    <x v="0"/>
  </r>
  <r>
    <n v="1856"/>
    <s v="T1606"/>
    <s v="IHS_YND_342"/>
    <s v="T1606"/>
    <x v="3"/>
    <s v="LOBO"/>
    <x v="0"/>
    <s v="Outdoor"/>
    <s v="NKOLBISSON"/>
    <s v="LEKIE "/>
    <s v="LOBO"/>
    <x v="16"/>
    <n v="3.9043700000000001"/>
    <n v="11.2254"/>
    <x v="0"/>
  </r>
  <r>
    <n v="1857"/>
    <s v="CTR_533"/>
    <s v="IHS_YND_703"/>
    <s v="CTR_533"/>
    <x v="3"/>
    <s v="Lengom"/>
    <x v="0"/>
    <s v="Outdoor"/>
    <s v="Obala"/>
    <s v="LEKIE "/>
    <s v="OBALA"/>
    <x v="16"/>
    <n v="4.0891299999999999"/>
    <n v="11.485671999999999"/>
    <x v="0"/>
  </r>
  <r>
    <n v="1858"/>
    <s v="CTR_190"/>
    <s v="IHS_YND_549"/>
    <s v="CTR_190"/>
    <x v="0"/>
    <s v="KIKI"/>
    <x v="0"/>
    <s v="Outdoor"/>
    <s v="Bafia"/>
    <s v="Mbam et Inoubou"/>
    <s v="Kiki"/>
    <x v="16"/>
    <n v="4.6678059999999997"/>
    <n v="11.171749999999999"/>
    <x v="0"/>
  </r>
  <r>
    <n v="1859"/>
    <s v="T1437"/>
    <s v="IHS_YND_694"/>
    <s v="T1437"/>
    <x v="3"/>
    <s v="ETOUDI CHAPELLE"/>
    <x v="0"/>
    <s v="Outdoor"/>
    <s v="MANGUIER 1"/>
    <s v="MFOUNDI"/>
    <s v="YAOUNDE 1"/>
    <x v="16"/>
    <n v="3.9198300000000001"/>
    <n v="11.525758"/>
    <x v="0"/>
  </r>
  <r>
    <n v="1860"/>
    <s v="CTR_348"/>
    <s v="IHS_YND_356"/>
    <s v="CTR_348"/>
    <x v="3"/>
    <s v="Essiezik"/>
    <x v="0"/>
    <s v="Outdoor"/>
    <s v="Akonolinga"/>
    <s v="NYONG-ET-MFOUMOU "/>
    <s v="NKOLAFAMBA"/>
    <x v="16"/>
    <n v="3.8691499999999999"/>
    <n v="11.888489"/>
    <x v="0"/>
  </r>
  <r>
    <n v="1861"/>
    <s v="T0911"/>
    <s v="IHS_SGM_010"/>
    <s v="T0911"/>
    <x v="5"/>
    <s v="ESSANGMVOUT911"/>
    <x v="0"/>
    <s v="Outdoor"/>
    <s v="Sangmelima"/>
    <s v="DJA-ET-LOBO"/>
    <s v="COMMUNE DE SANGMELIMA"/>
    <x v="16"/>
    <n v="2.823928"/>
    <n v="12.253677"/>
    <x v="0"/>
  </r>
  <r>
    <n v="1862"/>
    <s v="T0903"/>
    <s v="IHS_YND_340"/>
    <s v="T0903"/>
    <x v="3"/>
    <s v="Essa Mintsang"/>
    <x v="0"/>
    <s v="Outdoor"/>
    <s v="Akonolinga"/>
    <s v="MEFOU-ET-AFAMBA "/>
    <s v="ESSE"/>
    <x v="16"/>
    <n v="3.929325"/>
    <n v="11.775477"/>
    <x v="0"/>
  </r>
  <r>
    <n v="1863"/>
    <s v="SUD_252"/>
    <s v="IHS_SGM_020"/>
    <s v="SUD_252"/>
    <x v="5"/>
    <s v="Djoum-CAMINEX"/>
    <x v="0"/>
    <s v="Outdoor"/>
    <s v="Djoum"/>
    <s v="DJA-ET-LOBO"/>
    <s v="COMMUNE DE DJOUM"/>
    <x v="16"/>
    <n v="2.58555"/>
    <n v="12.791161000000001"/>
    <x v="0"/>
  </r>
  <r>
    <n v="1864"/>
    <s v="T1596"/>
    <s v="IHS_YND_669"/>
    <s v="T1596"/>
    <x v="5"/>
    <s v="Biwong Boulou "/>
    <x v="0"/>
    <s v="Outdoor"/>
    <s v="Ebolowa"/>
    <s v="MVILLA"/>
    <s v="biwong boulou"/>
    <x v="16"/>
    <n v="2.7882220000000002"/>
    <n v="11.365778000000001"/>
    <x v="0"/>
  </r>
  <r>
    <n v="1865"/>
    <s v="T2113"/>
    <s v="IHS_YND_668"/>
    <s v="T2113"/>
    <x v="5"/>
    <s v="Biwong Bane "/>
    <x v="0"/>
    <s v="Outdoor"/>
    <s v="Ebolowa"/>
    <s v="MVILLA"/>
    <s v="biwong bane"/>
    <x v="16"/>
    <n v="3.150528"/>
    <n v="11.1305"/>
    <x v="0"/>
  </r>
  <r>
    <n v="1866"/>
    <s v="CTR_362"/>
    <s v="IHS_YND_437"/>
    <s v="CTR_362"/>
    <x v="0"/>
    <s v="Bafia-Lable"/>
    <x v="0"/>
    <s v="Outdoor"/>
    <s v="Bafia"/>
    <s v="Mbam et Inoubou"/>
    <s v="Bafia"/>
    <x v="16"/>
    <n v="4.7475100000000001"/>
    <n v="11.24198"/>
    <x v="0"/>
  </r>
  <r>
    <n v="1867"/>
    <s v="T1754"/>
    <s v="IHS_YND_481"/>
    <s v="T1754"/>
    <x v="0"/>
    <s v="BAFIA BEGNIAN"/>
    <x v="0"/>
    <s v="Outdoor"/>
    <s v="Bafia"/>
    <s v="Mbam et Inoubou"/>
    <s v="Bafia"/>
    <x v="16"/>
    <n v="4.7377219999999998"/>
    <n v="11.235777000000001"/>
    <x v="0"/>
  </r>
  <r>
    <n v="1868"/>
    <s v="SUD_244"/>
    <s v="IHS_SGM_021"/>
    <s v="SUD_244"/>
    <x v="5"/>
    <s v="Avobengon"/>
    <x v="0"/>
    <s v="Outdoor"/>
    <s v="Djoum"/>
    <s v="DJA-ET-LOBO"/>
    <s v="COMMUNE DE DJOUM"/>
    <x v="16"/>
    <n v="2.6685189999999999"/>
    <n v="12.862976"/>
    <x v="0"/>
  </r>
  <r>
    <n v="1869"/>
    <s v="CTR_358"/>
    <s v="IHS_YND_335"/>
    <s v="CTR_358"/>
    <x v="3"/>
    <s v="Angongo"/>
    <x v="0"/>
    <s v="Outdoor"/>
    <s v="BARRIERE 1"/>
    <s v="MEFOU-ET-AKONO "/>
    <s v="MBANKOMO"/>
    <x v="16"/>
    <n v="3.7911359999999998"/>
    <n v="11.304503"/>
    <x v="0"/>
  </r>
  <r>
    <n v="1870"/>
    <s v="CTR_436"/>
    <s v="IHS_YND_551"/>
    <s v="CTR_436"/>
    <x v="3"/>
    <s v="AKONGO"/>
    <x v="0"/>
    <s v="Outdoor"/>
    <s v="BARRIERE 1"/>
    <s v="MEFOU-ET-AKONO "/>
    <s v="AKONO"/>
    <x v="16"/>
    <n v="3.3921670000000002"/>
    <n v="11.101639"/>
    <x v="0"/>
  </r>
  <r>
    <n v="1871"/>
    <s v="CTR_527"/>
    <s v="IHS_YND_697"/>
    <s v="CTR_527"/>
    <x v="3"/>
    <s v="Nomayos-IHS"/>
    <x v="0"/>
    <s v="Outdoor"/>
    <s v="BARRIERE 1"/>
    <s v="MEFOU-ET-AKONO "/>
    <s v="MBANKOMO"/>
    <x v="16"/>
    <n v="3.7871199999999998"/>
    <n v="11.423327"/>
    <x v="0"/>
  </r>
  <r>
    <n v="1872"/>
    <s v="CTR_493"/>
    <s v="IHS_YND_585"/>
    <s v="CTR_493"/>
    <x v="5"/>
    <s v="Mbalmayo Oyak"/>
    <x v="0"/>
    <s v="Outdoor"/>
    <s v="Mbalmayo"/>
    <s v="NYON-ET-SO'O"/>
    <s v="MBALMAYO"/>
    <x v="16"/>
    <n v="3.5054650000000001"/>
    <n v="11.504203"/>
    <x v="0"/>
  </r>
  <r>
    <n v="1873"/>
    <s v="SUD_064"/>
    <s v="IHS_SGM_105"/>
    <s v="SUD_064"/>
    <x v="5"/>
    <s v="Djoum Ville IHS"/>
    <x v="0"/>
    <s v="Outdoor"/>
    <s v="Djoum"/>
    <s v="DJA-ET-LOBO"/>
    <s v="COMMUNE DE DJOUM"/>
    <x v="16"/>
    <n v="2.6745800000000002"/>
    <n v="12.689679999999999"/>
    <x v="0"/>
  </r>
  <r>
    <n v="1874"/>
    <s v="CTR_526"/>
    <s v="IHS_YND_696"/>
    <s v="CTR_526"/>
    <x v="3"/>
    <s v="Barriere IHS"/>
    <x v="0"/>
    <s v="Outdoor"/>
    <s v="MENDONG 1"/>
    <s v="MFOUNDI"/>
    <s v="MBANKOMO"/>
    <x v="16"/>
    <n v="3.7895880000000002"/>
    <n v="11.473145000000001"/>
    <x v="0"/>
  </r>
  <r>
    <n v="1875"/>
    <s v="T1399"/>
    <s v="IHS_YND_515"/>
    <s v="T1399"/>
    <x v="3"/>
    <s v="Etoug ebe Meweulo"/>
    <x v="0"/>
    <s v="Outdoor"/>
    <s v="MENDONG 1"/>
    <s v="MFOUNDI"/>
    <s v="YAOUNDE 6"/>
    <x v="16"/>
    <n v="3.8570120000000001"/>
    <n v="11.470955999999999"/>
    <x v="0"/>
  </r>
  <r>
    <n v="1876"/>
    <s v="T1411"/>
    <s v="IHS_YND_543"/>
    <s v="T1411"/>
    <x v="3"/>
    <s v="Entrée Cite Verte"/>
    <x v="0"/>
    <s v="Outdoor"/>
    <s v="ESSOS 2"/>
    <s v="MFOUNDI"/>
    <s v="YAOUNDE 6"/>
    <x v="16"/>
    <n v="3.8725269999999998"/>
    <n v="11.493433"/>
    <x v="0"/>
  </r>
  <r>
    <n v="1877"/>
    <s v="T1431"/>
    <s v="IHS_YND_561"/>
    <s v="T1431"/>
    <x v="3"/>
    <s v="FOUGEROLE"/>
    <x v="0"/>
    <s v="Outdoor"/>
    <s v="OMNISPORT"/>
    <s v="MFOUNDI"/>
    <s v="SOA"/>
    <x v="16"/>
    <n v="3.9077500000000001"/>
    <n v="11.57094"/>
    <x v="0"/>
  </r>
  <r>
    <n v="1878"/>
    <s v="T1449"/>
    <s v="IHS_YND_692"/>
    <s v="T1449"/>
    <x v="3"/>
    <s v="Mendong vallee"/>
    <x v="0"/>
    <s v="Outdoor"/>
    <s v="BARRIERE 1"/>
    <s v="MFOUNDI"/>
    <s v="YAOUNDE 6"/>
    <x v="16"/>
    <n v="3.8223319999999998"/>
    <n v="11.467195"/>
    <x v="0"/>
  </r>
  <r>
    <n v="1879"/>
    <s v="CTR_478"/>
    <s v="IHS_YND_568"/>
    <s v="CTR_478"/>
    <x v="3"/>
    <s v="Anguissa New"/>
    <x v="0"/>
    <s v="Outdoor"/>
    <s v="ESSOS 1"/>
    <s v="MFOUNDI"/>
    <s v="YAOUNDE 4"/>
    <x v="16"/>
    <n v="3.8626499999999999"/>
    <n v="11.538270000000001"/>
    <x v="1"/>
  </r>
  <r>
    <n v="1880"/>
    <s v="CTR_474"/>
    <s v="IHS_YND_563"/>
    <s v="CTR_474"/>
    <x v="3"/>
    <s v="Bastos Bethesda"/>
    <x v="0"/>
    <s v="Outdoor"/>
    <s v="TSINGA"/>
    <s v="MFOUNDI"/>
    <s v="YAOUNDE 2"/>
    <x v="16"/>
    <n v="3.8854899999999999"/>
    <n v="11.508570000000001"/>
    <x v="1"/>
  </r>
  <r>
    <n v="1881"/>
    <s v="CTR_479"/>
    <s v="IHS_YND_580"/>
    <s v="CTR_479"/>
    <x v="3"/>
    <s v="Marche Odza"/>
    <x v="0"/>
    <s v="Outdoor"/>
    <s v="TROPICANA 1"/>
    <s v="MFOUNDI"/>
    <s v="YAOUNDE 4"/>
    <x v="16"/>
    <n v="3.8052600000000001"/>
    <n v="11.53144"/>
    <x v="1"/>
  </r>
  <r>
    <n v="1882"/>
    <s v="T1494"/>
    <s v="IHS_YND_686"/>
    <s v="T1494"/>
    <x v="3"/>
    <s v="Oyomabang Ecole"/>
    <x v="0"/>
    <s v="Outdoor"/>
    <s v="NKOLBISSON"/>
    <s v="MFOUNDI"/>
    <s v="YAOUNDE 7"/>
    <x v="16"/>
    <n v="3.8787250000000002"/>
    <n v="11.473767"/>
    <x v="0"/>
  </r>
  <r>
    <n v="1883"/>
    <s v="T1497"/>
    <s v="IHS_YND_545"/>
    <s v="T1497"/>
    <x v="3"/>
    <s v="Nkolbisson usine des eaux"/>
    <x v="0"/>
    <s v="Outdoor"/>
    <s v="NKOLBISSON"/>
    <s v="MFOUNDI"/>
    <s v="YAOUNDE 7"/>
    <x v="16"/>
    <n v="3.873453"/>
    <n v="11.422013"/>
    <x v="0"/>
  </r>
  <r>
    <n v="1884"/>
    <s v="CTR_272"/>
    <s v="IHS_YND_245"/>
    <s v="CTR_272"/>
    <x v="3"/>
    <s v="Ngousso-Savana"/>
    <x v="0"/>
    <s v="Outdoor"/>
    <s v="OMNISPORT"/>
    <s v="MFOUNDI"/>
    <s v="YAOUNDE 5"/>
    <x v="16"/>
    <n v="3.9104549999999998"/>
    <n v="11.551023000000001"/>
    <x v="0"/>
  </r>
  <r>
    <n v="1885"/>
    <s v="T1323"/>
    <s v="IHS_YND_288"/>
    <s v="T1323"/>
    <x v="3"/>
    <s v="Meyong Plateau"/>
    <x v="0"/>
    <s v="Outdoor"/>
    <s v="NKOLBISSON"/>
    <s v="MFOUNDI"/>
    <s v="YAOUNDE 7"/>
    <x v="16"/>
    <n v="3.8778769999999998"/>
    <n v="11.477883"/>
    <x v="1"/>
  </r>
  <r>
    <n v="1886"/>
    <s v="T1577"/>
    <s v="IHS_YND_086"/>
    <s v="T1577"/>
    <x v="3"/>
    <s v="POLYCLINIQUE TSINGA"/>
    <x v="0"/>
    <s v="Outdoor"/>
    <s v="TSINGA"/>
    <s v="MFOUNDI"/>
    <s v="YAOUNDE 2"/>
    <x v="16"/>
    <n v="3.8801389999999998"/>
    <n v="11.507111"/>
    <x v="1"/>
  </r>
  <r>
    <n v="1887"/>
    <s v="T1682"/>
    <s v="IHS_YND_532"/>
    <s v="T1682"/>
    <x v="3"/>
    <s v="NKOLOSSAN OKOK"/>
    <x v="0"/>
    <s v="Outdoor"/>
    <s v="N'TUI"/>
    <s v="LEKIE "/>
    <s v="MONATELE"/>
    <x v="16"/>
    <n v="4.1366160000000001"/>
    <n v="11.258163"/>
    <x v="0"/>
  </r>
  <r>
    <n v="1888"/>
    <s v="T3560"/>
    <s v="IHS_YND_704"/>
    <s v="T3560"/>
    <x v="3"/>
    <s v="Bastos Bir"/>
    <x v="0"/>
    <s v="Outdoor"/>
    <s v="TSINGA"/>
    <s v="MFOUNDI"/>
    <s v="YAOUNDE 2"/>
    <x v="16"/>
    <n v="3.8994499999999999"/>
    <n v="11.512890000000001"/>
    <x v="1"/>
  </r>
  <r>
    <n v="1889"/>
    <s v="CTR_488"/>
    <s v="IHS_YND_583"/>
    <s v="CTR_488"/>
    <x v="3"/>
    <s v="Nsam Sofavinc T0"/>
    <x v="0"/>
    <s v="Outdoor"/>
    <s v="TROPICANA 2"/>
    <s v="MFOUNDI"/>
    <s v="YAOUNDE 3"/>
    <x v="16"/>
    <n v="3.8171279999999999"/>
    <n v="11.504141000000001"/>
    <x v="1"/>
  </r>
  <r>
    <n v="1890"/>
    <s v="T1739"/>
    <s v="IHS_YND_691"/>
    <s v="T1739"/>
    <x v="3"/>
    <s v="Mballa 2 REGIE"/>
    <x v="0"/>
    <s v="Outdoor"/>
    <s v="MANGUIER 1"/>
    <s v="MFOUNDI"/>
    <s v="YAOUNDE 1"/>
    <x v="16"/>
    <n v="3.8959510000000002"/>
    <n v="11.524298"/>
    <x v="1"/>
  </r>
  <r>
    <n v="1891"/>
    <s v="T1394"/>
    <s v="IHS_YND_511"/>
    <s v="T1394"/>
    <x v="3"/>
    <s v="Etoug ebe Carrefour"/>
    <x v="0"/>
    <s v="Outdoor"/>
    <s v="MENDONG 1"/>
    <s v="MFOUNDI"/>
    <s v="YAOUNDE 6"/>
    <x v="16"/>
    <n v="3.5102099999999998"/>
    <n v="11.28919"/>
    <x v="0"/>
  </r>
  <r>
    <n v="1892"/>
    <s v="T0049"/>
    <s v="IHS_YND_440"/>
    <s v="T0049"/>
    <x v="3"/>
    <s v="Ayos"/>
    <x v="0"/>
    <s v="Indoor"/>
    <s v="Akonolinga"/>
    <s v="NYONG-ET-MFOUMOU "/>
    <s v="AYOS"/>
    <x v="16"/>
    <n v="3.9058839999999999"/>
    <n v="12.525591"/>
    <x v="0"/>
  </r>
  <r>
    <n v="1893"/>
    <s v="CTR_042"/>
    <s v="IHS_YND_175"/>
    <s v="CTR_042"/>
    <x v="3"/>
    <s v="Nkomo"/>
    <x v="0"/>
    <s v="Indoor"/>
    <s v="NKOMO"/>
    <s v="MFOUNDI"/>
    <s v="YAOUNDE 4"/>
    <x v="16"/>
    <n v="3.8458610000000002"/>
    <n v="11.554138999999999"/>
    <x v="1"/>
  </r>
  <r>
    <n v="1894"/>
    <s v="T0525"/>
    <s v="IHS_YND_199"/>
    <s v="T0525"/>
    <x v="3"/>
    <s v="Flamenco"/>
    <x v="0"/>
    <s v="Outdoor"/>
    <s v="TSINGA"/>
    <s v="MFOUNDI"/>
    <s v="YAOUNDE 2"/>
    <x v="16"/>
    <n v="3.88009"/>
    <n v="11.492229999999999"/>
    <x v="1"/>
  </r>
  <r>
    <n v="1895"/>
    <s v="CTR_078"/>
    <s v="IHS_YND_213"/>
    <s v="CTR_078"/>
    <x v="3"/>
    <s v="Nkolmesseng"/>
    <x v="0"/>
    <s v="Indoor"/>
    <s v="ESSOS 1"/>
    <s v="MFOUNDI"/>
    <s v="YAOUNDE 5"/>
    <x v="16"/>
    <n v="3.8904109999999998"/>
    <n v="11.558076"/>
    <x v="0"/>
  </r>
  <r>
    <n v="1896"/>
    <s v="CTR_196"/>
    <s v="IHS_YND_159"/>
    <s v="CTR_196"/>
    <x v="3"/>
    <s v="Complexe-BEAC"/>
    <x v="0"/>
    <s v="Indoor"/>
    <s v="TROPICANA 1"/>
    <s v="MFOUNDI"/>
    <s v="YAOUNDE 4"/>
    <x v="16"/>
    <n v="3.8244500000000001"/>
    <n v="11.52697"/>
    <x v="0"/>
  </r>
  <r>
    <n v="1897"/>
    <s v="SUD_016"/>
    <s v="IHS_YND_332"/>
    <s v="SUD_016"/>
    <x v="3"/>
    <s v="Nkomekui"/>
    <x v="0"/>
    <s v="Indoor"/>
    <s v="NKOLBISSON"/>
    <s v="MFOUNDI"/>
    <s v="YAOUNDE 7"/>
    <x v="16"/>
    <n v="3.8413300000000001"/>
    <n v="11.324009999999999"/>
    <x v="0"/>
  </r>
  <r>
    <n v="1898"/>
    <s v="T2140"/>
    <s v="IHS_EDA_102"/>
    <s v="T2140"/>
    <x v="3"/>
    <s v="NYANON/DEMBO"/>
    <x v="0"/>
    <s v="Outdoor"/>
    <s v="NKOLBISSON"/>
    <s v="HAUTE-SANAGA "/>
    <s v="NYANON"/>
    <x v="16"/>
    <n v="4.2709799999999998"/>
    <n v="10.94613"/>
    <x v="0"/>
  </r>
  <r>
    <n v="1899"/>
    <s v="CTR_393"/>
    <s v="IHS_YND_359"/>
    <s v="CTR_393"/>
    <x v="5"/>
    <s v="Mbalmayo-Haoussa"/>
    <x v="0"/>
    <s v="Outdoor"/>
    <s v="Mbalmayo"/>
    <s v="NYON-ET-SO'O"/>
    <s v="Mbalmayo"/>
    <x v="16"/>
    <n v="3.5186199999999999"/>
    <n v="11.511139999999999"/>
    <x v="0"/>
  </r>
  <r>
    <n v="1900"/>
    <s v="CTR_053"/>
    <s v="IHS_YND_384"/>
    <s v="CTR_053"/>
    <x v="5"/>
    <s v="Metet"/>
    <x v="0"/>
    <s v="Indoor"/>
    <s v="Mbalmayo"/>
    <s v="DJA-ET-LOBO"/>
    <s v="COMMUNE DE MBALMAYO"/>
    <x v="16"/>
    <n v="3.4432209999999999"/>
    <n v="11.758785"/>
    <x v="0"/>
  </r>
  <r>
    <n v="1901"/>
    <s v="T0219"/>
    <s v="IHS_YND_024"/>
    <s v="T0219"/>
    <x v="3"/>
    <s v="Garbati building"/>
    <x v="0"/>
    <s v="Indoor"/>
    <s v="ESSOS 1"/>
    <s v="MFOUNDI"/>
    <s v="YAOUNDE 5"/>
    <x v="16"/>
    <n v="3.8675570000000001"/>
    <n v="11.525077"/>
    <x v="1"/>
  </r>
  <r>
    <n v="1902"/>
    <s v="T0053"/>
    <s v="IHS_YND_407"/>
    <s v="T0053"/>
    <x v="3"/>
    <s v="Monatele"/>
    <x v="0"/>
    <s v="Indoor"/>
    <s v="N'TUI"/>
    <s v="LEKIE "/>
    <s v="MONATELE"/>
    <x v="16"/>
    <n v="4.2596280000000002"/>
    <n v="11.205626000000001"/>
    <x v="0"/>
  </r>
  <r>
    <n v="1903"/>
    <s v="T1316"/>
    <s v="IHS_YND_111"/>
    <s v="T1316"/>
    <x v="3"/>
    <s v="Essos Marche"/>
    <x v="0"/>
    <s v="Outdoor"/>
    <s v="ESSOS 1"/>
    <s v="MFOUNDI"/>
    <s v="YAOUNDE 5"/>
    <x v="16"/>
    <n v="3.8684500000000002"/>
    <n v="11.544280000000001"/>
    <x v="1"/>
  </r>
  <r>
    <n v="1904"/>
    <s v="CTR_025"/>
    <s v="IHS_YND_238"/>
    <s v="CTR_025"/>
    <x v="3"/>
    <s v="Mendong"/>
    <x v="0"/>
    <s v="Indoor"/>
    <s v="MENDONG 1"/>
    <s v="MFOUNDI"/>
    <s v="YAOUNDE 6"/>
    <x v="16"/>
    <n v="3.8312780000000002"/>
    <n v="11.470943999999999"/>
    <x v="1"/>
  </r>
  <r>
    <n v="1905"/>
    <s v="CTR_339"/>
    <s v="IHS_YND_073"/>
    <s v="CTR_339"/>
    <x v="3"/>
    <s v="Chapelle-Obili"/>
    <x v="0"/>
    <s v="Outdoor"/>
    <s v="MENDONG 2"/>
    <s v="MFOUNDI"/>
    <s v="YAOUNDE 3"/>
    <x v="16"/>
    <n v="3.8487499999999999"/>
    <n v="11.494"/>
    <x v="0"/>
  </r>
  <r>
    <n v="1906"/>
    <s v="CTR_276"/>
    <s v="IHS_YND_172"/>
    <s v="CTR_276"/>
    <x v="3"/>
    <s v="Tradex-Nkomo"/>
    <x v="0"/>
    <s v="Outdoor"/>
    <s v="TROPICANA 1"/>
    <s v="MFOUNDI"/>
    <s v="YAOUNDE 4"/>
    <x v="16"/>
    <n v="3.8351600000000001"/>
    <n v="11.5467"/>
    <x v="0"/>
  </r>
  <r>
    <n v="1907"/>
    <s v="CTR_265"/>
    <s v="IHS_YND_229"/>
    <s v="CTR_265"/>
    <x v="3"/>
    <s v="CRH-Etoug-Ebe"/>
    <x v="0"/>
    <s v="Outdoor"/>
    <s v="MENDONG 1"/>
    <s v="MFOUNDI"/>
    <s v="YAOUNDE 6"/>
    <x v="16"/>
    <n v="3.8474179999999998"/>
    <n v="11.476227"/>
    <x v="0"/>
  </r>
  <r>
    <n v="1908"/>
    <s v="CTR_320"/>
    <s v="IHS_YND_282"/>
    <s v="CTR_320"/>
    <x v="3"/>
    <s v="Meyo"/>
    <x v="0"/>
    <s v="Outdoor"/>
    <s v="MENDONG 1"/>
    <s v="MFOUNDI"/>
    <s v="YAOUNDE 3"/>
    <x v="16"/>
    <n v="3.7856999999999998"/>
    <n v="11.490928"/>
    <x v="0"/>
  </r>
  <r>
    <n v="1909"/>
    <s v="T1552"/>
    <s v="IHS_YND_281"/>
    <s v="T1552"/>
    <x v="3"/>
    <s v="Odza II"/>
    <x v="0"/>
    <s v="Outdoor"/>
    <s v="TROPICANA 1"/>
    <s v="MFOUNDI"/>
    <s v="YAOUNDE 4"/>
    <x v="16"/>
    <n v="3.7919299999999998"/>
    <n v="11.53373"/>
    <x v="0"/>
  </r>
  <r>
    <n v="1910"/>
    <s v="T0294"/>
    <s v="IHS_YND_016"/>
    <s v="T0294"/>
    <x v="3"/>
    <s v="Maetur"/>
    <x v="0"/>
    <s v="Indoor"/>
    <s v="ESSOS 2"/>
    <s v="MFOUNDI"/>
    <s v="YAOUNDE 1"/>
    <x v="16"/>
    <n v="3.8751820000000001"/>
    <n v="11.521623"/>
    <x v="1"/>
  </r>
  <r>
    <n v="1911"/>
    <s v="CTR_110"/>
    <s v="IHS_YND_028"/>
    <s v="CTR_110"/>
    <x v="3"/>
    <s v="H-Central"/>
    <x v="0"/>
    <s v="Indoor"/>
    <s v="MENDONG 2"/>
    <s v="MFOUNDI"/>
    <s v="YAOUNDE 2"/>
    <x v="16"/>
    <n v="3.8710049999999998"/>
    <n v="11.509722999999999"/>
    <x v="1"/>
  </r>
  <r>
    <n v="1912"/>
    <s v="T0458"/>
    <s v="IHS_YND_103"/>
    <s v="T0458"/>
    <x v="3"/>
    <s v="Fouda Quarter"/>
    <x v="0"/>
    <s v="Indoor"/>
    <s v="MANGUIER 1"/>
    <s v="MFOUNDI"/>
    <s v="YAOUNDE 5"/>
    <x v="16"/>
    <n v="3.884754"/>
    <n v="11.535188"/>
    <x v="1"/>
  </r>
  <r>
    <n v="1913"/>
    <s v="T0543"/>
    <s v="IHS_YND_135"/>
    <s v="T0543"/>
    <x v="3"/>
    <s v="Nlongkak"/>
    <x v="0"/>
    <s v="Outdoor"/>
    <s v="MANGUIER 1"/>
    <s v="MFOUNDI"/>
    <s v="YAOUNDE 1"/>
    <x v="16"/>
    <n v="3.8931740000000001"/>
    <n v="11.522524000000001"/>
    <x v="1"/>
  </r>
  <r>
    <n v="1914"/>
    <s v="T0035"/>
    <s v="IHS_YND_051"/>
    <s v="T0035"/>
    <x v="3"/>
    <s v="Mamch Building"/>
    <x v="0"/>
    <s v="Indoor"/>
    <s v="TSINGA"/>
    <s v="MFOUNDI"/>
    <s v="YAOUNDE 1"/>
    <x v="16"/>
    <n v="3.88496"/>
    <n v="11.519970000000001"/>
    <x v="1"/>
  </r>
  <r>
    <n v="1915"/>
    <s v="CTR_046"/>
    <s v="IHS_YND_008"/>
    <s v="CTR_046"/>
    <x v="3"/>
    <s v="CNDH"/>
    <x v="0"/>
    <s v="Off Air"/>
    <s v="ESSOS 2"/>
    <s v="MFOUNDI"/>
    <s v="YAOUNDE 2"/>
    <x v="16"/>
    <n v="3.8687"/>
    <n v="11.51754"/>
    <x v="2"/>
  </r>
  <r>
    <n v="1916"/>
    <s v="T0494"/>
    <s v="IHS_YND_431"/>
    <s v="T0494"/>
    <x v="3"/>
    <s v="Nkoteng"/>
    <x v="0"/>
    <s v="Indoor"/>
    <s v="Obala"/>
    <s v="HAUTE-SANAGA "/>
    <s v="NKOTENG"/>
    <x v="16"/>
    <n v="4.5130129999999999"/>
    <n v="12.127772999999999"/>
    <x v="0"/>
  </r>
  <r>
    <n v="1917"/>
    <s v="T1071"/>
    <s v="IHS_YND_343"/>
    <s v="T1071"/>
    <x v="3"/>
    <s v="Mbedoumou - Ekali"/>
    <x v="0"/>
    <s v="Outdoor"/>
    <s v="TROPICANA 1"/>
    <s v="NYONG-ET-SO'O"/>
    <s v="MBALMAYO"/>
    <x v="16"/>
    <n v="3.6193629999999999"/>
    <n v="11.542147"/>
    <x v="0"/>
  </r>
  <r>
    <n v="1918"/>
    <s v="T1287"/>
    <s v="IHS_YND_223"/>
    <s v="T1287"/>
    <x v="3"/>
    <s v="Febe Village"/>
    <x v="0"/>
    <s v="Outdoor"/>
    <s v="TSINGA"/>
    <s v="MFOUNDI"/>
    <s v="YAOUNDE 2"/>
    <x v="16"/>
    <n v="3.913621"/>
    <n v="11.475726999999999"/>
    <x v="0"/>
  </r>
  <r>
    <n v="1919"/>
    <s v="T0814"/>
    <s v="IHS_YND_274"/>
    <s v="T0814"/>
    <x v="3"/>
    <s v="Emana Lycee"/>
    <x v="0"/>
    <s v="Outdoor"/>
    <s v="MANGUIER 2"/>
    <s v="MFOUNDI"/>
    <s v="YAOUNDE 1"/>
    <x v="16"/>
    <n v="3.9247779999999999"/>
    <n v="11.501721999999999"/>
    <x v="0"/>
  </r>
  <r>
    <n v="1920"/>
    <s v="T1120"/>
    <s v="IHS_YND_542"/>
    <s v="T1120"/>
    <x v="3"/>
    <s v="SAA Entrance "/>
    <x v="0"/>
    <s v="Outdoor"/>
    <s v="N'TUI"/>
    <s v="LEKIE "/>
    <s v="SA'A"/>
    <x v="16"/>
    <n v="4.3648300000000004"/>
    <n v="11.432088"/>
    <x v="0"/>
  </r>
  <r>
    <n v="1921"/>
    <s v="T1259"/>
    <s v="IHS_YND_424"/>
    <s v="T1259"/>
    <x v="3"/>
    <s v="Ossombe"/>
    <x v="0"/>
    <s v="Outdoor"/>
    <s v="N'TUI"/>
    <s v="MBAM ET KIM"/>
    <s v="NTUI"/>
    <x v="16"/>
    <n v="4.5962449999999997"/>
    <n v="11.647252"/>
    <x v="0"/>
  </r>
  <r>
    <n v="1922"/>
    <s v="T1851"/>
    <s v="IHS_YND_330"/>
    <s v="T1851"/>
    <x v="3"/>
    <s v="OKOA Peage"/>
    <x v="0"/>
    <s v="Outdoor"/>
    <s v="BARRIERE 1"/>
    <s v="MEFOU-ET-AKONO "/>
    <s v="MBANKOMO"/>
    <x v="16"/>
    <n v="3.7996940000000001"/>
    <n v="11.343028"/>
    <x v="0"/>
  </r>
  <r>
    <n v="1923"/>
    <s v="T0632"/>
    <s v="IHS_YND_101"/>
    <s v="T0632"/>
    <x v="3"/>
    <s v="Nsimeyong Shell"/>
    <x v="0"/>
    <s v="Outdoor"/>
    <s v="Tropicana 2"/>
    <s v="MFOUNDI"/>
    <s v="YAOUNDE 3"/>
    <x v="16"/>
    <n v="3.8405830000000001"/>
    <n v="11.497528000000001"/>
    <x v="1"/>
  </r>
  <r>
    <n v="1924"/>
    <s v="T0557"/>
    <s v="IHS_YND_362"/>
    <s v="T0557"/>
    <x v="5"/>
    <s v="Nseng Nlong"/>
    <x v="0"/>
    <s v="Outdoor"/>
    <s v="Mbalmayo"/>
    <s v="NYON-ET-SO'O"/>
    <s v="Mbalmayo"/>
    <x v="16"/>
    <n v="3.5057"/>
    <n v="11.484299999999999"/>
    <x v="0"/>
  </r>
  <r>
    <n v="1925"/>
    <s v="CTR_220"/>
    <s v="IHS_YND_432"/>
    <s v="CTR_220"/>
    <x v="3"/>
    <s v="Nkoteng-II"/>
    <x v="0"/>
    <s v="Outdoor"/>
    <s v="Obala"/>
    <s v="HAUTE-SANAGA "/>
    <s v="NKOTENG"/>
    <x v="16"/>
    <n v="4.4658620000000004"/>
    <n v="12.094537000000001"/>
    <x v="0"/>
  </r>
  <r>
    <n v="1926"/>
    <s v="T2138"/>
    <s v="IHS_YND_530"/>
    <s v="T2138"/>
    <x v="3"/>
    <s v="NKOLMVEME"/>
    <x v="0"/>
    <s v="Outdoor"/>
    <s v="Obala"/>
    <s v="LEKIE "/>
    <s v="OBALA"/>
    <x v="16"/>
    <n v="4.169333"/>
    <n v="11.433417"/>
    <x v="0"/>
  </r>
  <r>
    <n v="1927"/>
    <s v="CTR_353"/>
    <s v="IHS_YND_413"/>
    <s v="CTR_353"/>
    <x v="3"/>
    <s v="Nguinda"/>
    <x v="0"/>
    <s v="Outdoor"/>
    <s v="Akonolinga"/>
    <s v="NYONG-ET-MFOUMOU "/>
    <s v="AYOS"/>
    <x v="16"/>
    <n v="3.905653"/>
    <n v="12.435843"/>
    <x v="0"/>
  </r>
  <r>
    <n v="1928"/>
    <s v="T1622"/>
    <s v="IHS_YND_186"/>
    <s v="T1622"/>
    <x v="3"/>
    <s v="Ngousso Carrefour"/>
    <x v="0"/>
    <s v="Outdoor"/>
    <s v="OMNISPORT"/>
    <s v="MFOUNDI"/>
    <s v="YAOUNDE 5"/>
    <x v="16"/>
    <n v="3.8978830000000002"/>
    <n v="11.550171000000001"/>
    <x v="1"/>
  </r>
  <r>
    <n v="1929"/>
    <s v="T2666"/>
    <s v="IHS_YND_679"/>
    <s v="T2666"/>
    <x v="3"/>
    <s v="NGONGO BOLE"/>
    <x v="0"/>
    <s v="Outdoor"/>
    <s v="Obala"/>
    <s v="LEKIE "/>
    <s v="OBALA"/>
    <x v="16"/>
    <n v="4.2327399999999997"/>
    <n v="11.495621999999999"/>
    <x v="0"/>
  </r>
  <r>
    <n v="1930"/>
    <s v="T1119"/>
    <s v="IHS_YND_541"/>
    <s v="T1119"/>
    <x v="4"/>
    <s v="Nanga Eboko entrance"/>
    <x v="0"/>
    <s v="Outdoor"/>
    <s v="Nanga Eboko"/>
    <s v="HAUTE-SANAGA "/>
    <s v="Nanaga Eboko"/>
    <x v="16"/>
    <n v="4.6666169999999996"/>
    <n v="12.357196999999999"/>
    <x v="0"/>
  </r>
  <r>
    <n v="1931"/>
    <s v="SUD_245"/>
    <s v="IHS_EBO_017"/>
    <s v="SUD_245"/>
    <x v="5"/>
    <s v="Mvoula"/>
    <x v="0"/>
    <s v="Outdoor"/>
    <s v="Ebolowa"/>
    <s v="MVILLA"/>
    <s v="BIWONG BOULOU"/>
    <x v="16"/>
    <n v="2.8484720000000001"/>
    <n v="11.594360999999999"/>
    <x v="0"/>
  </r>
  <r>
    <n v="1932"/>
    <s v="SUD_017"/>
    <s v="IHS_EBO_012"/>
    <s v="SUD_017"/>
    <x v="5"/>
    <s v="Mengong"/>
    <x v="0"/>
    <s v="Indoor"/>
    <s v="Ebolowa"/>
    <s v="MVILLA"/>
    <s v="Mengong"/>
    <x v="16"/>
    <n v="2.9294829999999998"/>
    <n v="11.412417"/>
    <x v="0"/>
  </r>
  <r>
    <n v="1933"/>
    <s v="CTR_437"/>
    <s v="IHS_YND_552"/>
    <s v="CTR_437"/>
    <x v="3"/>
    <s v="EKABITA ESSELE"/>
    <x v="0"/>
    <s v="Outdoor"/>
    <s v="Obala"/>
    <s v="LEKIE "/>
    <s v="OBALA"/>
    <x v="16"/>
    <n v="4.078023"/>
    <n v="11.550689999999999"/>
    <x v="0"/>
  </r>
  <r>
    <n v="1934"/>
    <s v="CTR_116"/>
    <s v="IHS_YND_339"/>
    <s v="CTR_116"/>
    <x v="3"/>
    <s v="Ebeba"/>
    <x v="0"/>
    <s v="Indoor"/>
    <s v="BARRIERE 1"/>
    <s v="MEFOU-ET-AKONO "/>
    <s v="MBANKOMO"/>
    <x v="16"/>
    <n v="3.7769170000000001"/>
    <n v="11.271722"/>
    <x v="0"/>
  </r>
  <r>
    <n v="1935"/>
    <s v="T1597"/>
    <s v="IHS_YND_670"/>
    <s v="T1597"/>
    <x v="3"/>
    <s v="BOBOCK"/>
    <x v="0"/>
    <s v="Outdoor"/>
    <s v="BARRIERE 2"/>
    <s v="NYONG-ET-KELLE "/>
    <s v="BOT MAKAK"/>
    <x v="16"/>
    <n v="4.0946109999999996"/>
    <n v="10.965417"/>
    <x v="0"/>
  </r>
  <r>
    <n v="1936"/>
    <s v="T1161"/>
    <s v="IHS_YND_290"/>
    <s v="T1161"/>
    <x v="3"/>
    <s v="Abang"/>
    <x v="0"/>
    <s v="Outdoor"/>
    <s v="NKOMO"/>
    <s v="MEFOU-ET-AFAMBA "/>
    <s v="NKOLAFAMBA"/>
    <x v="16"/>
    <n v="3.8138450000000002"/>
    <n v="11.58159"/>
    <x v="0"/>
  </r>
  <r>
    <n v="1937"/>
    <s v="T0186"/>
    <s v="IHS_SGM_012"/>
    <s v="T0186"/>
    <x v="5"/>
    <s v="Zoetele"/>
    <x v="0"/>
    <s v="Indoor"/>
    <s v="Sangmelima"/>
    <s v="DJA-ET-LOBO"/>
    <s v="COMMUNE DE SANGMELIMA"/>
    <x v="16"/>
    <n v="3.2501890000000002"/>
    <n v="11.888258"/>
    <x v="0"/>
  </r>
  <r>
    <n v="1938"/>
    <s v="T0184"/>
    <s v="IHS_YND_344"/>
    <s v="T0184"/>
    <x v="5"/>
    <s v="Zamakoe"/>
    <x v="0"/>
    <s v="Indoor"/>
    <s v="Mbalmayo"/>
    <s v="NYON-ET-SO'O"/>
    <s v="Mbalmayo"/>
    <x v="16"/>
    <n v="3.5625969999999998"/>
    <n v="11.512900999999999"/>
    <x v="0"/>
  </r>
  <r>
    <n v="1939"/>
    <s v="T0107"/>
    <s v="IHS_YND_271"/>
    <s v="T0107"/>
    <x v="3"/>
    <s v="Yona Hotel"/>
    <x v="0"/>
    <s v="Indoor"/>
    <s v="NKOLBISSON"/>
    <s v="MFOUNDI"/>
    <s v="YAOUNDE 7"/>
    <x v="16"/>
    <n v="3.8719899999999998"/>
    <n v="11.453390000000001"/>
    <x v="1"/>
  </r>
  <r>
    <n v="1940"/>
    <s v="T1114"/>
    <s v="IHS_YND_153"/>
    <s v="T1114"/>
    <x v="3"/>
    <s v="Rond Point Express1114"/>
    <x v="0"/>
    <s v="Outdoor"/>
    <s v="MENDONG 1"/>
    <s v="MFOUNDI"/>
    <s v="YAOUNDE 6"/>
    <x v="16"/>
    <n v="3.8344"/>
    <n v="11.4846"/>
    <x v="1"/>
  </r>
  <r>
    <n v="1941"/>
    <s v="T0535"/>
    <s v="IHS_YND_234"/>
    <s v="T0535"/>
    <x v="3"/>
    <s v="Oyomabang"/>
    <x v="0"/>
    <s v="Outdoor"/>
    <s v="NKOLBISSON"/>
    <s v="MFOUNDI"/>
    <s v="YAOUNDE 7"/>
    <x v="16"/>
    <n v="3.8826420000000001"/>
    <n v="11.468216"/>
    <x v="1"/>
  </r>
  <r>
    <n v="1942"/>
    <s v="T0191"/>
    <s v="IHS_YND_337"/>
    <s v="T0191"/>
    <x v="3"/>
    <s v="Okola"/>
    <x v="0"/>
    <s v="Indoor"/>
    <s v="NKOLBISSON"/>
    <s v="MFOUNDI"/>
    <s v="OKOLA"/>
    <x v="16"/>
    <n v="4.0304469999999997"/>
    <n v="11.38416"/>
    <x v="0"/>
  </r>
  <r>
    <n v="1943"/>
    <s v="T0175"/>
    <s v="IHS_SGM_007"/>
    <s v="T0175"/>
    <x v="5"/>
    <s v="Nkout"/>
    <x v="0"/>
    <s v="Indoor"/>
    <s v="Sangmelima"/>
    <s v="DJA-ET-LOBO"/>
    <s v="COMMUNE DE SANGMELIMA"/>
    <x v="16"/>
    <n v="3.1137619999999999"/>
    <n v="11.849520999999999"/>
    <x v="0"/>
  </r>
  <r>
    <n v="1944"/>
    <s v="T0174"/>
    <s v="IHS_YND_385"/>
    <s v="T0174"/>
    <x v="5"/>
    <s v="Nkolya"/>
    <x v="0"/>
    <s v="Indoor"/>
    <s v="Mbalmayo"/>
    <s v="DJA-ET-LOBO"/>
    <s v="COMMUNE DE MBALMAYO"/>
    <x v="16"/>
    <n v="3.4334530000000001"/>
    <n v="11.772194000000001"/>
    <x v="0"/>
  </r>
  <r>
    <n v="1945"/>
    <s v="T0293"/>
    <s v="IHS_YND_180"/>
    <s v="T0293"/>
    <x v="3"/>
    <s v="Mimboman"/>
    <x v="0"/>
    <s v="Indoor"/>
    <s v="NKOMO"/>
    <s v="MFOUNDI"/>
    <s v="YAOUNDE 4"/>
    <x v="16"/>
    <n v="3.8613599999999999"/>
    <n v="11.522527"/>
    <x v="1"/>
  </r>
  <r>
    <n v="1946"/>
    <s v="T0532"/>
    <s v="IHS_YND_239"/>
    <s v="T0532"/>
    <x v="3"/>
    <s v="Mendong2"/>
    <x v="0"/>
    <s v="Outdoor"/>
    <s v="MENDONG 1"/>
    <s v="MFOUNDI"/>
    <s v="YAOUNDE 6"/>
    <x v="16"/>
    <n v="3.8362919999999998"/>
    <n v="11.470129999999999"/>
    <x v="1"/>
  </r>
  <r>
    <n v="1947"/>
    <s v="T0677"/>
    <s v="IHS_YND_382"/>
    <s v="T0677"/>
    <x v="5"/>
    <s v="Memiam"/>
    <x v="0"/>
    <s v="Outdoor"/>
    <s v="Mbalmayo"/>
    <s v="DJA-ET-LOBO"/>
    <s v="COMMUNE DE MBALMAYO"/>
    <x v="16"/>
    <n v="3.473179"/>
    <n v="11.624039"/>
    <x v="0"/>
  </r>
  <r>
    <n v="1948"/>
    <s v="T0098"/>
    <s v="IHS_YND_360"/>
    <s v="T0098"/>
    <x v="5"/>
    <s v="Mbalmayo"/>
    <x v="0"/>
    <s v="Indoor"/>
    <s v="Mbalmayo"/>
    <s v="NYON-ET-SO'O"/>
    <s v="Mbalmayo"/>
    <x v="16"/>
    <n v="3.5179689999999999"/>
    <n v="11.504186000000001"/>
    <x v="0"/>
  </r>
  <r>
    <n v="1949"/>
    <s v="T0527"/>
    <s v="IHS_YND_019"/>
    <s v="T0527"/>
    <x v="3"/>
    <s v="Hotel de Ville Yde"/>
    <x v="0"/>
    <s v="Outdoor"/>
    <s v="ESSOS 2"/>
    <s v="MFOUNDI"/>
    <s v="YAOUNDE 1"/>
    <x v="16"/>
    <n v="3.8762099999999999"/>
    <n v="11.516540000000001"/>
    <x v="0"/>
  </r>
  <r>
    <n v="1950"/>
    <s v="T0755"/>
    <s v="IHS_YND_408"/>
    <s v="T0755"/>
    <x v="3"/>
    <s v="Evodoula"/>
    <x v="0"/>
    <s v="Outdoor"/>
    <s v="NKOLBISSON"/>
    <s v="LEKIE "/>
    <s v="EVODOULA"/>
    <x v="16"/>
    <n v="4.0923999999999996"/>
    <n v="11.198843"/>
    <x v="0"/>
  </r>
  <r>
    <n v="1951"/>
    <s v="T0108"/>
    <s v="IHS_YND_235"/>
    <s v="T0108"/>
    <x v="3"/>
    <s v="Etoug-Ebe 2"/>
    <x v="0"/>
    <s v="Indoor"/>
    <s v="MENDONG 1"/>
    <s v="MFOUNDI"/>
    <s v="YAOUNDE 6"/>
    <x v="16"/>
    <n v="3.8342200000000002"/>
    <n v="11.47696"/>
    <x v="1"/>
  </r>
  <r>
    <n v="1952"/>
    <s v="T0394"/>
    <s v="IHS_YND_241"/>
    <s v="T0394"/>
    <x v="3"/>
    <s v="Etoudi"/>
    <x v="0"/>
    <s v="Indoor"/>
    <s v="MANGUIER 2"/>
    <s v="MFOUNDI"/>
    <s v="YAOUNDE 1"/>
    <x v="16"/>
    <n v="3.9144299999999999"/>
    <n v="11.5251"/>
    <x v="1"/>
  </r>
  <r>
    <n v="1953"/>
    <s v="T0027"/>
    <s v="IHS_YND_398"/>
    <s v="T0027"/>
    <x v="3"/>
    <s v="Esse"/>
    <x v="0"/>
    <s v="Indoor"/>
    <s v="Akonolinga"/>
    <s v="MEFOU-ET-AFAMBA "/>
    <s v="ESSE"/>
    <x v="16"/>
    <n v="4.0936219999999999"/>
    <n v="11.883357"/>
    <x v="0"/>
  </r>
  <r>
    <n v="1954"/>
    <s v="T0526"/>
    <s v="IHS_YND_088"/>
    <s v="T0526"/>
    <x v="3"/>
    <s v="Elobi Mokolo"/>
    <x v="0"/>
    <s v="Outdoor"/>
    <s v="TSINGA"/>
    <s v="MFOUNDI"/>
    <s v="YAOUNDE 2"/>
    <x v="16"/>
    <n v="3.87792"/>
    <n v="11.50117"/>
    <x v="1"/>
  </r>
  <r>
    <n v="1955"/>
    <s v="T0316"/>
    <s v="IHS_SGM_018"/>
    <s v="T0316"/>
    <x v="5"/>
    <s v="Djoum"/>
    <x v="0"/>
    <s v="Outdoor"/>
    <s v="Djoum"/>
    <s v="DJA-ET-LOBO"/>
    <s v="COMMUNE DE DJOUM"/>
    <x v="16"/>
    <n v="2.6730700000000001"/>
    <n v="12.681125"/>
    <x v="0"/>
  </r>
  <r>
    <n v="1956"/>
    <s v="T0464"/>
    <s v="IHS_YND_345"/>
    <s v="T0464"/>
    <x v="5"/>
    <s v="Bikok"/>
    <x v="0"/>
    <s v="Outdoor"/>
    <s v="Mbalmayo"/>
    <s v="NYON-ET-SO'O"/>
    <s v="Bikok"/>
    <x v="16"/>
    <n v="3.6307369999999999"/>
    <n v="11.448114"/>
    <x v="0"/>
  </r>
  <r>
    <n v="1957"/>
    <s v="T0311"/>
    <s v="IHS_YND_315"/>
    <s v="T0311"/>
    <x v="3"/>
    <s v="Ayongoum"/>
    <x v="0"/>
    <s v="Indoor"/>
    <s v="Akonolinga"/>
    <s v="MEFOU-ET-AFAMBA "/>
    <s v="NKOLAFAMBA"/>
    <x v="16"/>
    <n v="3.866698"/>
    <n v="11.680490000000001"/>
    <x v="0"/>
  </r>
  <r>
    <n v="1958"/>
    <s v="T0310"/>
    <s v="IHS_YND_170"/>
    <s v="T0310"/>
    <x v="3"/>
    <s v="Awae"/>
    <x v="0"/>
    <s v="Indoor"/>
    <s v="Akonolinga"/>
    <s v="MEFOU-ET-AFAMBA "/>
    <s v="NKOLAFAMBA"/>
    <x v="16"/>
    <n v="3.899076"/>
    <n v="11.885851000000001"/>
    <x v="0"/>
  </r>
  <r>
    <n v="1959"/>
    <s v="T0555"/>
    <s v="IHS_YND_410"/>
    <s v="T0555"/>
    <x v="5"/>
    <s v="Avebe"/>
    <x v="0"/>
    <s v="Outdoor"/>
    <s v="Mbalmayo"/>
    <s v="NYON-ET-SO'O"/>
    <s v="Mbalmayo"/>
    <x v="16"/>
    <n v="3.3371719999999998"/>
    <n v="11.496133"/>
    <x v="0"/>
  </r>
  <r>
    <n v="1960"/>
    <s v="T0210"/>
    <s v="IHS_YND_206"/>
    <s v="T0210"/>
    <x v="3"/>
    <s v="ARMP"/>
    <x v="0"/>
    <s v="Indoor"/>
    <s v="MANGUIER 1"/>
    <s v="MFOUNDI"/>
    <s v="YAOUNDE 1"/>
    <x v="16"/>
    <n v="3.90523"/>
    <n v="11.511659999999999"/>
    <x v="1"/>
  </r>
  <r>
    <n v="1961"/>
    <s v="T0153"/>
    <s v="IHS_YND_414"/>
    <s v="T0153"/>
    <x v="3"/>
    <s v="Akonolinga"/>
    <x v="0"/>
    <s v="Indoor"/>
    <s v="Akonolinga"/>
    <s v="NYONG-ET-MFOUMOU "/>
    <s v="AKONOLINGA"/>
    <x v="16"/>
    <n v="3.783604"/>
    <n v="12.246397"/>
    <x v="0"/>
  </r>
  <r>
    <n v="1962"/>
    <s v="T0403"/>
    <s v="IHS_YND_257"/>
    <s v="T0403"/>
    <x v="3"/>
    <s v="Ahala"/>
    <x v="0"/>
    <s v="Indoor"/>
    <s v="MENDONG 1"/>
    <s v="MFOUNDI"/>
    <s v="YAOUNDE 3"/>
    <x v="16"/>
    <n v="3.7932899999999998"/>
    <n v="11.49668"/>
    <x v="0"/>
  </r>
  <r>
    <n v="1963"/>
    <s v="T0538"/>
    <s v="IHS_YND_036"/>
    <s v="T0538"/>
    <x v="3"/>
    <s v="Acropole"/>
    <x v="0"/>
    <s v="Outdoor"/>
    <s v="ESSOS 1"/>
    <s v="MFOUNDI"/>
    <s v="YAOUNDE 5"/>
    <x v="16"/>
    <n v="3.8556400000000002"/>
    <n v="11.522309999999999"/>
    <x v="1"/>
  </r>
  <r>
    <n v="1964"/>
    <s v="CTR_122"/>
    <s v="IHS_YND_230"/>
    <s v="CTR_122"/>
    <x v="3"/>
    <s v="Meyong-Meyeme"/>
    <x v="0"/>
    <s v="Indoor"/>
    <s v="NKOLBISSON"/>
    <s v="MFOUNDI"/>
    <s v="YAOUNDE 7"/>
    <x v="16"/>
    <n v="3.87704"/>
    <n v="11.479010000000001"/>
    <x v="1"/>
  </r>
  <r>
    <n v="1965"/>
    <s v="CTR_022"/>
    <s v="IHS_YND_436"/>
    <s v="CTR_022"/>
    <x v="0"/>
    <s v="Bafia"/>
    <x v="0"/>
    <s v="Indoor"/>
    <s v="Bafia"/>
    <s v="Mbam et inoubou"/>
    <s v="Bafia"/>
    <x v="16"/>
    <n v="4.756062"/>
    <n v="11.228605"/>
    <x v="1"/>
  </r>
  <r>
    <n v="1966"/>
    <s v="T0290"/>
    <s v="IHS_YND_067"/>
    <s v="T0290"/>
    <x v="3"/>
    <s v="Nkoa Ayos"/>
    <x v="0"/>
    <s v="Outdoor"/>
    <s v="TROPICANA 1"/>
    <s v="MFOUNDI"/>
    <s v="YAOUNDE 4"/>
    <x v="16"/>
    <n v="3.8415699999999999"/>
    <n v="11.520250000000001"/>
    <x v="1"/>
  </r>
  <r>
    <n v="1967"/>
    <s v="LIT_136"/>
    <s v="IHS_EDA_050"/>
    <s v="LIT_136"/>
    <x v="0"/>
    <s v="Omeng"/>
    <x v="0"/>
    <s v="Indoor"/>
    <s v="Bangangte"/>
    <s v="SANAGA-MARITIME"/>
    <s v="Ndom"/>
    <x v="16"/>
    <n v="4.5699449999999997"/>
    <n v="10.881710999999999"/>
    <x v="0"/>
  </r>
  <r>
    <n v="1968"/>
    <s v="CTR_221"/>
    <s v="IHS_YND_386"/>
    <s v="CTR_221"/>
    <x v="3"/>
    <s v="Efok"/>
    <x v="0"/>
    <s v="Outdoor"/>
    <s v="Obala"/>
    <s v="LEKIE "/>
    <s v="OBALA"/>
    <x v="16"/>
    <n v="4.1774250000000004"/>
    <n v="11.472552"/>
    <x v="0"/>
  </r>
  <r>
    <n v="1969"/>
    <s v="T0581"/>
    <s v="IHS_YND_325"/>
    <s v="T0581"/>
    <x v="3"/>
    <s v="Nkometou"/>
    <x v="0"/>
    <s v="Indoor"/>
    <s v="Obala"/>
    <s v="LEKIE "/>
    <s v="OBALA"/>
    <x v="16"/>
    <n v="4.0434640000000002"/>
    <n v="11.547708"/>
    <x v="0"/>
  </r>
  <r>
    <n v="1970"/>
    <s v="CTR_005"/>
    <s v="IHS_YND_374"/>
    <s v="CTR_005"/>
    <x v="3"/>
    <s v="Matomb"/>
    <x v="0"/>
    <s v="Indoor"/>
    <s v="BARRIERE 2"/>
    <s v="NYONG-ET-KELLE "/>
    <s v="MAKAK"/>
    <x v="16"/>
    <n v="3.831839"/>
    <n v="11.05429"/>
    <x v="0"/>
  </r>
  <r>
    <n v="1971"/>
    <s v="T0051"/>
    <s v="IHS_YND_297"/>
    <s v="T0051"/>
    <x v="3"/>
    <s v="Messassi"/>
    <x v="0"/>
    <s v="Indoor"/>
    <s v="MANGUIER 2"/>
    <s v="MFOUNDI"/>
    <s v="YAOUNDE 1"/>
    <x v="16"/>
    <n v="3.9433609999999999"/>
    <n v="11.520889"/>
    <x v="0"/>
  </r>
  <r>
    <n v="1972"/>
    <s v="T0030"/>
    <s v="IHS_YND_041"/>
    <s v="T0030"/>
    <x v="3"/>
    <s v="Lycee Leclerc School"/>
    <x v="0"/>
    <s v="Indoor"/>
    <s v="MENDONG 2"/>
    <s v="MFOUNDI"/>
    <s v="YAOUNDE 3"/>
    <x v="16"/>
    <n v="3.8552900000000001"/>
    <n v="11.508150000000001"/>
    <x v="0"/>
  </r>
  <r>
    <n v="1973"/>
    <s v="T0033"/>
    <s v="IHS_YND_167"/>
    <s v="T0033"/>
    <x v="3"/>
    <s v="Touring Club International"/>
    <x v="0"/>
    <s v="Indoor"/>
    <s v="TROPICANA 1"/>
    <s v="MFOUNDI"/>
    <s v="YAOUNDE 4"/>
    <x v="16"/>
    <n v="3.8121800000000001"/>
    <n v="11.52988"/>
    <x v="0"/>
  </r>
  <r>
    <n v="1974"/>
    <s v="T0046"/>
    <s v="IHS_YND_191"/>
    <s v="T0046"/>
    <x v="3"/>
    <s v="Mballa II"/>
    <x v="0"/>
    <s v="Indoor"/>
    <s v="MANGUIER 1"/>
    <s v="MFOUNDI"/>
    <s v="YAOUNDE 1"/>
    <x v="16"/>
    <n v="3.900452"/>
    <n v="11.52312"/>
    <x v="0"/>
  </r>
  <r>
    <n v="1975"/>
    <s v="T0103"/>
    <s v="IHS_YND_110"/>
    <s v="T0103"/>
    <x v="3"/>
    <s v="Camp-Sonel"/>
    <x v="0"/>
    <s v="Indoor"/>
    <s v="ESSOS 1"/>
    <s v="MFOUNDI"/>
    <s v="YAOUNDE 5"/>
    <x v="16"/>
    <n v="3.8762699999999999"/>
    <n v="11.545909999999999"/>
    <x v="0"/>
  </r>
  <r>
    <n v="1976"/>
    <s v="CTR_063"/>
    <s v="IHS_YND_365"/>
    <s v="CTR_063"/>
    <x v="3"/>
    <s v="Akono"/>
    <x v="0"/>
    <s v="Indoor"/>
    <s v="BARRIERE 1"/>
    <s v="MEFOU-ET-AKONO "/>
    <s v="AKONO"/>
    <x v="16"/>
    <n v="3.502894"/>
    <n v="11.330806000000001"/>
    <x v="0"/>
  </r>
  <r>
    <n v="1977"/>
    <s v="T0143"/>
    <s v="IHS_YND_392"/>
    <s v="T0143"/>
    <x v="3"/>
    <s v="Batchenga"/>
    <x v="0"/>
    <s v="Indoor"/>
    <s v="Obala"/>
    <s v="LEKIE "/>
    <s v="BATCHENGA"/>
    <x v="16"/>
    <n v="4.285406"/>
    <n v="11.653548000000001"/>
    <x v="0"/>
  </r>
  <r>
    <n v="1978"/>
    <s v="T0029"/>
    <s v="IHS_YND_357"/>
    <s v="T0029"/>
    <x v="3"/>
    <s v="Sacre Coeur Catholic Church"/>
    <x v="0"/>
    <s v="Indoor"/>
    <s v="TSINGA"/>
    <s v="MFOUNDI"/>
    <s v="YAOUNDE 2"/>
    <x v="16"/>
    <n v="3.8892899999999999"/>
    <n v="11.498875"/>
    <x v="0"/>
  </r>
  <r>
    <n v="1979"/>
    <s v="T0463"/>
    <s v="IHS_YND_215"/>
    <s v="T0463"/>
    <x v="3"/>
    <s v="Eleveurs"/>
    <x v="0"/>
    <s v="Outdoor"/>
    <s v="OMNISPORT"/>
    <s v="MFOUNDI"/>
    <s v="YAOUNDE 5"/>
    <x v="16"/>
    <n v="3.9016199999999999"/>
    <n v="11.55819"/>
    <x v="1"/>
  </r>
  <r>
    <n v="1980"/>
    <s v="CTR_069"/>
    <s v="IHS_YND_264"/>
    <s v="CTR_069"/>
    <x v="3"/>
    <s v="Simbock"/>
    <x v="0"/>
    <s v="Indoor"/>
    <s v="MENDONG 1"/>
    <s v="MFOUNDI"/>
    <s v="YAOUNDE 6"/>
    <x v="16"/>
    <n v="3.8411940000000002"/>
    <n v="11.462721999999999"/>
    <x v="0"/>
  </r>
  <r>
    <n v="1981"/>
    <s v="T0417"/>
    <s v="IHS_YND_220"/>
    <s v="T0417"/>
    <x v="3"/>
    <s v="Golf Quater"/>
    <x v="0"/>
    <s v="Outdoor"/>
    <s v="TSINGA"/>
    <s v="MFOUNDI"/>
    <s v="YAOUNDE 2"/>
    <x v="16"/>
    <n v="3.8983059999999998"/>
    <n v="11.498528"/>
    <x v="1"/>
  </r>
  <r>
    <n v="1982"/>
    <s v="T0292"/>
    <s v="IHS_YND_231"/>
    <s v="T0292"/>
    <x v="3"/>
    <s v="Nkolso"/>
    <x v="0"/>
    <s v="Indoor"/>
    <s v="NKOLBISSON"/>
    <s v="MFOUNDI"/>
    <s v="YAOUNDE 7"/>
    <x v="16"/>
    <n v="3.871597"/>
    <n v="11.470013"/>
    <x v="1"/>
  </r>
  <r>
    <n v="1983"/>
    <s v="CTR_080"/>
    <s v="IHS_YND_298"/>
    <s v="CTR_080"/>
    <x v="3"/>
    <s v="Olembe"/>
    <x v="0"/>
    <s v="Indoor"/>
    <s v="MANGUIER 2"/>
    <s v="MFOUNDI"/>
    <s v="YAOUNDE 1"/>
    <x v="16"/>
    <n v="3.9491939999999999"/>
    <n v="11.525444"/>
    <x v="0"/>
  </r>
  <r>
    <n v="1984"/>
    <s v="T0238"/>
    <s v="IHS_YND_351"/>
    <s v="T0238"/>
    <x v="3"/>
    <s v="Afambassi"/>
    <x v="0"/>
    <s v="Indoor"/>
    <s v="Obala"/>
    <s v="LEKIE "/>
    <s v="OBALA"/>
    <x v="16"/>
    <n v="4.1254080000000002"/>
    <n v="11.564962"/>
    <x v="0"/>
  </r>
  <r>
    <n v="1985"/>
    <s v="T0373"/>
    <s v="IHS_YND_097"/>
    <s v="T0373"/>
    <x v="3"/>
    <s v="Kondengui"/>
    <x v="0"/>
    <s v="Indoor"/>
    <s v="ESSOS 1"/>
    <s v="MFOUNDI"/>
    <s v="YAOUNDE 4"/>
    <x v="16"/>
    <n v="3.8530120000000001"/>
    <n v="11.536364000000001"/>
    <x v="1"/>
  </r>
  <r>
    <n v="1986"/>
    <s v="CTR_315"/>
    <s v="IHS_YND_292"/>
    <s v="CTR_315"/>
    <x v="3"/>
    <s v="Bitoto"/>
    <x v="0"/>
    <s v="Outdoor"/>
    <s v="NKOMO"/>
    <s v="MEFOU-ET-AFAMBA "/>
    <s v="MFOU"/>
    <x v="16"/>
    <n v="3.8478889999999999"/>
    <n v="11.579056"/>
    <x v="0"/>
  </r>
  <r>
    <n v="1987"/>
    <s v="CTR_395"/>
    <s v="IHS_YND_249"/>
    <s v="CTR_395"/>
    <x v="3"/>
    <s v="Biteng-Maetur"/>
    <x v="0"/>
    <s v="Outdoor"/>
    <s v="NKOMO"/>
    <s v="MFOUNDI"/>
    <s v="YAOUNDE 4"/>
    <x v="16"/>
    <n v="3.8368609999999999"/>
    <n v="11.563000000000001"/>
    <x v="0"/>
  </r>
  <r>
    <n v="1988"/>
    <s v="T0104"/>
    <s v="IHS_YND_113"/>
    <s v="T0104"/>
    <x v="3"/>
    <s v="Emombo"/>
    <x v="0"/>
    <s v="Indoor"/>
    <s v="ESSOS 1"/>
    <s v="MFOUNDI"/>
    <s v="YAOUNDE 4"/>
    <x v="16"/>
    <n v="3.8608500000000001"/>
    <n v="11.5443"/>
    <x v="0"/>
  </r>
  <r>
    <n v="1989"/>
    <s v="CTR_387"/>
    <s v="IHS_YND_276"/>
    <s v="CTR_387"/>
    <x v="3"/>
    <s v="Ekombitie"/>
    <x v="0"/>
    <s v="Outdoor"/>
    <s v="MANGUIER 2"/>
    <s v="MFOUNDI"/>
    <s v="YAOUNDE 1"/>
    <x v="16"/>
    <n v="3.9319169999999999"/>
    <n v="11.537222"/>
    <x v="0"/>
  </r>
  <r>
    <n v="1990"/>
    <s v="CTR_379"/>
    <s v="IHS_YND_277"/>
    <s v="CTR_379"/>
    <x v="3"/>
    <s v="Ngoulmekong-Nord"/>
    <x v="0"/>
    <s v="Outdoor"/>
    <s v="OMNISPORT"/>
    <s v="MFOUNDI"/>
    <s v="YAOUNDE 5"/>
    <x v="16"/>
    <n v="3.9178220000000001"/>
    <n v="11.572227"/>
    <x v="0"/>
  </r>
  <r>
    <n v="1991"/>
    <s v="CTR_378"/>
    <s v="IHS_YND_254"/>
    <s v="CTR_378"/>
    <x v="3"/>
    <s v="Mvog-Manga"/>
    <x v="0"/>
    <s v="Outdoor"/>
    <s v="TROPICANA 1"/>
    <s v="MFOUNDI"/>
    <s v="YAOUNDE 4"/>
    <x v="16"/>
    <n v="3.8104300000000002"/>
    <n v="11.53891"/>
    <x v="0"/>
  </r>
  <r>
    <n v="1992"/>
    <s v="T0817"/>
    <s v="IHS_YND_061"/>
    <s v="T0817"/>
    <x v="3"/>
    <s v="Yde University"/>
    <x v="0"/>
    <s v="Outdoor"/>
    <s v="MENDONG 2"/>
    <s v="MFOUNDI"/>
    <s v="YAOUNDE 3"/>
    <x v="16"/>
    <n v="3.8580000000000001"/>
    <n v="11.499000000000001"/>
    <x v="0"/>
  </r>
  <r>
    <n v="1993"/>
    <s v="T1101"/>
    <s v="IHS_YND_193"/>
    <s v="T1101"/>
    <x v="3"/>
    <s v="Bastos Ekoudou"/>
    <x v="0"/>
    <s v="Outdoor"/>
    <s v="TSINGA"/>
    <s v="MFOUNDI"/>
    <s v="YAOUNDE 2"/>
    <x v="16"/>
    <n v="3.8952200000000001"/>
    <n v="11.507110000000001"/>
    <x v="1"/>
  </r>
  <r>
    <n v="1994"/>
    <s v="SUD_217"/>
    <s v="IHS_EBO_006"/>
    <s v="SUD_217"/>
    <x v="5"/>
    <s v="Ebolowa-Elat"/>
    <x v="0"/>
    <s v="Outdoor"/>
    <s v="Ebolowa"/>
    <s v="MVILLA"/>
    <s v="Ebolowa 2"/>
    <x v="16"/>
    <n v="2.9111099999999999"/>
    <n v="11.16897"/>
    <x v="0"/>
  </r>
  <r>
    <n v="1995"/>
    <s v="CTR_383"/>
    <s v="IHS_YND_300"/>
    <s v="CTR_383"/>
    <x v="3"/>
    <s v="Olembe-Terminus"/>
    <x v="0"/>
    <s v="Outdoor"/>
    <s v="MANGUIER 2"/>
    <s v="MFOUNDI"/>
    <s v="YAOUNDE 1"/>
    <x v="16"/>
    <n v="3.9555280000000002"/>
    <n v="11.533806"/>
    <x v="0"/>
  </r>
  <r>
    <n v="1996"/>
    <s v="T1103"/>
    <s v="IHS_YND_242"/>
    <s v="T1103"/>
    <x v="3"/>
    <s v="Mballa 4"/>
    <x v="0"/>
    <s v="Outdoor"/>
    <s v="MANGUIER 1"/>
    <s v="MFOUNDI"/>
    <s v="YAOUNDE 1"/>
    <x v="16"/>
    <n v="3.913052"/>
    <n v="11.536978"/>
    <x v="0"/>
  </r>
  <r>
    <n v="1997"/>
    <s v="CTR_381"/>
    <s v="IHS_YND_303"/>
    <s v="CTR_381"/>
    <x v="3"/>
    <s v="Nyom"/>
    <x v="0"/>
    <s v="Outdoor"/>
    <s v="MANGUIER 2"/>
    <s v="MFOUNDI"/>
    <s v="YAOUNDE 1"/>
    <x v="16"/>
    <n v="3.9493330000000002"/>
    <n v="11.502806"/>
    <x v="0"/>
  </r>
  <r>
    <n v="1998"/>
    <s v="T1544"/>
    <s v="IHS_YND_149"/>
    <s v="T1544"/>
    <x v="3"/>
    <s v="Nsimeyong Terre Rouge"/>
    <x v="0"/>
    <s v="Outdoor"/>
    <s v="TROPICANA 2"/>
    <s v="MFOUNDI"/>
    <s v="YAOUNDE 3"/>
    <x v="16"/>
    <n v="3.8296600000000001"/>
    <n v="11.493969999999999"/>
    <x v="0"/>
  </r>
  <r>
    <n v="1999"/>
    <s v="CTR_397"/>
    <s v="IHS_YND_435"/>
    <s v="CTR_397"/>
    <x v="0"/>
    <s v="Bafia-Dang"/>
    <x v="0"/>
    <s v="Outdoor"/>
    <s v="Bafia"/>
    <s v="Mbam et inoubou"/>
    <s v="Bafia"/>
    <x v="16"/>
    <n v="4.7447049999999997"/>
    <n v="11.227257"/>
    <x v="0"/>
  </r>
  <r>
    <n v="2000"/>
    <s v="T1835"/>
    <s v="IHS_YND_160"/>
    <s v="T1835"/>
    <x v="3"/>
    <s v="Complex Beac II"/>
    <x v="0"/>
    <s v="Outdoor"/>
    <s v="TROPICANA 1"/>
    <s v="MFOUNDI"/>
    <s v="YAOUNDE 4"/>
    <x v="16"/>
    <n v="3.8243499999999999"/>
    <n v="11.525969999999999"/>
    <x v="1"/>
  </r>
  <r>
    <n v="2001"/>
    <s v="SUD_262"/>
    <s v="IHS_EBO_005"/>
    <s v="SUD_262"/>
    <x v="5"/>
    <s v="Ebolowa-Newb"/>
    <x v="0"/>
    <s v="Outdoor"/>
    <s v="Ebolowa"/>
    <s v="MVILLA"/>
    <s v="EBOLOWA 1"/>
    <x v="16"/>
    <n v="2.9316279999999999"/>
    <n v="11.145752999999999"/>
    <x v="0"/>
  </r>
  <r>
    <n v="2002"/>
    <s v="T1553"/>
    <s v="IHS_YND_108"/>
    <s v="T1553"/>
    <x v="3"/>
    <s v="RUE FOE"/>
    <x v="0"/>
    <s v="Outdoor"/>
    <s v="ESSOS 1"/>
    <s v="MFOUNDI"/>
    <s v="YAOUNDE 5"/>
    <x v="16"/>
    <n v="3.8805399999999999"/>
    <n v="11.541499999999999"/>
    <x v="1"/>
  </r>
  <r>
    <n v="2003"/>
    <s v="T1545"/>
    <s v="IHS_YND_237"/>
    <s v="T1545"/>
    <x v="3"/>
    <s v="Carrefour Simbock"/>
    <x v="0"/>
    <s v="Outdoor"/>
    <s v="MENDONG 1"/>
    <s v="MFOUNDI"/>
    <s v="YAOUNDE 6"/>
    <x v="16"/>
    <n v="3.8320379999999998"/>
    <n v="11.471667"/>
    <x v="0"/>
  </r>
  <r>
    <n v="2004"/>
    <s v="T1551"/>
    <s v="IHS_YND_316"/>
    <s v="T1551"/>
    <x v="3"/>
    <s v="Nkozoa"/>
    <x v="0"/>
    <s v="Outdoor"/>
    <s v="MANGUIER 2"/>
    <s v="MFOUNDI"/>
    <s v="YAOUNDE 1"/>
    <x v="16"/>
    <n v="3.9761600000000001"/>
    <n v="11.544359999999999"/>
    <x v="0"/>
  </r>
  <r>
    <n v="2005"/>
    <s v="T1050"/>
    <s v="IHS_YND_402"/>
    <s v="T1050"/>
    <x v="3"/>
    <s v="Ndjore"/>
    <x v="0"/>
    <s v="Outdoor"/>
    <s v="Obala"/>
    <s v="HAUTE-SANAGA "/>
    <s v="MBANBJOCK"/>
    <x v="16"/>
    <n v="4.4054200000000003"/>
    <n v="11.820442"/>
    <x v="0"/>
  </r>
  <r>
    <n v="2006"/>
    <s v="T0915"/>
    <s v="IHS_YND_412"/>
    <s v="T0915"/>
    <x v="3"/>
    <s v="Mekodo"/>
    <x v="0"/>
    <s v="Outdoor"/>
    <s v="Akonolinga"/>
    <s v="NYONG-ET-MFOUMOU "/>
    <s v="AKONOLINGA"/>
    <x v="16"/>
    <n v="3.8836409999999999"/>
    <n v="12.350631"/>
    <x v="0"/>
  </r>
  <r>
    <n v="2007"/>
    <s v="T1150"/>
    <s v="IHS_YND_363"/>
    <s v="T1150"/>
    <x v="3"/>
    <s v="Onangondi (melen bikop)"/>
    <x v="0"/>
    <s v="Outdoor"/>
    <s v="BARRIERE 1"/>
    <s v="MEFOU-ET-AKONO "/>
    <s v="BIKOK"/>
    <x v="16"/>
    <n v="3.5302500000000001"/>
    <n v="11.394310000000001"/>
    <x v="0"/>
  </r>
  <r>
    <n v="2008"/>
    <s v="CTR_192"/>
    <s v="IHS_YND_405"/>
    <s v="CTR_192"/>
    <x v="3"/>
    <s v="Saa"/>
    <x v="0"/>
    <s v="Outdoor"/>
    <s v="N'TUI"/>
    <s v="LEKIE "/>
    <s v="SA'A"/>
    <x v="16"/>
    <n v="4.371111"/>
    <n v="11.442500000000001"/>
    <x v="0"/>
  </r>
  <r>
    <n v="2009"/>
    <s v="T1637"/>
    <s v="IHS_YND_324"/>
    <s v="T1637"/>
    <x v="3"/>
    <s v="AKAK Nkozoa "/>
    <x v="0"/>
    <s v="Outdoor"/>
    <s v="Obala"/>
    <s v="MFOUNDI"/>
    <s v="SOA"/>
    <x v="16"/>
    <n v="3.9992749999999999"/>
    <n v="11.555152"/>
    <x v="0"/>
  </r>
  <r>
    <n v="2010"/>
    <s v="T1755"/>
    <s v="IHS_YND_558"/>
    <s v="T1755"/>
    <x v="3"/>
    <s v="OBALA LYCEE"/>
    <x v="0"/>
    <s v="Outdoor"/>
    <s v="Obala"/>
    <s v="LEKIE "/>
    <s v="OBALA"/>
    <x v="16"/>
    <n v="4.1607979999999998"/>
    <n v="11.526522999999999"/>
    <x v="0"/>
  </r>
  <r>
    <n v="2011"/>
    <s v="CTR_202"/>
    <s v="IHS_YND_370"/>
    <s v="CTR_202"/>
    <x v="3"/>
    <s v="Mom"/>
    <x v="0"/>
    <s v="Outdoor"/>
    <s v="BARRIERE 1"/>
    <s v="NYONG-ET-KELLE "/>
    <s v="MAKAK"/>
    <x v="16"/>
    <n v="3.603583"/>
    <n v="11.185667"/>
    <x v="0"/>
  </r>
  <r>
    <n v="2012"/>
    <s v="T2110"/>
    <s v="IHS_SGM_101"/>
    <s v="T2110"/>
    <x v="5"/>
    <s v="BENGBIS"/>
    <x v="0"/>
    <s v="Outdoor"/>
    <s v="Akonolinga"/>
    <s v="MEFOU-ET-AKONO"/>
    <s v="COMMUNE DE BENGBIS"/>
    <x v="16"/>
    <n v="3.4390619999999998"/>
    <n v="12.448153"/>
    <x v="0"/>
  </r>
  <r>
    <n v="2013"/>
    <s v="T0370"/>
    <s v="IHS_YND_227"/>
    <s v="T0370"/>
    <x v="3"/>
    <s v="Mvog Betsi"/>
    <x v="0"/>
    <s v="Indoor"/>
    <s v="MENDONG 1"/>
    <s v="MFOUNDI"/>
    <s v="YAOUNDE 6"/>
    <x v="16"/>
    <n v="3.85412"/>
    <n v="11.47932"/>
    <x v="0"/>
  </r>
  <r>
    <n v="2014"/>
    <s v="T1112"/>
    <s v="IHS_YND_074"/>
    <s v="T1112"/>
    <x v="3"/>
    <s v="Obili Chapelle"/>
    <x v="0"/>
    <s v="Outdoor"/>
    <s v="MENDONG 2"/>
    <s v="MFOUNDI"/>
    <s v="YAOUNDE 3"/>
    <x v="16"/>
    <n v="3.850806"/>
    <n v="11.493138999999999"/>
    <x v="1"/>
  </r>
  <r>
    <n v="2015"/>
    <s v="T0216"/>
    <s v="IHS_YND_032"/>
    <s v="T0216"/>
    <x v="3"/>
    <s v="Kamajou Building"/>
    <x v="0"/>
    <s v="Indoor"/>
    <s v="MENDONG 2"/>
    <s v="MFOUNDI"/>
    <s v="YAOUNDE 3"/>
    <x v="16"/>
    <n v="3.867639"/>
    <n v="11.504667"/>
    <x v="1"/>
  </r>
  <r>
    <n v="2016"/>
    <s v="T1582"/>
    <s v="IHS_YND_138"/>
    <s v="T1582"/>
    <x v="3"/>
    <s v="Nkomkana"/>
    <x v="0"/>
    <s v="Outdoor"/>
    <s v="TSINGA"/>
    <s v="MFOUNDI"/>
    <s v="YAOUNDE 2"/>
    <x v="16"/>
    <n v="3.8830960000000001"/>
    <n v="11.498564"/>
    <x v="1"/>
  </r>
  <r>
    <n v="2017"/>
    <s v="T1556"/>
    <s v="IHS_YND_182"/>
    <s v="T1556"/>
    <x v="3"/>
    <s v="Titi Garage"/>
    <x v="0"/>
    <s v="Outdoor"/>
    <s v="OMNISPORT"/>
    <s v="MFOUNDI"/>
    <s v="YAOUNDE 5"/>
    <x v="16"/>
    <n v="3.8844599999999998"/>
    <n v="11.55171"/>
    <x v="1"/>
  </r>
  <r>
    <n v="2018"/>
    <s v="T1547"/>
    <s v="IHS_YND_064"/>
    <s v="T1547"/>
    <x v="3"/>
    <s v="HOPITAL DE LA CAISSE"/>
    <x v="0"/>
    <s v="Outdoor"/>
    <s v="MANGUIER 1"/>
    <s v="MFOUNDI"/>
    <s v="YAOUNDE 5"/>
    <x v="16"/>
    <n v="3.8714170000000001"/>
    <n v="11.531131999999999"/>
    <x v="0"/>
  </r>
  <r>
    <n v="2019"/>
    <s v="T1550"/>
    <s v="IHS_YND_537"/>
    <s v="T1550"/>
    <x v="3"/>
    <s v="MEFOU ASSI"/>
    <x v="0"/>
    <s v="Outdoor"/>
    <s v="BARRIERE 1"/>
    <s v="MFOUNDI"/>
    <s v="YAOUNDE 6"/>
    <x v="16"/>
    <n v="3.8074170000000001"/>
    <n v="11.456694000000001"/>
    <x v="0"/>
  </r>
  <r>
    <n v="2020"/>
    <s v="T1572"/>
    <s v="IHS_YND_117"/>
    <s v="T1572"/>
    <x v="3"/>
    <s v="Nkomo stade"/>
    <x v="0"/>
    <s v="Outdoor"/>
    <s v="NKOMO"/>
    <s v="MFOUNDI"/>
    <s v="YAOUNDE 4"/>
    <x v="16"/>
    <n v="3.8479749999999999"/>
    <n v="11.547172"/>
    <x v="0"/>
  </r>
  <r>
    <n v="2021"/>
    <s v="T1543"/>
    <s v="IHS_YND_336"/>
    <s v="T1543"/>
    <x v="3"/>
    <s v="EKIE"/>
    <x v="0"/>
    <s v="Outdoor"/>
    <s v="TROPICANA 1"/>
    <s v="MFOUNDI"/>
    <s v="YAOUNDE 4"/>
    <x v="16"/>
    <n v="3.8325399999999998"/>
    <n v="11.53077"/>
    <x v="0"/>
  </r>
  <r>
    <n v="2022"/>
    <s v="CTR_036"/>
    <s v="IHS_YND_334"/>
    <s v="CTR_036"/>
    <x v="3"/>
    <s v="Mfou"/>
    <x v="0"/>
    <s v="Indoor"/>
    <s v="NKOMO"/>
    <s v="MEFOU-ET-AFAMBA "/>
    <s v="MFOU"/>
    <x v="16"/>
    <n v="3.7256939999999998"/>
    <n v="11.638999999999999"/>
    <x v="0"/>
  </r>
  <r>
    <n v="2023"/>
    <s v="CTR_313"/>
    <s v="IHS_YND_307"/>
    <s v="CTR_313"/>
    <x v="3"/>
    <s v="Ebogo"/>
    <x v="0"/>
    <s v="Outdoor"/>
    <s v="OMNISPORT"/>
    <s v="MFOUNDI"/>
    <s v="YAOUNDE 5"/>
    <x v="16"/>
    <n v="3.9487199999999998"/>
    <n v="11.5884"/>
    <x v="0"/>
  </r>
  <r>
    <n v="2024"/>
    <s v="T0144"/>
    <s v="IHS_YND_333"/>
    <s v="T0144"/>
    <x v="3"/>
    <s v="Mfou"/>
    <x v="0"/>
    <s v="Indoor"/>
    <s v="NKOMO"/>
    <s v="MEFOU-ET-AFAMBA "/>
    <s v="MFOU"/>
    <x v="16"/>
    <n v="3.727147"/>
    <n v="11.638579"/>
    <x v="0"/>
  </r>
  <r>
    <n v="2025"/>
    <s v="T1627"/>
    <s v="IHS_YND_443"/>
    <s v="T1627"/>
    <x v="4"/>
    <s v="Nanga Eboko TOWN T1621"/>
    <x v="0"/>
    <s v="Outdoor"/>
    <s v="Nanga Eboko"/>
    <s v="HAUTE-SANAGA "/>
    <s v="Nanaga Eboko"/>
    <x v="16"/>
    <n v="4.6666249999999998"/>
    <n v="12.378568"/>
    <x v="0"/>
  </r>
  <r>
    <n v="2026"/>
    <s v="T1618"/>
    <s v="IHS_YND_305"/>
    <s v="T1618"/>
    <x v="3"/>
    <s v="NYOM"/>
    <x v="0"/>
    <s v="Outdoor"/>
    <s v="MANGUIER 2"/>
    <s v="MFOUNDI"/>
    <s v="YAOUNDE 1"/>
    <x v="16"/>
    <n v="3.9582099999999998"/>
    <n v="11.517160000000001"/>
    <x v="0"/>
  </r>
  <r>
    <n v="2027"/>
    <s v="T1613"/>
    <s v="IHS_YND_301"/>
    <s v="T1613"/>
    <x v="3"/>
    <s v="Tsinga village"/>
    <x v="0"/>
    <s v="Outdoor"/>
    <s v="MANGUIER 1"/>
    <s v="MFOUNDI"/>
    <s v="YAOUNDE 2"/>
    <x v="16"/>
    <n v="3.9337070000000001"/>
    <n v="11.554975000000001"/>
    <x v="0"/>
  </r>
  <r>
    <n v="2028"/>
    <s v="T1113"/>
    <s v="IHS_YND_105"/>
    <s v="T1113"/>
    <x v="3"/>
    <s v="Omnisport 3"/>
    <x v="0"/>
    <s v="Outdoor"/>
    <s v="MANGUIER 1"/>
    <s v="MFOUNDI"/>
    <s v="YAOUNDE 5"/>
    <x v="16"/>
    <n v="3.8875950000000001"/>
    <n v="11.537982"/>
    <x v="1"/>
  </r>
  <r>
    <n v="2029"/>
    <s v="CTR_198"/>
    <s v="IHS_YND_126"/>
    <s v="CTR_198"/>
    <x v="3"/>
    <s v="Bastos-Nylon"/>
    <x v="0"/>
    <s v="Outdoor"/>
    <s v="TSINGA"/>
    <s v="MFOUNDI"/>
    <s v="YAOUNDE 2"/>
    <x v="16"/>
    <n v="3.889472"/>
    <n v="11.507250000000001"/>
    <x v="1"/>
  </r>
  <r>
    <n v="2030"/>
    <s v="T0341"/>
    <s v="IHS_YND_270"/>
    <s v="T0341"/>
    <x v="3"/>
    <s v="Santa Barbara Yde"/>
    <x v="0"/>
    <s v="Indoor"/>
    <s v="MANGUIER 1"/>
    <s v="MFOUNDI"/>
    <s v="YAOUNDE 1"/>
    <x v="16"/>
    <n v="3.9239999999999999"/>
    <n v="11.537000000000001"/>
    <x v="0"/>
  </r>
  <r>
    <n v="2031"/>
    <s v="T0816"/>
    <s v="IHS_YND_260"/>
    <s v="T0816"/>
    <x v="3"/>
    <s v="Simbock Maetur"/>
    <x v="0"/>
    <s v="Outdoor"/>
    <s v="MENDONG 1"/>
    <s v="MFOUNDI"/>
    <s v="YAOUNDE 6"/>
    <x v="16"/>
    <n v="3.8050000000000002"/>
    <n v="11.481"/>
    <x v="0"/>
  </r>
  <r>
    <n v="2032"/>
    <s v="T1834"/>
    <s v="IHS_YND_132"/>
    <s v="T1834"/>
    <x v="3"/>
    <s v="Manguiers Dispensaire"/>
    <x v="0"/>
    <s v="Outdoor"/>
    <s v="MANGUIER 2"/>
    <s v="MFOUNDI"/>
    <s v="YAOUNDE 1"/>
    <x v="16"/>
    <n v="3.89"/>
    <n v="11.529"/>
    <x v="1"/>
  </r>
  <r>
    <n v="2033"/>
    <s v="T0638"/>
    <s v="IHS_YND_318"/>
    <s v="T0638"/>
    <x v="3"/>
    <s v="SOA University"/>
    <x v="0"/>
    <s v="Outdoor"/>
    <s v="OMNISPORT"/>
    <s v="MFOUNDI"/>
    <s v="SOA"/>
    <x v="16"/>
    <n v="3.9678100000000001"/>
    <n v="11.5929"/>
    <x v="1"/>
  </r>
  <r>
    <n v="2034"/>
    <s v="T1862"/>
    <s v="IHS_YND_510"/>
    <s v="T1862"/>
    <x v="3"/>
    <s v="MVAN SACEL"/>
    <x v="0"/>
    <s v="Outdoor"/>
    <s v="TROPICANA 2"/>
    <s v="MFOUNDI"/>
    <s v="YAOUNDE 4"/>
    <x v="16"/>
    <n v="3.8272200000000001"/>
    <n v="11.517620000000001"/>
    <x v="1"/>
  </r>
  <r>
    <n v="2035"/>
    <s v="T1874"/>
    <s v="IHS_YND_520"/>
    <s v="T1874"/>
    <x v="3"/>
    <s v="SIMBOCK BONAMBAPE"/>
    <x v="0"/>
    <s v="Outdoor"/>
    <s v="MENDONG 1"/>
    <s v="MFOUNDI"/>
    <s v="YAOUNDE 6"/>
    <x v="16"/>
    <n v="3.8210280000000001"/>
    <n v="11.474289000000001"/>
    <x v="1"/>
  </r>
  <r>
    <n v="2036"/>
    <s v="T0456"/>
    <s v="IHS_YND_224"/>
    <s v="T0456"/>
    <x v="3"/>
    <s v="Messa Carriere"/>
    <x v="0"/>
    <s v="Outdoor"/>
    <s v="ESSOS 2"/>
    <s v="MFOUNDI"/>
    <s v="YAOUNDE 6"/>
    <x v="16"/>
    <n v="3.8786299999999998"/>
    <n v="11.48537"/>
    <x v="1"/>
  </r>
  <r>
    <n v="2037"/>
    <s v="CTR_327"/>
    <s v="IHS_YND_092"/>
    <s v="CTR_327"/>
    <x v="3"/>
    <s v="Fouda-New"/>
    <x v="0"/>
    <s v="Outdoor"/>
    <s v="MANGUIER 1"/>
    <s v="MFOUNDI"/>
    <s v="YAOUNDE 5"/>
    <x v="16"/>
    <n v="3.8760140000000001"/>
    <n v="11.531523999999999"/>
    <x v="1"/>
  </r>
  <r>
    <n v="2038"/>
    <s v="T0629"/>
    <s v="IHS_YND_058"/>
    <s v="T0629"/>
    <x v="3"/>
    <s v="Mvolye"/>
    <x v="0"/>
    <s v="Outdoor"/>
    <s v="TROPICANA 2"/>
    <s v="MFOUNDI"/>
    <s v="YAOUNDE 3"/>
    <x v="16"/>
    <n v="3.8433609999999998"/>
    <n v="11.506610999999999"/>
    <x v="0"/>
  </r>
  <r>
    <n v="2039"/>
    <s v="T0351"/>
    <s v="IHS_YND_146"/>
    <s v="T0351"/>
    <x v="3"/>
    <s v="Nsimeyong"/>
    <x v="0"/>
    <s v="Indoor"/>
    <s v="TROPICANA 2"/>
    <s v="MFOUNDI"/>
    <s v="YAOUNDE 3"/>
    <x v="16"/>
    <n v="3.8180990000000001"/>
    <n v="11.488170999999999"/>
    <x v="0"/>
  </r>
  <r>
    <n v="2040"/>
    <s v="T1111"/>
    <s v="IHS_YND_118"/>
    <s v="T1111"/>
    <x v="3"/>
    <s v="ESSOS OASIS 1111"/>
    <x v="0"/>
    <s v="Outdoor"/>
    <s v="ESSOS 1"/>
    <s v="MFOUNDI"/>
    <s v="YAOUNDE 5"/>
    <x v="16"/>
    <n v="3.8787799999999999"/>
    <n v="11.54899"/>
    <x v="1"/>
  </r>
  <r>
    <n v="2041"/>
    <s v="SUD_264"/>
    <s v="IHS_EBO_002"/>
    <s v="SUD_264"/>
    <x v="5"/>
    <s v="Ebolowa-Angale"/>
    <x v="0"/>
    <s v="Outdoor"/>
    <s v="Ebolowa"/>
    <s v="MVILLA"/>
    <s v="Ebolowa 2"/>
    <x v="16"/>
    <n v="2.9254899999999999"/>
    <n v="11.162642"/>
    <x v="0"/>
  </r>
  <r>
    <n v="2042"/>
    <s v="CTR_425"/>
    <s v="IHS_YND_141"/>
    <s v="CTR_425"/>
    <x v="3"/>
    <s v="New-Marche-Melen"/>
    <x v="0"/>
    <s v="Outdoor"/>
    <s v="MENDONG 2"/>
    <s v="MFOUNDI"/>
    <s v="YAOUNDE 6"/>
    <x v="16"/>
    <n v="3.8646940000000001"/>
    <n v="11.48875"/>
    <x v="0"/>
  </r>
  <r>
    <n v="2043"/>
    <s v="CTR_333"/>
    <s v="IHS_YND_273"/>
    <s v="CTR_333"/>
    <x v="3"/>
    <s v="Nkolbi-Boss"/>
    <x v="0"/>
    <s v="Outdoor"/>
    <s v="NKOLBISSON"/>
    <s v="MFOUNDI"/>
    <s v="YAOUNDE 7"/>
    <x v="16"/>
    <n v="3.8796149999999998"/>
    <n v="11.457051999999999"/>
    <x v="0"/>
  </r>
  <r>
    <n v="2044"/>
    <s v="T1690"/>
    <s v="IHS_YND_516"/>
    <s v="T1690"/>
    <x v="3"/>
    <s v="ETOUDI Entrée du palais"/>
    <x v="0"/>
    <s v="Outdoor"/>
    <s v="MANGUIER 2"/>
    <s v="MFOUNDI"/>
    <s v="YAOUNDE 1"/>
    <x v="16"/>
    <n v="3.9170280000000002"/>
    <n v="11.521167"/>
    <x v="1"/>
  </r>
  <r>
    <n v="2045"/>
    <s v="CTR_337"/>
    <s v="IHS_YND_280"/>
    <s v="CTR_337"/>
    <x v="3"/>
    <s v="Messassi"/>
    <x v="0"/>
    <s v="Outdoor"/>
    <s v="MANGUIER 2"/>
    <s v="MFOUNDI"/>
    <s v="YAOUNDE 1"/>
    <x v="16"/>
    <n v="3.9365559999999999"/>
    <n v="11.521139"/>
    <x v="0"/>
  </r>
  <r>
    <n v="2046"/>
    <s v="T1571"/>
    <s v="IHS_YND_535"/>
    <s v="T1571"/>
    <x v="3"/>
    <s v="Awae Ewonkan"/>
    <x v="0"/>
    <s v="Outdoor"/>
    <s v="NKOMO"/>
    <s v="MEFOU-ET-AFAMBA "/>
    <s v="NKOLAFAMBA"/>
    <x v="16"/>
    <n v="3.8204009999999999"/>
    <n v="11.551556"/>
    <x v="0"/>
  </r>
  <r>
    <n v="2047"/>
    <s v="T1674"/>
    <s v="IHS_YND_533"/>
    <s v="T1674"/>
    <x v="3"/>
    <s v="Akonolinga Town"/>
    <x v="0"/>
    <s v="Outdoor"/>
    <s v="Akonolinga"/>
    <s v="NYONG-ET-MFOUMOU "/>
    <s v="AKONOLINGA"/>
    <x v="16"/>
    <n v="3.780376"/>
    <n v="12.257125"/>
    <x v="0"/>
  </r>
  <r>
    <n v="2048"/>
    <s v="CTR_061"/>
    <s v="IHS_YND_326"/>
    <s v="CTR_061"/>
    <x v="3"/>
    <s v="Nkometou"/>
    <x v="0"/>
    <s v="Indoor"/>
    <s v="Obala"/>
    <s v="LEKIE "/>
    <s v="OBALA"/>
    <x v="16"/>
    <n v="4.040851"/>
    <n v="11.546908999999999"/>
    <x v="0"/>
  </r>
  <r>
    <n v="2049"/>
    <s v="T0912"/>
    <s v="IHS_YND_397"/>
    <s v="T0912"/>
    <x v="3"/>
    <s v="Essouba"/>
    <x v="0"/>
    <s v="Outdoor"/>
    <s v="Akonolinga"/>
    <s v="NYONG-ET-MFOUMOU "/>
    <s v="AKONOLINGA"/>
    <x v="16"/>
    <n v="3.889526"/>
    <n v="12.033716"/>
    <x v="0"/>
  </r>
  <r>
    <n v="2050"/>
    <s v="CTR_095"/>
    <s v="IHS_YND_429"/>
    <s v="CTR_095"/>
    <x v="0"/>
    <s v="Ombessa"/>
    <x v="0"/>
    <s v="Indoor"/>
    <s v="Bafia"/>
    <s v="Mbam et inoubou"/>
    <s v="Ombessa"/>
    <x v="16"/>
    <n v="4.6042500000000004"/>
    <n v="11.257277999999999"/>
    <x v="0"/>
  </r>
  <r>
    <n v="2051"/>
    <s v="CTR_084"/>
    <s v="IHS_YND_294"/>
    <s v="CTR_084"/>
    <x v="3"/>
    <s v="Nkoabang"/>
    <x v="0"/>
    <s v="Indoor"/>
    <s v="NKOMO"/>
    <s v="MEFOU-ET-AFAMBA "/>
    <s v="NKOLAFAMBA"/>
    <x v="16"/>
    <n v="3.8635280000000001"/>
    <n v="11.587137"/>
    <x v="0"/>
  </r>
  <r>
    <n v="2052"/>
    <s v="T1614"/>
    <s v="IHS_YND_403"/>
    <s v="T1614"/>
    <x v="3"/>
    <s v="NTUI TOWN"/>
    <x v="0"/>
    <s v="Outdoor"/>
    <s v="N'TUI"/>
    <s v="MBAM ET KIM"/>
    <s v="NTUI"/>
    <x v="16"/>
    <n v="4.45059"/>
    <n v="11.624146"/>
    <x v="0"/>
  </r>
  <r>
    <n v="2053"/>
    <s v="CTR_271"/>
    <s v="IHS_YND_275"/>
    <s v="CTR_271"/>
    <x v="3"/>
    <s v="Nkolbong"/>
    <x v="0"/>
    <s v="Outdoor"/>
    <s v="MANGUIER 1"/>
    <s v="MFOUNDI"/>
    <s v="YAOUNDE 1"/>
    <x v="16"/>
    <n v="3.9249100000000001"/>
    <n v="11.546841000000001"/>
    <x v="0"/>
  </r>
  <r>
    <n v="2054"/>
    <s v="T1630"/>
    <s v="IHS_YND_187"/>
    <s v="T1630"/>
    <x v="3"/>
    <s v="NTEMASSI"/>
    <x v="0"/>
    <s v="Outdoor"/>
    <s v="OMNISPORT"/>
    <s v="MFOUNDI"/>
    <s v="YAOUNDE 5"/>
    <x v="16"/>
    <n v="3.8948100000000001"/>
    <n v="11.54068"/>
    <x v="1"/>
  </r>
  <r>
    <n v="2055"/>
    <s v="CTR_430"/>
    <s v="IHS_YND_317"/>
    <s v="CTR_430"/>
    <x v="3"/>
    <s v="Soa-Sofamac"/>
    <x v="0"/>
    <s v="Outdoor"/>
    <s v="OMNISPORT"/>
    <s v="MFOUNDI"/>
    <s v="SOA"/>
    <x v="16"/>
    <n v="3.96428"/>
    <n v="11.59346"/>
    <x v="0"/>
  </r>
  <r>
    <n v="2056"/>
    <s v="T2829"/>
    <s v="IHS_YND_526"/>
    <s v="T2829"/>
    <x v="3"/>
    <s v="Nkoabang2"/>
    <x v="0"/>
    <s v="Outdoor"/>
    <s v="NKOMO"/>
    <s v="MEFOU-ET-AFAMBA "/>
    <s v="NKOLAFAMBA"/>
    <x v="16"/>
    <n v="3.8632499999999999"/>
    <n v="11.605"/>
    <x v="0"/>
  </r>
  <r>
    <n v="2057"/>
    <s v="T0142"/>
    <s v="IHS_YND_404"/>
    <s v="T0142"/>
    <x v="3"/>
    <s v="SAA"/>
    <x v="0"/>
    <s v="Indoor"/>
    <s v="N'TUI"/>
    <s v="LEKIE "/>
    <s v="SA'A"/>
    <x v="16"/>
    <n v="4.3656980000000001"/>
    <n v="11.441595"/>
    <x v="0"/>
  </r>
  <r>
    <n v="2058"/>
    <s v="T1868"/>
    <s v="IHS_YND_524"/>
    <s v="T1868"/>
    <x v="3"/>
    <s v="ODZA BORNE 10"/>
    <x v="0"/>
    <s v="Outdoor"/>
    <s v="TROPICANA 1"/>
    <s v="MFOUNDI"/>
    <s v="YAOUNDE 4"/>
    <x v="16"/>
    <n v="3.7904300000000002"/>
    <n v="11.524139999999999"/>
    <x v="0"/>
  </r>
  <r>
    <n v="2059"/>
    <s v="T1687"/>
    <s v="IHS_YND_509"/>
    <s v="T1687"/>
    <x v="3"/>
    <s v="MANGUIERS CHAPELLE"/>
    <x v="0"/>
    <s v="Outdoor"/>
    <s v="MANGUIER 2"/>
    <s v="MFOUNDI"/>
    <s v="YAOUNDE 1"/>
    <x v="16"/>
    <n v="3.9003329999999998"/>
    <n v="11.533333000000001"/>
    <x v="0"/>
  </r>
  <r>
    <n v="2060"/>
    <s v="CTR_477"/>
    <s v="IHS_YND_566"/>
    <s v="CTR_477"/>
    <x v="3"/>
    <s v="Crf Cornier"/>
    <x v="0"/>
    <s v="Outdoor"/>
    <s v="ESSOS 1"/>
    <s v="MFOUNDI"/>
    <s v="YAOUNDE 4"/>
    <x v="16"/>
    <n v="3.8653949999999999"/>
    <n v="11.541137000000001"/>
    <x v="1"/>
  </r>
  <r>
    <n v="2061"/>
    <s v="SUD_223"/>
    <s v="IHS_EBO_007"/>
    <s v="SUD_223"/>
    <x v="5"/>
    <s v="Ebolowa-Mekalat"/>
    <x v="0"/>
    <s v="Outdoor"/>
    <s v="Ebolowa"/>
    <s v="MVILLA"/>
    <s v="Ebolowa 2"/>
    <x v="16"/>
    <n v="2.9344199999999998"/>
    <n v="11.165865"/>
    <x v="0"/>
  </r>
  <r>
    <n v="2062"/>
    <s v="T1477"/>
    <s v="IHS_YND_674"/>
    <s v="T1477"/>
    <x v="3"/>
    <s v="Mfou EPC"/>
    <x v="0"/>
    <s v="Outdoor"/>
    <s v="NKOMO"/>
    <s v="MEFOU-ET-AFAMBA "/>
    <s v="MFOU"/>
    <x v="16"/>
    <n v="3.7152500000000002"/>
    <n v="11.64391"/>
    <x v="0"/>
  </r>
  <r>
    <n v="2063"/>
    <s v="T1625"/>
    <s v="IHS_YND_204"/>
    <s v="T1625"/>
    <x v="3"/>
    <s v="TONGOLO SNEC"/>
    <x v="0"/>
    <s v="Outdoor"/>
    <s v="MANGUIER 2"/>
    <s v="MFOUNDI"/>
    <s v="YAOUNDE 1"/>
    <x v="16"/>
    <n v="3.9066010000000002"/>
    <n v="11.52312"/>
    <x v="0"/>
  </r>
  <r>
    <n v="2064"/>
    <s v="T1689"/>
    <s v="IHS_YND_523"/>
    <s v="T1689"/>
    <x v="3"/>
    <s v="EMANA BILICK CITY"/>
    <x v="0"/>
    <s v="Outdoor"/>
    <s v="MANGUIER 2"/>
    <s v="MFOUNDI"/>
    <s v="YAOUNDE 1"/>
    <x v="16"/>
    <n v="3.9317799999999998"/>
    <n v="11.5105"/>
    <x v="0"/>
  </r>
  <r>
    <n v="2065"/>
    <s v="T0462"/>
    <s v="IHS_YND_123"/>
    <s v="T0462"/>
    <x v="3"/>
    <s v="Nkomo II"/>
    <x v="0"/>
    <s v="Outdoor"/>
    <s v="TROPICANA 1"/>
    <s v="MFOUNDI"/>
    <s v="YAOUNDE 4"/>
    <x v="16"/>
    <n v="3.8327100000000001"/>
    <n v="11.538880000000001"/>
    <x v="0"/>
  </r>
  <r>
    <n v="2066"/>
    <s v="T1587"/>
    <s v="IHS_YND_291"/>
    <s v="T1587"/>
    <x v="3"/>
    <s v="Ekoumdoum OCM"/>
    <x v="0"/>
    <s v="Outdoor"/>
    <s v="TROPICANA 1"/>
    <s v="MFOUNDI"/>
    <s v="YAOUNDE 4"/>
    <x v="16"/>
    <n v="3.8222149999999999"/>
    <n v="11.534145000000001"/>
    <x v="0"/>
  </r>
  <r>
    <n v="2067"/>
    <s v="CTR_161"/>
    <s v="IHS_YND_506"/>
    <s v="CTR_161"/>
    <x v="3"/>
    <s v="Omnisport-Rail"/>
    <x v="0"/>
    <s v="Outdoor"/>
    <s v="MANGUIER 1"/>
    <s v="MFOUNDI"/>
    <s v="YAOUNDE 1"/>
    <x v="16"/>
    <n v="3.8942329999999998"/>
    <n v="11.536047"/>
    <x v="1"/>
  </r>
  <r>
    <n v="2068"/>
    <s v="T1603"/>
    <s v="IHS_YND_667"/>
    <s v="T1603"/>
    <x v="0"/>
    <s v="Bafia Donenkeng "/>
    <x v="0"/>
    <s v="Outdoor"/>
    <s v="Bafia"/>
    <s v="Mbam et inoubou"/>
    <s v="Bafia"/>
    <x v="16"/>
    <n v="4.7309999999999999"/>
    <n v="11.285917"/>
    <x v="0"/>
  </r>
  <r>
    <n v="2069"/>
    <s v="T1105"/>
    <s v="IHS_YND_266"/>
    <s v="T1105"/>
    <x v="3"/>
    <s v="Mimboman4"/>
    <x v="0"/>
    <s v="Outdoor"/>
    <s v="NKOMO"/>
    <s v="MFOUNDI"/>
    <s v="YAOUNDE 4"/>
    <x v="16"/>
    <n v="3.8687589999999998"/>
    <n v="11.569497"/>
    <x v="0"/>
  </r>
  <r>
    <n v="2070"/>
    <s v="T1396"/>
    <s v="IHS_YND_514"/>
    <s v="T1396"/>
    <x v="3"/>
    <s v="Etoudi2"/>
    <x v="0"/>
    <s v="Outdoor"/>
    <s v="MANGUIER 1"/>
    <s v="MFOUNDI"/>
    <s v="YAOUNDE 1"/>
    <x v="16"/>
    <n v="3.9118539999999999"/>
    <n v="11.530296"/>
    <x v="0"/>
  </r>
  <r>
    <n v="2071"/>
    <s v="T0601"/>
    <s v="IHS_YND_098"/>
    <s v="T0601"/>
    <x v="3"/>
    <s v="Ekounou"/>
    <x v="0"/>
    <s v="Outdoor"/>
    <s v="TROPICANA 1"/>
    <s v="MFOUNDI"/>
    <s v="YAOUNDE 4"/>
    <x v="16"/>
    <n v="3.8422360000000002"/>
    <n v="11.534129"/>
    <x v="0"/>
  </r>
  <r>
    <n v="2072"/>
    <s v="T0604"/>
    <s v="IHS_YND_171"/>
    <s v="T0604"/>
    <x v="3"/>
    <s v="Awae Escalier"/>
    <x v="0"/>
    <s v="Outdoor"/>
    <s v="NKOMO"/>
    <s v="MEFOU-ET-AFAMBA "/>
    <s v="NKOLAFAMBA"/>
    <x v="16"/>
    <n v="3.830565"/>
    <n v="11.551352"/>
    <x v="1"/>
  </r>
  <r>
    <n v="2073"/>
    <s v="CTR_040"/>
    <s v="IHS_YND_114"/>
    <s v="CTR_040"/>
    <x v="3"/>
    <s v="Kondengui"/>
    <x v="0"/>
    <s v="Indoor"/>
    <s v="ESSOS 1"/>
    <s v="MFOUNDI"/>
    <s v="YAOUNDE 4"/>
    <x v="16"/>
    <n v="3.8558789999999998"/>
    <n v="11.541745000000001"/>
    <x v="1"/>
  </r>
  <r>
    <n v="2074"/>
    <s v="T0058"/>
    <s v="IHS_YND_293"/>
    <s v="T0058"/>
    <x v="3"/>
    <s v="Nkoabang"/>
    <x v="0"/>
    <s v="Indoor"/>
    <s v="NKOMO"/>
    <s v="MEFOU-ET-AFAMBA "/>
    <s v="NKOLAFAMBA"/>
    <x v="16"/>
    <n v="3.8603519999999998"/>
    <n v="11.583843"/>
    <x v="0"/>
  </r>
  <r>
    <n v="2075"/>
    <s v="T1333"/>
    <s v="IHS_YND_174"/>
    <s v="T1333"/>
    <x v="3"/>
    <s v="Carrefourt Nkomo"/>
    <x v="0"/>
    <s v="Outdoor"/>
    <s v="NKOMO"/>
    <s v="MFOUNDI"/>
    <s v="YAOUNDE 4"/>
    <x v="16"/>
    <n v="3.8408090000000001"/>
    <n v="11.551508999999999"/>
    <x v="1"/>
  </r>
  <r>
    <n v="2076"/>
    <s v="T0498"/>
    <s v="IHS_YND_049"/>
    <s v="T0498"/>
    <x v="3"/>
    <s v="Etoa-Meki"/>
    <x v="0"/>
    <s v="Outdoor"/>
    <s v="MANGUIER 1"/>
    <s v="MFOUNDI"/>
    <s v="YAOUNDE 1"/>
    <x v="16"/>
    <n v="3.88178"/>
    <n v="11.524139999999999"/>
    <x v="1"/>
  </r>
  <r>
    <n v="2077"/>
    <s v="T1548"/>
    <s v="IHS_YND_308"/>
    <s v="T1548"/>
    <x v="3"/>
    <s v="Melen Ba'aba"/>
    <x v="0"/>
    <s v="Outdoor"/>
    <s v="OMNISPORT"/>
    <s v="MFOUNDI"/>
    <s v="SOA"/>
    <x v="16"/>
    <n v="3.919489"/>
    <n v="11.610127"/>
    <x v="0"/>
  </r>
  <r>
    <n v="2078"/>
    <s v="T0818"/>
    <s v="IHS_YND_122"/>
    <s v="T0818"/>
    <x v="3"/>
    <s v="Emombo Esssomba"/>
    <x v="0"/>
    <s v="Outdoor"/>
    <s v="NKOMO"/>
    <s v="MFOUNDI"/>
    <s v="YAOUNDE 4"/>
    <x v="16"/>
    <n v="3.85751"/>
    <n v="11.548170000000001"/>
    <x v="1"/>
  </r>
  <r>
    <n v="2079"/>
    <s v="T0237"/>
    <s v="IHS_YND_302"/>
    <s v="T0237"/>
    <x v="3"/>
    <s v="Nkolndom"/>
    <x v="0"/>
    <s v="Indoor"/>
    <s v="MANGUIER 2"/>
    <s v="MFOUNDI"/>
    <s v="YAOUNDE 1"/>
    <x v="16"/>
    <n v="3.9456099999999998"/>
    <n v="11.505240000000001"/>
    <x v="0"/>
  </r>
  <r>
    <n v="2080"/>
    <s v="T0093"/>
    <s v="IHS_YND_353"/>
    <s v="T0093"/>
    <x v="3"/>
    <s v="Obala"/>
    <x v="0"/>
    <s v="Indoor"/>
    <s v="Obala"/>
    <s v="LEKIE "/>
    <s v="OBALA"/>
    <x v="16"/>
    <n v="4.1696249999999999"/>
    <n v="11.533586"/>
    <x v="0"/>
  </r>
  <r>
    <n v="2081"/>
    <s v="CTR_254"/>
    <s v="IHS_YND_216"/>
    <s v="CTR_254"/>
    <x v="3"/>
    <s v="Eleveur"/>
    <x v="0"/>
    <s v="Outdoor"/>
    <s v="OMNISPORT"/>
    <s v="MFOUNDI"/>
    <s v="YAOUNDE 5"/>
    <x v="16"/>
    <n v="3.9030320000000001"/>
    <n v="11.560627999999999"/>
    <x v="0"/>
  </r>
  <r>
    <n v="2082"/>
    <s v="T1861"/>
    <s v="IHS_YND_682"/>
    <s v="T1861"/>
    <x v="3"/>
    <s v="MONTEE NKONDENGUI"/>
    <x v="0"/>
    <s v="Outdoor"/>
    <s v="ESSOS 1"/>
    <s v="MFOUNDI"/>
    <s v="YAOUNDE 4"/>
    <x v="16"/>
    <n v="3.8488609999999999"/>
    <n v="11.532075000000001"/>
    <x v="0"/>
  </r>
  <r>
    <n v="2083"/>
    <s v="T0183"/>
    <s v="IHS_YND_184"/>
    <s v="T0183"/>
    <x v="3"/>
    <s v="Nkolmesseng"/>
    <x v="0"/>
    <s v="Indoor"/>
    <s v="ESSOS 1"/>
    <s v="MFOUNDI"/>
    <s v="YAOUNDE 5"/>
    <x v="16"/>
    <n v="3.8856799999999998"/>
    <n v="11.556952000000001"/>
    <x v="0"/>
  </r>
  <r>
    <n v="2084"/>
    <s v="T0056"/>
    <s v="IHS_YND_189"/>
    <s v="T0056"/>
    <x v="3"/>
    <s v="Paradis Hotel"/>
    <x v="0"/>
    <s v="Indoor"/>
    <s v="OMNISPORT"/>
    <s v="MFOUNDI"/>
    <s v="YAOUNDE 5"/>
    <x v="16"/>
    <n v="3.8984740000000002"/>
    <n v="11.544302999999999"/>
    <x v="1"/>
  </r>
  <r>
    <n v="2085"/>
    <s v="T0531"/>
    <s v="IHS_YND_309"/>
    <s v="T0531"/>
    <x v="3"/>
    <s v="Leboudi"/>
    <x v="0"/>
    <s v="Outdoor"/>
    <s v="NKOLBISSON"/>
    <s v="LEKIE "/>
    <s v="OKOLA"/>
    <x v="16"/>
    <n v="3.9227919999999998"/>
    <n v="11.453188000000001"/>
    <x v="0"/>
  </r>
  <r>
    <n v="2086"/>
    <s v="T1440"/>
    <s v="IHS_YND_698"/>
    <s v="T1440"/>
    <x v="3"/>
    <s v="EBOM"/>
    <x v="0"/>
    <s v="Outdoor"/>
    <s v="MENDONG 1"/>
    <s v="MFOUNDI"/>
    <s v="YAOUNDE 3"/>
    <x v="16"/>
    <n v="3.8001"/>
    <n v="11.490083"/>
    <x v="0"/>
  </r>
  <r>
    <n v="2087"/>
    <s v="T1665"/>
    <s v="IHS_YND_014"/>
    <s v="T1665"/>
    <x v="3"/>
    <s v="Elig-Essono Mahima"/>
    <x v="0"/>
    <s v="Outdoor"/>
    <s v="ESSOS 1"/>
    <s v="MFOUNDI"/>
    <s v="YAOUNDE 1"/>
    <x v="16"/>
    <n v="3.8725499999999999"/>
    <n v="11.524380000000001"/>
    <x v="0"/>
  </r>
  <r>
    <n v="2088"/>
    <s v="T0395"/>
    <s v="IHS_YND_065"/>
    <s v="T0395"/>
    <x v="3"/>
    <s v="Essos DCS"/>
    <x v="0"/>
    <s v="Indoor"/>
    <s v="ESSOS 1"/>
    <s v="MFOUNDI"/>
    <s v="YAOUNDE 5"/>
    <x v="16"/>
    <n v="3.871855"/>
    <n v="11.536448"/>
    <x v="1"/>
  </r>
  <r>
    <n v="2089"/>
    <s v="CTR_506"/>
    <s v="IHS_YND_592"/>
    <s v="CTR_506"/>
    <x v="3"/>
    <s v="Nkoteng Ville "/>
    <x v="0"/>
    <s v="Outdoor"/>
    <s v="Obala"/>
    <s v="HAUTE-SANAGA "/>
    <s v="NKOTENG"/>
    <x v="16"/>
    <n v="4.5024899999999999"/>
    <n v="12.121642"/>
    <x v="0"/>
  </r>
  <r>
    <n v="2090"/>
    <s v="T1502"/>
    <s v="IHS_YND_685"/>
    <s v="T1502"/>
    <x v="3"/>
    <s v="Emana lycee 2"/>
    <x v="0"/>
    <s v="Outdoor"/>
    <s v="MANGUIER 2"/>
    <s v="MFOUNDI"/>
    <s v="YAOUNDE 1"/>
    <x v="16"/>
    <n v="3.9237220000000002"/>
    <n v="11.511900000000001"/>
    <x v="0"/>
  </r>
  <r>
    <n v="2091"/>
    <s v="T1869"/>
    <s v="IHS_YND_528"/>
    <s v="T1869"/>
    <x v="3"/>
    <s v="MEHANDAN"/>
    <x v="0"/>
    <s v="Outdoor"/>
    <s v="TROPICANA 1"/>
    <s v="MFOUNDI"/>
    <s v="YAOUNDE 4"/>
    <x v="16"/>
    <n v="3.7727599999999999"/>
    <n v="11.543049999999999"/>
    <x v="0"/>
  </r>
  <r>
    <n v="2092"/>
    <s v="CTR_195"/>
    <s v="IHS_YND_165"/>
    <s v="CTR_195"/>
    <x v="3"/>
    <s v="Ahala"/>
    <x v="0"/>
    <s v="Outdoor"/>
    <s v="TROPICANA 2"/>
    <s v="MFOUNDI"/>
    <s v="YAOUNDE 3"/>
    <x v="16"/>
    <n v="3.8087650000000002"/>
    <n v="11.501658000000001"/>
    <x v="0"/>
  </r>
  <r>
    <n v="2093"/>
    <s v="CTR_245"/>
    <s v="IHS_YND_267"/>
    <s v="CTR_245"/>
    <x v="3"/>
    <s v="Mimboman-Village"/>
    <x v="0"/>
    <s v="Outdoor"/>
    <s v="NKOMO"/>
    <s v="MFOUNDI"/>
    <s v="YAOUNDE 4"/>
    <x v="16"/>
    <n v="3.8681869999999998"/>
    <n v="11.570098"/>
    <x v="0"/>
  </r>
  <r>
    <n v="2094"/>
    <s v="CTR_086"/>
    <s v="IHS_YND_211"/>
    <s v="CTR_086"/>
    <x v="3"/>
    <s v="Etoudi"/>
    <x v="0"/>
    <s v="Indoor"/>
    <s v="MANGUIER 2"/>
    <s v="MFOUNDI"/>
    <s v="YAOUNDE 1"/>
    <x v="16"/>
    <n v="3.9113329999999999"/>
    <n v="11.527361000000001"/>
    <x v="1"/>
  </r>
  <r>
    <n v="2095"/>
    <s v="T1121"/>
    <s v="IHS_YND_690"/>
    <s v="T1121"/>
    <x v="3"/>
    <s v="Ntui administration"/>
    <x v="0"/>
    <s v="Outdoor"/>
    <s v="N'TUI"/>
    <s v="MBAM ET KIM"/>
    <s v="NTUI"/>
    <x v="16"/>
    <n v="4.4404159999999999"/>
    <n v="11.631307"/>
    <x v="0"/>
  </r>
  <r>
    <n v="2096"/>
    <s v="T1406"/>
    <s v="IHS_YND_684"/>
    <s v="T1406"/>
    <x v="3"/>
    <s v="Ekie sud"/>
    <x v="0"/>
    <s v="Outdoor"/>
    <s v="TROPICANA 1"/>
    <s v="MFOUNDI"/>
    <s v="YAOUNDE 4"/>
    <x v="16"/>
    <n v="3.8289800000000001"/>
    <n v="11.54363"/>
    <x v="0"/>
  </r>
  <r>
    <n v="2097"/>
    <s v="CTR_263"/>
    <s v="IHS_YND_217"/>
    <s v="CTR_263"/>
    <x v="3"/>
    <s v="Abom"/>
    <x v="0"/>
    <s v="Outdoor"/>
    <s v="OMNISPORT"/>
    <s v="MFOUNDI"/>
    <s v="SOA"/>
    <x v="16"/>
    <n v="3.8914499999999999"/>
    <n v="11.56758"/>
    <x v="0"/>
  </r>
  <r>
    <n v="2098"/>
    <s v="T0533"/>
    <s v="IHS_YND_181"/>
    <s v="T0533"/>
    <x v="3"/>
    <s v="Mimboman3"/>
    <x v="0"/>
    <s v="Outdoor"/>
    <s v="NKOMO"/>
    <s v="MFOUNDI"/>
    <s v="YAOUNDE 4"/>
    <x v="16"/>
    <n v="3.8730000000000002"/>
    <n v="11.555999999999999"/>
    <x v="1"/>
  </r>
  <r>
    <n v="2099"/>
    <s v="T2728"/>
    <s v="IHS_YND_672"/>
    <s v="T2728"/>
    <x v="3"/>
    <s v="DZENG "/>
    <x v="0"/>
    <s v="Outdoor"/>
    <s v="Akonolinga"/>
    <s v="MEFOU-ET-AFAMBA "/>
    <s v="DZENG"/>
    <x v="16"/>
    <n v="3.762346"/>
    <n v="11.883974"/>
    <x v="0"/>
  </r>
  <r>
    <n v="2100"/>
    <s v="CTR_247"/>
    <s v="IHS_YND_289"/>
    <s v="CTR_247"/>
    <x v="3"/>
    <s v="Nkolangaa"/>
    <x v="0"/>
    <s v="Outdoor"/>
    <s v="NKOMO"/>
    <s v="MEFOU-ET-AFAMBA "/>
    <s v="NKOLAFAMBA"/>
    <x v="16"/>
    <n v="3.8174169999999998"/>
    <n v="11.572167"/>
    <x v="0"/>
  </r>
  <r>
    <n v="2101"/>
    <s v="CTR_211"/>
    <s v="IHS_YND_248"/>
    <s v="CTR_211"/>
    <x v="3"/>
    <s v="Biteng"/>
    <x v="0"/>
    <s v="Outdoor"/>
    <s v="NKOMO"/>
    <s v="MFOUNDI"/>
    <s v="YAOUNDE 4"/>
    <x v="16"/>
    <n v="3.849637"/>
    <n v="11.564577999999999"/>
    <x v="0"/>
  </r>
  <r>
    <n v="2102"/>
    <s v="CTR_341"/>
    <s v="IHS_YND_269"/>
    <s v="CTR_341"/>
    <x v="3"/>
    <s v="Mvog-Ebanda"/>
    <x v="0"/>
    <s v="Outdoor"/>
    <s v="OMNISPORT"/>
    <s v="MFOUNDI"/>
    <s v="YAOUNDE 5"/>
    <x v="16"/>
    <n v="3.8967499999999999"/>
    <n v="11.573924999999999"/>
    <x v="0"/>
  </r>
  <r>
    <n v="2103"/>
    <s v="T0197"/>
    <s v="IHS_YND_263"/>
    <s v="T0197"/>
    <x v="3"/>
    <s v="Mendong Plateau"/>
    <x v="0"/>
    <s v="Indoor"/>
    <s v="MENDONG 1"/>
    <s v="MFOUNDI"/>
    <s v="YAOUNDE 6"/>
    <x v="16"/>
    <n v="3.8420000000000001"/>
    <n v="11.462999999999999"/>
    <x v="0"/>
  </r>
  <r>
    <n v="2104"/>
    <s v="CTR_273"/>
    <s v="IHS_YND_214"/>
    <s v="CTR_273"/>
    <x v="3"/>
    <s v="Nkolmesseng-II"/>
    <x v="0"/>
    <s v="Outdoor"/>
    <s v="ESSOS 1"/>
    <s v="MFOUNDI"/>
    <s v="YAOUNDE 5"/>
    <x v="16"/>
    <n v="3.8802729999999999"/>
    <n v="11.560905"/>
    <x v="0"/>
  </r>
  <r>
    <n v="2105"/>
    <s v="T1872"/>
    <s v="IHS_YND_519"/>
    <s v="T1872"/>
    <x v="3"/>
    <s v="AFEME NORD"/>
    <x v="0"/>
    <s v="Outdoor"/>
    <s v="NKOLBISSON"/>
    <s v="MFOUNDI"/>
    <s v="YAOUNDE 7"/>
    <x v="16"/>
    <n v="3.89303"/>
    <n v="11.46855"/>
    <x v="0"/>
  </r>
  <r>
    <n v="2106"/>
    <s v="CTR_099"/>
    <s v="IHS_YND_168"/>
    <s v="CTR_099"/>
    <x v="3"/>
    <s v="Odza"/>
    <x v="0"/>
    <s v="Indoor"/>
    <s v="TROPICANA 1"/>
    <s v="MFOUNDI"/>
    <s v="YAOUNDE 4"/>
    <x v="16"/>
    <n v="3.810467"/>
    <n v="11.531677"/>
    <x v="0"/>
  </r>
  <r>
    <n v="2107"/>
    <s v="T1486"/>
    <s v="IHS_YND_683"/>
    <s v="T1486"/>
    <x v="3"/>
    <s v="BONAS YDE"/>
    <x v="0"/>
    <s v="Outdoor"/>
    <s v="MENDONG 2"/>
    <s v="MFOUNDI"/>
    <s v="YAOUNDE 3"/>
    <x v="16"/>
    <n v="3.851"/>
    <n v="11.495749999999999"/>
    <x v="1"/>
  </r>
  <r>
    <n v="2108"/>
    <s v="T0569"/>
    <s v="IHS_SGM_009"/>
    <s v="T0569"/>
    <x v="5"/>
    <s v="Tekmo"/>
    <x v="0"/>
    <s v="Outdoor"/>
    <s v="Sangmelima"/>
    <s v="DJA-ET-LOBO"/>
    <s v="COMMUNE DE SANGMELIMA"/>
    <x v="16"/>
    <n v="3.1497709999999999"/>
    <n v="12.114305999999999"/>
    <x v="0"/>
  </r>
  <r>
    <n v="2109"/>
    <s v="CTR_255"/>
    <s v="IHS_YND_286"/>
    <s v="CTR_255"/>
    <x v="3"/>
    <s v="Dagobert"/>
    <x v="0"/>
    <s v="Outdoor"/>
    <s v="NKOLBISSON"/>
    <s v="MFOUNDI"/>
    <s v="YAOUNDE 7"/>
    <x v="16"/>
    <n v="3.888417"/>
    <n v="11.453438"/>
    <x v="0"/>
  </r>
  <r>
    <n v="2110"/>
    <s v="T0369"/>
    <s v="IHS_YND_127"/>
    <s v="T0369"/>
    <x v="3"/>
    <s v="Tsinga"/>
    <x v="0"/>
    <s v="Indoor"/>
    <s v="TSINGA"/>
    <s v="MFOUNDI"/>
    <s v="YAOUNDE 2"/>
    <x v="16"/>
    <n v="3.8838889999999999"/>
    <n v="11.503181"/>
    <x v="1"/>
  </r>
  <r>
    <n v="2111"/>
    <s v="CTR_158"/>
    <s v="IHS_YND_527"/>
    <s v="CTR_158"/>
    <x v="3"/>
    <s v="Odza-II"/>
    <x v="0"/>
    <s v="Outdoor"/>
    <s v="TROPICANA 1"/>
    <s v="MFOUNDI"/>
    <s v="YAOUNDE 4"/>
    <x v="16"/>
    <n v="3.7755000000000001"/>
    <n v="11.53762"/>
    <x v="0"/>
  </r>
  <r>
    <n v="2112"/>
    <s v="CTR_049"/>
    <s v="IHS_YND_209"/>
    <s v="CTR_049"/>
    <x v="3"/>
    <s v="Manguier"/>
    <x v="0"/>
    <s v="Indoor"/>
    <s v="MANGUIER 1"/>
    <s v="MFOUNDI"/>
    <s v="YAOUNDE 1"/>
    <x v="16"/>
    <n v="3.9055"/>
    <n v="11.533401"/>
    <x v="1"/>
  </r>
  <r>
    <n v="2113"/>
    <s v="T1085"/>
    <s v="IHS_YND_130"/>
    <s v="T1085"/>
    <x v="3"/>
    <s v="Bastos usine"/>
    <x v="0"/>
    <s v="Outdoor"/>
    <s v="TSINGA"/>
    <s v="MFOUNDI"/>
    <s v="YAOUNDE 2"/>
    <x v="16"/>
    <n v="3.889472"/>
    <n v="11.507250000000001"/>
    <x v="1"/>
  </r>
  <r>
    <n v="2114"/>
    <s v="T0322"/>
    <s v="IHS_YND_312"/>
    <s v="T0322"/>
    <x v="3"/>
    <s v="Nkolnda"/>
    <x v="0"/>
    <s v="Indoor"/>
    <s v="TROPICANA 1"/>
    <s v="MFOUNDI"/>
    <s v="YAOUNDE 4"/>
    <x v="16"/>
    <n v="3.75454"/>
    <n v="11.53454"/>
    <x v="0"/>
  </r>
  <r>
    <n v="2115"/>
    <s v="T0289"/>
    <s v="IHS_YND_106"/>
    <s v="T0289"/>
    <x v="3"/>
    <s v="Mfandena"/>
    <x v="0"/>
    <s v="Indoor"/>
    <s v="OMNISPORT"/>
    <s v="MFOUNDI"/>
    <s v="YAOUNDE 5"/>
    <x v="16"/>
    <n v="3.8879999999999999"/>
    <n v="11.54"/>
    <x v="1"/>
  </r>
  <r>
    <n v="2116"/>
    <s v="CTR_262"/>
    <s v="IHS_YND_150"/>
    <s v="CTR_262"/>
    <x v="3"/>
    <s v="Nkol-Mbanda"/>
    <x v="0"/>
    <s v="Outdoor"/>
    <s v="TROPICANA 2"/>
    <s v="MFOUNDI"/>
    <s v="YAOUNDE 4"/>
    <x v="16"/>
    <n v="3.8257110000000001"/>
    <n v="11.492353"/>
    <x v="0"/>
  </r>
  <r>
    <n v="2117"/>
    <s v="T0469"/>
    <s v="IHS_YND_157"/>
    <s v="T0469"/>
    <x v="3"/>
    <s v="MVAN"/>
    <x v="0"/>
    <s v="Outdoor"/>
    <s v="TROPICANA 2"/>
    <s v="MFOUNDI"/>
    <s v="YAOUNDE 4"/>
    <x v="16"/>
    <n v="3.8236400000000001"/>
    <n v="11.516439999999999"/>
    <x v="1"/>
  </r>
  <r>
    <n v="2118"/>
    <s v="T1505"/>
    <s v="IHS_YND_681"/>
    <s v="T1505"/>
    <x v="3"/>
    <s v="NKOLMEKONG YDE"/>
    <x v="0"/>
    <s v="Outdoor"/>
    <s v="MANGUIER 2"/>
    <s v="MFOUNDI"/>
    <s v="YAOUNDE 1"/>
    <x v="16"/>
    <n v="3.9587219999999999"/>
    <n v="11.508889"/>
    <x v="0"/>
  </r>
  <r>
    <n v="2119"/>
    <s v="CTR_112"/>
    <s v="IHS_YND_355"/>
    <s v="CTR_112"/>
    <x v="3"/>
    <s v="Awae"/>
    <x v="0"/>
    <s v="Indoor"/>
    <s v="Akonolinga"/>
    <s v="MEFOU-ET-AFAMBA "/>
    <s v="NKOLAFAMBA"/>
    <x v="16"/>
    <n v="3.8914390000000001"/>
    <n v="11.88335"/>
    <x v="0"/>
  </r>
  <r>
    <n v="2120"/>
    <s v="SUD_060"/>
    <s v="IHS_EBO_1035"/>
    <s v="SUD_060"/>
    <x v="5"/>
    <s v="AZEM"/>
    <x v="0"/>
    <s v="Outdoor"/>
    <s v="Ebolowa"/>
    <s v="MVILLA"/>
    <s v="Ebolowa 1"/>
    <x v="16"/>
    <n v="2.8772549999999999"/>
    <n v="11.147535"/>
    <x v="0"/>
  </r>
  <r>
    <n v="2121"/>
    <s v="T1117"/>
    <s v="IHS_YND_540"/>
    <s v="T1117"/>
    <x v="3"/>
    <s v="Nkoteng Baptist"/>
    <x v="0"/>
    <s v="Outdoor"/>
    <s v="Obala"/>
    <s v="HAUTE-SANAGA "/>
    <s v="NKOTENG"/>
    <x v="16"/>
    <n v="4.5143500000000003"/>
    <n v="12.116822000000001"/>
    <x v="0"/>
  </r>
  <r>
    <n v="2122"/>
    <s v="CTR_073"/>
    <s v="IHS_YND_406"/>
    <s v="CTR_073"/>
    <x v="3"/>
    <s v="Monatele"/>
    <x v="0"/>
    <s v="Indoor"/>
    <s v="N'TUI"/>
    <s v="LEKIE "/>
    <s v="MONATELE"/>
    <x v="16"/>
    <n v="4.246747"/>
    <n v="11.190440000000001"/>
    <x v="0"/>
  </r>
  <r>
    <n v="2123"/>
    <s v="CTR_226"/>
    <s v="IHS_YND_426"/>
    <s v="CTR_226"/>
    <x v="0"/>
    <s v="Mbangassina"/>
    <x v="0"/>
    <s v="Outdoor"/>
    <s v="Bafia"/>
    <s v="MBAM ET KIM"/>
    <s v="Mbangassina"/>
    <x v="16"/>
    <n v="4.5560510000000001"/>
    <n v="11.393134"/>
    <x v="0"/>
  </r>
  <r>
    <n v="2124"/>
    <s v="T1623"/>
    <s v="IHS_YND_320"/>
    <s v="T1623"/>
    <x v="3"/>
    <s v="SOA TOWN"/>
    <x v="0"/>
    <s v="Outdoor"/>
    <s v="OMNISPORT"/>
    <s v="MFOUNDI"/>
    <s v="SOA"/>
    <x v="16"/>
    <n v="3.9709099999999999"/>
    <n v="11.604179999999999"/>
    <x v="0"/>
  </r>
  <r>
    <n v="2125"/>
    <s v="T1281"/>
    <s v="IHS_YND_283"/>
    <s v="T1281"/>
    <x v="3"/>
    <s v="Abome"/>
    <x v="0"/>
    <s v="Outdoor"/>
    <s v="TROPICANA 2"/>
    <s v="MFOUNDI"/>
    <s v="YAOUNDE 4"/>
    <x v="16"/>
    <n v="3.783995"/>
    <n v="11.511380000000001"/>
    <x v="0"/>
  </r>
  <r>
    <n v="2126"/>
    <s v="EST_018"/>
    <s v="IHS_YND_441"/>
    <s v="EST_018"/>
    <x v="3"/>
    <s v="Ayos"/>
    <x v="0"/>
    <s v="Indoor"/>
    <s v="Akonolinga"/>
    <s v="NYONG-ET-MFOUMOU "/>
    <s v="AYOS"/>
    <x v="16"/>
    <n v="3.9162249999999998"/>
    <n v="12.527517"/>
    <x v="0"/>
  </r>
  <r>
    <n v="2127"/>
    <s v="T2141"/>
    <s v="IHS_YND_531"/>
    <s v="T2141"/>
    <x v="3"/>
    <s v="OTELE"/>
    <x v="0"/>
    <s v="Outdoor"/>
    <s v="BARRIERE 1"/>
    <s v="MEFOU-ET-AKONO "/>
    <s v="NGOUMOU"/>
    <x v="16"/>
    <n v="3.6002890000000001"/>
    <n v="11.254806"/>
    <x v="0"/>
  </r>
  <r>
    <n v="2128"/>
    <s v="T0771"/>
    <s v="IHS_YND_428"/>
    <s v="T0771"/>
    <x v="0"/>
    <s v="Ombessa2"/>
    <x v="0"/>
    <s v="Indoor"/>
    <s v="Bafia"/>
    <s v="Mbam et inoubou"/>
    <s v="Bafia"/>
    <x v="16"/>
    <n v="4.6559299999999997"/>
    <n v="11.25079"/>
    <x v="0"/>
  </r>
  <r>
    <n v="2129"/>
    <s v="CTR_113"/>
    <s v="IHS_YND_352"/>
    <s v="CTR_113"/>
    <x v="3"/>
    <s v="Obala-Mairie"/>
    <x v="0"/>
    <s v="Indoor"/>
    <s v="Obala"/>
    <s v="LEKIE "/>
    <s v="OBALA"/>
    <x v="16"/>
    <n v="4.161861"/>
    <n v="11.538111000000001"/>
    <x v="0"/>
  </r>
  <r>
    <n v="2130"/>
    <s v="T0476"/>
    <s v="IHS_YND_163"/>
    <s v="T0476"/>
    <x v="3"/>
    <s v="Nsam Sofavinc"/>
    <x v="0"/>
    <s v="Outdoor"/>
    <s v="TROPICANA 2"/>
    <s v="MFOUNDI"/>
    <s v="YAOUNDE 3"/>
    <x v="16"/>
    <n v="3.8144300000000002"/>
    <n v="11.505129999999999"/>
    <x v="1"/>
  </r>
  <r>
    <n v="2131"/>
    <s v="CTR_213"/>
    <s v="IHS_YND_247"/>
    <s v="CTR_213"/>
    <x v="3"/>
    <s v="Okolo"/>
    <x v="0"/>
    <s v="Outdoor"/>
    <s v="MANGUIER 2"/>
    <s v="MFOUNDI"/>
    <s v="YAOUNDE 1"/>
    <x v="16"/>
    <n v="3.9268610000000002"/>
    <n v="11.520417"/>
    <x v="0"/>
  </r>
  <r>
    <n v="2132"/>
    <s v="T1549"/>
    <s v="IHS_YND_295"/>
    <s v="T1549"/>
    <x v="3"/>
    <s v="NGONA"/>
    <x v="0"/>
    <s v="Outdoor"/>
    <s v="NKOMO"/>
    <s v="MEFOU-ET-AFAMBA "/>
    <s v="NKOLAFAMBA"/>
    <x v="16"/>
    <n v="3.8754599999999999"/>
    <n v="11.587070000000001"/>
    <x v="0"/>
  </r>
  <r>
    <n v="2133"/>
    <s v="T0760"/>
    <s v="IHS_YND_419"/>
    <s v="T0760"/>
    <x v="3"/>
    <s v="Ngog Mapubi"/>
    <x v="0"/>
    <s v="Outdoor"/>
    <s v="BARRIERE 2"/>
    <s v="NYONG-ET-KELLE "/>
    <s v="BOT MAKAK"/>
    <x v="16"/>
    <n v="3.94997"/>
    <n v="10.83384"/>
    <x v="0"/>
  </r>
  <r>
    <n v="2134"/>
    <s v="CTR_205"/>
    <s v="IHS_YND_372"/>
    <s v="CTR_205"/>
    <x v="3"/>
    <s v="Bondjock"/>
    <x v="0"/>
    <s v="Indoor"/>
    <s v="BARRIERE 1"/>
    <s v="NYONG-ET-KELLE "/>
    <s v="MAKAK"/>
    <x v="16"/>
    <n v="3.6194630000000001"/>
    <n v="11.107618"/>
    <x v="0"/>
  </r>
  <r>
    <n v="2135"/>
    <s v="T0678"/>
    <s v="IHS_SGM_011"/>
    <s v="T0678"/>
    <x v="5"/>
    <s v="Mvoutessi"/>
    <x v="0"/>
    <s v="Indoor"/>
    <s v="Sangmelima"/>
    <s v="DJA-ET-LOBO"/>
    <s v="COMMUNE DE SANGMELIMA"/>
    <x v="16"/>
    <n v="3.2509000000000001"/>
    <n v="11.787701999999999"/>
    <x v="0"/>
  </r>
  <r>
    <n v="2136"/>
    <s v="CTR_058"/>
    <s v="IHS_YND_380"/>
    <s v="CTR_058"/>
    <x v="3"/>
    <s v="Boumnyebel"/>
    <x v="0"/>
    <s v="Indoor"/>
    <s v="BARRIERE 2"/>
    <s v="NYONG-ET-KELLE "/>
    <s v="ESEKA"/>
    <x v="16"/>
    <n v="3.8881860000000001"/>
    <n v="10.860806"/>
    <x v="0"/>
  </r>
  <r>
    <n v="2137"/>
    <s v="T0582"/>
    <s v="IHS_YND_388"/>
    <s v="T0582"/>
    <x v="3"/>
    <s v="Nkolbiyem"/>
    <x v="0"/>
    <s v="Outdoor"/>
    <s v="Obala"/>
    <s v="LEKIE "/>
    <s v="OBALA"/>
    <x v="16"/>
    <n v="4.2094360000000002"/>
    <n v="11.445254"/>
    <x v="0"/>
  </r>
  <r>
    <n v="2138"/>
    <s v="T0679"/>
    <s v="IHS_SGM_004"/>
    <s v="T0679"/>
    <x v="5"/>
    <s v="Nkpwang"/>
    <x v="0"/>
    <s v="Outdoor"/>
    <s v="Sangmelima"/>
    <s v="DJA-ET-LOBO"/>
    <s v="COMMUNE DE SANGMELIMA"/>
    <x v="16"/>
    <n v="3.0377869999999998"/>
    <n v="11.960108"/>
    <x v="0"/>
  </r>
  <r>
    <n v="2139"/>
    <s v="CTR_236"/>
    <s v="IHS_YND_177"/>
    <s v="CTR_236"/>
    <x v="3"/>
    <s v="Awae-Yde"/>
    <x v="0"/>
    <s v="Outdoor"/>
    <s v="NKOMO"/>
    <s v="MEFOU-ET-AFAMBA "/>
    <s v="NKOLAFAMBA"/>
    <x v="16"/>
    <n v="3.8251710000000001"/>
    <n v="11.553167"/>
    <x v="0"/>
  </r>
  <r>
    <n v="2140"/>
    <s v="T0654"/>
    <s v="IHS_SGM_003"/>
    <s v="T0654"/>
    <x v="5"/>
    <s v="Sangmelima Etounelinga"/>
    <x v="0"/>
    <s v="Outdoor"/>
    <s v="Sangmelima"/>
    <s v="DJA-ET-LOBO"/>
    <s v="SANGMELIMA"/>
    <x v="16"/>
    <n v="2.9537279999999999"/>
    <n v="11.989599999999999"/>
    <x v="0"/>
  </r>
  <r>
    <n v="2141"/>
    <s v="CTR_237"/>
    <s v="IHS_YND_261"/>
    <s v="CTR_237"/>
    <x v="3"/>
    <s v="Barriere"/>
    <x v="0"/>
    <s v="Outdoor"/>
    <s v="MENDONG 1"/>
    <s v="MFOUNDI"/>
    <s v="YAOUNDE 6"/>
    <x v="16"/>
    <n v="3.798918"/>
    <n v="11.486045000000001"/>
    <x v="0"/>
  </r>
  <r>
    <n v="2142"/>
    <s v="T0113"/>
    <s v="IHS_YND_155"/>
    <s v="T0113"/>
    <x v="3"/>
    <s v="Obobogo"/>
    <x v="0"/>
    <s v="Indoor"/>
    <s v="TROPICANA 2"/>
    <s v="MFOUNDI"/>
    <s v="YAOUNDE 3"/>
    <x v="16"/>
    <n v="3.824872"/>
    <n v="11.503826999999999"/>
    <x v="0"/>
  </r>
  <r>
    <n v="2143"/>
    <s v="CTR_340"/>
    <s v="IHS_YND_233"/>
    <s v="CTR_340"/>
    <x v="3"/>
    <s v="Oyomabang"/>
    <x v="0"/>
    <s v="Outdoor"/>
    <s v="NKOLBISSON"/>
    <s v="MFOUNDI"/>
    <s v="YAOUNDE 7"/>
    <x v="16"/>
    <n v="3.8803299999999998"/>
    <n v="11.469139999999999"/>
    <x v="0"/>
  </r>
  <r>
    <n v="2144"/>
    <s v="CTR_079"/>
    <s v="IHS_YND_306"/>
    <s v="CTR_079"/>
    <x v="3"/>
    <s v="Nkozoa"/>
    <x v="0"/>
    <s v="Indoor"/>
    <s v="MANGUIER 2"/>
    <s v="MFOUNDI"/>
    <s v="YAOUNDE 1"/>
    <x v="16"/>
    <n v="3.9659439999999999"/>
    <n v="11.538278"/>
    <x v="0"/>
  </r>
  <r>
    <n v="2145"/>
    <s v="T0603"/>
    <s v="IHS_YND_069"/>
    <s v="T0603"/>
    <x v="3"/>
    <s v="Efoulan"/>
    <x v="0"/>
    <s v="Outdoor"/>
    <s v="TROPICANA 2"/>
    <s v="MFOUNDI"/>
    <s v="YAOUNDE 3"/>
    <x v="16"/>
    <n v="3.8394300000000001"/>
    <n v="11.507379999999999"/>
    <x v="1"/>
  </r>
  <r>
    <n v="2146"/>
    <s v="CTR_248"/>
    <s v="IHS_YND_304"/>
    <s v="CTR_248"/>
    <x v="3"/>
    <s v="Nkolondom"/>
    <x v="0"/>
    <s v="Outdoor"/>
    <s v="MANGUIER 2"/>
    <s v="MFOUNDI"/>
    <s v="YAOUNDE 1"/>
    <x v="16"/>
    <n v="3.9577499999999999"/>
    <n v="11.492305999999999"/>
    <x v="0"/>
  </r>
  <r>
    <n v="2147"/>
    <s v="SUD_228"/>
    <s v="IHS_SGM_001"/>
    <s v="SUD_228"/>
    <x v="5"/>
    <s v="Sangmelima-Ville"/>
    <x v="0"/>
    <s v="Outdoor"/>
    <s v="Sangmelima"/>
    <s v="DJA-ET-LOBO"/>
    <s v="COMMUNE DE SANGMELIMA"/>
    <x v="16"/>
    <n v="2.9374349999999998"/>
    <n v="11.975880999999999"/>
    <x v="0"/>
  </r>
  <r>
    <n v="2148"/>
    <s v="CTR_056"/>
    <s v="IHS_YND_100"/>
    <s v="CTR_056"/>
    <x v="3"/>
    <s v="Shell-Nsimeyong"/>
    <x v="0"/>
    <s v="Indoor"/>
    <s v="TROPICANA 2"/>
    <s v="MFOUNDI"/>
    <s v="YAOUNDE 3"/>
    <x v="16"/>
    <n v="3.8405499999999999"/>
    <n v="11.497529999999999"/>
    <x v="1"/>
  </r>
  <r>
    <n v="2149"/>
    <s v="T1162"/>
    <s v="IHS_YND_256"/>
    <s v="T1162"/>
    <x v="3"/>
    <s v="MESSAME NDONGO 1162"/>
    <x v="0"/>
    <s v="Outdoor"/>
    <s v="TROPICANA 2"/>
    <s v="MFOUNDI"/>
    <s v="YAOUNDE 4"/>
    <x v="16"/>
    <n v="3.7937400000000001"/>
    <n v="11.51366"/>
    <x v="0"/>
  </r>
  <r>
    <n v="2150"/>
    <s v="CTR_331"/>
    <s v="IHS_YND_253"/>
    <s v="CTR_331"/>
    <x v="3"/>
    <s v="Clge-Advantiste"/>
    <x v="0"/>
    <s v="Outdoor"/>
    <s v="TROPICANA 2"/>
    <s v="MFOUNDI"/>
    <s v="YAOUNDE 4"/>
    <x v="16"/>
    <n v="3.8004880000000001"/>
    <n v="11.516728000000001"/>
    <x v="0"/>
  </r>
  <r>
    <n v="2151"/>
    <s v="CTR_330"/>
    <s v="IHS_YND_255"/>
    <s v="CTR_330"/>
    <x v="3"/>
    <s v="Odza-PK10"/>
    <x v="0"/>
    <s v="Outdoor"/>
    <s v="TROPICANA 1"/>
    <s v="MFOUNDI"/>
    <s v="YAOUNDE 4"/>
    <x v="16"/>
    <n v="3.7898000000000001"/>
    <n v="11.52439"/>
    <x v="0"/>
  </r>
  <r>
    <n v="2152"/>
    <s v="CTR_249"/>
    <s v="IHS_YND_225"/>
    <s v="CTR_249"/>
    <x v="3"/>
    <s v="Science"/>
    <x v="0"/>
    <s v="Outdoor"/>
    <s v="NKOLBISSON"/>
    <s v="MFOUNDI"/>
    <s v="YAOUNDE 6"/>
    <x v="16"/>
    <n v="3.8608470000000001"/>
    <n v="11.481797"/>
    <x v="0"/>
  </r>
  <r>
    <n v="2153"/>
    <s v="CTR_246"/>
    <s v="IHS_YND_287"/>
    <s v="CTR_246"/>
    <x v="3"/>
    <s v="Nkolafeme"/>
    <x v="0"/>
    <s v="Outdoor"/>
    <s v="NKOLBISSON"/>
    <s v="MFOUNDI"/>
    <s v="YAOUNDE 7"/>
    <x v="16"/>
    <n v="3.8985280000000002"/>
    <n v="11.454442"/>
    <x v="0"/>
  </r>
  <r>
    <n v="2154"/>
    <s v="CTR_380"/>
    <s v="IHS_YND_102"/>
    <s v="CTR_380"/>
    <x v="3"/>
    <s v="Ntaba"/>
    <x v="0"/>
    <s v="Outdoor"/>
    <s v="MANGUIER 1"/>
    <s v="MFOUNDI"/>
    <s v="YAOUNDE 1"/>
    <x v="16"/>
    <n v="3.8918249999999999"/>
    <n v="11.522106000000001"/>
    <x v="1"/>
  </r>
  <r>
    <n v="2155"/>
    <s v="CTR_031"/>
    <s v="IHS_YND_319"/>
    <s v="CTR_031"/>
    <x v="3"/>
    <s v="SOA"/>
    <x v="0"/>
    <s v="Indoor"/>
    <s v="OMNISPORT"/>
    <s v="MFOUNDI"/>
    <s v="SOA"/>
    <x v="16"/>
    <n v="3.9721190000000002"/>
    <n v="11.594478000000001"/>
    <x v="0"/>
  </r>
  <r>
    <n v="2156"/>
    <s v="CTR_225"/>
    <s v="IHS_YND_452"/>
    <s v="CTR_225"/>
    <x v="5"/>
    <s v="Endom"/>
    <x v="0"/>
    <s v="Outdoor"/>
    <s v="Akonolinga"/>
    <s v="DJA-ET-LOBO"/>
    <s v="COMMUNE DE ENDOM"/>
    <x v="16"/>
    <n v="3.5058220000000002"/>
    <n v="12.098992000000001"/>
    <x v="0"/>
  </r>
  <r>
    <n v="2157"/>
    <s v="T0120"/>
    <s v="IHS_YND_031"/>
    <s v="T0120"/>
    <x v="3"/>
    <s v="Sime Building"/>
    <x v="0"/>
    <s v="Indoor"/>
    <s v="TSINGA"/>
    <s v="MFOUNDI"/>
    <s v="YAOUNDE 2"/>
    <x v="16"/>
    <n v="3.8789229999999999"/>
    <n v="11.509757"/>
    <x v="1"/>
  </r>
  <r>
    <n v="2158"/>
    <s v="CTR_392"/>
    <s v="IHS_EBO_001"/>
    <s v="CTR_392"/>
    <x v="5"/>
    <s v="Ebolowa-Ville"/>
    <x v="0"/>
    <s v="Outdoor"/>
    <s v="Ebolowa"/>
    <s v="MVILLA"/>
    <s v="Ebolowa 2"/>
    <x v="16"/>
    <n v="2.9209200000000002"/>
    <n v="11.153930000000001"/>
    <x v="0"/>
  </r>
  <r>
    <n v="2159"/>
    <s v="T0319"/>
    <s v="IHS_YND_278"/>
    <s v="T0319"/>
    <x v="3"/>
    <s v="Nkolfoulou"/>
    <x v="0"/>
    <s v="Indoor"/>
    <s v="OMNISPORT"/>
    <s v="MFOUNDI"/>
    <s v="SOA"/>
    <x v="16"/>
    <n v="3.9227099999999999"/>
    <n v="11.578709999999999"/>
    <x v="0"/>
  </r>
  <r>
    <n v="2160"/>
    <s v="SUD_227"/>
    <s v="IHS_EBO_009"/>
    <s v="SUD_227"/>
    <x v="5"/>
    <s v="Ebolowa-Si"/>
    <x v="0"/>
    <s v="Outdoor"/>
    <s v="Ebolowa"/>
    <s v="MVILLA"/>
    <s v="Ebolowa 1"/>
    <x v="16"/>
    <n v="2.899756"/>
    <n v="11.151517"/>
    <x v="0"/>
  </r>
  <r>
    <n v="2161"/>
    <s v="T0274"/>
    <s v="IHS_YND_091"/>
    <s v="T0274"/>
    <x v="3"/>
    <s v="Jouvence 2000"/>
    <x v="0"/>
    <s v="Indoor"/>
    <s v="MANGUIER 1"/>
    <s v="MFOUNDI"/>
    <s v="YAOUNDE 5"/>
    <x v="16"/>
    <n v="3.8760819999999998"/>
    <n v="11.531153"/>
    <x v="1"/>
  </r>
  <r>
    <n v="2162"/>
    <s v="CTR_109"/>
    <s v="IHS_YND_037"/>
    <s v="CTR_109"/>
    <x v="3"/>
    <s v="Nkolndongo"/>
    <x v="0"/>
    <s v="Indoor"/>
    <s v="ESSOS 1"/>
    <s v="MFOUNDI"/>
    <s v="YAOUNDE 5"/>
    <x v="16"/>
    <n v="3.8559269999999999"/>
    <n v="11.527175"/>
    <x v="1"/>
  </r>
  <r>
    <n v="2163"/>
    <s v="T0105"/>
    <s v="IHS_YND_321"/>
    <s v="T0105"/>
    <x v="3"/>
    <s v="Soa"/>
    <x v="0"/>
    <s v="Indoor"/>
    <s v="OMNISPORT"/>
    <s v="MFOUNDI"/>
    <s v="SOA"/>
    <x v="16"/>
    <n v="3.979285"/>
    <n v="11.593386000000001"/>
    <x v="0"/>
  </r>
  <r>
    <n v="2164"/>
    <s v="CTR_232"/>
    <s v="IHS_YND_423"/>
    <s v="CTR_232"/>
    <x v="0"/>
    <s v="Yambassa"/>
    <x v="0"/>
    <s v="Outdoor"/>
    <s v="Bafia"/>
    <s v="Mbam et inoubou"/>
    <s v="Bokito"/>
    <x v="16"/>
    <n v="4.5303329999999997"/>
    <n v="11.256306"/>
    <x v="0"/>
  </r>
  <r>
    <n v="2165"/>
    <s v="T0304"/>
    <s v="IHS_YND_439"/>
    <s v="T0304"/>
    <x v="0"/>
    <s v="Bokito"/>
    <x v="0"/>
    <s v="Indoor"/>
    <s v="Bafia"/>
    <s v="Mbam et inoubou"/>
    <s v="Bokito"/>
    <x v="16"/>
    <n v="4.5825050000000003"/>
    <n v="11.127359"/>
    <x v="0"/>
  </r>
  <r>
    <n v="2166"/>
    <s v="T0918"/>
    <s v="IHS_EBO_011"/>
    <s v="T0918"/>
    <x v="5"/>
    <s v="Ndengue"/>
    <x v="0"/>
    <s v="Outdoor"/>
    <s v="Ebolowa"/>
    <s v="MVILLA"/>
    <s v="Ebolowa 1"/>
    <x v="16"/>
    <n v="2.8041969999999998"/>
    <n v="11.128335"/>
    <x v="0"/>
  </r>
  <r>
    <n v="2167"/>
    <s v="CTR_115"/>
    <s v="IHS_YND_375"/>
    <s v="CTR_115"/>
    <x v="3"/>
    <s v="Ngoung"/>
    <x v="0"/>
    <s v="Indoor"/>
    <s v="BARRIERE 2"/>
    <s v="NYONG-ET-KELLE "/>
    <s v="ESEKA"/>
    <x v="16"/>
    <n v="3.8521890000000001"/>
    <n v="10.965028"/>
    <x v="0"/>
  </r>
  <r>
    <n v="2168"/>
    <s v="T0139"/>
    <s v="IHS_YND_381"/>
    <s v="T0139"/>
    <x v="3"/>
    <s v="Boumnyebel"/>
    <x v="0"/>
    <s v="Indoor"/>
    <s v="BARRIERE 2"/>
    <s v="NYONG-ET-KELLE "/>
    <s v="ESEKA"/>
    <x v="16"/>
    <n v="3.8856999999999999"/>
    <n v="10.8545"/>
    <x v="0"/>
  </r>
  <r>
    <n v="2169"/>
    <s v="T0091"/>
    <s v="IHS_YND_314"/>
    <s v="T0091"/>
    <x v="3"/>
    <s v="Sous Prefecture"/>
    <x v="0"/>
    <s v="Indoor"/>
    <s v="BARRIERE 1"/>
    <s v="MEFOU-ET-AKONO "/>
    <s v="MBANKOMO"/>
    <x v="16"/>
    <n v="3.7852760000000001"/>
    <n v="11.400499"/>
    <x v="0"/>
  </r>
  <r>
    <n v="2170"/>
    <s v="SUO_028"/>
    <s v="IHS_EDA_049"/>
    <s v="SUO_028"/>
    <x v="0"/>
    <s v="Ndom"/>
    <x v="1"/>
    <s v="Indoor"/>
    <s v="Bangangte"/>
    <s v="SANAGA-MARITIME"/>
    <s v="Ndom"/>
    <x v="16"/>
    <n v="4.3961550000000003"/>
    <n v="10.825452"/>
    <x v="0"/>
  </r>
  <r>
    <n v="2171"/>
    <s v="CTR_191"/>
    <s v="IHS_YND_338"/>
    <s v="CTR_191"/>
    <x v="3"/>
    <s v="Okola"/>
    <x v="0"/>
    <s v="Outdoor"/>
    <s v="NKOLBISSON"/>
    <s v="MFOUNDI"/>
    <s v="OKOLA"/>
    <x v="16"/>
    <n v="4.031873"/>
    <n v="11.384066000000001"/>
    <x v="0"/>
  </r>
  <r>
    <n v="2172"/>
    <s v="CTR_209"/>
    <s v="IHS_YND_070"/>
    <s v="CTR_209"/>
    <x v="3"/>
    <s v="Efoulan"/>
    <x v="0"/>
    <s v="Outdoor"/>
    <s v="TROPICANA 2"/>
    <s v="MFOUNDI"/>
    <s v="YAOUNDE 3"/>
    <x v="16"/>
    <n v="3.8321200000000002"/>
    <n v="11.505229999999999"/>
    <x v="0"/>
  </r>
  <r>
    <n v="2173"/>
    <s v="CTR_214"/>
    <s v="IHS_YND_296"/>
    <s v="CTR_214"/>
    <x v="3"/>
    <s v="Nkolfoulou"/>
    <x v="0"/>
    <s v="Outdoor"/>
    <s v="OMNISPORT"/>
    <s v="MFOUNDI"/>
    <s v="SOA"/>
    <x v="16"/>
    <n v="3.9300280000000001"/>
    <n v="11.578059"/>
    <x v="0"/>
  </r>
  <r>
    <n v="2174"/>
    <s v="T1557"/>
    <s v="IHS_YND_313"/>
    <s v="T1557"/>
    <x v="3"/>
    <s v="Afanoya"/>
    <x v="0"/>
    <s v="Outdoor"/>
    <s v="MENDONG 1"/>
    <s v="MFOUNDI"/>
    <s v="YAOUNDE 6"/>
    <x v="16"/>
    <n v="3.756507"/>
    <n v="11.470447"/>
    <x v="0"/>
  </r>
  <r>
    <n v="2175"/>
    <s v="CTR_517"/>
    <s v="IHS_YND_595"/>
    <s v="CTR_517"/>
    <x v="5"/>
    <s v="Akoeman"/>
    <x v="0"/>
    <s v="Outdoor"/>
    <s v="Mbalmayo"/>
    <s v="NYON-ET-SO'O"/>
    <s v="Akoeman"/>
    <x v="16"/>
    <n v="3.1926839999999999"/>
    <n v="11.572149"/>
    <x v="0"/>
  </r>
  <r>
    <n v="2176"/>
    <s v="CTR_354"/>
    <s v="IHS_YND_411"/>
    <s v="CTR_354"/>
    <x v="5"/>
    <s v="Mengueme"/>
    <x v="0"/>
    <s v="Outdoor"/>
    <s v="Mbalmayo"/>
    <s v="NYON-ET-SO'O"/>
    <s v="MENGUEME"/>
    <x v="16"/>
    <n v="3.2484989999999998"/>
    <n v="11.402512"/>
    <x v="0"/>
  </r>
  <r>
    <n v="2177"/>
    <s v="CTR_111"/>
    <s v="IHS_SGM_013"/>
    <s v="CTR_111"/>
    <x v="5"/>
    <s v="Zoetele"/>
    <x v="0"/>
    <s v="Indoor"/>
    <s v="Sangmelima"/>
    <s v="DJA-ET-LOBO"/>
    <s v="COMMUNE DE SANGMELIMA"/>
    <x v="16"/>
    <n v="3.2496399999999999"/>
    <n v="11.895173"/>
    <x v="0"/>
  </r>
  <r>
    <n v="2178"/>
    <s v="CTR_201"/>
    <s v="IHS_YND_368"/>
    <s v="CTR_201"/>
    <x v="3"/>
    <s v="Otele"/>
    <x v="0"/>
    <s v="Indoor"/>
    <s v="BARRIERE 1"/>
    <s v="MEFOU-ET-AKONO "/>
    <s v="NGOUMOU"/>
    <x v="16"/>
    <n v="3.6143860000000001"/>
    <n v="11.238886000000001"/>
    <x v="0"/>
  </r>
  <r>
    <n v="2179"/>
    <s v="SUD_012"/>
    <s v="IHS_SGM_008"/>
    <s v="SUD_012"/>
    <x v="5"/>
    <s v="Nkout"/>
    <x v="0"/>
    <s v="Indoor"/>
    <s v="Sangmelima"/>
    <s v="DJA-ET-LOBO"/>
    <s v="COMMUNE DE SANGMELIMA"/>
    <x v="16"/>
    <n v="3.1129799999999999"/>
    <n v="11.84829"/>
    <x v="0"/>
  </r>
  <r>
    <n v="2180"/>
    <s v="CTR_062"/>
    <s v="IHS_YND_310"/>
    <s v="CTR_062"/>
    <x v="3"/>
    <s v="Nomayos"/>
    <x v="0"/>
    <s v="Indoor"/>
    <s v="BARRIERE 1"/>
    <s v="MEFOU-ET-AKONO "/>
    <s v="YAOUNDE 3"/>
    <x v="16"/>
    <n v="3.7879999999999998"/>
    <n v="11.448867"/>
    <x v="0"/>
  </r>
  <r>
    <n v="2181"/>
    <s v="T0530"/>
    <s v="IHS_YND_252"/>
    <s v="T0530"/>
    <x v="3"/>
    <s v="Koweit City"/>
    <x v="0"/>
    <s v="Outdoor"/>
    <s v="TROPICANA 1"/>
    <s v="MFOUNDI"/>
    <s v="YAOUNDE 4"/>
    <x v="16"/>
    <n v="3.80294"/>
    <n v="11.52408"/>
    <x v="1"/>
  </r>
  <r>
    <n v="2182"/>
    <s v="CTR_210"/>
    <s v="IHS_YND_071"/>
    <s v="CTR_210"/>
    <x v="3"/>
    <s v="Scalom"/>
    <x v="0"/>
    <s v="Outdoor"/>
    <s v="MENDONG 2"/>
    <s v="MFOUNDI"/>
    <s v="YAOUNDE 3"/>
    <x v="16"/>
    <n v="3.8448060000000002"/>
    <n v="11.500194"/>
    <x v="0"/>
  </r>
  <r>
    <n v="2183"/>
    <s v="T0645"/>
    <s v="IHS_YND_081"/>
    <s v="T0645"/>
    <x v="3"/>
    <s v="Mini Ferme"/>
    <x v="0"/>
    <s v="Outdoor"/>
    <s v="MENDONG 2"/>
    <s v="MFOUNDI"/>
    <s v="YAOUNDE 3"/>
    <x v="16"/>
    <n v="3.8673500000000001"/>
    <n v="11.495520000000001"/>
    <x v="1"/>
  </r>
  <r>
    <n v="2184"/>
    <s v="CTR_146"/>
    <s v="IHS_YND_399"/>
    <s v="CTR_146"/>
    <x v="3"/>
    <s v="Mekouda"/>
    <x v="0"/>
    <s v="Indoor"/>
    <s v="Akonolinga"/>
    <s v="NYONG-ET-MFOUMOU "/>
    <s v="AKONOLINGA"/>
    <x v="16"/>
    <n v="3.884722"/>
    <n v="12.211667"/>
    <x v="0"/>
  </r>
  <r>
    <n v="2185"/>
    <s v="T1072"/>
    <s v="IHS_SGM_006"/>
    <s v="T1072"/>
    <x v="5"/>
    <s v="OLONOU1072"/>
    <x v="0"/>
    <s v="Outdoor"/>
    <s v="Sangmelima"/>
    <s v="DJA-ET-LOBO"/>
    <s v="COMMUNE DE MEYOMESSI"/>
    <x v="16"/>
    <n v="2.8126190000000002"/>
    <n v="12.124891999999999"/>
    <x v="0"/>
  </r>
  <r>
    <n v="2186"/>
    <s v="T0211"/>
    <s v="IHS_YND_393"/>
    <s v="T0211"/>
    <x v="3"/>
    <s v="Ezezang"/>
    <x v="0"/>
    <s v="Indoor"/>
    <s v="N'TUI"/>
    <s v="LEKIE "/>
    <s v="MONATELE"/>
    <x v="16"/>
    <n v="4.2738940000000003"/>
    <n v="11.367495"/>
    <x v="0"/>
  </r>
  <r>
    <n v="2187"/>
    <s v="T0653"/>
    <s v="IHS_EBO_003"/>
    <s v="T0653"/>
    <x v="5"/>
    <s v="Ebolowa Samba"/>
    <x v="0"/>
    <s v="Outdoor"/>
    <s v="Ebolowa"/>
    <s v="MVILLA"/>
    <s v="Ebolowa 1"/>
    <x v="16"/>
    <n v="2.9102399999999999"/>
    <n v="11.148289999999999"/>
    <x v="0"/>
  </r>
  <r>
    <n v="2188"/>
    <s v="CTR_253"/>
    <s v="IHS_YND_258"/>
    <s v="CTR_253"/>
    <x v="3"/>
    <s v="Mefou-Assi"/>
    <x v="0"/>
    <s v="Outdoor"/>
    <s v="BARRIERE 1"/>
    <s v="MEFOU-ET-AKONO "/>
    <s v="YAOUNDE 6"/>
    <x v="16"/>
    <n v="3.8140830000000001"/>
    <n v="11.474444"/>
    <x v="0"/>
  </r>
  <r>
    <n v="2189"/>
    <s v="SUD_224"/>
    <s v="IHS_SGM_002"/>
    <s v="SUD_224"/>
    <x v="5"/>
    <s v="Sangmelima-II"/>
    <x v="0"/>
    <s v="Outdoor"/>
    <s v="Sangmelima"/>
    <s v="DJA-ET-LOBO"/>
    <s v="COMMUNE DE SANGMELIMA"/>
    <x v="16"/>
    <n v="2.9542480000000002"/>
    <n v="11.972784000000001"/>
    <x v="0"/>
  </r>
  <r>
    <n v="2190"/>
    <s v="CTR_016"/>
    <s v="IHS_YND_226"/>
    <s v="CTR_016"/>
    <x v="3"/>
    <s v="Mvog-Betsi"/>
    <x v="0"/>
    <s v="Indoor"/>
    <s v="MENDONG 2"/>
    <s v="MFOUNDI"/>
    <s v="YAOUNDE 6"/>
    <x v="16"/>
    <n v="3.8660399999999999"/>
    <n v="11.481339999999999"/>
    <x v="0"/>
  </r>
  <r>
    <n v="2191"/>
    <s v="T0473"/>
    <s v="IHS_EBO_008"/>
    <s v="T0473"/>
    <x v="5"/>
    <s v="Ebolowa Makalat"/>
    <x v="0"/>
    <s v="Outdoor"/>
    <s v="Ebolowa"/>
    <s v="MVILLA"/>
    <s v="Ebolowa 2"/>
    <x v="16"/>
    <n v="2.9420999999999999"/>
    <n v="11.1602"/>
    <x v="0"/>
  </r>
  <r>
    <n v="2192"/>
    <s v="CTR_270"/>
    <s v="IHS_YND_023"/>
    <s v="CTR_270"/>
    <x v="3"/>
    <s v="Montesquieux"/>
    <x v="0"/>
    <s v="Outdoor"/>
    <s v="ESSOS 1"/>
    <s v="MFOUNDI"/>
    <s v="YAOUNDE 5"/>
    <x v="16"/>
    <n v="3.86199"/>
    <n v="11.52491"/>
    <x v="1"/>
  </r>
  <r>
    <n v="2193"/>
    <s v="CTR_252"/>
    <s v="IHS_YND_358"/>
    <s v="CTR_252"/>
    <x v="5"/>
    <s v="Mbalmayo-Ngalan"/>
    <x v="0"/>
    <s v="Outdoor"/>
    <s v="Mbalmayo"/>
    <s v="NYON-ET-SO'O"/>
    <s v="Mbalmayo"/>
    <x v="16"/>
    <n v="3.5324140000000002"/>
    <n v="11.522751"/>
    <x v="0"/>
  </r>
  <r>
    <n v="2194"/>
    <s v="T0602"/>
    <s v="IHS_YND_259"/>
    <s v="T0602"/>
    <x v="3"/>
    <s v="Simbock"/>
    <x v="0"/>
    <s v="Outdoor"/>
    <s v="BARRIERE 1"/>
    <s v="MFOUNDI"/>
    <s v="YAOUNDE 6"/>
    <x v="16"/>
    <n v="3.8130000000000002"/>
    <n v="11.476000000000001"/>
    <x v="0"/>
  </r>
  <r>
    <n v="2195"/>
    <s v="T0573"/>
    <s v="IHS_YND_387"/>
    <s v="T0573"/>
    <x v="3"/>
    <s v="Talla Monatele"/>
    <x v="0"/>
    <s v="Outdoor"/>
    <s v="N'TUI"/>
    <s v="LEKIE "/>
    <s v="MONATELE"/>
    <x v="16"/>
    <n v="4.1776350000000004"/>
    <n v="11.226846999999999"/>
    <x v="0"/>
  </r>
  <r>
    <n v="2196"/>
    <s v="T0761"/>
    <s v="IHS_YND_390"/>
    <s v="T0761"/>
    <x v="3"/>
    <s v="Elig Mfomo"/>
    <x v="0"/>
    <s v="Outdoor"/>
    <s v="Obala"/>
    <s v="LEKIE "/>
    <s v="ELIG-MFOMO"/>
    <x v="16"/>
    <n v="4.157"/>
    <n v="11.352"/>
    <x v="0"/>
  </r>
  <r>
    <n v="2197"/>
    <s v="CTR_578"/>
    <s v="IHS_YND_017"/>
    <s v="CTR_578"/>
    <x v="3"/>
    <s v="H-Deputes"/>
    <x v="0"/>
    <s v="Indoor"/>
    <s v="MENDONG 2"/>
    <s v="MFOUNDI"/>
    <s v="YAOUNDE 1"/>
    <x v="16"/>
    <n v="3.8645"/>
    <n v="11.512280000000001"/>
    <x v="1"/>
  </r>
  <r>
    <n v="2198"/>
    <s v="CTR_256"/>
    <s v="IHS_YND_232"/>
    <s v="CTR_256"/>
    <x v="3"/>
    <s v="Crf-Nkolbisson"/>
    <x v="0"/>
    <s v="Outdoor"/>
    <s v="NKOLBISSON"/>
    <s v="MFOUNDI"/>
    <s v="YAOUNDE 7"/>
    <x v="16"/>
    <n v="3.8701699999999999"/>
    <n v="11.46077"/>
    <x v="0"/>
  </r>
  <r>
    <n v="2199"/>
    <s v="T1564"/>
    <s v="IHS_YND_361"/>
    <s v="T1564"/>
    <x v="5"/>
    <s v="Mbalmayo Mbokoulo"/>
    <x v="0"/>
    <s v="Outdoor"/>
    <s v="Mbalmayo"/>
    <s v="NYON-ET-SO'O"/>
    <s v="Mbalmayo"/>
    <x v="16"/>
    <n v="3.5270929999999998"/>
    <n v="11.503443000000001"/>
    <x v="0"/>
  </r>
  <r>
    <n v="2200"/>
    <s v="T1570"/>
    <s v="IHS_YND_140"/>
    <s v="T1570"/>
    <x v="3"/>
    <s v="BISCUITERIE"/>
    <x v="0"/>
    <s v="Outdoor"/>
    <s v="MENDONG 2"/>
    <s v="MFOUNDI"/>
    <s v="YAOUNDE 6"/>
    <x v="16"/>
    <n v="3.8539720000000002"/>
    <n v="11.488306"/>
    <x v="0"/>
  </r>
  <r>
    <n v="2201"/>
    <s v="CTR_002"/>
    <s v="IHS_YND_010"/>
    <s v="CTR_002"/>
    <x v="3"/>
    <s v="CNR"/>
    <x v="0"/>
    <s v="Indoor"/>
    <s v="ESSOS 2"/>
    <s v="MFOUNDI"/>
    <s v="YAOUNDE 2"/>
    <x v="16"/>
    <n v="3.8692190000000002"/>
    <n v="11.516116"/>
    <x v="1"/>
  </r>
  <r>
    <n v="2202"/>
    <s v="CTR_215"/>
    <s v="IHS_YND_311"/>
    <s v="CTR_215"/>
    <x v="3"/>
    <s v="Nkolda"/>
    <x v="0"/>
    <s v="Outdoor"/>
    <s v="TROPICANA 1"/>
    <s v="MFOUNDI"/>
    <s v="YAOUNDE 4"/>
    <x v="16"/>
    <n v="3.75447"/>
    <n v="11.53373"/>
    <x v="0"/>
  </r>
  <r>
    <n v="2203"/>
    <s v="CTR_322"/>
    <s v="IHS_YND_029"/>
    <s v="CTR_322"/>
    <x v="3"/>
    <s v="Sapeur"/>
    <x v="0"/>
    <s v="Outdoor"/>
    <s v="ESSOS 2"/>
    <s v="MFOUNDI"/>
    <s v="YAOUNDE 2"/>
    <x v="16"/>
    <n v="3.8732730000000002"/>
    <n v="11.506537"/>
    <x v="0"/>
  </r>
  <r>
    <n v="2204"/>
    <s v="T0565"/>
    <s v="IHS_EDA_048"/>
    <s v="T0565"/>
    <x v="0"/>
    <s v="Omeng"/>
    <x v="0"/>
    <s v="Outdoor"/>
    <s v="Bangangte"/>
    <s v="SANAGA-MARITIME"/>
    <s v="Ndom"/>
    <x v="16"/>
    <n v="4.5144330000000004"/>
    <n v="10.823603"/>
    <x v="0"/>
  </r>
  <r>
    <n v="2205"/>
    <s v="T0913"/>
    <s v="IHS_EBO_010"/>
    <s v="T0913"/>
    <x v="5"/>
    <s v="Ke'Eke"/>
    <x v="0"/>
    <s v="Outdoor"/>
    <s v="Ebolowa"/>
    <s v="MVILLA"/>
    <s v="Ebolowa 2"/>
    <x v="16"/>
    <n v="2.9041000000000001"/>
    <n v="11.271800000000001"/>
    <x v="0"/>
  </r>
  <r>
    <n v="2206"/>
    <s v="T1077"/>
    <s v="IHS_SGM_015"/>
    <s v="T1077"/>
    <x v="5"/>
    <s v="Fibot"/>
    <x v="0"/>
    <s v="Outdoor"/>
    <s v="Sangmelima"/>
    <s v="DJA-ET-LOBO"/>
    <s v="COMMUNE DE MBALMAYO"/>
    <x v="16"/>
    <n v="3.3941530000000002"/>
    <n v="11.884703"/>
    <x v="0"/>
  </r>
  <r>
    <n v="2207"/>
    <s v="T0529"/>
    <s v="IHS_YND_006"/>
    <s v="T0529"/>
    <x v="3"/>
    <s v="Pharmacie SION"/>
    <x v="0"/>
    <s v="Outdoor"/>
    <s v="ESSOS 2"/>
    <s v="MFOUNDI"/>
    <s v="YAOUNDE 1"/>
    <x v="16"/>
    <n v="3.86511"/>
    <n v="11.517519999999999"/>
    <x v="1"/>
  </r>
  <r>
    <n v="2208"/>
    <s v="T0470"/>
    <s v="IHS_YND_022"/>
    <s v="T0470"/>
    <x v="3"/>
    <s v="Mvog Ada"/>
    <x v="0"/>
    <s v="Outdoor"/>
    <s v="ESSOS 1"/>
    <s v="MFOUNDI"/>
    <s v="YAOUNDE 5"/>
    <x v="16"/>
    <n v="3.8623599999999998"/>
    <n v="11.524330000000001"/>
    <x v="1"/>
  </r>
  <r>
    <n v="2209"/>
    <s v="T0036"/>
    <s v="IHS_YND_076"/>
    <s v="T0036"/>
    <x v="3"/>
    <s v="Le Flamboyant"/>
    <x v="0"/>
    <s v="Indoor"/>
    <s v="MENDONG 2"/>
    <s v="MFOUNDI"/>
    <s v="YAOUNDE 6"/>
    <x v="16"/>
    <n v="3.857056"/>
    <n v="11.492027999999999"/>
    <x v="1"/>
  </r>
  <r>
    <n v="2210"/>
    <s v="T0123"/>
    <s v="IHS_YND_013"/>
    <s v="T0123"/>
    <x v="3"/>
    <s v="Laboratoire T.Bella"/>
    <x v="0"/>
    <s v="Indoor"/>
    <s v="ESSOS 2"/>
    <s v="MFOUNDI"/>
    <s v="YAOUNDE 2"/>
    <x v="16"/>
    <n v="3.8712300000000002"/>
    <n v="11.517849999999999"/>
    <x v="1"/>
  </r>
  <r>
    <n v="2211"/>
    <s v="T0291"/>
    <s v="IHS_YND_147"/>
    <s v="T0291"/>
    <x v="3"/>
    <s v="Club France"/>
    <x v="0"/>
    <s v="Indoor"/>
    <s v="TROPICANA 2"/>
    <s v="MFOUNDI"/>
    <s v="YAOUNDE 3"/>
    <x v="16"/>
    <n v="3.83548"/>
    <n v="11.49536"/>
    <x v="1"/>
  </r>
  <r>
    <n v="2212"/>
    <s v="T0465"/>
    <s v="IHS_YND_143"/>
    <s v="T0465"/>
    <x v="3"/>
    <s v="Byemassi Carrefour"/>
    <x v="0"/>
    <s v="Outdoor"/>
    <s v="MENDONG 2"/>
    <s v="MFOUNDI"/>
    <s v="YAOUNDE 6"/>
    <x v="16"/>
    <n v="3.8483299999999998"/>
    <n v="11.486409999999999"/>
    <x v="1"/>
  </r>
  <r>
    <n v="2213"/>
    <s v="CTR_093"/>
    <s v="IHS_YND_188"/>
    <s v="CTR_093"/>
    <x v="3"/>
    <s v="H-Paradis"/>
    <x v="0"/>
    <s v="Outdoor"/>
    <s v="OMNISPORT"/>
    <s v="MFOUNDI"/>
    <s v="YAOUNDE 5"/>
    <x v="16"/>
    <n v="3.8976099999999998"/>
    <n v="11.541930000000001"/>
    <x v="1"/>
  </r>
  <r>
    <n v="2214"/>
    <s v="T0050"/>
    <s v="IHS_YND_039"/>
    <s v="T0050"/>
    <x v="3"/>
    <s v="Siantou Radio TV"/>
    <x v="0"/>
    <s v="Indoor"/>
    <s v="TROPICANA 2"/>
    <s v="MFOUNDI"/>
    <s v="YAOUNDE 4"/>
    <x v="16"/>
    <n v="3.8495499999999998"/>
    <n v="11.520799999999999"/>
    <x v="1"/>
  </r>
  <r>
    <n v="2215"/>
    <s v="T0457"/>
    <s v="IHS_YND_246"/>
    <s v="T0457"/>
    <x v="3"/>
    <s v="Emana"/>
    <x v="0"/>
    <s v="Outdoor"/>
    <s v="MANGUIER 2"/>
    <s v="MFOUNDI"/>
    <s v="YAOUNDE 1"/>
    <x v="16"/>
    <n v="3.9248599999999998"/>
    <n v="11.5198"/>
    <x v="1"/>
  </r>
  <r>
    <n v="2216"/>
    <s v="CTR_096"/>
    <s v="IHS_YND_042"/>
    <s v="CTR_096"/>
    <x v="3"/>
    <s v="Mvog-Ada-TKC"/>
    <x v="0"/>
    <s v="Indoor"/>
    <s v="ESSOS 1"/>
    <s v="MFOUNDI"/>
    <s v="YAOUNDE 5"/>
    <x v="16"/>
    <n v="3.86443"/>
    <n v="11.527979999999999"/>
    <x v="1"/>
  </r>
  <r>
    <n v="2217"/>
    <s v="CTR_075"/>
    <s v="IHS_YND_133"/>
    <s v="CTR_075"/>
    <x v="3"/>
    <s v="Elig-Edzoa"/>
    <x v="0"/>
    <s v="Indoor"/>
    <s v="MANGUIER 2"/>
    <s v="MFOUNDI"/>
    <s v="YAOUNDE 1"/>
    <x v="16"/>
    <n v="3.8914749999999998"/>
    <n v="11.529622"/>
    <x v="1"/>
  </r>
  <r>
    <n v="2218"/>
    <s v="CTR_374"/>
    <s v="IHS_YND_173"/>
    <s v="CTR_374"/>
    <x v="3"/>
    <s v="Awae-Nkomo"/>
    <x v="0"/>
    <s v="Outdoor"/>
    <s v="NKOMO"/>
    <s v="MEFOU-ET-AFAMBA "/>
    <s v="NKOLAFAMBA"/>
    <x v="16"/>
    <n v="3.8349440000000001"/>
    <n v="11.553722"/>
    <x v="1"/>
  </r>
  <r>
    <n v="2219"/>
    <s v="CTR_285"/>
    <s v="IHS_YND_099"/>
    <s v="CTR_285"/>
    <x v="3"/>
    <s v="Ekie-Elegance"/>
    <x v="0"/>
    <s v="Outdoor"/>
    <s v="TROPICANA 1"/>
    <s v="MFOUNDI"/>
    <s v="YAOUNDE 4"/>
    <x v="16"/>
    <n v="3.8326699999999998"/>
    <n v="11.53046"/>
    <x v="1"/>
  </r>
  <r>
    <n v="2220"/>
    <s v="CTR_427"/>
    <s v="IHS_YND_200"/>
    <s v="CTR_427"/>
    <x v="3"/>
    <s v="Nkomkana"/>
    <x v="0"/>
    <s v="Outdoor"/>
    <s v="ESSOS 2"/>
    <s v="MFOUNDI"/>
    <s v="YAOUNDE 2"/>
    <x v="16"/>
    <n v="3.8828040000000001"/>
    <n v="11.492381999999999"/>
    <x v="1"/>
  </r>
  <r>
    <n v="2221"/>
    <s v="CTR_390"/>
    <s v="IHS_YND_203"/>
    <s v="CTR_390"/>
    <x v="3"/>
    <s v="Tongolo"/>
    <x v="0"/>
    <s v="Outdoor"/>
    <s v="MANGUIER 1"/>
    <s v="MFOUNDI"/>
    <s v="YAOUNDE 1"/>
    <x v="16"/>
    <n v="3.904417"/>
    <n v="11.526417"/>
    <x v="1"/>
  </r>
  <r>
    <n v="2222"/>
    <s v="T0287"/>
    <s v="IHS_YND_038"/>
    <s v="T0287"/>
    <x v="3"/>
    <s v="Siantou Inferieur"/>
    <x v="0"/>
    <s v="Indoor"/>
    <s v="ESSOS 1"/>
    <s v="MFOUNDI"/>
    <s v="YAOUNDE 5"/>
    <x v="16"/>
    <n v="3.8561100000000001"/>
    <n v="11.52849"/>
    <x v="1"/>
  </r>
  <r>
    <n v="2223"/>
    <s v="T0286"/>
    <s v="IHS_YND_060"/>
    <s v="T0286"/>
    <x v="3"/>
    <s v="Ngoa Ekelle"/>
    <x v="0"/>
    <s v="Indoor"/>
    <s v="MENDONG 2"/>
    <s v="MFOUNDI"/>
    <s v="YAOUNDE 3"/>
    <x v="16"/>
    <n v="3.85256"/>
    <n v="11.498900000000001"/>
    <x v="1"/>
  </r>
  <r>
    <n v="2224"/>
    <s v="CTR_409"/>
    <s v="IHS_YND_090"/>
    <s v="CTR_409"/>
    <x v="3"/>
    <s v="BATA-Mokolo"/>
    <x v="0"/>
    <s v="Outdoor"/>
    <s v="ESSOS 2"/>
    <s v="MFOUNDI"/>
    <s v="YAOUNDE 2"/>
    <x v="16"/>
    <n v="3.8760059999999998"/>
    <n v="11.496975000000001"/>
    <x v="1"/>
  </r>
  <r>
    <n v="2225"/>
    <s v="CTR_123"/>
    <s v="IHS_YND_513"/>
    <s v="CTR_123"/>
    <x v="3"/>
    <s v="Maison-Blanche-IHS"/>
    <x v="0"/>
    <s v="Outdoor"/>
    <s v="MENDONG 1"/>
    <s v="MFOUNDI"/>
    <s v="YAOUNDE 6"/>
    <x v="16"/>
    <n v="3.8429190000000002"/>
    <n v="11.479481"/>
    <x v="1"/>
  </r>
  <r>
    <n v="2226"/>
    <s v="CTR_149"/>
    <s v="IHS_YND_517"/>
    <s v="CTR_149"/>
    <x v="3"/>
    <s v="Montee-Des-Soeurs"/>
    <x v="0"/>
    <s v="Outdoor"/>
    <s v="MENDONG 1"/>
    <s v="MFOUNDI"/>
    <s v="YAOUNDE 6"/>
    <x v="16"/>
    <n v="3.8348170000000001"/>
    <n v="11.478031"/>
    <x v="1"/>
  </r>
  <r>
    <n v="2227"/>
    <s v="T1669"/>
    <s v="IHS_YND_195"/>
    <s v="T1669"/>
    <x v="3"/>
    <s v="china embassy yde"/>
    <x v="0"/>
    <s v="Outdoor"/>
    <s v="TSINGA"/>
    <s v="MFOUNDI"/>
    <s v="YAOUNDE 2"/>
    <x v="16"/>
    <n v="3.8978890000000002"/>
    <n v="11.509055999999999"/>
    <x v="1"/>
  </r>
  <r>
    <n v="2228"/>
    <s v="CTR_008"/>
    <s v="IHS_YND_068"/>
    <s v="CTR_008"/>
    <x v="3"/>
    <s v="Ndisamba"/>
    <x v="0"/>
    <s v="Indoor"/>
    <s v="TROPICANA 2"/>
    <s v="MFOUNDI"/>
    <s v="YAOUNDE 4"/>
    <x v="16"/>
    <n v="3.83738"/>
    <n v="11.517440000000001"/>
    <x v="1"/>
  </r>
  <r>
    <n v="2229"/>
    <s v="T1688"/>
    <s v="IHS_YND_025"/>
    <s v="T1688"/>
    <x v="3"/>
    <s v="CORNIERS"/>
    <x v="0"/>
    <s v="Outdoor"/>
    <s v="ESSOS 1"/>
    <s v="MFOUNDI"/>
    <s v="YAOUNDE 5"/>
    <x v="16"/>
    <n v="3.866069"/>
    <n v="11.533047"/>
    <x v="1"/>
  </r>
  <r>
    <n v="2230"/>
    <s v="T0468"/>
    <s v="IHS_YND_120"/>
    <s v="T0468"/>
    <x v="3"/>
    <s v="Sapeur Mimboman"/>
    <x v="0"/>
    <s v="Indoor"/>
    <s v="NKOMO"/>
    <s v="MFOUNDI"/>
    <s v="YAOUNDE 4"/>
    <x v="16"/>
    <n v="3.8675120000000001"/>
    <n v="11.549084000000001"/>
    <x v="1"/>
  </r>
  <r>
    <n v="2231"/>
    <s v="CTR_212"/>
    <s v="IHS_YND_178"/>
    <s v="CTR_212"/>
    <x v="3"/>
    <s v="Emombo"/>
    <x v="0"/>
    <s v="Indoor"/>
    <s v="NKOMO"/>
    <s v="MFOUNDI"/>
    <s v="YAOUNDE 4"/>
    <x v="16"/>
    <n v="3.8625250000000002"/>
    <n v="11.553697"/>
    <x v="1"/>
  </r>
  <r>
    <n v="2232"/>
    <s v="CTR_130"/>
    <s v="IHS_YND_539"/>
    <s v="CTR_130"/>
    <x v="3"/>
    <s v="Ngousso"/>
    <x v="0"/>
    <s v="Outdoor"/>
    <s v="OMNISPORT"/>
    <s v="MFOUNDI"/>
    <s v="YAOUNDE 5"/>
    <x v="16"/>
    <n v="3.8933140000000002"/>
    <n v="11.547955"/>
    <x v="1"/>
  </r>
  <r>
    <n v="2233"/>
    <s v="T1738"/>
    <s v="IHS_YND_560"/>
    <s v="T1738"/>
    <x v="3"/>
    <s v="Cite des nations"/>
    <x v="0"/>
    <s v="Outdoor"/>
    <s v="MENDONG 2"/>
    <s v="MFOUNDI"/>
    <s v="YAOUNDE 3"/>
    <x v="16"/>
    <n v="3.849361"/>
    <n v="11.501306"/>
    <x v="1"/>
  </r>
  <r>
    <n v="2234"/>
    <s v="CTR_159"/>
    <s v="IHS_YND_508"/>
    <s v="CTR_159"/>
    <x v="3"/>
    <s v="Crf-Nsam"/>
    <x v="0"/>
    <s v="Outdoor"/>
    <s v="TROPICANA 2"/>
    <s v="MFOUNDI"/>
    <s v="YAOUNDE 3"/>
    <x v="16"/>
    <n v="3.8308200000000001"/>
    <n v="11.51024"/>
    <x v="1"/>
  </r>
  <r>
    <n v="2235"/>
    <s v="T0461"/>
    <s v="IHS_YND_054"/>
    <s v="T0461"/>
    <x v="3"/>
    <s v="Olezoa"/>
    <x v="0"/>
    <s v="Outdoor"/>
    <s v="TROPICANA 2"/>
    <s v="MFOUNDI"/>
    <s v="YAOUNDE 3"/>
    <x v="16"/>
    <n v="3.8488199999999999"/>
    <n v="11.51446"/>
    <x v="1"/>
  </r>
  <r>
    <n v="2236"/>
    <s v="CTR_155"/>
    <s v="IHS_YND_505"/>
    <s v="CTR_155"/>
    <x v="3"/>
    <s v="Scalom-IHS"/>
    <x v="0"/>
    <s v="Outdoor"/>
    <s v="MENDONG 2"/>
    <s v="MFOUNDI"/>
    <s v="YAOUNDE 3"/>
    <x v="16"/>
    <n v="3.8463750000000001"/>
    <n v="11.496733000000001"/>
    <x v="1"/>
  </r>
  <r>
    <n v="2237"/>
    <s v="CTR_104"/>
    <s v="IHS_YND_244"/>
    <s v="CTR_104"/>
    <x v="3"/>
    <s v="Abattoir"/>
    <x v="0"/>
    <s v="Indoor"/>
    <s v="MANGUIER 2"/>
    <s v="MFOUNDI"/>
    <s v="YAOUNDE 1"/>
    <x v="16"/>
    <n v="3.9176190000000002"/>
    <n v="11.532389"/>
    <x v="1"/>
  </r>
  <r>
    <n v="2238"/>
    <s v="CTR_486"/>
    <s v="IHS_YND_569"/>
    <s v="CTR_486"/>
    <x v="3"/>
    <s v="Mendong Maeture"/>
    <x v="0"/>
    <s v="Outdoor"/>
    <s v="MENDONG 1"/>
    <s v="MFOUNDI"/>
    <s v="YAOUNDE 6"/>
    <x v="16"/>
    <n v="3.8320989999999999"/>
    <n v="11.462910000000001"/>
    <x v="1"/>
  </r>
  <r>
    <n v="2239"/>
    <s v="T0542"/>
    <s v="IHS_YND_185"/>
    <s v="T0542"/>
    <x v="3"/>
    <s v="Ngousso"/>
    <x v="0"/>
    <s v="Outdoor"/>
    <s v="OMNISPORT"/>
    <s v="MFOUNDI"/>
    <s v="YAOUNDE 5"/>
    <x v="16"/>
    <n v="3.8935840000000002"/>
    <n v="11.548038999999999"/>
    <x v="1"/>
  </r>
  <r>
    <n v="2240"/>
    <s v="T1748"/>
    <s v="IHS_YND_559"/>
    <s v="T1748"/>
    <x v="3"/>
    <s v="BATA Mokolo OCM"/>
    <x v="0"/>
    <s v="Outdoor"/>
    <s v="ESSOS 2"/>
    <s v="MFOUNDI"/>
    <s v="YAOUNDE 2"/>
    <x v="16"/>
    <n v="3.8748610000000001"/>
    <n v="11.498556000000001"/>
    <x v="1"/>
  </r>
  <r>
    <n v="2241"/>
    <s v="CTR_483"/>
    <s v="IHS_YND_564"/>
    <s v="CTR_483"/>
    <x v="3"/>
    <s v="Mvog Mbi New "/>
    <x v="0"/>
    <s v="Outdoor"/>
    <s v="TROPICANA 2"/>
    <s v="MFOUNDI"/>
    <s v="YAOUNDE 4"/>
    <x v="16"/>
    <n v="3.850158"/>
    <n v="11.521658"/>
    <x v="1"/>
  </r>
  <r>
    <n v="2242"/>
    <s v="CTR_154"/>
    <s v="IHS_YND_518"/>
    <s v="CTR_154"/>
    <x v="3"/>
    <s v="Montee-Jouvence-II"/>
    <x v="0"/>
    <s v="Outdoor"/>
    <s v="MENDONG 1"/>
    <s v="MFOUNDI"/>
    <s v="YAOUNDE 6"/>
    <x v="16"/>
    <n v="3.8230919999999999"/>
    <n v="11.482225"/>
    <x v="1"/>
  </r>
  <r>
    <n v="2243"/>
    <s v="CTR_070"/>
    <s v="IHS_YND_104"/>
    <s v="CTR_070"/>
    <x v="3"/>
    <s v="Carington"/>
    <x v="0"/>
    <s v="Indoor"/>
    <s v="MANGUIER 1"/>
    <s v="MFOUNDI"/>
    <s v="YAOUNDE 5"/>
    <x v="16"/>
    <n v="3.8853900000000001"/>
    <n v="11.535636999999999"/>
    <x v="1"/>
  </r>
  <r>
    <n v="2244"/>
    <s v="T1744"/>
    <s v="IHS_YND_556"/>
    <s v="T1744"/>
    <x v="3"/>
    <s v="NKOMKANA ELIZA HOTEL"/>
    <x v="0"/>
    <s v="Outdoor"/>
    <s v="TSINGA"/>
    <s v="MFOUNDI"/>
    <s v="YAOUNDE 2"/>
    <x v="16"/>
    <n v="3.8840370000000002"/>
    <n v="11.491237999999999"/>
    <x v="1"/>
  </r>
  <r>
    <n v="2245"/>
    <s v="CTR_090"/>
    <s v="IHS_YND_063"/>
    <s v="CTR_090"/>
    <x v="3"/>
    <s v="Av-Germaine"/>
    <x v="0"/>
    <s v="Indoor"/>
    <s v="ESSOS 1"/>
    <s v="MFOUNDI"/>
    <s v="YAOUNDE 5"/>
    <x v="16"/>
    <n v="3.86869"/>
    <n v="11.53341"/>
    <x v="1"/>
  </r>
  <r>
    <n v="2246"/>
    <s v="T1330"/>
    <s v="IHS_YND_035"/>
    <s v="T1330"/>
    <x v="3"/>
    <s v="Bastos Amb Coree"/>
    <x v="0"/>
    <s v="Outdoor"/>
    <s v="MANGUIER 1"/>
    <s v="MFOUNDI"/>
    <s v="YAOUNDE 2"/>
    <x v="16"/>
    <n v="3.8950710000000002"/>
    <n v="11.518775"/>
    <x v="1"/>
  </r>
  <r>
    <n v="2247"/>
    <s v="CTR_128"/>
    <s v="IHS_YND_044"/>
    <s v="CTR_128"/>
    <x v="3"/>
    <s v="Polytechnique"/>
    <x v="0"/>
    <s v="Indoor"/>
    <s v="MENDONG 2"/>
    <s v="MFOUNDI"/>
    <s v="YAOUNDE 3"/>
    <x v="16"/>
    <n v="3.8635470000000001"/>
    <n v="11.501331"/>
    <x v="1"/>
  </r>
  <r>
    <n v="2248"/>
    <s v="CTR_038"/>
    <s v="IHS_YND_052"/>
    <s v="CTR_038"/>
    <x v="3"/>
    <s v="NR-Bastos"/>
    <x v="0"/>
    <s v="Indoor"/>
    <s v="TSINGA"/>
    <s v="MFOUNDI"/>
    <s v="YAOUNDE 2"/>
    <x v="16"/>
    <n v="3.8853610000000001"/>
    <n v="11.513417"/>
    <x v="1"/>
  </r>
  <r>
    <n v="2249"/>
    <s v="T0420"/>
    <s v="IHS_YND_082"/>
    <s v="T0420"/>
    <x v="3"/>
    <s v="Mokolo Yaounde"/>
    <x v="0"/>
    <s v="Indoor"/>
    <s v="ESSOS 2"/>
    <s v="MFOUNDI"/>
    <s v="YAOUNDE 2"/>
    <x v="16"/>
    <n v="3.8730000000000002"/>
    <n v="11.502000000000001"/>
    <x v="1"/>
  </r>
  <r>
    <n v="2250"/>
    <s v="T0401"/>
    <s v="IHS_YND_205"/>
    <s v="T0401"/>
    <x v="3"/>
    <s v="Tongolo"/>
    <x v="0"/>
    <s v="Indoor"/>
    <s v="MANGUIER 2"/>
    <s v="MFOUNDI"/>
    <s v="YAOUNDE 1"/>
    <x v="16"/>
    <n v="3.9080699999999999"/>
    <n v="11.52284"/>
    <x v="1"/>
  </r>
  <r>
    <n v="2251"/>
    <s v="CTR_125"/>
    <s v="IHS_YND_096"/>
    <s v="CTR_125"/>
    <x v="3"/>
    <s v="Mobil-Kondengui"/>
    <x v="0"/>
    <s v="Indoor"/>
    <s v="ESSOS 1"/>
    <s v="MFOUNDI"/>
    <s v="YAOUNDE 4"/>
    <x v="16"/>
    <n v="3.8533439999999999"/>
    <n v="11.537210999999999"/>
    <x v="1"/>
  </r>
  <r>
    <n v="2252"/>
    <s v="CTR_266"/>
    <s v="IHS_YND_179"/>
    <s v="CTR_266"/>
    <x v="3"/>
    <s v="Essomba"/>
    <x v="0"/>
    <s v="Outdoor"/>
    <s v="NKOMO"/>
    <s v="MFOUNDI"/>
    <s v="YAOUNDE 4"/>
    <x v="16"/>
    <n v="3.8570419999999999"/>
    <n v="11.559414"/>
    <x v="1"/>
  </r>
  <r>
    <n v="2253"/>
    <s v="T1432"/>
    <s v="IHS_YND_544"/>
    <s v="T1432"/>
    <x v="3"/>
    <s v="Jean Vespa 2"/>
    <x v="0"/>
    <s v="Outdoor"/>
    <s v="TSINGA"/>
    <s v="MFOUNDI"/>
    <s v="YAOUNDE 2"/>
    <x v="16"/>
    <n v="3.8927200000000002"/>
    <n v="11.49225"/>
    <x v="1"/>
  </r>
  <r>
    <n v="2254"/>
    <s v="CTR_217"/>
    <s v="IHS_YND_139"/>
    <s v="CTR_217"/>
    <x v="3"/>
    <s v="Madagascar-Yde-New"/>
    <x v="0"/>
    <s v="Indoor"/>
    <s v="TSINGA"/>
    <s v="MFOUNDI"/>
    <s v="YAOUNDE 2"/>
    <x v="16"/>
    <n v="3.878139"/>
    <n v="11.494444"/>
    <x v="1"/>
  </r>
  <r>
    <n v="2255"/>
    <s v="CTR_132"/>
    <s v="IHS_YND_107"/>
    <s v="CTR_132"/>
    <x v="3"/>
    <s v="NR-Omnisport"/>
    <x v="0"/>
    <s v="Indoor"/>
    <s v="OMNISPORT"/>
    <s v="MFOUNDI"/>
    <s v="YAOUNDE 5"/>
    <x v="16"/>
    <n v="3.8818100000000002"/>
    <n v="11.539199999999999"/>
    <x v="1"/>
  </r>
  <r>
    <n v="2256"/>
    <s v="CTR_044"/>
    <s v="IHS_YND_089"/>
    <s v="CTR_044"/>
    <x v="3"/>
    <s v="H-Princes"/>
    <x v="0"/>
    <s v="Indoor"/>
    <s v="TSINGA"/>
    <s v="MFOUNDI"/>
    <s v="YAOUNDE 2"/>
    <x v="16"/>
    <n v="3.8813610000000001"/>
    <n v="11.502722"/>
    <x v="1"/>
  </r>
  <r>
    <n v="2257"/>
    <s v="T0455"/>
    <s v="IHS_YND_134"/>
    <s v="T0455"/>
    <x v="3"/>
    <s v="Vallee Bastos"/>
    <x v="0"/>
    <s v="Outdoor"/>
    <s v="TSINGA"/>
    <s v="MFOUNDI"/>
    <s v="YAOUNDE 2"/>
    <x v="16"/>
    <n v="3.8851719999999998"/>
    <n v="11.512689"/>
    <x v="1"/>
  </r>
  <r>
    <n v="2258"/>
    <s v="CTR_389"/>
    <s v="IHS_YND_066"/>
    <s v="CTR_389"/>
    <x v="3"/>
    <s v="GSO"/>
    <x v="0"/>
    <s v="Outdoor"/>
    <s v="TROPICANA 1"/>
    <s v="MFOUNDI"/>
    <s v="YAOUNDE 4"/>
    <x v="16"/>
    <n v="3.8430399999999998"/>
    <n v="11.52308"/>
    <x v="1"/>
  </r>
  <r>
    <n v="2259"/>
    <s v="CTR_422"/>
    <s v="IHS_YND_512"/>
    <s v="CTR_422"/>
    <x v="3"/>
    <s v="Mimboman-Ecole"/>
    <x v="0"/>
    <s v="Outdoor"/>
    <s v="NKOMO"/>
    <s v="MFOUNDI"/>
    <s v="YAOUNDE 4"/>
    <x v="16"/>
    <n v="3.874552"/>
    <n v="11.562711999999999"/>
    <x v="1"/>
  </r>
  <r>
    <n v="2260"/>
    <s v="T0773"/>
    <s v="IHS_YND_262"/>
    <s v="T0773"/>
    <x v="3"/>
    <s v="Mendong3"/>
    <x v="0"/>
    <s v="Outdoor"/>
    <s v="MENDONG 1"/>
    <s v="MFOUNDI"/>
    <s v="YAOUNDE 6"/>
    <x v="16"/>
    <n v="3.83"/>
    <n v="11.465999999999999"/>
    <x v="1"/>
  </r>
  <r>
    <n v="2261"/>
    <s v="T0539"/>
    <s v="IHS_YND_034"/>
    <s v="T0539"/>
    <x v="3"/>
    <s v="EMIA"/>
    <x v="0"/>
    <s v="Outdoor"/>
    <s v="MENDONG 2"/>
    <s v="MFOUNDI"/>
    <s v="YAOUNDE 3"/>
    <x v="16"/>
    <n v="3.86612"/>
    <n v="11.504390000000001"/>
    <x v="1"/>
  </r>
  <r>
    <n v="2262"/>
    <s v="T0652"/>
    <s v="IHS_YND_222"/>
    <s v="T0652"/>
    <x v="3"/>
    <s v="Jean Vespa"/>
    <x v="0"/>
    <s v="Indoor"/>
    <s v="TSINGA"/>
    <s v="MFOUNDI"/>
    <s v="YAOUNDE 2"/>
    <x v="16"/>
    <n v="3.8880279999999998"/>
    <n v="11.492417"/>
    <x v="1"/>
  </r>
  <r>
    <n v="2263"/>
    <s v="CTR_238"/>
    <s v="IHS_YND_148"/>
    <s v="CTR_238"/>
    <x v="3"/>
    <s v="Chapelle-Nsimeyong"/>
    <x v="0"/>
    <s v="Outdoor"/>
    <s v="TROPICANA 2"/>
    <s v="MFOUNDI"/>
    <s v="YAOUNDE 3"/>
    <x v="16"/>
    <n v="3.8332890000000002"/>
    <n v="11.493629"/>
    <x v="1"/>
  </r>
  <r>
    <n v="2264"/>
    <s v="CTR_242"/>
    <s v="IHS_YND_059"/>
    <s v="CTR_242"/>
    <x v="3"/>
    <s v="E-Poste"/>
    <x v="0"/>
    <s v="Indoor"/>
    <s v="MENDONG 2"/>
    <s v="MFOUNDI"/>
    <s v="YAOUNDE 3"/>
    <x v="16"/>
    <n v="3.850139"/>
    <n v="11.500833"/>
    <x v="1"/>
  </r>
  <r>
    <n v="2265"/>
    <s v="T0636"/>
    <s v="IHS_YND_299"/>
    <s v="T0636"/>
    <x v="3"/>
    <s v="Olembe"/>
    <x v="0"/>
    <s v="Outdoor"/>
    <s v="MANGUIER 2"/>
    <s v="MFOUNDI"/>
    <s v="YAOUNDE 1"/>
    <x v="16"/>
    <n v="3.95418"/>
    <n v="11.53173"/>
    <x v="1"/>
  </r>
  <r>
    <n v="2266"/>
    <s v="CTR_261"/>
    <s v="IHS_YND_161"/>
    <s v="CTR_261"/>
    <x v="3"/>
    <s v="Sofavinc"/>
    <x v="0"/>
    <s v="Outdoor"/>
    <s v="TROPICANA 2"/>
    <s v="MFOUNDI"/>
    <s v="YAOUNDE 3"/>
    <x v="16"/>
    <n v="3.8171400000000002"/>
    <n v="11.509270000000001"/>
    <x v="1"/>
  </r>
  <r>
    <n v="2267"/>
    <s v="CTR_310"/>
    <s v="IHS_YND_057"/>
    <s v="CTR_310"/>
    <x v="3"/>
    <s v="Mvolye-New"/>
    <x v="0"/>
    <s v="Outdoor"/>
    <s v="TROPICANA 2"/>
    <s v="MFOUNDI"/>
    <s v="YAOUNDE 3"/>
    <x v="16"/>
    <n v="3.8423060000000002"/>
    <n v="11.509444"/>
    <x v="1"/>
  </r>
  <r>
    <n v="2268"/>
    <s v="CTR_321"/>
    <s v="IHS_YND_085"/>
    <s v="CTR_321"/>
    <x v="3"/>
    <s v="Briqueterie"/>
    <x v="0"/>
    <s v="Outdoor"/>
    <s v="TSINGA"/>
    <s v="MFOUNDI"/>
    <s v="YAOUNDE 2"/>
    <x v="16"/>
    <n v="3.8779720000000002"/>
    <n v="11.50475"/>
    <x v="1"/>
  </r>
  <r>
    <n v="2269"/>
    <s v="CTR_323"/>
    <s v="IHS_YND_043"/>
    <s v="CTR_323"/>
    <x v="3"/>
    <s v="EMIA"/>
    <x v="0"/>
    <s v="Outdoor"/>
    <s v="MENDONG 2"/>
    <s v="MFOUNDI"/>
    <s v="YAOUNDE 3"/>
    <x v="16"/>
    <n v="3.8595619999999999"/>
    <n v="11.504611000000001"/>
    <x v="1"/>
  </r>
  <r>
    <n v="2270"/>
    <s v="CTR_020"/>
    <s v="IHS_YND_137"/>
    <s v="CTR_020"/>
    <x v="3"/>
    <s v="Masque"/>
    <x v="0"/>
    <s v="Indoor"/>
    <s v="MANGUIER 2"/>
    <s v="MFOUNDI"/>
    <s v="YAOUNDE 1"/>
    <x v="16"/>
    <n v="3.8974440000000001"/>
    <n v="11.524027999999999"/>
    <x v="1"/>
  </r>
  <r>
    <n v="2271"/>
    <s v="CTR_076"/>
    <s v="IHS_YND_030"/>
    <s v="CTR_076"/>
    <x v="3"/>
    <s v="E-Police"/>
    <x v="0"/>
    <s v="Indoor"/>
    <s v="TSINGA"/>
    <s v="MFOUNDI"/>
    <s v="YAOUNDE 2"/>
    <x v="16"/>
    <n v="3.8769999999999998"/>
    <n v="11.511443999999999"/>
    <x v="1"/>
  </r>
  <r>
    <n v="2272"/>
    <s v="T0459"/>
    <s v="IHS_YND_240"/>
    <s v="T0459"/>
    <x v="3"/>
    <s v="Montee Jouvence"/>
    <x v="0"/>
    <s v="Outdoor"/>
    <s v="MENDONG 1"/>
    <s v="MFOUNDI"/>
    <s v="YAOUNDE 6"/>
    <x v="16"/>
    <n v="3.8266800000000001"/>
    <n v="11.47922"/>
    <x v="1"/>
  </r>
  <r>
    <n v="2273"/>
    <s v="T0466"/>
    <s v="IHS_YND_151"/>
    <s v="T0466"/>
    <x v="3"/>
    <s v="Tamtam Weekend"/>
    <x v="0"/>
    <s v="Outdoor"/>
    <s v="MENDONG 1"/>
    <s v="MFOUNDI"/>
    <s v="YAOUNDE 6"/>
    <x v="16"/>
    <n v="3.83161"/>
    <n v="11.48864"/>
    <x v="1"/>
  </r>
  <r>
    <n v="2274"/>
    <s v="CTR_482"/>
    <s v="IHS_YND_562"/>
    <s v="CTR_482"/>
    <x v="3"/>
    <s v="Accacia New"/>
    <x v="0"/>
    <s v="Outdoor"/>
    <s v="MENDONG 1"/>
    <s v="MFOUNDI"/>
    <s v="YAOUNDE 6"/>
    <x v="16"/>
    <n v="3.8412839999999999"/>
    <n v="11.489136999999999"/>
    <x v="1"/>
  </r>
  <r>
    <n v="2275"/>
    <s v="CTR_047"/>
    <s v="IHS_YND_012"/>
    <s v="CTR_047"/>
    <x v="3"/>
    <s v="Elig-Essono"/>
    <x v="0"/>
    <s v="Indoor"/>
    <s v="ESSOS 2"/>
    <s v="MFOUNDI"/>
    <s v="YAOUNDE 1"/>
    <x v="16"/>
    <n v="3.8688899999999999"/>
    <n v="11.52209"/>
    <x v="1"/>
  </r>
  <r>
    <n v="2276"/>
    <s v="T0122"/>
    <s v="IHS_YND_131"/>
    <s v="T0122"/>
    <x v="3"/>
    <s v="Laboratoire  Meka"/>
    <x v="0"/>
    <s v="Indoor"/>
    <s v="TSINGA"/>
    <s v="MFOUNDI"/>
    <s v="YAOUNDE 2"/>
    <x v="16"/>
    <n v="3.8921000000000001"/>
    <n v="11.509"/>
    <x v="1"/>
  </r>
  <r>
    <n v="2277"/>
    <s v="T1415"/>
    <s v="IHS_YND_680"/>
    <s v="T1415"/>
    <x v="3"/>
    <s v="MIMBOMAN LIBERTE"/>
    <x v="0"/>
    <s v="Outdoor"/>
    <s v="ESSOS 1"/>
    <s v="MFOUNDI"/>
    <s v="YAOUNDE 4"/>
    <x v="16"/>
    <n v="3.8731"/>
    <n v="11.55161"/>
    <x v="1"/>
  </r>
  <r>
    <n v="2278"/>
    <s v="T0540"/>
    <s v="IHS_YND_026"/>
    <s v="T0540"/>
    <x v="3"/>
    <s v="ENAM"/>
    <x v="0"/>
    <s v="Outdoor"/>
    <s v="MENDONG 2"/>
    <s v="MFOUNDI"/>
    <s v="YAOUNDE 3"/>
    <x v="16"/>
    <n v="3.861221"/>
    <n v="11.510953000000001"/>
    <x v="1"/>
  </r>
  <r>
    <n v="2279"/>
    <s v="T0649"/>
    <s v="IHS_YND_279"/>
    <s v="T0649"/>
    <x v="3"/>
    <s v="Messassi okolo"/>
    <x v="0"/>
    <s v="Outdoor"/>
    <s v="MANGUIER 2"/>
    <s v="MFOUNDI"/>
    <s v="YAOUNDE 1"/>
    <x v="16"/>
    <n v="3.9367700000000001"/>
    <n v="11.516819999999999"/>
    <x v="1"/>
  </r>
  <r>
    <n v="2280"/>
    <s v="T0524"/>
    <s v="IHS_YND_004"/>
    <s v="T0524"/>
    <x v="3"/>
    <s v="Av Kennedy"/>
    <x v="0"/>
    <s v="Outdoor"/>
    <s v="ESSOS 2"/>
    <s v="MFOUNDI"/>
    <s v="YAOUNDE 1"/>
    <x v="16"/>
    <n v="3.8649900000000001"/>
    <n v="11.520239999999999"/>
    <x v="1"/>
  </r>
  <r>
    <n v="2281"/>
    <s v="CTR_244"/>
    <s v="IHS_YND_002"/>
    <s v="CTR_244"/>
    <x v="3"/>
    <s v="Yde-M-Central"/>
    <x v="0"/>
    <s v="Outdoor"/>
    <s v="ESSOS 2"/>
    <s v="MFOUNDI"/>
    <s v="YAOUNDE 1"/>
    <x v="16"/>
    <n v="3.8664100000000001"/>
    <n v="11.51768"/>
    <x v="1"/>
  </r>
  <r>
    <n v="2282"/>
    <s v="CTR_240"/>
    <s v="IHS_YND_021"/>
    <s v="CTR_240"/>
    <x v="3"/>
    <s v="C-Supreme"/>
    <x v="0"/>
    <s v="Outdoor"/>
    <s v="MENDONG 2"/>
    <s v="MFOUNDI"/>
    <s v="YAOUNDE 1"/>
    <x v="16"/>
    <n v="3.8595999999999999"/>
    <n v="11.51806"/>
    <x v="1"/>
  </r>
  <r>
    <n v="2283"/>
    <s v="CTR_326"/>
    <s v="IHS_YND_236"/>
    <s v="CTR_326"/>
    <x v="3"/>
    <s v="Montee-Jouvence"/>
    <x v="0"/>
    <s v="Outdoor"/>
    <s v="MENDONG 1"/>
    <s v="MFOUNDI"/>
    <s v="YAOUNDE 6"/>
    <x v="16"/>
    <n v="3.8289439999999999"/>
    <n v="11.480055999999999"/>
    <x v="1"/>
  </r>
  <r>
    <n v="2284"/>
    <s v="CTR_012"/>
    <s v="IHS_YND_152"/>
    <s v="CTR_012"/>
    <x v="3"/>
    <s v="Rd-Pt-Express"/>
    <x v="0"/>
    <s v="Indoor"/>
    <s v="MENDONG 1"/>
    <s v="MFOUNDI"/>
    <s v="YAOUNDE 6"/>
    <x v="16"/>
    <n v="3.835194"/>
    <n v="11.484944"/>
    <x v="1"/>
  </r>
  <r>
    <n v="2285"/>
    <s v="CTR_200"/>
    <s v="IHS_YND_129"/>
    <s v="CTR_200"/>
    <x v="3"/>
    <s v="Bastos-BAT"/>
    <x v="0"/>
    <s v="Indoor"/>
    <s v="TSINGA"/>
    <s v="MFOUNDI"/>
    <s v="YAOUNDE 2"/>
    <x v="16"/>
    <n v="3.8926940000000001"/>
    <n v="11.511556000000001"/>
    <x v="1"/>
  </r>
  <r>
    <n v="2286"/>
    <s v="CTR_417"/>
    <s v="IHS_YND_121"/>
    <s v="CTR_417"/>
    <x v="3"/>
    <s v="Emombo-Tchad"/>
    <x v="0"/>
    <s v="Outdoor"/>
    <s v="NKOMO"/>
    <s v="MFOUNDI"/>
    <s v="YAOUNDE 4"/>
    <x v="16"/>
    <n v="3.8583059999999998"/>
    <n v="11.547860999999999"/>
    <x v="1"/>
  </r>
  <r>
    <n v="2287"/>
    <s v="T1685"/>
    <s v="IHS_YND_507"/>
    <s v="T1685"/>
    <x v="3"/>
    <s v="BIYEM ASSI LYCEE"/>
    <x v="0"/>
    <s v="Outdoor"/>
    <s v="MENDONG 1"/>
    <s v="MFOUNDI"/>
    <s v="YAOUNDE 6"/>
    <x v="16"/>
    <n v="3.8450730000000002"/>
    <n v="11.493395"/>
    <x v="1"/>
  </r>
  <r>
    <n v="2288"/>
    <s v="CTR_414"/>
    <s v="IHS_YND_202"/>
    <s v="CTR_414"/>
    <x v="3"/>
    <s v="Cite-Verte"/>
    <x v="0"/>
    <s v="Outdoor"/>
    <s v="ESSOS 2"/>
    <s v="MFOUNDI"/>
    <s v="YAOUNDE 6"/>
    <x v="16"/>
    <n v="3.8749600000000002"/>
    <n v="11.488910000000001"/>
    <x v="1"/>
  </r>
  <r>
    <n v="2289"/>
    <s v="CTR_068"/>
    <s v="IHS_YND_109"/>
    <s v="CTR_068"/>
    <x v="3"/>
    <s v="Mobil-Essos"/>
    <x v="0"/>
    <s v="Indoor"/>
    <s v="ESSOS 1"/>
    <s v="MFOUNDI"/>
    <s v="YAOUNDE 5"/>
    <x v="16"/>
    <n v="3.8748659999999999"/>
    <n v="11.541677"/>
    <x v="1"/>
  </r>
  <r>
    <n v="2290"/>
    <s v="T1504"/>
    <s v="IHS_YND_546"/>
    <s v="T1504"/>
    <x v="3"/>
    <s v="Biyemassi LAC"/>
    <x v="0"/>
    <s v="Outdoor"/>
    <s v="MENDONG 1"/>
    <s v="MFOUNDI"/>
    <s v="YAOUNDE 6"/>
    <x v="16"/>
    <n v="3.8381789999999998"/>
    <n v="11.489259000000001"/>
    <x v="1"/>
  </r>
  <r>
    <n v="2291"/>
    <s v="T1579"/>
    <s v="IHS_YND_480"/>
    <s v="T1579"/>
    <x v="3"/>
    <s v="Sic Cite Verte Matgenie"/>
    <x v="0"/>
    <s v="Outdoor"/>
    <s v="MENDONG 2"/>
    <s v="MFOUNDI"/>
    <s v="YAOUNDE 6"/>
    <x v="16"/>
    <n v="3.86971"/>
    <n v="11.489369999999999"/>
    <x v="1"/>
  </r>
  <r>
    <n v="2292"/>
    <s v="CTR_344"/>
    <s v="IHS_YND_192"/>
    <s v="CTR_344"/>
    <x v="3"/>
    <s v="Dragage"/>
    <x v="0"/>
    <s v="Outdoor"/>
    <s v="MANGUIER 1"/>
    <s v="MFOUNDI"/>
    <s v="YAOUNDE 1"/>
    <x v="16"/>
    <n v="3.8993280000000001"/>
    <n v="11.51666"/>
    <x v="1"/>
  </r>
  <r>
    <n v="2293"/>
    <s v="CTR_065"/>
    <s v="IHS_YND_285"/>
    <s v="CTR_065"/>
    <x v="3"/>
    <s v="Nkolbisson"/>
    <x v="0"/>
    <s v="Indoor"/>
    <s v="NKOLBISSON"/>
    <s v="MFOUNDI"/>
    <s v="YAOUNDE 7"/>
    <x v="16"/>
    <n v="3.8674680000000001"/>
    <n v="11.446289999999999"/>
    <x v="1"/>
  </r>
  <r>
    <n v="2294"/>
    <s v="CTR_035"/>
    <s v="IHS_YND_055"/>
    <s v="CTR_035"/>
    <x v="3"/>
    <s v="Olezoa"/>
    <x v="0"/>
    <s v="Indoor"/>
    <s v="TROPICANA 2"/>
    <s v="MFOUNDI"/>
    <s v="YAOUNDE 3"/>
    <x v="16"/>
    <n v="3.8469699999999998"/>
    <n v="11.51501"/>
    <x v="1"/>
  </r>
  <r>
    <n v="2295"/>
    <s v="CTR_375"/>
    <s v="IHS_YND_087"/>
    <s v="CTR_375"/>
    <x v="3"/>
    <s v="Camp-Sic-Tsinga"/>
    <x v="0"/>
    <s v="Outdoor"/>
    <s v="TSINGA"/>
    <s v="MFOUNDI"/>
    <s v="YAOUNDE 2"/>
    <x v="16"/>
    <n v="3.8808889999999998"/>
    <n v="11.506667"/>
    <x v="1"/>
  </r>
  <r>
    <n v="2296"/>
    <s v="CTR_377"/>
    <s v="IHS_YND_005"/>
    <s v="CTR_377"/>
    <x v="3"/>
    <s v="Imm-Olympique"/>
    <x v="0"/>
    <s v="Outdoor"/>
    <s v="ESSOS 2"/>
    <s v="MFOUNDI"/>
    <s v="YAOUNDE 1"/>
    <x v="16"/>
    <n v="3.865297"/>
    <n v="11.52229"/>
    <x v="1"/>
  </r>
  <r>
    <n v="2297"/>
    <s v="CTR_372"/>
    <s v="IHS_YND_078"/>
    <s v="CTR_372"/>
    <x v="3"/>
    <s v="An-Marche-Melen"/>
    <x v="0"/>
    <s v="Outdoor"/>
    <s v="MENDONG 2"/>
    <s v="MFOUNDI"/>
    <s v="YAOUNDE 3"/>
    <x v="16"/>
    <n v="3.863972"/>
    <n v="11.495305999999999"/>
    <x v="1"/>
  </r>
  <r>
    <n v="2298"/>
    <s v="CTR_382"/>
    <s v="IHS_YND_265"/>
    <s v="CTR_382"/>
    <x v="3"/>
    <s v="Messa-Carriere"/>
    <x v="0"/>
    <s v="Outdoor"/>
    <s v="ESSOS 2"/>
    <s v="MFOUNDI"/>
    <s v="YAOUNDE 6"/>
    <x v="16"/>
    <n v="3.8786299999999998"/>
    <n v="11.48537"/>
    <x v="1"/>
  </r>
  <r>
    <n v="2299"/>
    <s v="CTR_373"/>
    <s v="IHS_YND_007"/>
    <s v="CTR_373"/>
    <x v="3"/>
    <s v="Montee-Anne-Rouge"/>
    <x v="0"/>
    <s v="Outdoor"/>
    <s v="ESSOS 2"/>
    <s v="MFOUNDI"/>
    <s v="YAOUNDE 1"/>
    <x v="16"/>
    <n v="3.867569"/>
    <n v="11.519473"/>
    <x v="1"/>
  </r>
  <r>
    <n v="2300"/>
    <s v="CTR_011"/>
    <s v="IHS_YND_196"/>
    <s v="CTR_011"/>
    <x v="3"/>
    <s v="PDC"/>
    <x v="0"/>
    <s v="Indoor"/>
    <s v="TSINGA"/>
    <s v="MFOUNDI"/>
    <s v="YAOUNDE 2"/>
    <x v="16"/>
    <n v="3.8915280000000001"/>
    <n v="11.501250000000001"/>
    <x v="1"/>
  </r>
  <r>
    <n v="2301"/>
    <s v="T0528"/>
    <s v="IHS_YND_027"/>
    <s v="T0528"/>
    <x v="3"/>
    <s v="Hopital Central"/>
    <x v="0"/>
    <s v="Outdoor"/>
    <s v="MENDONG 2"/>
    <s v="MFOUNDI"/>
    <s v="YAOUNDE 2"/>
    <x v="16"/>
    <n v="3.8708200000000001"/>
    <n v="11.51093"/>
    <x v="1"/>
  </r>
  <r>
    <n v="2302"/>
    <s v="T0536"/>
    <s v="IHS_YND_210"/>
    <s v="T0536"/>
    <x v="3"/>
    <s v="Pharmacie Bleue"/>
    <x v="0"/>
    <s v="Outdoor"/>
    <s v="OMNISPORT"/>
    <s v="MFOUNDI"/>
    <s v="YAOUNDE 5"/>
    <x v="16"/>
    <n v="3.90788"/>
    <n v="11.542439999999999"/>
    <x v="1"/>
  </r>
  <r>
    <n v="2303"/>
    <s v="T0460"/>
    <s v="IHS_YND_201"/>
    <s v="T0460"/>
    <x v="3"/>
    <s v="Cite Verte"/>
    <x v="0"/>
    <s v="Outdoor"/>
    <s v="ESSOS 2"/>
    <s v="MFOUNDI"/>
    <s v="YAOUNDE 6"/>
    <x v="16"/>
    <n v="3.8740000000000001"/>
    <n v="11.488"/>
    <x v="1"/>
  </r>
  <r>
    <n v="2304"/>
    <s v="T0288"/>
    <s v="IHS_YND_001"/>
    <s v="T0288"/>
    <x v="3"/>
    <s v="Royal Hotel Yde"/>
    <x v="0"/>
    <s v="Indoor"/>
    <s v="ESSOS 2"/>
    <s v="MFOUNDI"/>
    <s v="YAOUNDE 1"/>
    <x v="16"/>
    <n v="3.8677199999999998"/>
    <n v="11.518980000000001"/>
    <x v="1"/>
  </r>
  <r>
    <n v="2305"/>
    <s v="CTR_017"/>
    <s v="IHS_YND_083"/>
    <s v="CTR_017"/>
    <x v="3"/>
    <s v="H-Progres"/>
    <x v="0"/>
    <s v="Indoor"/>
    <s v="ESSOS 2"/>
    <s v="MFOUNDI"/>
    <s v="YAOUNDE 2"/>
    <x v="16"/>
    <n v="3.8733059999999999"/>
    <n v="11.500722"/>
    <x v="1"/>
  </r>
  <r>
    <n v="2306"/>
    <s v="T0471"/>
    <s v="IHS_YND_009"/>
    <s v="T0471"/>
    <x v="3"/>
    <s v="CLE Building"/>
    <x v="0"/>
    <s v="Indoor"/>
    <s v="ESSOS 2"/>
    <s v="MFOUNDI"/>
    <s v="YAOUNDE 2"/>
    <x v="16"/>
    <n v="3.86957"/>
    <n v="11.515689999999999"/>
    <x v="1"/>
  </r>
  <r>
    <n v="2307"/>
    <s v="CTR_197"/>
    <s v="IHS_YND_125"/>
    <s v="CTR_197"/>
    <x v="3"/>
    <s v="Charles-Atangana"/>
    <x v="0"/>
    <s v="Indoor"/>
    <s v="MANGUIER 1"/>
    <s v="MFOUNDI"/>
    <s v="YAOUNDE 2"/>
    <x v="16"/>
    <n v="3.8891110000000002"/>
    <n v="11.517639000000001"/>
    <x v="1"/>
  </r>
  <r>
    <n v="2308"/>
    <s v="T0467"/>
    <s v="IHS_YND_077"/>
    <s v="T0467"/>
    <x v="3"/>
    <s v="Obili Carrefour"/>
    <x v="0"/>
    <s v="Outdoor"/>
    <s v="MENDONG 2"/>
    <s v="MFOUNDI"/>
    <s v="YAOUNDE 3"/>
    <x v="16"/>
    <n v="3.8571499999999999"/>
    <n v="11.49203"/>
    <x v="1"/>
  </r>
  <r>
    <n v="2309"/>
    <s v="CTR_199"/>
    <s v="IHS_YND_050"/>
    <s v="CTR_199"/>
    <x v="3"/>
    <s v="Satcom"/>
    <x v="0"/>
    <s v="Indoor"/>
    <s v="ESSOS 1"/>
    <s v="MFOUNDI"/>
    <s v="YAOUNDE 1"/>
    <x v="16"/>
    <n v="3.8762379999999999"/>
    <n v="11.525055"/>
    <x v="1"/>
  </r>
  <r>
    <n v="2310"/>
    <s v="T0217"/>
    <s v="IHS_YND_018"/>
    <s v="T0217"/>
    <x v="3"/>
    <s v="P&amp;T Building"/>
    <x v="0"/>
    <s v="Indoor"/>
    <s v="MENDONG 2"/>
    <s v="MFOUNDI"/>
    <s v="YAOUNDE 1"/>
    <x v="16"/>
    <n v="3.8656299999999999"/>
    <n v="11.51268"/>
    <x v="1"/>
  </r>
  <r>
    <n v="2311"/>
    <s v="CTR_010"/>
    <s v="IHS_YND_327"/>
    <s v="CTR_010"/>
    <x v="3"/>
    <s v="Nsimalen"/>
    <x v="0"/>
    <s v="Indoor"/>
    <s v="TROPICANA 1"/>
    <s v="MFOUNDI"/>
    <s v="YAOUNDE 4"/>
    <x v="16"/>
    <n v="3.7143799999999998"/>
    <n v="11.53791"/>
    <x v="0"/>
  </r>
  <r>
    <n v="2312"/>
    <s v="CTR_014"/>
    <s v="IHS_YND_003"/>
    <s v="CTR_014"/>
    <x v="3"/>
    <s v="Mercure"/>
    <x v="0"/>
    <s v="Indoor"/>
    <s v="ESSOS 2"/>
    <s v="MFOUNDI"/>
    <s v="YAOUNDE 1"/>
    <x v="16"/>
    <n v="3.8643900000000002"/>
    <n v="11.518974"/>
    <x v="1"/>
  </r>
  <r>
    <n v="2313"/>
    <s v="CTR_050"/>
    <s v="IHS_YND_080"/>
    <s v="CTR_050"/>
    <x v="3"/>
    <s v="Mini-Ferme"/>
    <x v="0"/>
    <s v="Indoor"/>
    <s v="MENDONG 2"/>
    <s v="MFOUNDI"/>
    <s v="YAOUNDE 3"/>
    <x v="16"/>
    <n v="3.8673609999999998"/>
    <n v="11.496333"/>
    <x v="1"/>
  </r>
  <r>
    <n v="2314"/>
    <s v="CTR_015"/>
    <s v="IHS_YND_115"/>
    <s v="CTR_015"/>
    <x v="3"/>
    <s v="Labogenie"/>
    <x v="0"/>
    <s v="Indoor"/>
    <s v="NKOMO"/>
    <s v="MFOUNDI"/>
    <s v="YAOUNDE 4"/>
    <x v="16"/>
    <n v="3.8445559999999999"/>
    <n v="11.541278"/>
    <x v="1"/>
  </r>
  <r>
    <n v="2315"/>
    <s v="T0566"/>
    <s v="IHS_YND_421"/>
    <s v="T0566"/>
    <x v="3"/>
    <s v="Bot Makak"/>
    <x v="0"/>
    <s v="Outdoor"/>
    <s v="BARRIERE 2"/>
    <s v="NYONG-ET-KELLE "/>
    <s v="BOT MAKAK"/>
    <x v="16"/>
    <n v="4.0110099999999997"/>
    <n v="10.93967"/>
    <x v="0"/>
  </r>
  <r>
    <n v="2316"/>
    <s v="CTR_088"/>
    <s v="IHS_YND_221"/>
    <s v="CTR_088"/>
    <x v="3"/>
    <s v="J-Vespa"/>
    <x v="0"/>
    <s v="Indoor"/>
    <s v="TSINGA"/>
    <s v="MFOUNDI"/>
    <s v="YAOUNDE 2"/>
    <x v="16"/>
    <n v="3.8880279999999998"/>
    <n v="11.492417"/>
    <x v="1"/>
  </r>
  <r>
    <n v="2317"/>
    <s v="T0209"/>
    <s v="IHS_YND_197"/>
    <s v="T0209"/>
    <x v="3"/>
    <s v="Palais Des Congres"/>
    <x v="0"/>
    <s v="Outdoor"/>
    <s v="TSINGA"/>
    <s v="MFOUNDI"/>
    <s v="YAOUNDE 2"/>
    <x v="16"/>
    <n v="3.891556"/>
    <n v="11.500999999999999"/>
    <x v="1"/>
  </r>
  <r>
    <n v="2318"/>
    <s v="T0055"/>
    <s v="IHS_YND_328"/>
    <s v="T0055"/>
    <x v="3"/>
    <s v="Nsimalen"/>
    <x v="0"/>
    <s v="Indoor"/>
    <s v="TROPICANA 1"/>
    <s v="MFOUNDI"/>
    <s v="YAOUNDE 4"/>
    <x v="16"/>
    <n v="3.7141999999999999"/>
    <n v="11.537649999999999"/>
    <x v="0"/>
  </r>
  <r>
    <n v="2319"/>
    <s v="CTR_342"/>
    <s v="IHS_YND_190"/>
    <s v="CTR_342"/>
    <x v="3"/>
    <s v="Ngousso-II"/>
    <x v="0"/>
    <s v="Outdoor"/>
    <s v="OMNISPORT"/>
    <s v="MFOUNDI"/>
    <s v="YAOUNDE 5"/>
    <x v="16"/>
    <n v="3.8979339999999998"/>
    <n v="11.550264"/>
    <x v="1"/>
  </r>
  <r>
    <n v="2320"/>
    <s v="CTR_351"/>
    <s v="IHS_YND_734"/>
    <s v="CTR_351"/>
    <x v="3"/>
    <s v="Mimboman Chateau "/>
    <x v="0"/>
    <s v="Outdoor"/>
    <s v="NKOMO"/>
    <s v="MFOUNDI"/>
    <s v="YAOUNDE 5"/>
    <x v="16"/>
    <n v="3.86938"/>
    <n v="11.554679999999999"/>
    <x v="2"/>
  </r>
  <r>
    <n v="2321"/>
    <s v="CTR_071"/>
    <s v="IHS_YND_112"/>
    <s v="CTR_071"/>
    <x v="3"/>
    <s v="Madison"/>
    <x v="0"/>
    <s v="Indoor"/>
    <s v="NKOMO"/>
    <s v="MFOUNDI"/>
    <s v="YAOUNDE 5"/>
    <x v="16"/>
    <n v="3.8684500000000002"/>
    <n v="11.544280000000001"/>
    <x v="1"/>
  </r>
  <r>
    <n v="2322"/>
    <s v="CTR_131"/>
    <s v="IHS_YND_504"/>
    <s v="CTR_131"/>
    <x v="3"/>
    <s v="Elig Edzoa "/>
    <x v="0"/>
    <s v="Outdoor"/>
    <s v="MANGUIER 1"/>
    <s v="MFOUNDI"/>
    <s v="YAOUNDE 1"/>
    <x v="16"/>
    <n v="3.882428"/>
    <n v="11.529622"/>
    <x v="1"/>
  </r>
  <r>
    <n v="2323"/>
    <s v="T1568"/>
    <s v="IHS_YND_084"/>
    <s v="T1568"/>
    <x v="3"/>
    <s v="Briquetterie "/>
    <x v="0"/>
    <s v="Outdoor"/>
    <s v="TSINGA"/>
    <s v="MFOUNDI"/>
    <s v="YAOUNDE 2"/>
    <x v="16"/>
    <n v="3.876722"/>
    <n v="11.504611000000001"/>
    <x v="1"/>
  </r>
  <r>
    <n v="2324"/>
    <s v="T0772"/>
    <s v="IHS_YND_207"/>
    <s v="T0772"/>
    <x v="3"/>
    <s v="ARMP Building"/>
    <x v="0"/>
    <s v="Indoor"/>
    <s v="MANGUIER 1"/>
    <s v="MFOUNDI"/>
    <s v="YAOUNDE 1"/>
    <x v="16"/>
    <n v="3.907"/>
    <n v="11.512"/>
    <x v="1"/>
  </r>
  <r>
    <n v="2325"/>
    <s v="CTR_124"/>
    <s v="IHS_YND_208"/>
    <s v="CTR_124"/>
    <x v="3"/>
    <s v="ARMP"/>
    <x v="0"/>
    <s v="Indoor"/>
    <s v="MANGUIER 1"/>
    <s v="MFOUNDI"/>
    <s v="YAOUNDE 1"/>
    <x v="16"/>
    <n v="3.9072779999999998"/>
    <n v="11.511666999999999"/>
    <x v="1"/>
  </r>
  <r>
    <n v="2326"/>
    <s v="T0729"/>
    <s v="IHS_EDA_052"/>
    <s v="T0729"/>
    <x v="3"/>
    <s v="Nyahoo"/>
    <x v="0"/>
    <s v="Outdoor"/>
    <s v="NKOLBISSON"/>
    <s v="HAUTE-SANAGA "/>
    <s v="NYANON"/>
    <x v="16"/>
    <n v="4.1991699999999996"/>
    <n v="10.974460000000001"/>
    <x v="0"/>
  </r>
  <r>
    <n v="2327"/>
    <s v="T1311"/>
    <s v="IHS_YND_438"/>
    <s v="T1311"/>
    <x v="0"/>
    <s v="Taete"/>
    <x v="0"/>
    <s v="Outdoor"/>
    <s v="Bafia"/>
    <s v="MBAM ET KIM"/>
    <s v="Mbangassina"/>
    <x v="16"/>
    <n v="4.6516289999999998"/>
    <n v="11.519522"/>
    <x v="0"/>
  </r>
  <r>
    <n v="2328"/>
    <s v="SUD_249"/>
    <s v="IHS_SGM_005"/>
    <s v="SUD_249"/>
    <x v="5"/>
    <s v="Nyazanga"/>
    <x v="0"/>
    <s v="Outdoor"/>
    <s v="Sangmelima"/>
    <s v="DJA-ET-LOBO"/>
    <s v="COMMUNE DE SANGMELIMA"/>
    <x v="16"/>
    <n v="2.8376190000000001"/>
    <n v="12.041423"/>
    <x v="0"/>
  </r>
  <r>
    <n v="2329"/>
    <s v="T0923"/>
    <s v="IHS_SGM_016"/>
    <s v="T0923"/>
    <x v="5"/>
    <s v="Nyabibete"/>
    <x v="0"/>
    <s v="Outdoor"/>
    <s v="Djoum"/>
    <s v="DJA-ET-LOBO"/>
    <s v="COMMUNE DE DJOUM"/>
    <x v="16"/>
    <n v="2.7623489999999999"/>
    <n v="12.567072"/>
    <x v="0"/>
  </r>
  <r>
    <n v="2330"/>
    <s v="CTR_355"/>
    <s v="IHS_EBO_015"/>
    <s v="CTR_355"/>
    <x v="5"/>
    <s v="Ntoumba"/>
    <x v="0"/>
    <s v="Outdoor"/>
    <s v="Ebolowa"/>
    <s v="MVILLA"/>
    <s v="Ngoulemakong"/>
    <x v="16"/>
    <n v="3.0247660000000001"/>
    <n v="11.409364999999999"/>
    <x v="0"/>
  </r>
  <r>
    <n v="2331"/>
    <s v="T1303"/>
    <s v="IHS_YND_396"/>
    <s v="T1303"/>
    <x v="3"/>
    <s v="Nkolmvack"/>
    <x v="0"/>
    <s v="Outdoor"/>
    <s v="N'TUI"/>
    <s v="LEKIE "/>
    <s v="SA'A"/>
    <x v="16"/>
    <n v="4.3018070000000002"/>
    <n v="11.516019"/>
    <x v="0"/>
  </r>
  <r>
    <n v="2332"/>
    <s v="T1019"/>
    <s v="IHS_BER_071"/>
    <s v="T1019"/>
    <x v="3"/>
    <s v="Ngoulemakong"/>
    <x v="0"/>
    <s v="Outdoor"/>
    <s v="Akonolinga"/>
    <s v="HAUT-NYONG"/>
    <s v="ATOK"/>
    <x v="16"/>
    <n v="3.9259330000000001"/>
    <n v="12.672193"/>
    <x v="0"/>
  </r>
  <r>
    <n v="2333"/>
    <s v="T1299"/>
    <s v="IHS_YND_448"/>
    <s v="T1299"/>
    <x v="0"/>
    <s v="Mvoundou - Ngoke"/>
    <x v="0"/>
    <s v="Outdoor"/>
    <s v="Bafia"/>
    <s v="MBAM ET KIM"/>
    <s v="Mbangassina"/>
    <x v="16"/>
    <n v="4.766"/>
    <n v="11.535259999999999"/>
    <x v="0"/>
  </r>
  <r>
    <n v="2334"/>
    <s v="T1217"/>
    <s v="IHS_SGM_023"/>
    <s v="T1217"/>
    <x v="5"/>
    <s v="MBOMELA"/>
    <x v="0"/>
    <s v="Outdoor"/>
    <s v="Djoum"/>
    <s v="DJA-ET-LOBO"/>
    <s v="COMMUNE DE MINTOM"/>
    <x v="16"/>
    <n v="2.7253889999999998"/>
    <n v="13.062111"/>
    <x v="0"/>
  </r>
  <r>
    <n v="2335"/>
    <s v="T0579"/>
    <s v="IHS_YND_366"/>
    <s v="T0579"/>
    <x v="3"/>
    <s v="Mandoumba"/>
    <x v="0"/>
    <s v="Outdoor"/>
    <s v="BARRIERE 2"/>
    <s v="NYONG-ET-KELLE "/>
    <s v="MAKAK"/>
    <x v="16"/>
    <n v="3.761517"/>
    <n v="11.092174999999999"/>
    <x v="0"/>
  </r>
  <r>
    <n v="2336"/>
    <s v="T0905"/>
    <s v="IHS_SGM_019"/>
    <s v="T0905"/>
    <x v="5"/>
    <s v="Elleng"/>
    <x v="0"/>
    <s v="Outdoor"/>
    <s v="Djoum"/>
    <s v="DJA-ET-LOBO"/>
    <s v="COMMUNE DE DJOUM"/>
    <x v="16"/>
    <n v="2.660615"/>
    <n v="12.726322"/>
    <x v="0"/>
  </r>
  <r>
    <n v="2337"/>
    <s v="T1059"/>
    <s v="IHS_YND_434"/>
    <s v="T1059"/>
    <x v="3"/>
    <s v="Donga"/>
    <x v="0"/>
    <s v="Outdoor"/>
    <s v="N'TUI"/>
    <s v="MBAM ET KIM"/>
    <s v="YOKO"/>
    <x v="16"/>
    <n v="4.7733400000000001"/>
    <n v="11.800380000000001"/>
    <x v="0"/>
  </r>
  <r>
    <n v="2338"/>
    <s v="T0870"/>
    <s v="IHS_YND_444"/>
    <s v="T0870"/>
    <x v="3"/>
    <s v="Dong"/>
    <x v="0"/>
    <s v="Outdoor"/>
    <s v="N'TUI"/>
    <s v="MBAM ET KIM"/>
    <s v="YOKO"/>
    <x v="16"/>
    <n v="4.9101520000000001"/>
    <n v="11.996760999999999"/>
    <x v="0"/>
  </r>
  <r>
    <n v="2339"/>
    <s v="T0908-1"/>
    <s v="IHS_SGM_014"/>
    <s v="T0908-1"/>
    <x v="5"/>
    <s v="Bikoula"/>
    <x v="0"/>
    <s v="Outdoor"/>
    <s v="Djoum"/>
    <s v="NYON-ET-SO'O"/>
    <s v="COMMUNE DE MEYOMESSI"/>
    <x v="16"/>
    <n v="2.8130999999999999"/>
    <n v="12.41282"/>
    <x v="0"/>
  </r>
  <r>
    <n v="2340"/>
    <s v="T0906"/>
    <s v="IHS_SGM_022"/>
    <s v="T0906"/>
    <x v="5"/>
    <s v="Alouma"/>
    <x v="0"/>
    <s v="Outdoor"/>
    <s v="Djoum"/>
    <s v="DJA-ET-LOBO"/>
    <s v="COMMUNE DE DJOUM"/>
    <x v="16"/>
    <n v="2.7039019999999998"/>
    <n v="12.932112"/>
    <x v="0"/>
  </r>
  <r>
    <n v="2341"/>
    <s v="T1235"/>
    <s v="IHS_YND_383"/>
    <s v="T1235"/>
    <x v="5"/>
    <s v="YOP"/>
    <x v="0"/>
    <s v="Outdoor"/>
    <s v="Mbalmayo"/>
    <s v="DJA-ET-LOBO"/>
    <s v="COMMUNE DE MBALMAYO"/>
    <x v="16"/>
    <n v="3.4802650000000002"/>
    <n v="11.695266999999999"/>
    <x v="0"/>
  </r>
  <r>
    <n v="2342"/>
    <s v="T0922"/>
    <s v="IHS_YND_349"/>
    <s v="T0922"/>
    <x v="3"/>
    <s v="Nkongtock"/>
    <x v="0"/>
    <s v="Outdoor"/>
    <s v="BARRIERE 2"/>
    <s v="NYONG-ET-KELLE "/>
    <s v="MAKAK"/>
    <x v="16"/>
    <n v="3.7754029999999998"/>
    <n v="11.164965"/>
    <x v="0"/>
  </r>
  <r>
    <n v="2343"/>
    <s v="T1264"/>
    <s v="IHS_YND_401"/>
    <s v="T1264"/>
    <x v="3"/>
    <s v="NDOKOA"/>
    <x v="0"/>
    <s v="Outdoor"/>
    <s v="Obala"/>
    <s v="LEKIE "/>
    <s v="MBANDJOCK"/>
    <x v="16"/>
    <n v="4.3758759999999999"/>
    <n v="11.733812"/>
    <x v="0"/>
  </r>
  <r>
    <n v="2344"/>
    <s v="T0239"/>
    <s v="IHS_YND_395"/>
    <s v="T0239"/>
    <x v="3"/>
    <s v="Ondondo"/>
    <x v="0"/>
    <s v="Indoor"/>
    <s v="Obala"/>
    <s v="LEKIE "/>
    <s v="BATCHENGA"/>
    <x v="16"/>
    <n v="4.3396319999999999"/>
    <n v="11.587691"/>
    <x v="0"/>
  </r>
  <r>
    <n v="2345"/>
    <s v="CTR_060"/>
    <s v="IHS_YND_348"/>
    <s v="CTR_060"/>
    <x v="3"/>
    <s v="Nkenglikok"/>
    <x v="0"/>
    <s v="Indoor"/>
    <s v="BARRIERE 2"/>
    <s v="NYONG-ET-KELLE "/>
    <s v="MAKAK"/>
    <x v="16"/>
    <n v="3.7673920000000001"/>
    <n v="11.204499999999999"/>
    <x v="0"/>
  </r>
  <r>
    <n v="2346"/>
    <s v="T0150"/>
    <s v="IHS_YND_347"/>
    <s v="T0150"/>
    <x v="3"/>
    <s v="Nkeng likok"/>
    <x v="0"/>
    <s v="Outdoor"/>
    <s v="BARRIERE 2"/>
    <s v="NYONG-ET-KELLE "/>
    <s v="MAKAK"/>
    <x v="16"/>
    <n v="3.7651300000000001"/>
    <n v="11.212809999999999"/>
    <x v="0"/>
  </r>
  <r>
    <n v="2347"/>
    <s v="T1234"/>
    <s v="IHS_YND_456"/>
    <s v="T1234"/>
    <x v="3"/>
    <s v="MBIMBIM"/>
    <x v="0"/>
    <s v="Outdoor"/>
    <s v="N'TUI"/>
    <s v="MBAM ET KIM"/>
    <s v="YOKO"/>
    <x v="16"/>
    <n v="5.2323029999999999"/>
    <n v="12.199809999999999"/>
    <x v="0"/>
  </r>
  <r>
    <n v="2348"/>
    <s v="CTR_066"/>
    <s v="IHS_YND_367"/>
    <s v="CTR_066"/>
    <x v="3"/>
    <s v="Mandoumba"/>
    <x v="0"/>
    <s v="Indoor"/>
    <s v="BARRIERE 2"/>
    <s v="NYONG-ET-KELLE "/>
    <s v="MAKAK"/>
    <x v="16"/>
    <n v="3.762486"/>
    <n v="11.115888999999999"/>
    <x v="0"/>
  </r>
  <r>
    <n v="2349"/>
    <s v="T0309"/>
    <s v="IHS_YND_400"/>
    <s v="T0309"/>
    <x v="0"/>
    <s v="Botatango"/>
    <x v="0"/>
    <s v="Indoor"/>
    <s v="Bafia"/>
    <s v="Mbam et inoubou"/>
    <s v="Balamba"/>
    <x v="16"/>
    <n v="4.4062999999999999"/>
    <n v="11.24884"/>
    <x v="0"/>
  </r>
  <r>
    <n v="2350"/>
    <s v="T0240"/>
    <s v="IHS_YND_425"/>
    <s v="T0240"/>
    <x v="0"/>
    <s v="Biakoa"/>
    <x v="0"/>
    <s v="Indoor"/>
    <s v="Bafia"/>
    <s v="MBAM ET KIM"/>
    <s v="Mbangassina"/>
    <x v="16"/>
    <n v="4.5496879999999997"/>
    <n v="11.474515999999999"/>
    <x v="0"/>
  </r>
  <r>
    <n v="2351"/>
    <s v="T0553"/>
    <s v="IHS_EBO_019"/>
    <s v="T0553"/>
    <x v="5"/>
    <s v="Akom Bikak"/>
    <x v="0"/>
    <s v="Outdoor"/>
    <s v="AMBAM"/>
    <s v="NTEM"/>
    <s v="Ambam"/>
    <x v="16"/>
    <n v="2.4277000000000002"/>
    <n v="11.29785"/>
    <x v="0"/>
  </r>
  <r>
    <n v="2352"/>
    <s v="T1267"/>
    <s v="IHS_YND_442"/>
    <s v="T1267"/>
    <x v="3"/>
    <s v="AKAK"/>
    <x v="0"/>
    <s v="Outdoor"/>
    <s v="Obala"/>
    <s v="HAUTE-SANAGA "/>
    <s v="NANGA EBOKO"/>
    <x v="16"/>
    <n v="4.6353359999999997"/>
    <n v="12.3055"/>
    <x v="0"/>
  </r>
  <r>
    <n v="2353"/>
    <s v="T0495"/>
    <s v="IHS_EBO_023"/>
    <s v="T0495"/>
    <x v="5"/>
    <s v="Abang Minko"/>
    <x v="0"/>
    <s v="Outdoor"/>
    <s v="AMBAM"/>
    <s v="NTEM"/>
    <s v="Ambam"/>
    <x v="16"/>
    <n v="2.3282729999999998"/>
    <n v="11.427134000000001"/>
    <x v="0"/>
  </r>
  <r>
    <n v="2354"/>
    <s v="T3102"/>
    <s v="IHS_YND_706"/>
    <s v="T3102"/>
    <x v="3"/>
    <s v="Mbankomo CAF"/>
    <x v="0"/>
    <s v="Outdoor"/>
    <s v="BARRIERE 1"/>
    <s v="MEFOU-ET-AKONO "/>
    <s v="MBANKOMO"/>
    <x v="16"/>
    <n v="3.7778489999999998"/>
    <n v="11.355373999999999"/>
    <x v="0"/>
  </r>
  <r>
    <n v="2355"/>
    <s v="CTR_102"/>
    <s v="IHS_YND_711"/>
    <s v="CTR_102"/>
    <x v="3"/>
    <s v="H-Franco New"/>
    <x v="0"/>
    <s v="Outdoor"/>
    <s v="MANGUIER 1"/>
    <s v="MFOUNDI"/>
    <s v="YAOUNDE 1"/>
    <x v="16"/>
    <n v="3.882533"/>
    <n v="11.51979"/>
    <x v="0"/>
  </r>
  <r>
    <n v="2356"/>
    <s v="T1559"/>
    <s v="IHS_YND_709"/>
    <s v="T1559"/>
    <x v="3"/>
    <s v="Nkolo II New"/>
    <x v="0"/>
    <s v="Outdoor"/>
    <s v="NKOMO"/>
    <s v="MFOUNDI"/>
    <s v="YAOUNDE 4"/>
    <x v="16"/>
    <n v="3.8619829999999999"/>
    <n v="11.573238"/>
    <x v="0"/>
  </r>
  <r>
    <n v="2357"/>
    <s v="T0896"/>
    <s v="IHS_YND_707"/>
    <s v="T0896"/>
    <x v="3"/>
    <s v="NYOM Lycee"/>
    <x v="0"/>
    <s v="Outdoor"/>
    <s v="MANGUIER 2"/>
    <s v="MFOUNDI"/>
    <s v="YAOUNDE 1"/>
    <x v="16"/>
    <n v="3.9834100000000001"/>
    <n v="11.52089"/>
    <x v="0"/>
  </r>
  <r>
    <n v="2358"/>
    <s v="T3205"/>
    <s v="IHS_YND_758"/>
    <s v="T3205"/>
    <x v="3"/>
    <s v="Nkolfoulou CSD MTN"/>
    <x v="0"/>
    <s v="Outdoor"/>
    <s v="OMNISPORT"/>
    <s v="Mefou et Afamba"/>
    <s v="Soa"/>
    <x v="16"/>
    <n v="3.9308999999999998"/>
    <n v="11.5967"/>
    <x v="1"/>
  </r>
  <r>
    <n v="2359"/>
    <s v="T0908"/>
    <s v="IHS_SGM_112"/>
    <s v="T0908"/>
    <x v="5"/>
    <s v="BIKOULA NEW"/>
    <x v="0"/>
    <s v="Outdoor"/>
    <s v="Djoum"/>
    <s v="NYON-ET-SO'O"/>
    <s v="COMMUNE DE MEYOMESSI"/>
    <x v="16"/>
    <n v="2.8146100000000001"/>
    <n v="12.411595"/>
    <x v="0"/>
  </r>
  <r>
    <n v="2360"/>
    <s v="T2758"/>
    <s v="IHS_SGM_110"/>
    <s v="T2758"/>
    <x v="5"/>
    <s v="Moneko'o"/>
    <x v="0"/>
    <s v="Outdoor"/>
    <s v="Sangmelima"/>
    <s v="DJA-ET-LOBO"/>
    <s v="COMMUNE DE SANGMELIMA"/>
    <x v="16"/>
    <n v="3.035803"/>
    <n v="11.750847"/>
    <x v="0"/>
  </r>
  <r>
    <n v="2361"/>
    <s v="T2756"/>
    <s v="IHS_YND_723"/>
    <s v="T2756"/>
    <x v="5"/>
    <s v="Obout"/>
    <x v="0"/>
    <s v="Outdoor"/>
    <s v="Mbalmayo"/>
    <s v="DJA-ET-LOBO"/>
    <s v="COMMUNE DE MBALMAYO"/>
    <x v="16"/>
    <n v="3.4702199999999999"/>
    <n v="11.736280000000001"/>
    <x v="0"/>
  </r>
  <r>
    <n v="2362"/>
    <s v="T2743"/>
    <s v="IHS_YND_721"/>
    <s v="T2743"/>
    <x v="3"/>
    <s v="VOIRIE MUNICIPALE YAOUNDE"/>
    <x v="0"/>
    <s v="Outdoor"/>
    <s v="MENDONG 2"/>
    <s v="MFOUNDI"/>
    <s v="YAOUNDE 1"/>
    <x v="16"/>
    <n v="3.85663"/>
    <n v="11.51976"/>
    <x v="0"/>
  </r>
  <r>
    <n v="2363"/>
    <s v="T0843"/>
    <s v="IHS_YND_719"/>
    <s v="T0843"/>
    <x v="3"/>
    <s v="TSINGA VILLAGE 2"/>
    <x v="0"/>
    <s v="Outdoor"/>
    <s v="MANGUIER 1"/>
    <s v="MFOUNDI"/>
    <s v="YAOUNDE 2"/>
    <x v="16"/>
    <n v="3.9420679999999999"/>
    <n v="11.563838000000001"/>
    <x v="0"/>
  </r>
  <r>
    <n v="2364"/>
    <s v="T3466"/>
    <s v="IHS_SGM_111"/>
    <s v="T3466"/>
    <x v="5"/>
    <s v="EMINEMVOM"/>
    <x v="0"/>
    <s v="Outdoor"/>
    <s v="Sangmelima"/>
    <s v="DJA-ET-LOBO"/>
    <s v="COMMUNE DE SANGMELIMA"/>
    <x v="16"/>
    <n v="2.959441"/>
    <n v="11.780295000000001"/>
    <x v="0"/>
  </r>
  <r>
    <n v="2365"/>
    <s v="T3448"/>
    <s v="IHS_YND_714"/>
    <s v="T3448"/>
    <x v="3"/>
    <s v="Ekekam"/>
    <x v="0"/>
    <s v="Outdoor"/>
    <s v="NKOLBISSON"/>
    <s v="LEKIE "/>
    <s v="LOBO"/>
    <x v="16"/>
    <n v="3.8882750000000001"/>
    <n v="11.352914999999999"/>
    <x v="0"/>
  </r>
  <r>
    <n v="2366"/>
    <s v="T3446"/>
    <s v="IHS_YND_712"/>
    <s v="T3446"/>
    <x v="3"/>
    <s v="Nkolnkoumou"/>
    <x v="0"/>
    <s v="Outdoor"/>
    <s v="NKOLBISSON"/>
    <s v="MFOUNDI"/>
    <s v="YAOUNDE 7"/>
    <x v="16"/>
    <n v="3.8660950000000001"/>
    <n v="11.389939999999999"/>
    <x v="0"/>
  </r>
  <r>
    <n v="2367"/>
    <s v="T2762"/>
    <s v="IHS_YND_720"/>
    <s v="T2762"/>
    <x v="3"/>
    <s v="SOA UNIVERSITY STADIUM"/>
    <x v="0"/>
    <s v="Outdoor"/>
    <s v="OMNISPORT"/>
    <s v="MFOUNDI"/>
    <s v="SOA"/>
    <x v="16"/>
    <n v="3.9615070000000001"/>
    <n v="11.583613"/>
    <x v="1"/>
  </r>
  <r>
    <n v="2368"/>
    <s v="T0957"/>
    <s v="IHS_YND_715"/>
    <s v="T0957"/>
    <x v="3"/>
    <s v="Odza Minkan"/>
    <x v="0"/>
    <s v="Outdoor"/>
    <s v="TROPICANA 1"/>
    <s v="MFOUNDI"/>
    <s v="YAOUNDE 4"/>
    <x v="16"/>
    <n v="3.76973"/>
    <n v="11.520239999999999"/>
    <x v="0"/>
  </r>
  <r>
    <n v="2369"/>
    <s v="T3349"/>
    <s v="IHS_YND_726"/>
    <s v="T3349"/>
    <x v="3"/>
    <s v="NATCHIGAL"/>
    <x v="0"/>
    <s v="Outdoor"/>
    <s v="Obala"/>
    <s v="LEKIE "/>
    <s v="BATCHENGA"/>
    <x v="16"/>
    <n v="4.3421149999999997"/>
    <n v="11.628454"/>
    <x v="0"/>
  </r>
  <r>
    <n v="2370"/>
    <s v="T3396"/>
    <s v="IHS_YND_725"/>
    <s v="T3396"/>
    <x v="3"/>
    <s v="NKOMETOU EKOUMDOUMA"/>
    <x v="0"/>
    <s v="Outdoor"/>
    <s v="Obala"/>
    <s v="LEKIE "/>
    <s v="OBALA"/>
    <x v="16"/>
    <n v="4.1068790000000002"/>
    <n v="11.538074999999999"/>
    <x v="0"/>
  </r>
  <r>
    <n v="2371"/>
    <s v="T2039"/>
    <s v="IHS_YND_724"/>
    <s v="T2039"/>
    <x v="3"/>
    <s v="BIYEMASSI NIKI"/>
    <x v="0"/>
    <s v="Outdoor"/>
    <s v="MENDONG 1"/>
    <s v="MFOUNDI"/>
    <s v="YAOUNDE 6"/>
    <x v="16"/>
    <n v="3.8381940000000001"/>
    <n v="11.486806"/>
    <x v="1"/>
  </r>
  <r>
    <n v="2372"/>
    <s v="CTR_481"/>
    <s v="IHS_YND_574"/>
    <s v="CTR_481"/>
    <x v="3"/>
    <s v="Crf-Mbankolo-IHS"/>
    <x v="0"/>
    <s v="Outdoor"/>
    <s v="TSINGA"/>
    <s v="MFOUNDI"/>
    <s v="YAOUNDE 2"/>
    <x v="16"/>
    <n v="3.8965809999999999"/>
    <n v="11.492239"/>
    <x v="0"/>
  </r>
  <r>
    <n v="2373"/>
    <s v="T3447"/>
    <s v="IHS_YND_713"/>
    <s v="T3447"/>
    <x v="3"/>
    <s v="NKONGKARAK"/>
    <x v="0"/>
    <s v="Outdoor"/>
    <s v="NKOLBISSON"/>
    <s v="LEKIE "/>
    <s v="LOBO"/>
    <x v="16"/>
    <n v="3.8894500000000001"/>
    <n v="11.264530000000001"/>
    <x v="0"/>
  </r>
  <r>
    <n v="2374"/>
    <s v="T0188"/>
    <s v="IHS_YND_727"/>
    <s v="T0188"/>
    <x v="3"/>
    <s v="Nlong Mvolye New"/>
    <x v="0"/>
    <s v="Indoor"/>
    <s v="MENDONG 2"/>
    <s v="MFOUNDI"/>
    <s v="YAOUNDE 3"/>
    <x v="16"/>
    <n v="3.84775"/>
    <n v="11.49625"/>
    <x v="1"/>
  </r>
  <r>
    <n v="2375"/>
    <s v="T1747"/>
    <s v="IHS_YND_728"/>
    <s v="T1747"/>
    <x v="3"/>
    <s v="TROPICANA NEW"/>
    <x v="0"/>
    <s v="Outdoor"/>
    <s v="TROPICANA 2"/>
    <s v="MFOUNDI"/>
    <s v="YAOUNDE 4"/>
    <x v="16"/>
    <n v="3.8600699999999999"/>
    <n v="11.514675"/>
    <x v="1"/>
  </r>
  <r>
    <n v="2376"/>
    <s v="T2347"/>
    <s v="IHS_YND_731"/>
    <s v="T2347"/>
    <x v="3"/>
    <s v="UPAC LP"/>
    <x v="0"/>
    <s v="Outdoor"/>
    <s v="MANGUIER 1"/>
    <s v="MFOUNDI"/>
    <s v="YAOUNDE 1"/>
    <x v="16"/>
    <n v="3.8772890000000002"/>
    <n v="11.523331000000001"/>
    <x v="0"/>
  </r>
  <r>
    <n v="2377"/>
    <s v="T2346"/>
    <s v="IHS_YND_732"/>
    <s v="T2346"/>
    <x v="3"/>
    <s v="Nsam escale LP"/>
    <x v="0"/>
    <s v="Outdoor"/>
    <s v="TROPICANA 2"/>
    <s v="MFOUNDI"/>
    <s v="YAOUNDE 3"/>
    <x v="16"/>
    <n v="3.8218000000000001"/>
    <n v="11.508668"/>
    <x v="0"/>
  </r>
  <r>
    <n v="2378"/>
    <s v="T2132"/>
    <s v="IHS_YND_729"/>
    <s v="T2132"/>
    <x v="3"/>
    <s v="Nkolbisson IITA LP"/>
    <x v="0"/>
    <s v="Outdoor"/>
    <s v="NKOLBISSON"/>
    <s v="MFOUNDI"/>
    <s v="YAOUNDE 7"/>
    <x v="16"/>
    <n v="3.8641890000000001"/>
    <n v="11.462842"/>
    <x v="0"/>
  </r>
  <r>
    <n v="2379"/>
    <s v="T2418"/>
    <s v="IHS_YND_730"/>
    <s v="T2418"/>
    <x v="3"/>
    <s v="Odza petit marche new"/>
    <x v="0"/>
    <s v="Outdoor"/>
    <s v="TROPICANA 1"/>
    <s v="MFOUNDI"/>
    <s v="YAOUNDE 4"/>
    <x v="16"/>
    <n v="3.8019720000000001"/>
    <n v="11.529464000000001"/>
    <x v="1"/>
  </r>
  <r>
    <n v="2380"/>
    <s v="T0583"/>
    <s v="IHS_YND_733"/>
    <s v="T0583"/>
    <x v="3"/>
    <s v="Nkog-Edzen"/>
    <x v="0"/>
    <s v="Outdoor"/>
    <s v="N'TUI"/>
    <s v="MFOUNDI"/>
    <s v="SAA"/>
    <x v="16"/>
    <n v="4.2926500000000001"/>
    <n v="11.318232999999999"/>
    <x v="0"/>
  </r>
  <r>
    <n v="2381"/>
    <s v="T0065"/>
    <s v="IHS_YND_735"/>
    <s v="T0065"/>
    <x v="3"/>
    <s v="Maison komkana New"/>
    <x v="0"/>
    <s v="Outdoor"/>
    <s v="TSINGA"/>
    <s v="Tsinga"/>
    <s v="Yaounde 1"/>
    <x v="16"/>
    <n v="3.8853499999999999"/>
    <n v="11.4955"/>
    <x v="0"/>
  </r>
  <r>
    <n v="2382"/>
    <s v="T2581"/>
    <s v="IHS_YND_750"/>
    <s v="T2581"/>
    <x v="3"/>
    <s v="Nkoabang entrée carriere"/>
    <x v="0"/>
    <s v="Outdoor"/>
    <s v="NKOMO"/>
    <s v="MEFOU-ET-AFAMBA "/>
    <s v="NKOLAFAMBA"/>
    <x v="16"/>
    <n v="3.8527499999999999"/>
    <n v="11.576517000000001"/>
    <x v="1"/>
  </r>
  <r>
    <n v="2383"/>
    <s v="T2582"/>
    <s v="IHS_YND_737"/>
    <s v="T2582"/>
    <x v="3"/>
    <s v="Eto koss Yde"/>
    <x v="0"/>
    <s v="Outdoor"/>
    <s v="BARRIERE 1"/>
    <s v="MFOUNDI"/>
    <s v="YAOUNDE 6"/>
    <x v="16"/>
    <n v="3.8096999999999999"/>
    <n v="11.4679"/>
    <x v="1"/>
  </r>
  <r>
    <n v="2384"/>
    <s v="T2564"/>
    <s v="IHS_YND_739"/>
    <s v="T2564"/>
    <x v="3"/>
    <s v="NKOLMESSING rue Manguier"/>
    <x v="0"/>
    <s v="Outdoor"/>
    <s v="ESSOS 1"/>
    <s v="MFOUNDI"/>
    <s v="YAOUNDE 6"/>
    <x v="16"/>
    <n v="3.8866429999999998"/>
    <n v="11.566748"/>
    <x v="1"/>
  </r>
  <r>
    <n v="2385"/>
    <s v="T2583"/>
    <s v="IHS_YND_740"/>
    <s v="T2583"/>
    <x v="3"/>
    <s v="Santa Barbara Gottam"/>
    <x v="0"/>
    <s v="Outdoor"/>
    <s v="MANGUIER 1"/>
    <s v="MFOUNDI"/>
    <s v="YAOUNDE 1"/>
    <x v="16"/>
    <n v="3.9177"/>
    <n v="11.5411"/>
    <x v="1"/>
  </r>
  <r>
    <n v="2386"/>
    <s v="T2584"/>
    <s v="IHS_YND_741"/>
    <s v="T2584"/>
    <x v="3"/>
    <s v="Mvog Betsi Hospital"/>
    <x v="0"/>
    <s v="Outdoor"/>
    <s v="MENDONG 2"/>
    <s v="MFOUNDI"/>
    <s v="YAOUNDE 6"/>
    <x v="16"/>
    <n v="3.8605200000000002"/>
    <n v="11.477489"/>
    <x v="1"/>
  </r>
  <r>
    <n v="2387"/>
    <s v="T2588"/>
    <s v="IHS_YND_742"/>
    <s v="T2588"/>
    <x v="3"/>
    <s v="Mendong NB"/>
    <x v="0"/>
    <s v="Outdoor"/>
    <s v="MENDONG 1"/>
    <s v="MFOUNDI"/>
    <s v="YAOUNDE 3"/>
    <x v="16"/>
    <n v="4.8318659999999998"/>
    <n v="11.475239999999999"/>
    <x v="1"/>
  </r>
  <r>
    <n v="2388"/>
    <s v="T2585"/>
    <s v="IHS_YND_744"/>
    <s v="T2585"/>
    <x v="3"/>
    <s v="Eleveur Meec Bon Berger"/>
    <x v="0"/>
    <s v="Outdoor"/>
    <s v="OMNISPORT"/>
    <s v="MFOUNDI"/>
    <s v="YAOUNDE 5"/>
    <x v="16"/>
    <n v="3.8968060000000002"/>
    <n v="11.558842"/>
    <x v="1"/>
  </r>
  <r>
    <n v="2389"/>
    <s v="T2596"/>
    <s v="IHS_YND_746"/>
    <s v="T2596"/>
    <x v="3"/>
    <s v="Mehanda 1"/>
    <x v="0"/>
    <s v="Outdoor"/>
    <s v="TROPICANA 1"/>
    <s v="MFOUNDI"/>
    <s v="Yaounde 4"/>
    <x v="16"/>
    <n v="3.7805"/>
    <n v="11.551610999999999"/>
    <x v="1"/>
  </r>
  <r>
    <n v="2390"/>
    <s v="T2586"/>
    <s v="IHS_YND_747"/>
    <s v="T2586"/>
    <x v="3"/>
    <s v="Akok Ndoe Yde"/>
    <x v="0"/>
    <s v="Outdoor"/>
    <s v="MENDONG 1"/>
    <s v="MFOUNDI"/>
    <s v="YAOUNDE 6"/>
    <x v="16"/>
    <n v="4.8515689999999996"/>
    <n v="11.473203"/>
    <x v="1"/>
  </r>
  <r>
    <n v="2391"/>
    <s v="T3231"/>
    <s v="IHS_YND_743"/>
    <s v="T3231"/>
    <x v="3"/>
    <s v="Ngousso Vallee"/>
    <x v="0"/>
    <s v="Outdoor"/>
    <s v="OMNISPORT"/>
    <s v="Mfoundi"/>
    <s v="YAOUNDE 5"/>
    <x v="16"/>
    <n v="3.9141400000000002"/>
    <n v="11.545450000000001"/>
    <x v="1"/>
  </r>
  <r>
    <n v="2392"/>
    <s v="T3232"/>
    <s v="IHS_YND_767"/>
    <s v="T3232"/>
    <x v="3"/>
    <s v="ELOUMDEM CARRIERE"/>
    <x v="0"/>
    <s v="Outdoor"/>
    <s v="BARRIERE 1"/>
    <s v="Méfou-et-Akono"/>
    <s v="Mbankomo"/>
    <x v="16"/>
    <n v="3.8096890000000001"/>
    <n v="11.433218999999999"/>
    <x v="1"/>
  </r>
  <r>
    <n v="2393"/>
    <s v="T3230"/>
    <s v="IHS_YND_745"/>
    <s v="T3230"/>
    <x v="3"/>
    <s v="Okolo Kilombo"/>
    <x v="0"/>
    <s v="Outdoor"/>
    <s v="MANGUIER 2"/>
    <s v="MFOUNDI"/>
    <s v="YAOUNDE 6"/>
    <x v="16"/>
    <n v="3.80403"/>
    <n v="11.473371999999999"/>
    <x v="1"/>
  </r>
  <r>
    <n v="2394"/>
    <s v="T3233"/>
    <s v="IHS_YND_768"/>
    <s v="T3233"/>
    <x v="3"/>
    <s v="ELOUMDEN RICHE ANCIEN"/>
    <x v="0"/>
    <s v="Outdoor"/>
    <s v="BARRIERE 1"/>
    <s v="Méfou-et-Akono"/>
    <s v="YAOUNDE 6"/>
    <x v="16"/>
    <n v="3.8171309999999998"/>
    <n v="11.446111"/>
    <x v="0"/>
  </r>
  <r>
    <n v="2395"/>
    <s v="T2563"/>
    <s v="IHS_YND_748"/>
    <s v="T2563"/>
    <x v="3"/>
    <s v="Nkoabang Alembe"/>
    <x v="0"/>
    <s v="Outdoor"/>
    <s v="NKOMO"/>
    <s v="MEFOU-ET-AFAMBA "/>
    <s v="NKOLAFAMBA"/>
    <x v="16"/>
    <n v="3.8697780000000002"/>
    <n v="11.631588000000001"/>
    <x v="1"/>
  </r>
  <r>
    <n v="2396"/>
    <s v="T3240"/>
    <s v="IHS_YND_771"/>
    <s v="T3240"/>
    <x v="3"/>
    <s v="Jouvence Mbenda"/>
    <x v="0"/>
    <s v="Outdoor"/>
    <s v="MENDONG 1"/>
    <s v="Mfoundi"/>
    <s v="YAOUNDE 6"/>
    <x v="16"/>
    <n v="3.8241000000000001"/>
    <n v="11.479200000000001"/>
    <x v="1"/>
  </r>
  <r>
    <n v="2397"/>
    <s v="CTR_881"/>
    <s v="IHS_YND_736"/>
    <s v="CTR_881"/>
    <x v="3"/>
    <s v="CRF Nkoabang"/>
    <x v="0"/>
    <s v="Outdoor"/>
    <s v="NKOMO"/>
    <s v="MEFOU-ET-AFAMBA "/>
    <s v="NKOLAFAMBA"/>
    <x v="16"/>
    <n v="3.8626200000000002"/>
    <n v="11.585750000000001"/>
    <x v="0"/>
  </r>
  <r>
    <n v="2398"/>
    <s v="T2570"/>
    <s v="IHS_YND_749"/>
    <s v="T2570"/>
    <x v="3"/>
    <s v="ODZA MINKAN EDIBI ASSI"/>
    <x v="0"/>
    <s v="Outdoor"/>
    <s v="TROPICANA 1"/>
    <s v="MFOUNDI"/>
    <s v="Yaounde 4"/>
    <x v="16"/>
    <n v="3.760043"/>
    <n v="11.5185"/>
    <x v="0"/>
  </r>
  <r>
    <n v="2399"/>
    <s v="T2777"/>
    <s v="IHS_YND_770"/>
    <s v="T2777"/>
    <x v="3"/>
    <s v="Zili Nkoteng"/>
    <x v="0"/>
    <s v="Outdoor"/>
    <s v="Obala"/>
    <s v="Haute-Sanaga"/>
    <s v="Nkoteng"/>
    <x v="16"/>
    <n v="4.4929490000000003"/>
    <n v="12.000976"/>
    <x v="0"/>
  </r>
  <r>
    <n v="2400"/>
    <s v="T3206"/>
    <s v="IHS_YND_759"/>
    <s v="T3206"/>
    <x v="3"/>
    <s v="Nkolfoulou Tsinga Village"/>
    <x v="0"/>
    <s v="Outdoor"/>
    <s v="OMNISPORT"/>
    <s v="Mefou et Afamba"/>
    <s v="YAOUNDE 5"/>
    <x v="16"/>
    <n v="3.918361"/>
    <n v="11.56162"/>
    <x v="1"/>
  </r>
  <r>
    <n v="2401"/>
    <s v="T3226"/>
    <s v="IHS_YND_766"/>
    <s v="T3226"/>
    <x v="0"/>
    <s v="Bafia Adm Quater"/>
    <x v="0"/>
    <s v="Outdoor"/>
    <s v="Bafia"/>
    <s v="Mbam-et-Inoubou"/>
    <s v="Bafia"/>
    <x v="16"/>
    <n v="4.7655599999999998"/>
    <n v="11.22837"/>
    <x v="1"/>
  </r>
  <r>
    <n v="2402"/>
    <s v="T3213"/>
    <s v="IHS_YND_760"/>
    <s v="T3213"/>
    <x v="3"/>
    <s v="Yaounde Ebang Pesage"/>
    <x v="0"/>
    <s v="Outdoor"/>
    <s v="Obala"/>
    <s v="Mefou et Afamba"/>
    <s v="Soa"/>
    <x v="16"/>
    <n v="4.0214299999999996"/>
    <n v="11.556179999999999"/>
    <x v="1"/>
  </r>
  <r>
    <n v="2403"/>
    <s v="T3214"/>
    <s v="IHS_YND_761"/>
    <s v="T3214"/>
    <x v="3"/>
    <s v="Djonassi-Yde"/>
    <x v="0"/>
    <s v="Outdoor"/>
    <s v="MANGUIER 2"/>
    <s v="MFOUNDI"/>
    <s v="Yaounde 1"/>
    <x v="16"/>
    <n v="3.95418"/>
    <n v="11.52108"/>
    <x v="1"/>
  </r>
  <r>
    <n v="2404"/>
    <s v="T3216"/>
    <s v="IHS_YND_762"/>
    <s v="T3216"/>
    <x v="3"/>
    <s v="Nkolfon Cimencam "/>
    <x v="0"/>
    <s v="Outdoor"/>
    <s v="MENDONG 1"/>
    <s v="Méfou-et-Akono"/>
    <s v="Mbankomo"/>
    <x v="16"/>
    <n v="3.7693099999999999"/>
    <n v="11.454560000000001"/>
    <x v="0"/>
  </r>
  <r>
    <n v="2405"/>
    <s v="T3217"/>
    <s v="IHS_YND_763"/>
    <s v="T3217"/>
    <x v="3"/>
    <s v="Nkolbisson usines des eaux 2"/>
    <x v="0"/>
    <s v="Outdoor"/>
    <s v="NKOLBISSON"/>
    <s v="Mfoundi"/>
    <s v="YAOUNDE 6"/>
    <x v="16"/>
    <n v="3.8736299999999999"/>
    <n v="11.433859999999999"/>
    <x v="1"/>
  </r>
  <r>
    <n v="2406"/>
    <s v="T3220"/>
    <s v="IHS_YND_765"/>
    <s v="T3220"/>
    <x v="3"/>
    <s v="MBALNGONG LYCEE"/>
    <x v="0"/>
    <s v="Outdoor"/>
    <s v="BARRIERE 1"/>
    <s v="Mfoundi"/>
    <s v="YAOUNDE 6"/>
    <x v="16"/>
    <n v="3.7940399999999999"/>
    <n v="11.457850000000001"/>
    <x v="1"/>
  </r>
  <r>
    <n v="2407"/>
    <s v="T2754"/>
    <s v="IHS_SGM_117"/>
    <s v="T2754"/>
    <x v="5"/>
    <s v="Sangmelima Nloup"/>
    <x v="0"/>
    <s v="Outdoor"/>
    <s v="Sangmelima"/>
    <s v="Dja et Lobo"/>
    <s v="Sangmelima"/>
    <x v="16"/>
    <n v="2.9864000000000002"/>
    <n v="11.962"/>
    <x v="0"/>
  </r>
  <r>
    <n v="2408"/>
    <s v="T2755"/>
    <s v="IHS_YND_774"/>
    <s v="T2755"/>
    <x v="5"/>
    <s v="AKOMETAM"/>
    <x v="0"/>
    <s v="Outdoor"/>
    <s v="Mbalmayo"/>
    <s v="Nyong et So'o"/>
    <s v="Mbalmayo"/>
    <x v="16"/>
    <n v="3.467028"/>
    <n v="11.5405"/>
    <x v="0"/>
  </r>
  <r>
    <n v="2409"/>
    <s v="T2128"/>
    <s v="IHS_SGM_120"/>
    <s v="T2128"/>
    <x v="5"/>
    <s v="Sanglou"/>
    <x v="0"/>
    <s v="Outdoor"/>
    <s v="Sangmelima"/>
    <s v="Dja et Lobo"/>
    <s v="KENTZOU"/>
    <x v="16"/>
    <n v="2.959457"/>
    <n v="11.920819"/>
    <x v="0"/>
  </r>
  <r>
    <n v="2410"/>
    <s v="T2440"/>
    <s v="IHS_SGM_121"/>
    <s v="T2440"/>
    <x v="5"/>
    <s v="EVELESSI"/>
    <x v="0"/>
    <s v="Outdoor"/>
    <s v="Sangmelima"/>
    <s v="Dja et Lobo"/>
    <s v="Sangmelima"/>
    <x v="16"/>
    <n v="2.9645277999999999"/>
    <n v="11.6866389"/>
    <x v="0"/>
  </r>
  <r>
    <n v="2411"/>
    <s v="T2695"/>
    <s v="IHS_SGM_119"/>
    <s v="T2695"/>
    <x v="5"/>
    <s v="MENGBWA CAMTEL"/>
    <x v="0"/>
    <s v="Outdoor"/>
    <s v="Sangmelima"/>
    <s v="Dja-et-Lobo"/>
    <s v="Zoetelle"/>
    <x v="16"/>
    <n v="3.1923620000000001"/>
    <n v="11.803162"/>
    <x v="0"/>
  </r>
  <r>
    <n v="2412"/>
    <s v="T2783"/>
    <s v="IHS_SGM_122"/>
    <s v="T2783"/>
    <x v="5"/>
    <s v="NGOLBANG"/>
    <x v="0"/>
    <s v="Outdoor"/>
    <s v="Sangmelima"/>
    <s v="Dja et Lobo"/>
    <s v="Sangmelima"/>
    <x v="16"/>
    <n v="3.3217189999999999"/>
    <n v="11.824458999999999"/>
    <x v="0"/>
  </r>
  <r>
    <n v="2413"/>
    <s v="T2502"/>
    <s v="IHS_YND_781"/>
    <s v="T2502"/>
    <x v="3"/>
    <s v="BIBOMDJIDJIEL"/>
    <x v="0"/>
    <s v="Outdoor"/>
    <s v="BARRIERE 2"/>
    <s v="Nyong et kéllé"/>
    <s v="Ngog-Mapubi"/>
    <x v="16"/>
    <n v="3.95"/>
    <n v="10.915361000000001"/>
    <x v="0"/>
  </r>
  <r>
    <n v="2414"/>
    <s v="T2528"/>
    <s v="IHS_YND_782"/>
    <s v="T2528"/>
    <x v="3"/>
    <s v="Minkama"/>
    <x v="0"/>
    <s v="Outdoor"/>
    <s v="Obala"/>
    <s v="Lékié"/>
    <s v="MONATELE"/>
    <x v="16"/>
    <n v="4.2207309999999998"/>
    <n v="11.59735"/>
    <x v="0"/>
  </r>
  <r>
    <n v="2415"/>
    <s v="T2192"/>
    <s v="IHS_YND_783"/>
    <s v="T2192"/>
    <x v="3"/>
    <s v="Lobo 2"/>
    <x v="0"/>
    <s v="Outdoor"/>
    <s v="NKOLBISSON"/>
    <s v="LEKIE"/>
    <s v="LOBO"/>
    <x v="16"/>
    <n v="3.9006110999999999"/>
    <n v="11.1751389"/>
    <x v="0"/>
  </r>
  <r>
    <n v="2416"/>
    <s v="T2619"/>
    <s v="IHS_SGM_124"/>
    <s v="T2619"/>
    <x v="5"/>
    <s v="Kpwe"/>
    <x v="0"/>
    <s v="Outdoor"/>
    <s v="Sangmelima"/>
    <s v="Dja et Lobo"/>
    <s v="Sagmelima"/>
    <x v="16"/>
    <n v="2.9636469999999999"/>
    <n v="12.211558"/>
    <x v="0"/>
  </r>
  <r>
    <n v="2417"/>
    <s v="T1430"/>
    <s v="IHS_YND_790"/>
    <s v="T1430"/>
    <x v="3"/>
    <s v="TRB Centre ville "/>
    <x v="0"/>
    <s v="Outdoor"/>
    <s v="Essos"/>
    <s v="MFOUNDI"/>
    <s v="Yaounde 1"/>
    <x v="16"/>
    <n v="3.8658361000000001"/>
    <n v="11.5162944"/>
    <x v="1"/>
  </r>
  <r>
    <n v="2418"/>
    <s v="T1198"/>
    <s v="IHS_YND_791"/>
    <s v="T1198"/>
    <x v="3"/>
    <s v="Nomayos montee Meche"/>
    <x v="0"/>
    <s v="Outdoor"/>
    <s v="BARRIERE 1"/>
    <s v="MEFOU-ET-AKON"/>
    <s v="Yaounde 3"/>
    <x v="16"/>
    <n v="3.8008739999999999"/>
    <n v="11.447773"/>
    <x v="1"/>
  </r>
  <r>
    <n v="2419"/>
    <s v="T1232"/>
    <s v="IHS_YND_792"/>
    <s v="T1232"/>
    <x v="3"/>
    <s v="NKOABANG NKOLO 3"/>
    <x v="0"/>
    <s v="Outdoor"/>
    <s v="NKOMO"/>
    <s v="MFOUNDI"/>
    <s v="NKOLAFAMBA"/>
    <x v="16"/>
    <n v="3.8499530000000002"/>
    <n v="11.619197"/>
    <x v="0"/>
  </r>
  <r>
    <n v="2420"/>
    <s v="T1236"/>
    <s v="IHS_YND_793"/>
    <s v="T1236"/>
    <x v="3"/>
    <s v="Eloumdem stade"/>
    <x v="0"/>
    <s v="Outdoor"/>
    <s v="BARRIERE 1"/>
    <s v="Mfoundi"/>
    <s v="YAOUNDE 6"/>
    <x v="16"/>
    <n v="3.8207"/>
    <n v="11.454499999999999"/>
    <x v="0"/>
  </r>
  <r>
    <n v="2421"/>
    <s v="T1241"/>
    <s v="IHS_YND_794"/>
    <s v="T1241"/>
    <x v="3"/>
    <s v="Nkoulou Carriere carrefourt"/>
    <x v="0"/>
    <s v="Outdoor"/>
    <s v="NKOMO"/>
    <s v="Mfoundi"/>
    <s v="YAOUNDE 6"/>
    <x v="16"/>
    <n v="3.8071329999999999"/>
    <n v="11.56122"/>
    <x v="0"/>
  </r>
  <r>
    <n v="2422"/>
    <s v="T1243"/>
    <s v="IHS_YND_795"/>
    <s v="T1243"/>
    <x v="3"/>
    <s v="Lada I Yde"/>
    <x v="0"/>
    <s v="Outdoor"/>
    <s v="Nkomo"/>
    <s v="MFOUNDI"/>
    <s v="NKOLAFAMBA"/>
    <x v="16"/>
    <n v="3.8603149999999999"/>
    <n v="11.584194"/>
    <x v="0"/>
  </r>
  <r>
    <n v="2423"/>
    <s v="T1244"/>
    <s v="IHS_YND_796"/>
    <s v="T1244"/>
    <x v="3"/>
    <s v="Nkoabang Ebolmedjock"/>
    <x v="0"/>
    <s v="Outdoor"/>
    <s v="Nkomo"/>
    <s v="MFOUNDI"/>
    <s v="NKOLAFAMBA"/>
    <x v="16"/>
    <n v="3.875877"/>
    <n v="11.611891999999999"/>
    <x v="0"/>
  </r>
  <r>
    <n v="2424"/>
    <s v="T1248"/>
    <s v="IHS_YND_797"/>
    <s v="T1248"/>
    <x v="3"/>
    <s v="Fouda rue des généraux"/>
    <x v="0"/>
    <s v="Outdoor"/>
    <s v="Essos 1"/>
    <s v="MFOUNDI"/>
    <s v="YAOUNDE 5"/>
    <x v="16"/>
    <n v="3.8794439999999999"/>
    <n v="11.534722"/>
    <x v="1"/>
  </r>
  <r>
    <n v="2425"/>
    <s v="T1249"/>
    <s v="IHS_YND_798"/>
    <s v="T1249"/>
    <x v="3"/>
    <s v="AKAK Nkozoa"/>
    <x v="0"/>
    <s v="Outdoor"/>
    <s v="MANGUIER 2"/>
    <s v="MEFOU-ET-AFAMBA"/>
    <s v="SOA"/>
    <x v="16"/>
    <n v="3.9849459999999999"/>
    <n v="11.548330999999999"/>
    <x v="1"/>
  </r>
  <r>
    <n v="2426"/>
    <s v="T1250"/>
    <s v="IHS_YND_799"/>
    <s v="T1250"/>
    <x v="3"/>
    <s v="Messassi Ngonlonk"/>
    <x v="0"/>
    <s v="Outdoor"/>
    <s v="Manguier 2"/>
    <s v="MFOUNDI"/>
    <s v="YAOUNDE 1"/>
    <x v="16"/>
    <n v="3.9400650000000002"/>
    <n v="11.509296000000001"/>
    <x v="1"/>
  </r>
  <r>
    <n v="2427"/>
    <s v="T1257"/>
    <s v="IHS_YND_800"/>
    <s v="T1257"/>
    <x v="3"/>
    <s v="ODZA CITE MBIA"/>
    <x v="0"/>
    <s v="Outdoor"/>
    <s v="Tropicana 1"/>
    <s v="MFOUNDI"/>
    <s v="YAOUNDE 4"/>
    <x v="16"/>
    <n v="3.8025500000000001"/>
    <n v="11.546566"/>
    <x v="1"/>
  </r>
  <r>
    <n v="2428"/>
    <s v="T1266"/>
    <s v="IHS_YND_801"/>
    <s v="T1266"/>
    <x v="3"/>
    <s v="HOPITAL GENERAL RAIL YDE"/>
    <x v="0"/>
    <s v="Outdoor"/>
    <s v="Manguier 1"/>
    <s v="MFOUNDI"/>
    <s v="YAOUNDE 5"/>
    <x v="16"/>
    <n v="3.9082370000000002"/>
    <n v="11.536261"/>
    <x v="1"/>
  </r>
  <r>
    <n v="2429"/>
    <s v="T1278"/>
    <s v="IHS_YND_802"/>
    <s v="T1278"/>
    <x v="3"/>
    <s v="NYOM FACE MAETUR"/>
    <x v="0"/>
    <s v="Outdoor"/>
    <s v="Manguier 2"/>
    <s v="MFOUNDI"/>
    <s v="YAOUNDE 1"/>
    <x v="16"/>
    <n v="3.9577778000000001"/>
    <n v="11.5241667"/>
    <x v="1"/>
  </r>
  <r>
    <n v="2430"/>
    <s v="T1282"/>
    <s v="IHS_YND_803"/>
    <s v="T1282"/>
    <x v="3"/>
    <s v="Etoug ebe biscuiterie"/>
    <x v="0"/>
    <s v="Outdoor"/>
    <s v="Mendong 1"/>
    <s v="MFOUNDI"/>
    <s v="YAOUNDE 6"/>
    <x v="16"/>
    <n v="3.8524120000000002"/>
    <n v="11.484645"/>
    <x v="1"/>
  </r>
  <r>
    <n v="2431"/>
    <s v="T1366"/>
    <s v="IHS_YND_804"/>
    <s v="T1366"/>
    <x v="3"/>
    <s v="BEATITUDE ENTRÉE PAVE"/>
    <x v="0"/>
    <s v="Outdoor"/>
    <s v="NKOLBISSON"/>
    <s v="MFOUNDI"/>
    <s v="YAOUNDE 7"/>
    <x v="16"/>
    <n v="3.9111259999999999"/>
    <n v="11.445739"/>
    <x v="1"/>
  </r>
  <r>
    <n v="2432"/>
    <s v="T1367"/>
    <s v="IHS_YND_805"/>
    <s v="T1367"/>
    <x v="3"/>
    <s v="Behind P T school Yde"/>
    <x v="0"/>
    <s v="Outdoor"/>
    <s v="MENDONG 2"/>
    <s v="MFOUNDI"/>
    <s v="Yaounde 3"/>
    <x v="16"/>
    <n v="3.8504010000000002"/>
    <n v="11.500121999999999"/>
    <x v="1"/>
  </r>
  <r>
    <n v="2433"/>
    <s v="T1371"/>
    <s v="IHS_YND_806"/>
    <s v="T1371"/>
    <x v="3"/>
    <s v="Montée Ekounou"/>
    <x v="0"/>
    <s v="Outdoor"/>
    <s v="NKOMO"/>
    <m/>
    <m/>
    <x v="16"/>
    <n v="3.8469419999999999"/>
    <n v="11.539789000000001"/>
    <x v="1"/>
  </r>
  <r>
    <n v="2434"/>
    <s v="T1377"/>
    <s v="IHS_YND_807"/>
    <s v="T1377"/>
    <x v="3"/>
    <s v="Ahala Echangeur"/>
    <x v="0"/>
    <s v="Outdoor"/>
    <s v="TROPICANA 2"/>
    <s v="MFOUNDI"/>
    <s v="YAOUNDE 3"/>
    <x v="16"/>
    <n v="3.8085200000000001"/>
    <n v="11.509539999999999"/>
    <x v="1"/>
  </r>
  <r>
    <n v="2435"/>
    <s v="T1407"/>
    <s v="IHS_EBO_030"/>
    <s v="T1407"/>
    <x v="5"/>
    <s v="Ebolowa university "/>
    <x v="0"/>
    <s v="Outdoor"/>
    <s v="Ebolowa"/>
    <s v="MVILLA"/>
    <s v="EBOLOWA 2"/>
    <x v="16"/>
    <n v="2.8680569999999999"/>
    <n v="11.182646"/>
    <x v="0"/>
  </r>
  <r>
    <n v="2436"/>
    <s v="T1491"/>
    <s v="IHS_YND_808"/>
    <s v="T1491"/>
    <x v="3"/>
    <s v="Mbankolo petit paris"/>
    <x v="0"/>
    <s v="Outdoor"/>
    <s v="Tsinga"/>
    <s v="MFOUNDI"/>
    <s v="YAOUNDE 2"/>
    <x v="16"/>
    <n v="3.8990589999999998"/>
    <n v="11.48371"/>
    <x v="1"/>
  </r>
  <r>
    <n v="2437"/>
    <s v="T5040"/>
    <s v="IHS_YND_810"/>
    <s v="T5040"/>
    <x v="3"/>
    <s v="Carrefour Ayissi Ele"/>
    <x v="0"/>
    <s v="Outdoor"/>
    <s v="N'TUI"/>
    <s v="LEKIE"/>
    <s v="SAA"/>
    <x v="16"/>
    <n v="4.4478200000000001"/>
    <n v="11.448539999999999"/>
    <x v="0"/>
  </r>
  <r>
    <n v="2438"/>
    <s v="T5041"/>
    <s v="IHS_YND_809"/>
    <s v="T5041"/>
    <x v="3"/>
    <s v="Nkol-Mebanga"/>
    <x v="0"/>
    <s v="Outdoor"/>
    <s v="N'TUI"/>
    <s v="LEKIE"/>
    <s v="SAA"/>
    <x v="16"/>
    <n v="4.3963140000000003"/>
    <n v="11.41316"/>
    <x v="0"/>
  </r>
  <r>
    <n v="2439"/>
    <s v="T2637"/>
    <s v="IHS_SGM_125"/>
    <s v="T2637"/>
    <x v="5"/>
    <s v="ODING"/>
    <x v="0"/>
    <s v="Outdoor"/>
    <s v="Djoum"/>
    <s v="Dja et Lobo"/>
    <s v="COMMUNE DE DJOUM"/>
    <x v="16"/>
    <n v="2.762384"/>
    <n v="12.474361399999999"/>
    <x v="0"/>
  </r>
  <r>
    <n v="2440"/>
    <s v="T4303"/>
    <s v="IHS_YND_811"/>
    <s v="T4303"/>
    <x v="3"/>
    <s v="NKENGUE"/>
    <x v="0"/>
    <s v="Outdoor"/>
    <s v="Obala"/>
    <s v="LEKIE"/>
    <s v="ELIG-MFOMO"/>
    <x v="16"/>
    <n v="4.1461790000000001"/>
    <n v="11.298838999999999"/>
    <x v="0"/>
  </r>
  <r>
    <n v="2441"/>
    <s v="T2434"/>
    <s v="IHS_YND_812"/>
    <s v="T2434"/>
    <x v="3"/>
    <s v="Ntui Prison"/>
    <x v="0"/>
    <s v="Outdoor"/>
    <s v="N'TUI"/>
    <s v="MBAM ET KIM"/>
    <s v="NTUI"/>
    <x v="16"/>
    <n v="4.4630609999999997"/>
    <n v="11.61273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8132B-9B27-5B46-8FA3-9D961DB6E01A}" name="Tableau croisé dynamique1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B3:AF7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1"/>
        <item x="2"/>
        <item x="3"/>
        <item m="1" x="4"/>
        <item h="1" m="1" x="6"/>
        <item n="Normal Access " h="1" m="1" x="5"/>
        <item n="Green Zone"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m="1" x="4"/>
        <item h="1" x="2"/>
        <item x="1"/>
        <item m="1" x="3"/>
        <item t="default"/>
      </items>
    </pivotField>
  </pivotFields>
  <rowFields count="1">
    <field x="14"/>
  </rowFields>
  <rowItems count="3">
    <i>
      <x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Nombre de Access Status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85E9-F5BB-D846-8FAF-182D99B4890A}" name="Tableau croisé dynamique11" cacheId="1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chartFormat="5" rowHeaderCaption="Region">
  <location ref="W3:Z15" firstHeaderRow="1" firstDataRow="2" firstDataCol="1" rowPageCount="1" colPageCount="1"/>
  <pivotFields count="15">
    <pivotField showAll="0"/>
    <pivotField showAll="0"/>
    <pivotField showAll="0"/>
    <pivotField showAll="0"/>
    <pivotField axis="axisRow" showAll="0">
      <items count="11">
        <item x="2"/>
        <item x="3"/>
        <item x="4"/>
        <item x="9"/>
        <item x="7"/>
        <item x="8"/>
        <item x="1"/>
        <item x="5"/>
        <item x="6"/>
        <item x="0"/>
        <item t="default"/>
      </items>
    </pivotField>
    <pivotField showAll="0"/>
    <pivotField axis="axisPage" multipleItemSelectionAllowed="1" showAll="0">
      <items count="8">
        <item x="1"/>
        <item h="1" x="2"/>
        <item h="1" x="3"/>
        <item h="1" m="1" x="4"/>
        <item m="1" x="6"/>
        <item n="Normal Access " m="1" x="5"/>
        <item n="Green Zone" x="0"/>
        <item t="default"/>
      </items>
    </pivotField>
    <pivotField showAll="0"/>
    <pivotField showAll="0"/>
    <pivotField showAll="0"/>
    <pivotField showAll="0"/>
    <pivotField dataField="1" showAll="0">
      <items count="18">
        <item x="0"/>
        <item x="1"/>
        <item x="2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axis="axisCol" showAll="0">
      <items count="6">
        <item x="0"/>
        <item m="1" x="4"/>
        <item h="1" x="2"/>
        <item x="1"/>
        <item h="1" m="1" x="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3">
    <i>
      <x/>
    </i>
    <i>
      <x v="3"/>
    </i>
    <i t="grand">
      <x/>
    </i>
  </colItems>
  <pageFields count="1">
    <pageField fld="6" hier="-1"/>
  </pageFields>
  <dataFields count="1">
    <dataField name="Nombre de Town" fld="11" subtotal="count" baseField="0" baseItem="0"/>
  </dataFields>
  <formats count="3">
    <format dxfId="18">
      <pivotArea field="11" type="button" dataOnly="0" labelOnly="1" outline="0"/>
    </format>
    <format dxfId="17">
      <pivotArea dataOnly="0" labelOnly="1" fieldPosition="0">
        <references count="1">
          <reference field="14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22A06-396B-5A40-8508-355FF3FB7670}" name="Tableau croisé dynamique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R3:U7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1"/>
        <item h="1" x="2"/>
        <item h="1" x="3"/>
        <item h="1" m="1" x="4"/>
        <item m="1" x="6"/>
        <item n="Normal Access " m="1" x="5"/>
        <item n="Green Zon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m="1" x="4"/>
        <item h="1" x="2"/>
        <item x="1"/>
        <item m="1" x="3"/>
        <item t="default"/>
      </items>
    </pivotField>
  </pivotFields>
  <rowFields count="1">
    <field x="14"/>
  </rowFields>
  <rowItems count="3">
    <i>
      <x/>
    </i>
    <i>
      <x v="3"/>
    </i>
    <i t="grand">
      <x/>
    </i>
  </rowItems>
  <colFields count="1">
    <field x="6"/>
  </colFields>
  <colItems count="3">
    <i>
      <x/>
    </i>
    <i>
      <x v="6"/>
    </i>
    <i t="grand">
      <x/>
    </i>
  </colItems>
  <dataFields count="1">
    <dataField name="Nombre de Access Status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E0DC2-578B-064A-8380-0F63AB4F659D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rowHeaderCaption="Access Status">
  <location ref="Q2:R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ites Count " fld="6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6" type="button" dataOnly="0" labelOnly="1" outline="0" axis="axisRow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796C3-09FD-BB47-BD53-1D27AED704A6}" name="Tableau1" displayName="Tableau1" ref="A3:K14" totalsRowShown="0" headerRowDxfId="15" dataDxfId="13" headerRowBorderDxfId="14" tableBorderDxfId="12" totalsRowBorderDxfId="11">
  <autoFilter ref="A3:K14" xr:uid="{148796C3-09FD-BB47-BD53-1D27AED704A6}"/>
  <tableColumns count="11">
    <tableColumn id="1" xr3:uid="{5D4B3693-C526-144E-A7F4-8BA66C4D06D1}" name="Region" dataDxfId="10"/>
    <tableColumn id="2" xr3:uid="{C271FE76-E6DD-5D48-B527-9B5F66A856CB}" name="Greenfield" dataDxfId="9"/>
    <tableColumn id="3" xr3:uid="{BBF491FC-8CE4-844A-89D4-BF96405AC90E}" name="Rooftop" dataDxfId="8"/>
    <tableColumn id="4" xr3:uid="{07D8F8C9-DA8F-BA4D-9E99-610FE1830BAF}" name="Total" dataDxfId="7"/>
    <tableColumn id="12" xr3:uid="{C09107E9-FC1C-774F-BBBB-E141A4732732}" name="SBC" dataDxfId="6"/>
    <tableColumn id="5" xr3:uid="{93F7EBA6-51E2-834C-A0BD-F14B59E5F960}" name="Base line per day " dataDxfId="5"/>
    <tableColumn id="6" xr3:uid="{BC6A1A49-AA21-3F48-9208-5869153C0DFF}" name="Teams planned" dataDxfId="4"/>
    <tableColumn id="7" xr3:uid="{9C2124CB-C2B0-0049-B618-6B7D21F7F8D4}" name="Weekly Target " dataDxfId="3"/>
    <tableColumn id="11" xr3:uid="{D0437AE2-C775-5948-B6FE-19634E65C8D5}" name="Number of weeks required " dataDxfId="2"/>
    <tableColumn id="8" xr3:uid="{12833938-B9BF-C449-B4F8-D707017116A6}" name="Planned Start  date " dataDxfId="1"/>
    <tableColumn id="9" xr3:uid="{E37B6BDE-0D4E-8A44-BE45-47EB8330C7A6}" name="Planned End date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995C-3D25-49C5-8524-DF3CCD95AC94}">
  <sheetPr filterMode="1"/>
  <dimension ref="A1:AF2443"/>
  <sheetViews>
    <sheetView showGridLines="0" zoomScale="94" workbookViewId="0">
      <pane xSplit="5" ySplit="2" topLeftCell="F1828" activePane="bottomRight" state="frozen"/>
      <selection pane="topRight" activeCell="F1" sqref="F1"/>
      <selection pane="bottomLeft" activeCell="A3" sqref="A3"/>
      <selection pane="bottomRight" activeCell="A3" sqref="A3:O2403"/>
    </sheetView>
  </sheetViews>
  <sheetFormatPr baseColWidth="10" defaultRowHeight="15" x14ac:dyDescent="0.25"/>
  <cols>
    <col min="1" max="1" width="8.42578125" bestFit="1" customWidth="1"/>
    <col min="2" max="2" width="15.140625" style="4" bestFit="1" customWidth="1"/>
    <col min="3" max="3" width="13" style="4" bestFit="1" customWidth="1"/>
    <col min="4" max="4" width="15.140625" style="4" bestFit="1" customWidth="1"/>
    <col min="5" max="5" width="10.7109375" style="4" bestFit="1" customWidth="1"/>
    <col min="6" max="6" width="33" style="4" bestFit="1" customWidth="1"/>
    <col min="7" max="7" width="17.85546875" style="4" bestFit="1" customWidth="1"/>
    <col min="8" max="8" width="15.85546875" style="4" bestFit="1" customWidth="1"/>
    <col min="9" max="9" width="13.140625" style="4" bestFit="1" customWidth="1"/>
    <col min="10" max="10" width="27.7109375" style="4" bestFit="1" customWidth="1"/>
    <col min="11" max="11" width="23.85546875" style="4" bestFit="1" customWidth="1"/>
    <col min="12" max="12" width="16.7109375" style="4" bestFit="1" customWidth="1"/>
    <col min="13" max="13" width="13.7109375" style="4" bestFit="1" customWidth="1"/>
    <col min="14" max="14" width="15.42578125" style="4" bestFit="1" customWidth="1"/>
    <col min="15" max="15" width="14.42578125" style="4" bestFit="1" customWidth="1"/>
    <col min="18" max="18" width="20.42578125" bestFit="1" customWidth="1"/>
    <col min="19" max="19" width="21.140625" bestFit="1" customWidth="1"/>
    <col min="20" max="20" width="10.140625" bestFit="1" customWidth="1"/>
    <col min="21" max="22" width="11.140625" bestFit="1" customWidth="1"/>
    <col min="23" max="23" width="14.28515625" bestFit="1" customWidth="1"/>
    <col min="24" max="24" width="21.140625" bestFit="1" customWidth="1"/>
    <col min="25" max="25" width="7.28515625" bestFit="1" customWidth="1"/>
    <col min="26" max="26" width="5.140625" bestFit="1" customWidth="1"/>
    <col min="28" max="28" width="20.42578125" bestFit="1" customWidth="1"/>
    <col min="29" max="29" width="21.140625" bestFit="1" customWidth="1"/>
    <col min="30" max="30" width="17.28515625" bestFit="1" customWidth="1"/>
    <col min="31" max="31" width="17.85546875" bestFit="1" customWidth="1"/>
    <col min="32" max="34" width="11.140625" bestFit="1" customWidth="1"/>
  </cols>
  <sheetData>
    <row r="1" spans="1:32" x14ac:dyDescent="0.25">
      <c r="F1" s="4">
        <f>+SUBTOTAL(3,F3:F2443)</f>
        <v>1216</v>
      </c>
      <c r="G1" s="4">
        <f>+SUBTOTAL(3,G3:G2443)</f>
        <v>1216</v>
      </c>
      <c r="L1" s="4">
        <f>+SUBTOTAL(3,L3:L2443)</f>
        <v>1216</v>
      </c>
      <c r="W1" s="13" t="s">
        <v>5</v>
      </c>
      <c r="X1" t="s">
        <v>7741</v>
      </c>
    </row>
    <row r="2" spans="1:32" ht="31.5" x14ac:dyDescent="0.25">
      <c r="A2" s="1" t="s">
        <v>0</v>
      </c>
      <c r="B2" s="5" t="s">
        <v>1</v>
      </c>
      <c r="C2" s="5" t="s">
        <v>2</v>
      </c>
      <c r="D2" s="5" t="s">
        <v>1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32" x14ac:dyDescent="0.25">
      <c r="A3" s="2">
        <v>1</v>
      </c>
      <c r="B3" s="7" t="s">
        <v>242</v>
      </c>
      <c r="C3" s="7" t="s">
        <v>243</v>
      </c>
      <c r="D3" s="7" t="s">
        <v>242</v>
      </c>
      <c r="E3" s="7" t="s">
        <v>131</v>
      </c>
      <c r="F3" s="7" t="s">
        <v>244</v>
      </c>
      <c r="G3" s="17" t="s">
        <v>7747</v>
      </c>
      <c r="H3" s="7" t="s">
        <v>28</v>
      </c>
      <c r="I3" s="7" t="s">
        <v>245</v>
      </c>
      <c r="J3" s="7" t="s">
        <v>246</v>
      </c>
      <c r="K3" s="7" t="s">
        <v>244</v>
      </c>
      <c r="L3" s="7" t="s">
        <v>247</v>
      </c>
      <c r="M3" s="7">
        <v>5.4681699999999998</v>
      </c>
      <c r="N3" s="7">
        <v>10.241300000000001</v>
      </c>
      <c r="O3" s="7" t="s">
        <v>23</v>
      </c>
      <c r="R3" s="13" t="s">
        <v>7740</v>
      </c>
      <c r="S3" s="13" t="s">
        <v>7746</v>
      </c>
      <c r="W3" s="13" t="s">
        <v>7739</v>
      </c>
      <c r="X3" s="13" t="s">
        <v>7746</v>
      </c>
      <c r="AA3" s="93"/>
      <c r="AB3" s="13" t="s">
        <v>7740</v>
      </c>
      <c r="AC3" s="13" t="s">
        <v>7746</v>
      </c>
    </row>
    <row r="4" spans="1:32" x14ac:dyDescent="0.25">
      <c r="A4" s="2">
        <f>+A3+1</f>
        <v>2</v>
      </c>
      <c r="B4" s="7" t="s">
        <v>314</v>
      </c>
      <c r="C4" s="7" t="s">
        <v>315</v>
      </c>
      <c r="D4" s="7" t="s">
        <v>314</v>
      </c>
      <c r="E4" s="7" t="s">
        <v>131</v>
      </c>
      <c r="F4" s="7" t="s">
        <v>316</v>
      </c>
      <c r="G4" s="17" t="s">
        <v>7747</v>
      </c>
      <c r="H4" s="7" t="s">
        <v>28</v>
      </c>
      <c r="I4" s="7" t="s">
        <v>133</v>
      </c>
      <c r="J4" s="7" t="s">
        <v>317</v>
      </c>
      <c r="K4" s="7" t="s">
        <v>318</v>
      </c>
      <c r="L4" s="7" t="s">
        <v>247</v>
      </c>
      <c r="M4" s="7">
        <v>4.7714999999999996</v>
      </c>
      <c r="N4" s="7">
        <v>10.906319999999999</v>
      </c>
      <c r="O4" s="7" t="s">
        <v>23</v>
      </c>
      <c r="R4" s="13" t="s">
        <v>7737</v>
      </c>
      <c r="S4" t="s">
        <v>18</v>
      </c>
      <c r="T4" t="s">
        <v>7748</v>
      </c>
      <c r="U4" t="s">
        <v>7738</v>
      </c>
      <c r="W4" s="13" t="s">
        <v>7750</v>
      </c>
      <c r="X4" s="15" t="s">
        <v>23</v>
      </c>
      <c r="Y4" s="15" t="s">
        <v>613</v>
      </c>
      <c r="Z4" s="15" t="s">
        <v>7749</v>
      </c>
      <c r="AA4" s="93"/>
      <c r="AB4" s="13" t="s">
        <v>7737</v>
      </c>
      <c r="AC4" t="s">
        <v>18</v>
      </c>
      <c r="AD4" t="s">
        <v>36</v>
      </c>
      <c r="AE4" t="s">
        <v>896</v>
      </c>
      <c r="AF4" t="s">
        <v>7738</v>
      </c>
    </row>
    <row r="5" spans="1:32" x14ac:dyDescent="0.25">
      <c r="A5" s="2">
        <f t="shared" ref="A5:A68" si="0">+A4+1</f>
        <v>3</v>
      </c>
      <c r="B5" s="7" t="s">
        <v>393</v>
      </c>
      <c r="C5" s="7" t="s">
        <v>394</v>
      </c>
      <c r="D5" s="7" t="s">
        <v>393</v>
      </c>
      <c r="E5" s="7" t="s">
        <v>131</v>
      </c>
      <c r="F5" s="7" t="s">
        <v>395</v>
      </c>
      <c r="G5" s="17" t="s">
        <v>7747</v>
      </c>
      <c r="H5" s="7" t="s">
        <v>28</v>
      </c>
      <c r="I5" s="7" t="s">
        <v>396</v>
      </c>
      <c r="J5" s="7" t="s">
        <v>397</v>
      </c>
      <c r="K5" s="7" t="s">
        <v>398</v>
      </c>
      <c r="L5" s="7" t="s">
        <v>247</v>
      </c>
      <c r="M5" s="7">
        <v>5.6344200000000004</v>
      </c>
      <c r="N5" s="7">
        <v>10.530250000000001</v>
      </c>
      <c r="O5" s="7" t="s">
        <v>23</v>
      </c>
      <c r="R5" s="4" t="s">
        <v>23</v>
      </c>
      <c r="S5">
        <v>394</v>
      </c>
      <c r="T5">
        <v>1443</v>
      </c>
      <c r="U5">
        <v>1837</v>
      </c>
      <c r="W5" s="4" t="s">
        <v>42</v>
      </c>
      <c r="X5">
        <v>133</v>
      </c>
      <c r="Y5">
        <v>6</v>
      </c>
      <c r="Z5">
        <v>139</v>
      </c>
      <c r="AB5" s="4" t="s">
        <v>23</v>
      </c>
      <c r="AC5">
        <v>394</v>
      </c>
      <c r="AD5">
        <v>17</v>
      </c>
      <c r="AE5">
        <v>4</v>
      </c>
      <c r="AF5">
        <v>415</v>
      </c>
    </row>
    <row r="6" spans="1:32" x14ac:dyDescent="0.25">
      <c r="A6" s="2">
        <f t="shared" si="0"/>
        <v>4</v>
      </c>
      <c r="B6" s="7" t="s">
        <v>414</v>
      </c>
      <c r="C6" s="7" t="s">
        <v>415</v>
      </c>
      <c r="D6" s="7" t="s">
        <v>414</v>
      </c>
      <c r="E6" s="7" t="s">
        <v>131</v>
      </c>
      <c r="F6" s="7" t="s">
        <v>416</v>
      </c>
      <c r="G6" s="17" t="s">
        <v>7747</v>
      </c>
      <c r="H6" s="7" t="s">
        <v>19</v>
      </c>
      <c r="I6" s="7" t="s">
        <v>133</v>
      </c>
      <c r="J6" s="7" t="s">
        <v>317</v>
      </c>
      <c r="K6" s="7" t="s">
        <v>417</v>
      </c>
      <c r="L6" s="7" t="s">
        <v>247</v>
      </c>
      <c r="M6" s="7">
        <v>4.8229620000000004</v>
      </c>
      <c r="N6" s="7">
        <v>11.175922</v>
      </c>
      <c r="O6" s="7" t="s">
        <v>23</v>
      </c>
      <c r="R6" s="4" t="s">
        <v>613</v>
      </c>
      <c r="S6">
        <v>28</v>
      </c>
      <c r="T6">
        <v>551</v>
      </c>
      <c r="U6">
        <v>579</v>
      </c>
      <c r="W6" s="4" t="s">
        <v>182</v>
      </c>
      <c r="X6">
        <v>280</v>
      </c>
      <c r="Y6">
        <v>237</v>
      </c>
      <c r="Z6">
        <v>517</v>
      </c>
      <c r="AB6" s="4" t="s">
        <v>613</v>
      </c>
      <c r="AC6">
        <v>28</v>
      </c>
      <c r="AD6">
        <v>1</v>
      </c>
      <c r="AF6">
        <v>29</v>
      </c>
    </row>
    <row r="7" spans="1:32" x14ac:dyDescent="0.25">
      <c r="A7" s="2">
        <f t="shared" si="0"/>
        <v>5</v>
      </c>
      <c r="B7" s="9" t="s">
        <v>418</v>
      </c>
      <c r="C7" s="7" t="s">
        <v>419</v>
      </c>
      <c r="D7" s="7" t="s">
        <v>418</v>
      </c>
      <c r="E7" s="7" t="s">
        <v>131</v>
      </c>
      <c r="F7" s="7" t="s">
        <v>420</v>
      </c>
      <c r="G7" s="17" t="s">
        <v>7747</v>
      </c>
      <c r="H7" s="7" t="s">
        <v>28</v>
      </c>
      <c r="I7" s="7" t="s">
        <v>396</v>
      </c>
      <c r="J7" s="7" t="s">
        <v>397</v>
      </c>
      <c r="K7" s="7" t="s">
        <v>398</v>
      </c>
      <c r="L7" s="7" t="s">
        <v>247</v>
      </c>
      <c r="M7" s="7">
        <v>5.6579899999999999</v>
      </c>
      <c r="N7" s="7">
        <v>10.562290000000001</v>
      </c>
      <c r="O7" s="7" t="s">
        <v>23</v>
      </c>
      <c r="R7" s="4" t="s">
        <v>7738</v>
      </c>
      <c r="S7">
        <v>422</v>
      </c>
      <c r="T7">
        <v>1994</v>
      </c>
      <c r="U7">
        <v>2416</v>
      </c>
      <c r="W7" s="4" t="s">
        <v>74</v>
      </c>
      <c r="X7">
        <v>120</v>
      </c>
      <c r="Y7">
        <v>2</v>
      </c>
      <c r="Z7">
        <v>122</v>
      </c>
      <c r="AB7" s="4" t="s">
        <v>7738</v>
      </c>
      <c r="AC7">
        <v>422</v>
      </c>
      <c r="AD7">
        <v>18</v>
      </c>
      <c r="AE7">
        <v>4</v>
      </c>
      <c r="AF7">
        <v>444</v>
      </c>
    </row>
    <row r="8" spans="1:32" x14ac:dyDescent="0.25">
      <c r="A8" s="2">
        <f t="shared" si="0"/>
        <v>6</v>
      </c>
      <c r="B8" s="7" t="s">
        <v>584</v>
      </c>
      <c r="C8" s="7" t="s">
        <v>585</v>
      </c>
      <c r="D8" s="7" t="s">
        <v>584</v>
      </c>
      <c r="E8" s="7" t="s">
        <v>131</v>
      </c>
      <c r="F8" s="7" t="s">
        <v>586</v>
      </c>
      <c r="G8" s="17" t="s">
        <v>7747</v>
      </c>
      <c r="H8" s="7" t="s">
        <v>28</v>
      </c>
      <c r="I8" s="7" t="s">
        <v>145</v>
      </c>
      <c r="J8" s="7" t="s">
        <v>397</v>
      </c>
      <c r="K8" s="7" t="s">
        <v>587</v>
      </c>
      <c r="L8" s="7" t="s">
        <v>247</v>
      </c>
      <c r="M8" s="7">
        <v>5.6561120000000003</v>
      </c>
      <c r="N8" s="7">
        <v>11.172957</v>
      </c>
      <c r="O8" s="7" t="s">
        <v>23</v>
      </c>
      <c r="W8" s="4" t="s">
        <v>16</v>
      </c>
      <c r="X8">
        <v>195</v>
      </c>
      <c r="Y8">
        <v>7</v>
      </c>
      <c r="Z8">
        <v>202</v>
      </c>
    </row>
    <row r="9" spans="1:32" x14ac:dyDescent="0.25">
      <c r="A9" s="2">
        <f t="shared" si="0"/>
        <v>7</v>
      </c>
      <c r="B9" s="7" t="s">
        <v>679</v>
      </c>
      <c r="C9" s="7" t="s">
        <v>680</v>
      </c>
      <c r="D9" s="7" t="s">
        <v>679</v>
      </c>
      <c r="E9" s="7" t="s">
        <v>131</v>
      </c>
      <c r="F9" s="7" t="s">
        <v>681</v>
      </c>
      <c r="G9" s="17" t="s">
        <v>7747</v>
      </c>
      <c r="H9" s="7" t="s">
        <v>28</v>
      </c>
      <c r="I9" s="7" t="s">
        <v>396</v>
      </c>
      <c r="J9" s="7" t="s">
        <v>397</v>
      </c>
      <c r="K9" s="7" t="s">
        <v>145</v>
      </c>
      <c r="L9" s="7" t="s">
        <v>247</v>
      </c>
      <c r="M9" s="7">
        <v>5.7724440000000001</v>
      </c>
      <c r="N9" s="7">
        <v>10.791805999999999</v>
      </c>
      <c r="O9" s="7" t="s">
        <v>23</v>
      </c>
      <c r="W9" s="4" t="s">
        <v>50</v>
      </c>
      <c r="X9">
        <v>246</v>
      </c>
      <c r="Y9">
        <v>261</v>
      </c>
      <c r="Z9">
        <v>507</v>
      </c>
    </row>
    <row r="10" spans="1:32" x14ac:dyDescent="0.25">
      <c r="A10" s="2">
        <f t="shared" si="0"/>
        <v>8</v>
      </c>
      <c r="B10" s="7" t="s">
        <v>758</v>
      </c>
      <c r="C10" s="7" t="s">
        <v>759</v>
      </c>
      <c r="D10" s="7" t="s">
        <v>758</v>
      </c>
      <c r="E10" s="7" t="s">
        <v>131</v>
      </c>
      <c r="F10" s="7" t="s">
        <v>760</v>
      </c>
      <c r="G10" s="8" t="s">
        <v>18</v>
      </c>
      <c r="H10" s="7" t="s">
        <v>28</v>
      </c>
      <c r="I10" s="7" t="s">
        <v>245</v>
      </c>
      <c r="J10" s="7" t="s">
        <v>761</v>
      </c>
      <c r="K10" s="7" t="s">
        <v>762</v>
      </c>
      <c r="L10" s="7" t="s">
        <v>247</v>
      </c>
      <c r="M10" s="7">
        <v>5.6820279999999999</v>
      </c>
      <c r="N10" s="7">
        <v>10.366139</v>
      </c>
      <c r="O10" s="7" t="s">
        <v>23</v>
      </c>
      <c r="W10" s="4" t="s">
        <v>170</v>
      </c>
      <c r="X10">
        <v>131</v>
      </c>
      <c r="Y10">
        <v>1</v>
      </c>
      <c r="Z10">
        <v>132</v>
      </c>
    </row>
    <row r="11" spans="1:32" x14ac:dyDescent="0.25">
      <c r="A11" s="2">
        <f t="shared" si="0"/>
        <v>9</v>
      </c>
      <c r="B11" s="7" t="s">
        <v>771</v>
      </c>
      <c r="C11" s="7" t="s">
        <v>772</v>
      </c>
      <c r="D11" s="7" t="s">
        <v>771</v>
      </c>
      <c r="E11" s="7" t="s">
        <v>131</v>
      </c>
      <c r="F11" s="7" t="s">
        <v>773</v>
      </c>
      <c r="G11" s="17" t="s">
        <v>7747</v>
      </c>
      <c r="H11" s="7" t="s">
        <v>28</v>
      </c>
      <c r="I11" s="7" t="s">
        <v>145</v>
      </c>
      <c r="J11" s="7" t="s">
        <v>397</v>
      </c>
      <c r="K11" s="7" t="s">
        <v>145</v>
      </c>
      <c r="L11" s="7" t="s">
        <v>247</v>
      </c>
      <c r="M11" s="7">
        <v>5.7379499999999997</v>
      </c>
      <c r="N11" s="7">
        <v>10.884069999999999</v>
      </c>
      <c r="O11" s="7" t="s">
        <v>23</v>
      </c>
      <c r="W11" s="4" t="s">
        <v>26</v>
      </c>
      <c r="X11">
        <v>182</v>
      </c>
      <c r="Y11">
        <v>10</v>
      </c>
      <c r="Z11">
        <v>192</v>
      </c>
      <c r="AB11" s="14" t="s">
        <v>7737</v>
      </c>
      <c r="AC11" s="14" t="s">
        <v>18</v>
      </c>
      <c r="AD11" s="14" t="s">
        <v>36</v>
      </c>
      <c r="AE11" s="14" t="s">
        <v>896</v>
      </c>
      <c r="AF11" s="14" t="s">
        <v>7738</v>
      </c>
    </row>
    <row r="12" spans="1:32" x14ac:dyDescent="0.25">
      <c r="A12" s="2">
        <f t="shared" si="0"/>
        <v>10</v>
      </c>
      <c r="B12" s="7" t="s">
        <v>774</v>
      </c>
      <c r="C12" s="7" t="s">
        <v>775</v>
      </c>
      <c r="D12" s="7" t="s">
        <v>774</v>
      </c>
      <c r="E12" s="7" t="s">
        <v>131</v>
      </c>
      <c r="F12" s="7" t="s">
        <v>776</v>
      </c>
      <c r="G12" s="17" t="s">
        <v>7747</v>
      </c>
      <c r="H12" s="7" t="s">
        <v>28</v>
      </c>
      <c r="I12" s="7" t="s">
        <v>396</v>
      </c>
      <c r="J12" s="7" t="s">
        <v>397</v>
      </c>
      <c r="K12" s="7" t="s">
        <v>396</v>
      </c>
      <c r="L12" s="7" t="s">
        <v>247</v>
      </c>
      <c r="M12" s="7">
        <v>5.4878109999999998</v>
      </c>
      <c r="N12" s="7">
        <v>10.603085999999999</v>
      </c>
      <c r="O12" s="7" t="s">
        <v>23</v>
      </c>
      <c r="W12" s="4" t="s">
        <v>250</v>
      </c>
      <c r="X12">
        <v>109</v>
      </c>
      <c r="Z12">
        <v>109</v>
      </c>
      <c r="AB12" s="4" t="s">
        <v>23</v>
      </c>
      <c r="AC12">
        <v>394</v>
      </c>
      <c r="AD12">
        <v>17</v>
      </c>
      <c r="AE12">
        <v>4</v>
      </c>
      <c r="AF12">
        <v>415</v>
      </c>
    </row>
    <row r="13" spans="1:32" x14ac:dyDescent="0.25">
      <c r="A13" s="2">
        <f t="shared" si="0"/>
        <v>11</v>
      </c>
      <c r="B13" s="7" t="s">
        <v>1019</v>
      </c>
      <c r="C13" s="7" t="s">
        <v>1020</v>
      </c>
      <c r="D13" s="7" t="s">
        <v>1019</v>
      </c>
      <c r="E13" s="7" t="s">
        <v>131</v>
      </c>
      <c r="F13" s="7" t="s">
        <v>1021</v>
      </c>
      <c r="G13" s="8" t="s">
        <v>18</v>
      </c>
      <c r="H13" s="7" t="s">
        <v>28</v>
      </c>
      <c r="I13" s="7" t="s">
        <v>245</v>
      </c>
      <c r="J13" s="7" t="s">
        <v>761</v>
      </c>
      <c r="K13" s="7" t="s">
        <v>762</v>
      </c>
      <c r="L13" s="7" t="s">
        <v>247</v>
      </c>
      <c r="M13" s="7">
        <v>5.6677970000000002</v>
      </c>
      <c r="N13" s="7">
        <v>10.447418000000001</v>
      </c>
      <c r="O13" s="7" t="s">
        <v>23</v>
      </c>
      <c r="W13" s="4" t="s">
        <v>34</v>
      </c>
      <c r="X13">
        <v>211</v>
      </c>
      <c r="Y13">
        <v>23</v>
      </c>
      <c r="Z13">
        <v>234</v>
      </c>
      <c r="AB13" s="4" t="s">
        <v>613</v>
      </c>
      <c r="AC13">
        <v>28</v>
      </c>
      <c r="AD13">
        <v>1</v>
      </c>
      <c r="AF13">
        <v>29</v>
      </c>
    </row>
    <row r="14" spans="1:32" x14ac:dyDescent="0.25">
      <c r="A14" s="2">
        <f t="shared" si="0"/>
        <v>12</v>
      </c>
      <c r="B14" s="7" t="s">
        <v>1039</v>
      </c>
      <c r="C14" s="7" t="s">
        <v>1040</v>
      </c>
      <c r="D14" s="7" t="s">
        <v>1039</v>
      </c>
      <c r="E14" s="7" t="s">
        <v>131</v>
      </c>
      <c r="F14" s="7" t="s">
        <v>1041</v>
      </c>
      <c r="G14" s="17" t="s">
        <v>7747</v>
      </c>
      <c r="H14" s="7" t="s">
        <v>28</v>
      </c>
      <c r="I14" s="7" t="s">
        <v>1042</v>
      </c>
      <c r="J14" s="7" t="s">
        <v>1043</v>
      </c>
      <c r="K14" s="7" t="s">
        <v>1042</v>
      </c>
      <c r="L14" s="7" t="s">
        <v>247</v>
      </c>
      <c r="M14" s="7">
        <v>5.0937549999999998</v>
      </c>
      <c r="N14" s="7">
        <v>10.663701</v>
      </c>
      <c r="O14" s="7" t="s">
        <v>23</v>
      </c>
      <c r="W14" s="4" t="s">
        <v>131</v>
      </c>
      <c r="X14">
        <v>230</v>
      </c>
      <c r="Y14">
        <v>32</v>
      </c>
      <c r="Z14">
        <v>262</v>
      </c>
      <c r="AB14" s="18" t="s">
        <v>7738</v>
      </c>
      <c r="AC14" s="19">
        <v>422</v>
      </c>
      <c r="AD14" s="19">
        <v>18</v>
      </c>
      <c r="AE14" s="19">
        <v>4</v>
      </c>
      <c r="AF14" s="19">
        <v>444</v>
      </c>
    </row>
    <row r="15" spans="1:32" x14ac:dyDescent="0.25">
      <c r="A15" s="2">
        <f t="shared" si="0"/>
        <v>13</v>
      </c>
      <c r="B15" s="7" t="s">
        <v>1051</v>
      </c>
      <c r="C15" s="7" t="s">
        <v>1052</v>
      </c>
      <c r="D15" s="7" t="s">
        <v>1051</v>
      </c>
      <c r="E15" s="7" t="s">
        <v>131</v>
      </c>
      <c r="F15" s="7" t="s">
        <v>1053</v>
      </c>
      <c r="G15" s="8" t="s">
        <v>18</v>
      </c>
      <c r="H15" s="7" t="s">
        <v>28</v>
      </c>
      <c r="I15" s="7" t="s">
        <v>396</v>
      </c>
      <c r="J15" s="7" t="s">
        <v>1054</v>
      </c>
      <c r="K15" s="7" t="s">
        <v>1055</v>
      </c>
      <c r="L15" s="7" t="s">
        <v>247</v>
      </c>
      <c r="M15" s="7">
        <v>5.5936620000000001</v>
      </c>
      <c r="N15" s="7">
        <v>10.61917</v>
      </c>
      <c r="O15" s="7" t="s">
        <v>23</v>
      </c>
      <c r="W15" s="4" t="s">
        <v>7749</v>
      </c>
      <c r="X15">
        <v>1837</v>
      </c>
      <c r="Y15">
        <v>579</v>
      </c>
      <c r="Z15">
        <v>2416</v>
      </c>
    </row>
    <row r="16" spans="1:32" x14ac:dyDescent="0.25">
      <c r="A16" s="2">
        <f t="shared" si="0"/>
        <v>14</v>
      </c>
      <c r="B16" s="7" t="s">
        <v>1056</v>
      </c>
      <c r="C16" s="7" t="s">
        <v>1057</v>
      </c>
      <c r="D16" s="7" t="s">
        <v>1056</v>
      </c>
      <c r="E16" s="7" t="s">
        <v>131</v>
      </c>
      <c r="F16" s="7" t="s">
        <v>1058</v>
      </c>
      <c r="G16" s="17" t="s">
        <v>7747</v>
      </c>
      <c r="H16" s="7" t="s">
        <v>28</v>
      </c>
      <c r="I16" s="7" t="s">
        <v>783</v>
      </c>
      <c r="J16" s="7" t="s">
        <v>1059</v>
      </c>
      <c r="K16" s="7" t="s">
        <v>1042</v>
      </c>
      <c r="L16" s="7" t="s">
        <v>247</v>
      </c>
      <c r="M16" s="7">
        <v>5.2492080000000003</v>
      </c>
      <c r="N16" s="7">
        <v>10.511272999999999</v>
      </c>
      <c r="O16" s="7" t="s">
        <v>23</v>
      </c>
    </row>
    <row r="17" spans="1:21" x14ac:dyDescent="0.25">
      <c r="A17" s="2">
        <f t="shared" si="0"/>
        <v>15</v>
      </c>
      <c r="B17" s="7" t="s">
        <v>1063</v>
      </c>
      <c r="C17" s="7" t="s">
        <v>1064</v>
      </c>
      <c r="D17" s="7" t="s">
        <v>1063</v>
      </c>
      <c r="E17" s="7" t="s">
        <v>131</v>
      </c>
      <c r="F17" s="7" t="s">
        <v>1065</v>
      </c>
      <c r="G17" s="17" t="s">
        <v>7747</v>
      </c>
      <c r="H17" s="7" t="s">
        <v>28</v>
      </c>
      <c r="I17" s="7" t="s">
        <v>396</v>
      </c>
      <c r="J17" s="7" t="s">
        <v>397</v>
      </c>
      <c r="K17" s="7" t="s">
        <v>1055</v>
      </c>
      <c r="L17" s="7" t="s">
        <v>247</v>
      </c>
      <c r="M17" s="7">
        <v>5.8265830000000003</v>
      </c>
      <c r="N17" s="7">
        <v>10.732278000000001</v>
      </c>
      <c r="O17" s="7" t="s">
        <v>23</v>
      </c>
    </row>
    <row r="18" spans="1:21" x14ac:dyDescent="0.25">
      <c r="A18" s="2">
        <f t="shared" si="0"/>
        <v>16</v>
      </c>
      <c r="B18" s="7" t="s">
        <v>1066</v>
      </c>
      <c r="C18" s="7" t="s">
        <v>1067</v>
      </c>
      <c r="D18" s="7" t="s">
        <v>1066</v>
      </c>
      <c r="E18" s="7" t="s">
        <v>131</v>
      </c>
      <c r="F18" s="7" t="s">
        <v>1068</v>
      </c>
      <c r="G18" s="17" t="s">
        <v>7747</v>
      </c>
      <c r="H18" s="7" t="s">
        <v>28</v>
      </c>
      <c r="I18" s="7" t="s">
        <v>1069</v>
      </c>
      <c r="J18" s="7" t="s">
        <v>1070</v>
      </c>
      <c r="K18" s="7" t="s">
        <v>1071</v>
      </c>
      <c r="L18" s="7" t="s">
        <v>247</v>
      </c>
      <c r="M18" s="7">
        <v>5.5803700000000003</v>
      </c>
      <c r="N18" s="7">
        <v>10.407389999999999</v>
      </c>
      <c r="O18" s="7" t="s">
        <v>23</v>
      </c>
    </row>
    <row r="19" spans="1:21" x14ac:dyDescent="0.25">
      <c r="A19" s="2">
        <f t="shared" si="0"/>
        <v>17</v>
      </c>
      <c r="B19" s="7" t="s">
        <v>1075</v>
      </c>
      <c r="C19" s="7" t="s">
        <v>1076</v>
      </c>
      <c r="D19" s="7" t="s">
        <v>1075</v>
      </c>
      <c r="E19" s="7" t="s">
        <v>131</v>
      </c>
      <c r="F19" s="7" t="s">
        <v>1077</v>
      </c>
      <c r="G19" s="17" t="s">
        <v>7747</v>
      </c>
      <c r="H19" s="7" t="s">
        <v>28</v>
      </c>
      <c r="I19" s="7" t="s">
        <v>245</v>
      </c>
      <c r="J19" s="7" t="s">
        <v>246</v>
      </c>
      <c r="K19" s="7" t="s">
        <v>1078</v>
      </c>
      <c r="L19" s="7" t="s">
        <v>247</v>
      </c>
      <c r="M19" s="7">
        <v>5.6002660000000004</v>
      </c>
      <c r="N19" s="7">
        <v>10.325967</v>
      </c>
      <c r="O19" s="7" t="s">
        <v>23</v>
      </c>
    </row>
    <row r="20" spans="1:21" x14ac:dyDescent="0.25">
      <c r="A20" s="2">
        <f t="shared" si="0"/>
        <v>18</v>
      </c>
      <c r="B20" s="7" t="s">
        <v>1082</v>
      </c>
      <c r="C20" s="7" t="s">
        <v>1083</v>
      </c>
      <c r="D20" s="7" t="s">
        <v>1082</v>
      </c>
      <c r="E20" s="7" t="s">
        <v>131</v>
      </c>
      <c r="F20" s="7" t="s">
        <v>1084</v>
      </c>
      <c r="G20" s="8" t="s">
        <v>18</v>
      </c>
      <c r="H20" s="7" t="s">
        <v>28</v>
      </c>
      <c r="I20" s="7" t="s">
        <v>245</v>
      </c>
      <c r="J20" s="7" t="s">
        <v>761</v>
      </c>
      <c r="K20" s="7" t="s">
        <v>762</v>
      </c>
      <c r="L20" s="7" t="s">
        <v>247</v>
      </c>
      <c r="M20" s="7">
        <v>5.7008999999999999</v>
      </c>
      <c r="N20" s="7">
        <v>10.492000000000001</v>
      </c>
      <c r="O20" s="7" t="s">
        <v>23</v>
      </c>
    </row>
    <row r="21" spans="1:21" x14ac:dyDescent="0.25">
      <c r="A21" s="2">
        <f t="shared" si="0"/>
        <v>19</v>
      </c>
      <c r="B21" s="7" t="s">
        <v>1107</v>
      </c>
      <c r="C21" s="7" t="s">
        <v>1108</v>
      </c>
      <c r="D21" s="7" t="s">
        <v>1107</v>
      </c>
      <c r="E21" s="7" t="s">
        <v>131</v>
      </c>
      <c r="F21" s="7" t="s">
        <v>1109</v>
      </c>
      <c r="G21" s="17" t="s">
        <v>7747</v>
      </c>
      <c r="H21" s="7" t="s">
        <v>28</v>
      </c>
      <c r="I21" s="7" t="s">
        <v>783</v>
      </c>
      <c r="J21" s="7" t="s">
        <v>1110</v>
      </c>
      <c r="K21" s="7" t="s">
        <v>1111</v>
      </c>
      <c r="L21" s="7" t="s">
        <v>247</v>
      </c>
      <c r="M21" s="7">
        <v>5.4162239999999997</v>
      </c>
      <c r="N21" s="7">
        <v>10.355382000000001</v>
      </c>
      <c r="O21" s="7" t="s">
        <v>23</v>
      </c>
    </row>
    <row r="22" spans="1:21" x14ac:dyDescent="0.25">
      <c r="A22" s="2">
        <f t="shared" si="0"/>
        <v>20</v>
      </c>
      <c r="B22" s="7" t="s">
        <v>1112</v>
      </c>
      <c r="C22" s="7" t="s">
        <v>1113</v>
      </c>
      <c r="D22" s="7" t="s">
        <v>1112</v>
      </c>
      <c r="E22" s="7" t="s">
        <v>131</v>
      </c>
      <c r="F22" s="7" t="s">
        <v>1114</v>
      </c>
      <c r="G22" s="17" t="s">
        <v>7747</v>
      </c>
      <c r="H22" s="7" t="s">
        <v>28</v>
      </c>
      <c r="I22" s="7" t="s">
        <v>245</v>
      </c>
      <c r="J22" s="7" t="s">
        <v>1070</v>
      </c>
      <c r="K22" s="7" t="s">
        <v>244</v>
      </c>
      <c r="L22" s="7" t="s">
        <v>247</v>
      </c>
      <c r="M22" s="7">
        <v>5.4082530000000002</v>
      </c>
      <c r="N22" s="7">
        <v>10.264578</v>
      </c>
      <c r="O22" s="7" t="s">
        <v>23</v>
      </c>
    </row>
    <row r="23" spans="1:21" x14ac:dyDescent="0.25">
      <c r="A23" s="2">
        <f t="shared" si="0"/>
        <v>21</v>
      </c>
      <c r="B23" s="7" t="s">
        <v>1119</v>
      </c>
      <c r="C23" s="7" t="s">
        <v>1120</v>
      </c>
      <c r="D23" s="7" t="s">
        <v>1119</v>
      </c>
      <c r="E23" s="7" t="s">
        <v>131</v>
      </c>
      <c r="F23" s="7" t="s">
        <v>1121</v>
      </c>
      <c r="G23" s="17" t="s">
        <v>7747</v>
      </c>
      <c r="H23" s="7" t="s">
        <v>28</v>
      </c>
      <c r="I23" s="7" t="s">
        <v>1042</v>
      </c>
      <c r="J23" s="7" t="s">
        <v>1043</v>
      </c>
      <c r="K23" s="7" t="s">
        <v>1122</v>
      </c>
      <c r="L23" s="7" t="s">
        <v>247</v>
      </c>
      <c r="M23" s="7">
        <v>5.0852500000000003</v>
      </c>
      <c r="N23" s="7">
        <v>10.488861</v>
      </c>
      <c r="O23" s="7" t="s">
        <v>23</v>
      </c>
    </row>
    <row r="24" spans="1:21" x14ac:dyDescent="0.25">
      <c r="A24" s="2">
        <f t="shared" si="0"/>
        <v>22</v>
      </c>
      <c r="B24" s="7" t="s">
        <v>1126</v>
      </c>
      <c r="C24" s="7" t="s">
        <v>1127</v>
      </c>
      <c r="D24" s="7" t="s">
        <v>1126</v>
      </c>
      <c r="E24" s="7" t="s">
        <v>131</v>
      </c>
      <c r="F24" s="7" t="s">
        <v>1128</v>
      </c>
      <c r="G24" s="17" t="s">
        <v>7747</v>
      </c>
      <c r="H24" s="7" t="s">
        <v>28</v>
      </c>
      <c r="I24" s="7" t="s">
        <v>783</v>
      </c>
      <c r="J24" s="7" t="s">
        <v>1110</v>
      </c>
      <c r="K24" s="7" t="s">
        <v>1111</v>
      </c>
      <c r="L24" s="7" t="s">
        <v>247</v>
      </c>
      <c r="M24" s="7">
        <v>5.3518829999999999</v>
      </c>
      <c r="N24" s="7">
        <v>10.340982</v>
      </c>
      <c r="O24" s="7" t="s">
        <v>23</v>
      </c>
    </row>
    <row r="25" spans="1:21" x14ac:dyDescent="0.25">
      <c r="A25" s="2">
        <f t="shared" si="0"/>
        <v>23</v>
      </c>
      <c r="B25" s="7" t="s">
        <v>1231</v>
      </c>
      <c r="C25" s="7" t="s">
        <v>1232</v>
      </c>
      <c r="D25" s="7" t="s">
        <v>1231</v>
      </c>
      <c r="E25" s="7" t="s">
        <v>131</v>
      </c>
      <c r="F25" s="7" t="s">
        <v>1233</v>
      </c>
      <c r="G25" s="17" t="s">
        <v>7747</v>
      </c>
      <c r="H25" s="7" t="s">
        <v>28</v>
      </c>
      <c r="I25" s="7" t="s">
        <v>396</v>
      </c>
      <c r="J25" s="7" t="s">
        <v>397</v>
      </c>
      <c r="K25" s="7" t="s">
        <v>398</v>
      </c>
      <c r="L25" s="7" t="s">
        <v>247</v>
      </c>
      <c r="M25" s="7">
        <v>5.6598800000000002</v>
      </c>
      <c r="N25" s="7">
        <v>10.51872</v>
      </c>
      <c r="O25" s="7" t="s">
        <v>23</v>
      </c>
    </row>
    <row r="26" spans="1:21" x14ac:dyDescent="0.25">
      <c r="A26" s="2">
        <f t="shared" si="0"/>
        <v>24</v>
      </c>
      <c r="B26" s="7" t="s">
        <v>1237</v>
      </c>
      <c r="C26" s="7" t="s">
        <v>1238</v>
      </c>
      <c r="D26" s="7" t="s">
        <v>1237</v>
      </c>
      <c r="E26" s="7" t="s">
        <v>131</v>
      </c>
      <c r="F26" s="7" t="s">
        <v>1239</v>
      </c>
      <c r="G26" s="17" t="s">
        <v>7747</v>
      </c>
      <c r="H26" s="7" t="s">
        <v>28</v>
      </c>
      <c r="I26" s="7" t="s">
        <v>396</v>
      </c>
      <c r="J26" s="7" t="s">
        <v>397</v>
      </c>
      <c r="K26" s="7" t="s">
        <v>396</v>
      </c>
      <c r="L26" s="7" t="s">
        <v>247</v>
      </c>
      <c r="M26" s="7">
        <v>5.3856599999999997</v>
      </c>
      <c r="N26" s="7">
        <v>10.65691</v>
      </c>
      <c r="O26" s="7" t="s">
        <v>23</v>
      </c>
    </row>
    <row r="27" spans="1:21" x14ac:dyDescent="0.25">
      <c r="A27" s="2">
        <f t="shared" si="0"/>
        <v>25</v>
      </c>
      <c r="B27" s="7" t="s">
        <v>1257</v>
      </c>
      <c r="C27" s="7" t="s">
        <v>1258</v>
      </c>
      <c r="D27" s="7" t="s">
        <v>1257</v>
      </c>
      <c r="E27" s="7" t="s">
        <v>131</v>
      </c>
      <c r="F27" s="7" t="s">
        <v>1259</v>
      </c>
      <c r="G27" s="17" t="s">
        <v>7747</v>
      </c>
      <c r="H27" s="7" t="s">
        <v>28</v>
      </c>
      <c r="I27" s="7" t="s">
        <v>145</v>
      </c>
      <c r="J27" s="7" t="s">
        <v>397</v>
      </c>
      <c r="K27" s="7" t="s">
        <v>587</v>
      </c>
      <c r="L27" s="7" t="s">
        <v>247</v>
      </c>
      <c r="M27" s="7">
        <v>5.6471260000000001</v>
      </c>
      <c r="N27" s="7">
        <v>11.152048000000001</v>
      </c>
      <c r="O27" s="7" t="s">
        <v>23</v>
      </c>
      <c r="R27" s="14" t="s">
        <v>7750</v>
      </c>
      <c r="S27" s="16" t="s">
        <v>23</v>
      </c>
      <c r="T27" s="16" t="s">
        <v>613</v>
      </c>
      <c r="U27" s="16" t="s">
        <v>7749</v>
      </c>
    </row>
    <row r="28" spans="1:21" x14ac:dyDescent="0.25">
      <c r="A28" s="2">
        <f t="shared" si="0"/>
        <v>26</v>
      </c>
      <c r="B28" s="7" t="s">
        <v>1354</v>
      </c>
      <c r="C28" s="7" t="s">
        <v>1355</v>
      </c>
      <c r="D28" s="7" t="s">
        <v>1354</v>
      </c>
      <c r="E28" s="7" t="s">
        <v>131</v>
      </c>
      <c r="F28" s="7" t="s">
        <v>1356</v>
      </c>
      <c r="G28" s="17" t="s">
        <v>7747</v>
      </c>
      <c r="H28" s="7" t="s">
        <v>28</v>
      </c>
      <c r="I28" s="7" t="s">
        <v>145</v>
      </c>
      <c r="J28" s="7" t="s">
        <v>397</v>
      </c>
      <c r="K28" s="7" t="s">
        <v>145</v>
      </c>
      <c r="L28" s="7" t="s">
        <v>247</v>
      </c>
      <c r="M28" s="7">
        <v>5.7330500000000004</v>
      </c>
      <c r="N28" s="7">
        <v>10.87373</v>
      </c>
      <c r="O28" s="7" t="s">
        <v>23</v>
      </c>
      <c r="R28" s="4" t="s">
        <v>42</v>
      </c>
      <c r="S28">
        <v>133</v>
      </c>
      <c r="T28">
        <v>6</v>
      </c>
      <c r="U28">
        <v>139</v>
      </c>
    </row>
    <row r="29" spans="1:21" x14ac:dyDescent="0.25">
      <c r="A29" s="2">
        <f t="shared" si="0"/>
        <v>27</v>
      </c>
      <c r="B29" s="7" t="s">
        <v>1368</v>
      </c>
      <c r="C29" s="7" t="s">
        <v>1369</v>
      </c>
      <c r="D29" s="7" t="s">
        <v>1368</v>
      </c>
      <c r="E29" s="7" t="s">
        <v>131</v>
      </c>
      <c r="F29" s="7" t="s">
        <v>1370</v>
      </c>
      <c r="G29" s="17" t="s">
        <v>7747</v>
      </c>
      <c r="H29" s="7" t="s">
        <v>28</v>
      </c>
      <c r="I29" s="7" t="s">
        <v>145</v>
      </c>
      <c r="J29" s="7" t="s">
        <v>397</v>
      </c>
      <c r="K29" s="7" t="s">
        <v>145</v>
      </c>
      <c r="L29" s="7" t="s">
        <v>247</v>
      </c>
      <c r="M29" s="7">
        <v>5.71516</v>
      </c>
      <c r="N29" s="7">
        <v>10.905749999999999</v>
      </c>
      <c r="O29" s="7" t="s">
        <v>23</v>
      </c>
      <c r="R29" s="4" t="s">
        <v>182</v>
      </c>
      <c r="S29">
        <v>280</v>
      </c>
      <c r="T29">
        <v>237</v>
      </c>
      <c r="U29">
        <v>517</v>
      </c>
    </row>
    <row r="30" spans="1:21" x14ac:dyDescent="0.25">
      <c r="A30" s="2">
        <f t="shared" si="0"/>
        <v>28</v>
      </c>
      <c r="B30" s="7" t="s">
        <v>1397</v>
      </c>
      <c r="C30" s="7" t="s">
        <v>1398</v>
      </c>
      <c r="D30" s="7" t="s">
        <v>1397</v>
      </c>
      <c r="E30" s="7" t="s">
        <v>131</v>
      </c>
      <c r="F30" s="7" t="s">
        <v>1399</v>
      </c>
      <c r="G30" s="17" t="s">
        <v>7747</v>
      </c>
      <c r="H30" s="7" t="s">
        <v>28</v>
      </c>
      <c r="I30" s="7" t="s">
        <v>783</v>
      </c>
      <c r="J30" s="7" t="s">
        <v>1070</v>
      </c>
      <c r="K30" s="7" t="s">
        <v>1071</v>
      </c>
      <c r="L30" s="7" t="s">
        <v>247</v>
      </c>
      <c r="M30" s="7">
        <v>5.4766510000000004</v>
      </c>
      <c r="N30" s="7">
        <v>10.420191000000001</v>
      </c>
      <c r="O30" s="7" t="s">
        <v>23</v>
      </c>
      <c r="R30" s="4" t="s">
        <v>74</v>
      </c>
      <c r="S30">
        <v>120</v>
      </c>
      <c r="T30">
        <v>2</v>
      </c>
      <c r="U30">
        <v>122</v>
      </c>
    </row>
    <row r="31" spans="1:21" x14ac:dyDescent="0.25">
      <c r="A31" s="2">
        <f t="shared" si="0"/>
        <v>29</v>
      </c>
      <c r="B31" s="7" t="s">
        <v>1409</v>
      </c>
      <c r="C31" s="7" t="s">
        <v>1410</v>
      </c>
      <c r="D31" s="7" t="s">
        <v>1409</v>
      </c>
      <c r="E31" s="7" t="s">
        <v>131</v>
      </c>
      <c r="F31" s="7" t="s">
        <v>1411</v>
      </c>
      <c r="G31" s="17" t="s">
        <v>7747</v>
      </c>
      <c r="H31" s="7" t="s">
        <v>19</v>
      </c>
      <c r="I31" s="7" t="s">
        <v>1042</v>
      </c>
      <c r="J31" s="7" t="s">
        <v>317</v>
      </c>
      <c r="K31" s="7" t="s">
        <v>318</v>
      </c>
      <c r="L31" s="7" t="s">
        <v>247</v>
      </c>
      <c r="M31" s="7">
        <v>4.869122</v>
      </c>
      <c r="N31" s="7">
        <v>10.817335</v>
      </c>
      <c r="O31" s="7" t="s">
        <v>23</v>
      </c>
      <c r="R31" s="4" t="s">
        <v>16</v>
      </c>
      <c r="S31">
        <v>195</v>
      </c>
      <c r="T31">
        <v>7</v>
      </c>
      <c r="U31">
        <v>202</v>
      </c>
    </row>
    <row r="32" spans="1:21" x14ac:dyDescent="0.25">
      <c r="A32" s="2">
        <f t="shared" si="0"/>
        <v>30</v>
      </c>
      <c r="B32" s="7" t="s">
        <v>1463</v>
      </c>
      <c r="C32" s="7" t="s">
        <v>1464</v>
      </c>
      <c r="D32" s="7" t="s">
        <v>1463</v>
      </c>
      <c r="E32" s="7" t="s">
        <v>131</v>
      </c>
      <c r="F32" s="7" t="s">
        <v>762</v>
      </c>
      <c r="G32" s="8" t="s">
        <v>18</v>
      </c>
      <c r="H32" s="7" t="s">
        <v>28</v>
      </c>
      <c r="I32" s="7" t="s">
        <v>245</v>
      </c>
      <c r="J32" s="7" t="s">
        <v>761</v>
      </c>
      <c r="K32" s="7" t="s">
        <v>762</v>
      </c>
      <c r="L32" s="7" t="s">
        <v>247</v>
      </c>
      <c r="M32" s="7">
        <v>5.6951000000000001</v>
      </c>
      <c r="N32" s="7">
        <v>10.36</v>
      </c>
      <c r="O32" s="7" t="s">
        <v>23</v>
      </c>
      <c r="R32" s="4" t="s">
        <v>50</v>
      </c>
      <c r="S32">
        <v>246</v>
      </c>
      <c r="T32">
        <v>261</v>
      </c>
      <c r="U32">
        <v>507</v>
      </c>
    </row>
    <row r="33" spans="1:21" x14ac:dyDescent="0.25">
      <c r="A33" s="2">
        <f t="shared" si="0"/>
        <v>31</v>
      </c>
      <c r="B33" s="7" t="s">
        <v>1520</v>
      </c>
      <c r="C33" s="7" t="s">
        <v>1521</v>
      </c>
      <c r="D33" s="7" t="s">
        <v>1520</v>
      </c>
      <c r="E33" s="7" t="s">
        <v>131</v>
      </c>
      <c r="F33" s="7" t="s">
        <v>1522</v>
      </c>
      <c r="G33" s="17" t="s">
        <v>7747</v>
      </c>
      <c r="H33" s="7" t="s">
        <v>19</v>
      </c>
      <c r="I33" s="7" t="s">
        <v>145</v>
      </c>
      <c r="J33" s="7" t="s">
        <v>397</v>
      </c>
      <c r="K33" s="7" t="s">
        <v>1522</v>
      </c>
      <c r="L33" s="7" t="s">
        <v>247</v>
      </c>
      <c r="M33" s="7">
        <v>5.9757300000000004</v>
      </c>
      <c r="N33" s="7">
        <v>11.20989</v>
      </c>
      <c r="O33" s="7" t="s">
        <v>23</v>
      </c>
      <c r="R33" s="4" t="s">
        <v>170</v>
      </c>
      <c r="S33">
        <v>131</v>
      </c>
      <c r="T33">
        <v>1</v>
      </c>
      <c r="U33">
        <v>132</v>
      </c>
    </row>
    <row r="34" spans="1:21" x14ac:dyDescent="0.25">
      <c r="A34" s="2">
        <f t="shared" si="0"/>
        <v>32</v>
      </c>
      <c r="B34" s="7" t="s">
        <v>1523</v>
      </c>
      <c r="C34" s="7" t="s">
        <v>1524</v>
      </c>
      <c r="D34" s="7" t="s">
        <v>1523</v>
      </c>
      <c r="E34" s="7" t="s">
        <v>131</v>
      </c>
      <c r="F34" s="7" t="s">
        <v>398</v>
      </c>
      <c r="G34" s="8" t="s">
        <v>18</v>
      </c>
      <c r="H34" s="7" t="s">
        <v>28</v>
      </c>
      <c r="I34" s="7" t="s">
        <v>396</v>
      </c>
      <c r="J34" s="7" t="s">
        <v>397</v>
      </c>
      <c r="K34" s="7" t="s">
        <v>398</v>
      </c>
      <c r="L34" s="7" t="s">
        <v>247</v>
      </c>
      <c r="M34" s="7">
        <v>5.6478890000000002</v>
      </c>
      <c r="N34" s="7">
        <v>10.614667000000001</v>
      </c>
      <c r="O34" s="7" t="s">
        <v>23</v>
      </c>
      <c r="R34" s="4" t="s">
        <v>26</v>
      </c>
      <c r="S34">
        <v>182</v>
      </c>
      <c r="T34">
        <v>10</v>
      </c>
      <c r="U34">
        <v>192</v>
      </c>
    </row>
    <row r="35" spans="1:21" x14ac:dyDescent="0.25">
      <c r="A35" s="2">
        <f t="shared" si="0"/>
        <v>33</v>
      </c>
      <c r="B35" s="7" t="s">
        <v>1683</v>
      </c>
      <c r="C35" s="7" t="s">
        <v>1684</v>
      </c>
      <c r="D35" s="7" t="s">
        <v>1683</v>
      </c>
      <c r="E35" s="7" t="s">
        <v>131</v>
      </c>
      <c r="F35" s="7" t="s">
        <v>1685</v>
      </c>
      <c r="G35" s="17" t="s">
        <v>7747</v>
      </c>
      <c r="H35" s="7" t="s">
        <v>28</v>
      </c>
      <c r="I35" s="7" t="s">
        <v>245</v>
      </c>
      <c r="J35" s="7" t="s">
        <v>246</v>
      </c>
      <c r="K35" s="7" t="s">
        <v>1078</v>
      </c>
      <c r="L35" s="7" t="s">
        <v>247</v>
      </c>
      <c r="M35" s="7">
        <v>5.6224930000000004</v>
      </c>
      <c r="N35" s="7">
        <v>10.265157</v>
      </c>
      <c r="O35" s="7" t="s">
        <v>613</v>
      </c>
      <c r="R35" s="4" t="s">
        <v>250</v>
      </c>
      <c r="S35">
        <v>109</v>
      </c>
      <c r="U35">
        <v>109</v>
      </c>
    </row>
    <row r="36" spans="1:21" x14ac:dyDescent="0.25">
      <c r="A36" s="2">
        <f t="shared" si="0"/>
        <v>34</v>
      </c>
      <c r="B36" s="7" t="s">
        <v>1753</v>
      </c>
      <c r="C36" s="7" t="s">
        <v>1754</v>
      </c>
      <c r="D36" s="7" t="s">
        <v>1753</v>
      </c>
      <c r="E36" s="7" t="s">
        <v>131</v>
      </c>
      <c r="F36" s="7" t="s">
        <v>1755</v>
      </c>
      <c r="G36" s="17" t="s">
        <v>7747</v>
      </c>
      <c r="H36" s="7" t="s">
        <v>19</v>
      </c>
      <c r="I36" s="7" t="s">
        <v>396</v>
      </c>
      <c r="J36" s="7" t="s">
        <v>397</v>
      </c>
      <c r="K36" s="7" t="s">
        <v>396</v>
      </c>
      <c r="L36" s="7" t="s">
        <v>247</v>
      </c>
      <c r="M36" s="7">
        <v>5.5187299999999997</v>
      </c>
      <c r="N36" s="7">
        <v>10.6676</v>
      </c>
      <c r="O36" s="7" t="s">
        <v>23</v>
      </c>
      <c r="R36" s="4" t="s">
        <v>34</v>
      </c>
      <c r="S36">
        <v>211</v>
      </c>
      <c r="T36">
        <v>23</v>
      </c>
      <c r="U36">
        <v>234</v>
      </c>
    </row>
    <row r="37" spans="1:21" x14ac:dyDescent="0.25">
      <c r="A37" s="2">
        <f t="shared" si="0"/>
        <v>35</v>
      </c>
      <c r="B37" s="7" t="s">
        <v>1819</v>
      </c>
      <c r="C37" s="7" t="s">
        <v>1820</v>
      </c>
      <c r="D37" s="7" t="s">
        <v>1819</v>
      </c>
      <c r="E37" s="7" t="s">
        <v>131</v>
      </c>
      <c r="F37" s="7" t="s">
        <v>1821</v>
      </c>
      <c r="G37" s="17" t="s">
        <v>7747</v>
      </c>
      <c r="H37" s="7" t="s">
        <v>28</v>
      </c>
      <c r="I37" s="7" t="s">
        <v>1042</v>
      </c>
      <c r="J37" s="7" t="s">
        <v>317</v>
      </c>
      <c r="K37" s="7" t="s">
        <v>1821</v>
      </c>
      <c r="L37" s="7" t="s">
        <v>247</v>
      </c>
      <c r="M37" s="7">
        <v>4.6276549999999999</v>
      </c>
      <c r="N37" s="7">
        <v>10.875508</v>
      </c>
      <c r="O37" s="7" t="s">
        <v>23</v>
      </c>
      <c r="R37" s="4" t="s">
        <v>131</v>
      </c>
      <c r="S37">
        <v>230</v>
      </c>
      <c r="T37">
        <v>32</v>
      </c>
      <c r="U37">
        <v>262</v>
      </c>
    </row>
    <row r="38" spans="1:21" x14ac:dyDescent="0.25">
      <c r="A38" s="2">
        <f t="shared" si="0"/>
        <v>36</v>
      </c>
      <c r="B38" s="7" t="s">
        <v>1931</v>
      </c>
      <c r="C38" s="7" t="s">
        <v>1932</v>
      </c>
      <c r="D38" s="7" t="s">
        <v>1931</v>
      </c>
      <c r="E38" s="7" t="s">
        <v>131</v>
      </c>
      <c r="F38" s="7" t="s">
        <v>1933</v>
      </c>
      <c r="G38" s="17" t="s">
        <v>7747</v>
      </c>
      <c r="H38" s="7" t="s">
        <v>28</v>
      </c>
      <c r="I38" s="7" t="s">
        <v>396</v>
      </c>
      <c r="J38" s="7" t="s">
        <v>397</v>
      </c>
      <c r="K38" s="7" t="s">
        <v>396</v>
      </c>
      <c r="L38" s="7" t="s">
        <v>247</v>
      </c>
      <c r="M38" s="7">
        <v>5.5173800000000002</v>
      </c>
      <c r="N38" s="7">
        <v>10.596310000000001</v>
      </c>
      <c r="O38" s="7" t="s">
        <v>23</v>
      </c>
      <c r="R38" s="18" t="s">
        <v>7749</v>
      </c>
      <c r="S38" s="19">
        <v>1837</v>
      </c>
      <c r="T38" s="19">
        <v>579</v>
      </c>
      <c r="U38" s="19">
        <v>2416</v>
      </c>
    </row>
    <row r="39" spans="1:21" x14ac:dyDescent="0.25">
      <c r="A39" s="2">
        <f t="shared" si="0"/>
        <v>37</v>
      </c>
      <c r="B39" s="7" t="s">
        <v>2104</v>
      </c>
      <c r="C39" s="7" t="s">
        <v>2105</v>
      </c>
      <c r="D39" s="7" t="s">
        <v>2104</v>
      </c>
      <c r="E39" s="7" t="s">
        <v>131</v>
      </c>
      <c r="F39" s="7" t="s">
        <v>2106</v>
      </c>
      <c r="G39" s="17" t="s">
        <v>7747</v>
      </c>
      <c r="H39" s="7" t="s">
        <v>28</v>
      </c>
      <c r="I39" s="7" t="s">
        <v>145</v>
      </c>
      <c r="J39" s="7" t="s">
        <v>397</v>
      </c>
      <c r="K39" s="7" t="s">
        <v>145</v>
      </c>
      <c r="L39" s="7" t="s">
        <v>247</v>
      </c>
      <c r="M39" s="7">
        <v>5.7282859999999998</v>
      </c>
      <c r="N39" s="7">
        <v>10.915293999999999</v>
      </c>
      <c r="O39" s="7" t="s">
        <v>23</v>
      </c>
    </row>
    <row r="40" spans="1:21" x14ac:dyDescent="0.25">
      <c r="A40" s="2">
        <f t="shared" si="0"/>
        <v>38</v>
      </c>
      <c r="B40" s="7" t="s">
        <v>2107</v>
      </c>
      <c r="C40" s="7" t="s">
        <v>2108</v>
      </c>
      <c r="D40" s="7" t="s">
        <v>2107</v>
      </c>
      <c r="E40" s="7" t="s">
        <v>131</v>
      </c>
      <c r="F40" s="7" t="s">
        <v>2109</v>
      </c>
      <c r="G40" s="17" t="s">
        <v>7747</v>
      </c>
      <c r="H40" s="7" t="s">
        <v>28</v>
      </c>
      <c r="I40" s="7" t="s">
        <v>145</v>
      </c>
      <c r="J40" s="7" t="s">
        <v>397</v>
      </c>
      <c r="K40" s="7" t="s">
        <v>145</v>
      </c>
      <c r="L40" s="7" t="s">
        <v>247</v>
      </c>
      <c r="M40" s="7">
        <v>5.7350560000000002</v>
      </c>
      <c r="N40" s="7">
        <v>10.912417</v>
      </c>
      <c r="O40" s="7" t="s">
        <v>23</v>
      </c>
    </row>
    <row r="41" spans="1:21" x14ac:dyDescent="0.25">
      <c r="A41" s="2">
        <f t="shared" si="0"/>
        <v>39</v>
      </c>
      <c r="B41" s="7" t="s">
        <v>2151</v>
      </c>
      <c r="C41" s="7" t="s">
        <v>2152</v>
      </c>
      <c r="D41" s="7" t="s">
        <v>2151</v>
      </c>
      <c r="E41" s="7" t="s">
        <v>131</v>
      </c>
      <c r="F41" s="7" t="s">
        <v>1055</v>
      </c>
      <c r="G41" s="8" t="s">
        <v>18</v>
      </c>
      <c r="H41" s="7" t="s">
        <v>28</v>
      </c>
      <c r="I41" s="7" t="s">
        <v>396</v>
      </c>
      <c r="J41" s="7" t="s">
        <v>397</v>
      </c>
      <c r="K41" s="7" t="s">
        <v>1055</v>
      </c>
      <c r="L41" s="7" t="s">
        <v>247</v>
      </c>
      <c r="M41" s="7">
        <v>5.875667</v>
      </c>
      <c r="N41" s="7">
        <v>10.673916999999999</v>
      </c>
      <c r="O41" s="7" t="s">
        <v>23</v>
      </c>
    </row>
    <row r="42" spans="1:21" x14ac:dyDescent="0.25">
      <c r="A42" s="2">
        <f t="shared" si="0"/>
        <v>40</v>
      </c>
      <c r="B42" s="7" t="s">
        <v>2153</v>
      </c>
      <c r="C42" s="7" t="s">
        <v>2154</v>
      </c>
      <c r="D42" s="7" t="s">
        <v>2153</v>
      </c>
      <c r="E42" s="7" t="s">
        <v>131</v>
      </c>
      <c r="F42" s="7" t="s">
        <v>2155</v>
      </c>
      <c r="G42" s="17" t="s">
        <v>7747</v>
      </c>
      <c r="H42" s="7" t="s">
        <v>28</v>
      </c>
      <c r="I42" s="7" t="s">
        <v>783</v>
      </c>
      <c r="J42" s="7" t="s">
        <v>2156</v>
      </c>
      <c r="K42" s="7" t="s">
        <v>2157</v>
      </c>
      <c r="L42" s="7" t="s">
        <v>247</v>
      </c>
      <c r="M42" s="7">
        <v>5.3424870000000002</v>
      </c>
      <c r="N42" s="7">
        <v>10.259969</v>
      </c>
      <c r="O42" s="7" t="s">
        <v>23</v>
      </c>
    </row>
    <row r="43" spans="1:21" x14ac:dyDescent="0.25">
      <c r="A43" s="2">
        <f t="shared" si="0"/>
        <v>41</v>
      </c>
      <c r="B43" s="7" t="s">
        <v>2158</v>
      </c>
      <c r="C43" s="7" t="s">
        <v>2159</v>
      </c>
      <c r="D43" s="7" t="s">
        <v>2158</v>
      </c>
      <c r="E43" s="7" t="s">
        <v>131</v>
      </c>
      <c r="F43" s="7" t="s">
        <v>2160</v>
      </c>
      <c r="G43" s="17" t="s">
        <v>7747</v>
      </c>
      <c r="H43" s="7" t="s">
        <v>28</v>
      </c>
      <c r="I43" s="7" t="s">
        <v>245</v>
      </c>
      <c r="J43" s="7" t="s">
        <v>1070</v>
      </c>
      <c r="K43" s="7" t="s">
        <v>2161</v>
      </c>
      <c r="L43" s="7" t="s">
        <v>247</v>
      </c>
      <c r="M43" s="7">
        <v>5.490532</v>
      </c>
      <c r="N43" s="7">
        <v>10.355143</v>
      </c>
      <c r="O43" s="7" t="s">
        <v>23</v>
      </c>
    </row>
    <row r="44" spans="1:21" x14ac:dyDescent="0.25">
      <c r="A44" s="2">
        <f t="shared" si="0"/>
        <v>42</v>
      </c>
      <c r="B44" s="7" t="s">
        <v>2162</v>
      </c>
      <c r="C44" s="7" t="s">
        <v>2163</v>
      </c>
      <c r="D44" s="7" t="s">
        <v>2162</v>
      </c>
      <c r="E44" s="7" t="s">
        <v>131</v>
      </c>
      <c r="F44" s="7" t="s">
        <v>1084</v>
      </c>
      <c r="G44" s="8" t="s">
        <v>18</v>
      </c>
      <c r="H44" s="7" t="s">
        <v>19</v>
      </c>
      <c r="I44" s="7" t="s">
        <v>245</v>
      </c>
      <c r="J44" s="7" t="s">
        <v>761</v>
      </c>
      <c r="K44" s="7" t="s">
        <v>762</v>
      </c>
      <c r="L44" s="7" t="s">
        <v>247</v>
      </c>
      <c r="M44" s="7">
        <v>5.7136399999999998</v>
      </c>
      <c r="N44" s="7">
        <v>10.446389</v>
      </c>
      <c r="O44" s="7" t="s">
        <v>23</v>
      </c>
    </row>
    <row r="45" spans="1:21" x14ac:dyDescent="0.25">
      <c r="A45" s="2">
        <f t="shared" si="0"/>
        <v>43</v>
      </c>
      <c r="B45" s="7" t="s">
        <v>2206</v>
      </c>
      <c r="C45" s="7" t="s">
        <v>2207</v>
      </c>
      <c r="D45" s="7" t="s">
        <v>2206</v>
      </c>
      <c r="E45" s="7" t="s">
        <v>131</v>
      </c>
      <c r="F45" s="7" t="s">
        <v>1042</v>
      </c>
      <c r="G45" s="17" t="s">
        <v>7747</v>
      </c>
      <c r="H45" s="7" t="s">
        <v>19</v>
      </c>
      <c r="I45" s="7" t="s">
        <v>1042</v>
      </c>
      <c r="J45" s="7" t="s">
        <v>1043</v>
      </c>
      <c r="K45" s="7" t="s">
        <v>1042</v>
      </c>
      <c r="L45" s="7" t="s">
        <v>247</v>
      </c>
      <c r="M45" s="7">
        <v>5.163691</v>
      </c>
      <c r="N45" s="7">
        <v>10.504013</v>
      </c>
      <c r="O45" s="7" t="s">
        <v>23</v>
      </c>
    </row>
    <row r="46" spans="1:21" x14ac:dyDescent="0.25">
      <c r="A46" s="2">
        <f t="shared" si="0"/>
        <v>44</v>
      </c>
      <c r="B46" s="7" t="s">
        <v>2214</v>
      </c>
      <c r="C46" s="7" t="s">
        <v>2215</v>
      </c>
      <c r="D46" s="7" t="s">
        <v>2214</v>
      </c>
      <c r="E46" s="7" t="s">
        <v>131</v>
      </c>
      <c r="F46" s="7" t="s">
        <v>2216</v>
      </c>
      <c r="G46" s="17" t="s">
        <v>7747</v>
      </c>
      <c r="H46" s="7" t="s">
        <v>19</v>
      </c>
      <c r="I46" s="7" t="s">
        <v>165</v>
      </c>
      <c r="J46" s="7" t="s">
        <v>715</v>
      </c>
      <c r="K46" s="7" t="s">
        <v>2217</v>
      </c>
      <c r="L46" s="7" t="s">
        <v>247</v>
      </c>
      <c r="M46" s="7">
        <v>5.1589159999999996</v>
      </c>
      <c r="N46" s="7">
        <v>10.322728</v>
      </c>
      <c r="O46" s="7" t="s">
        <v>23</v>
      </c>
    </row>
    <row r="47" spans="1:21" x14ac:dyDescent="0.25">
      <c r="A47" s="2">
        <f t="shared" si="0"/>
        <v>45</v>
      </c>
      <c r="B47" s="7" t="s">
        <v>2266</v>
      </c>
      <c r="C47" s="7" t="s">
        <v>2267</v>
      </c>
      <c r="D47" s="7" t="s">
        <v>2266</v>
      </c>
      <c r="E47" s="7" t="s">
        <v>131</v>
      </c>
      <c r="F47" s="7" t="s">
        <v>2268</v>
      </c>
      <c r="G47" s="17" t="s">
        <v>7747</v>
      </c>
      <c r="H47" s="7" t="s">
        <v>19</v>
      </c>
      <c r="I47" s="7" t="s">
        <v>1069</v>
      </c>
      <c r="J47" s="7" t="s">
        <v>1070</v>
      </c>
      <c r="K47" s="7" t="s">
        <v>1071</v>
      </c>
      <c r="L47" s="7" t="s">
        <v>247</v>
      </c>
      <c r="M47" s="7">
        <v>5.4731430000000003</v>
      </c>
      <c r="N47" s="7">
        <v>10.452776</v>
      </c>
      <c r="O47" s="7" t="s">
        <v>23</v>
      </c>
    </row>
    <row r="48" spans="1:21" x14ac:dyDescent="0.25">
      <c r="A48" s="2">
        <f t="shared" si="0"/>
        <v>46</v>
      </c>
      <c r="B48" s="7" t="s">
        <v>2288</v>
      </c>
      <c r="C48" s="7" t="s">
        <v>2289</v>
      </c>
      <c r="D48" s="7" t="s">
        <v>2288</v>
      </c>
      <c r="E48" s="7" t="s">
        <v>131</v>
      </c>
      <c r="F48" s="7" t="s">
        <v>2290</v>
      </c>
      <c r="G48" s="17" t="s">
        <v>7747</v>
      </c>
      <c r="H48" s="7" t="s">
        <v>28</v>
      </c>
      <c r="I48" s="7" t="s">
        <v>1069</v>
      </c>
      <c r="J48" s="7" t="s">
        <v>1070</v>
      </c>
      <c r="K48" s="7" t="s">
        <v>1071</v>
      </c>
      <c r="L48" s="7" t="s">
        <v>247</v>
      </c>
      <c r="M48" s="7">
        <v>5.5042479999999996</v>
      </c>
      <c r="N48" s="7">
        <v>10.380330000000001</v>
      </c>
      <c r="O48" s="7" t="s">
        <v>23</v>
      </c>
    </row>
    <row r="49" spans="1:15" x14ac:dyDescent="0.25">
      <c r="A49" s="2">
        <f t="shared" si="0"/>
        <v>47</v>
      </c>
      <c r="B49" s="7" t="s">
        <v>2325</v>
      </c>
      <c r="C49" s="7" t="s">
        <v>2326</v>
      </c>
      <c r="D49" s="7" t="s">
        <v>2325</v>
      </c>
      <c r="E49" s="7" t="s">
        <v>131</v>
      </c>
      <c r="F49" s="7" t="s">
        <v>2327</v>
      </c>
      <c r="G49" s="17" t="s">
        <v>7747</v>
      </c>
      <c r="H49" s="7" t="s">
        <v>19</v>
      </c>
      <c r="I49" s="7" t="s">
        <v>245</v>
      </c>
      <c r="J49" s="7" t="s">
        <v>761</v>
      </c>
      <c r="K49" s="7" t="s">
        <v>1078</v>
      </c>
      <c r="L49" s="7" t="s">
        <v>247</v>
      </c>
      <c r="M49" s="7">
        <v>5.6250600000000004</v>
      </c>
      <c r="N49" s="7">
        <v>10.2462</v>
      </c>
      <c r="O49" s="7" t="s">
        <v>23</v>
      </c>
    </row>
    <row r="50" spans="1:15" x14ac:dyDescent="0.25">
      <c r="A50" s="2">
        <f t="shared" si="0"/>
        <v>48</v>
      </c>
      <c r="B50" s="7" t="s">
        <v>2361</v>
      </c>
      <c r="C50" s="7" t="s">
        <v>2362</v>
      </c>
      <c r="D50" s="7" t="s">
        <v>2361</v>
      </c>
      <c r="E50" s="7" t="s">
        <v>131</v>
      </c>
      <c r="F50" s="7" t="s">
        <v>2363</v>
      </c>
      <c r="G50" s="17" t="s">
        <v>7747</v>
      </c>
      <c r="H50" s="7" t="s">
        <v>19</v>
      </c>
      <c r="I50" s="7" t="s">
        <v>165</v>
      </c>
      <c r="J50" s="7" t="s">
        <v>715</v>
      </c>
      <c r="K50" s="7" t="s">
        <v>2217</v>
      </c>
      <c r="L50" s="7" t="s">
        <v>247</v>
      </c>
      <c r="M50" s="7">
        <v>5.1573099999999998</v>
      </c>
      <c r="N50" s="7">
        <v>10.322419999999999</v>
      </c>
      <c r="O50" s="7" t="s">
        <v>23</v>
      </c>
    </row>
    <row r="51" spans="1:15" x14ac:dyDescent="0.25">
      <c r="A51" s="2">
        <f t="shared" si="0"/>
        <v>49</v>
      </c>
      <c r="B51" s="7" t="s">
        <v>2411</v>
      </c>
      <c r="C51" s="7" t="s">
        <v>2412</v>
      </c>
      <c r="D51" s="7" t="s">
        <v>2411</v>
      </c>
      <c r="E51" s="7" t="s">
        <v>131</v>
      </c>
      <c r="F51" s="7" t="s">
        <v>2413</v>
      </c>
      <c r="G51" s="17" t="s">
        <v>7747</v>
      </c>
      <c r="H51" s="7" t="s">
        <v>28</v>
      </c>
      <c r="I51" s="7" t="s">
        <v>1069</v>
      </c>
      <c r="J51" s="7" t="s">
        <v>1070</v>
      </c>
      <c r="K51" s="7" t="s">
        <v>1071</v>
      </c>
      <c r="L51" s="7" t="s">
        <v>247</v>
      </c>
      <c r="M51" s="7">
        <v>5.4833100000000004</v>
      </c>
      <c r="N51" s="7">
        <v>10.44096</v>
      </c>
      <c r="O51" s="7" t="s">
        <v>613</v>
      </c>
    </row>
    <row r="52" spans="1:15" x14ac:dyDescent="0.25">
      <c r="A52" s="2">
        <f t="shared" si="0"/>
        <v>50</v>
      </c>
      <c r="B52" s="7" t="s">
        <v>2452</v>
      </c>
      <c r="C52" s="7" t="s">
        <v>2453</v>
      </c>
      <c r="D52" s="7" t="s">
        <v>2452</v>
      </c>
      <c r="E52" s="7" t="s">
        <v>131</v>
      </c>
      <c r="F52" s="7" t="s">
        <v>2454</v>
      </c>
      <c r="G52" s="17" t="s">
        <v>7747</v>
      </c>
      <c r="H52" s="7" t="s">
        <v>19</v>
      </c>
      <c r="I52" s="7" t="s">
        <v>1042</v>
      </c>
      <c r="J52" s="7" t="s">
        <v>1043</v>
      </c>
      <c r="K52" s="7" t="s">
        <v>1042</v>
      </c>
      <c r="L52" s="7" t="s">
        <v>247</v>
      </c>
      <c r="M52" s="7">
        <v>5.2684249999999997</v>
      </c>
      <c r="N52" s="7">
        <v>10.444512</v>
      </c>
      <c r="O52" s="7" t="s">
        <v>23</v>
      </c>
    </row>
    <row r="53" spans="1:15" x14ac:dyDescent="0.25">
      <c r="A53" s="2">
        <f t="shared" si="0"/>
        <v>51</v>
      </c>
      <c r="B53" s="7" t="s">
        <v>2458</v>
      </c>
      <c r="C53" s="7" t="s">
        <v>2459</v>
      </c>
      <c r="D53" s="7" t="s">
        <v>2458</v>
      </c>
      <c r="E53" s="7" t="s">
        <v>131</v>
      </c>
      <c r="F53" s="7" t="s">
        <v>2460</v>
      </c>
      <c r="G53" s="17" t="s">
        <v>7747</v>
      </c>
      <c r="H53" s="7" t="s">
        <v>19</v>
      </c>
      <c r="I53" s="7" t="s">
        <v>245</v>
      </c>
      <c r="J53" s="7" t="s">
        <v>2461</v>
      </c>
      <c r="K53" s="7" t="s">
        <v>522</v>
      </c>
      <c r="L53" s="7" t="s">
        <v>247</v>
      </c>
      <c r="M53" s="7">
        <v>5.5029919999999999</v>
      </c>
      <c r="N53" s="7">
        <v>10.249048999999999</v>
      </c>
      <c r="O53" s="7" t="s">
        <v>23</v>
      </c>
    </row>
    <row r="54" spans="1:15" x14ac:dyDescent="0.25">
      <c r="A54" s="2">
        <f t="shared" si="0"/>
        <v>52</v>
      </c>
      <c r="B54" s="7" t="s">
        <v>2462</v>
      </c>
      <c r="C54" s="7" t="s">
        <v>2463</v>
      </c>
      <c r="D54" s="7" t="s">
        <v>2462</v>
      </c>
      <c r="E54" s="7" t="s">
        <v>131</v>
      </c>
      <c r="F54" s="7" t="s">
        <v>2464</v>
      </c>
      <c r="G54" s="17" t="s">
        <v>7747</v>
      </c>
      <c r="H54" s="7" t="s">
        <v>28</v>
      </c>
      <c r="I54" s="7" t="s">
        <v>145</v>
      </c>
      <c r="J54" s="7" t="s">
        <v>397</v>
      </c>
      <c r="K54" s="7" t="s">
        <v>145</v>
      </c>
      <c r="L54" s="7" t="s">
        <v>247</v>
      </c>
      <c r="M54" s="7">
        <v>5.7333800000000004</v>
      </c>
      <c r="N54" s="7">
        <v>10.920590000000001</v>
      </c>
      <c r="O54" s="7" t="s">
        <v>613</v>
      </c>
    </row>
    <row r="55" spans="1:15" x14ac:dyDescent="0.25">
      <c r="A55" s="2">
        <f t="shared" si="0"/>
        <v>53</v>
      </c>
      <c r="B55" s="7" t="s">
        <v>2476</v>
      </c>
      <c r="C55" s="7" t="s">
        <v>2477</v>
      </c>
      <c r="D55" s="7" t="s">
        <v>2476</v>
      </c>
      <c r="E55" s="7" t="s">
        <v>131</v>
      </c>
      <c r="F55" s="7" t="s">
        <v>2478</v>
      </c>
      <c r="G55" s="17" t="s">
        <v>7747</v>
      </c>
      <c r="H55" s="7" t="s">
        <v>19</v>
      </c>
      <c r="I55" s="7" t="s">
        <v>783</v>
      </c>
      <c r="J55" s="7" t="s">
        <v>1070</v>
      </c>
      <c r="K55" s="7" t="s">
        <v>1071</v>
      </c>
      <c r="L55" s="7" t="s">
        <v>247</v>
      </c>
      <c r="M55" s="7">
        <v>5.484972</v>
      </c>
      <c r="N55" s="7">
        <v>10.403772999999999</v>
      </c>
      <c r="O55" s="7" t="s">
        <v>23</v>
      </c>
    </row>
    <row r="56" spans="1:15" x14ac:dyDescent="0.25">
      <c r="A56" s="2">
        <f t="shared" si="0"/>
        <v>54</v>
      </c>
      <c r="B56" s="7" t="s">
        <v>2479</v>
      </c>
      <c r="C56" s="7" t="s">
        <v>2480</v>
      </c>
      <c r="D56" s="7" t="s">
        <v>2479</v>
      </c>
      <c r="E56" s="7" t="s">
        <v>131</v>
      </c>
      <c r="F56" s="7" t="s">
        <v>2481</v>
      </c>
      <c r="G56" s="17" t="s">
        <v>7747</v>
      </c>
      <c r="H56" s="7" t="s">
        <v>19</v>
      </c>
      <c r="I56" s="7" t="s">
        <v>783</v>
      </c>
      <c r="J56" s="7" t="s">
        <v>2482</v>
      </c>
      <c r="K56" s="7" t="s">
        <v>2483</v>
      </c>
      <c r="L56" s="7" t="s">
        <v>247</v>
      </c>
      <c r="M56" s="7">
        <v>5.3862899999999998</v>
      </c>
      <c r="N56" s="7">
        <v>10.4404</v>
      </c>
      <c r="O56" s="7" t="s">
        <v>23</v>
      </c>
    </row>
    <row r="57" spans="1:15" x14ac:dyDescent="0.25">
      <c r="A57" s="2">
        <f t="shared" si="0"/>
        <v>55</v>
      </c>
      <c r="B57" s="7" t="s">
        <v>2513</v>
      </c>
      <c r="C57" s="7" t="s">
        <v>2514</v>
      </c>
      <c r="D57" s="7" t="s">
        <v>2513</v>
      </c>
      <c r="E57" s="7" t="s">
        <v>131</v>
      </c>
      <c r="F57" s="7" t="s">
        <v>2515</v>
      </c>
      <c r="G57" s="17" t="s">
        <v>7747</v>
      </c>
      <c r="H57" s="7" t="s">
        <v>28</v>
      </c>
      <c r="I57" s="7" t="s">
        <v>145</v>
      </c>
      <c r="J57" s="7" t="s">
        <v>397</v>
      </c>
      <c r="K57" s="7" t="s">
        <v>145</v>
      </c>
      <c r="L57" s="7" t="s">
        <v>247</v>
      </c>
      <c r="M57" s="7">
        <v>5.7239329999999997</v>
      </c>
      <c r="N57" s="7">
        <v>10.906758</v>
      </c>
      <c r="O57" s="7" t="s">
        <v>23</v>
      </c>
    </row>
    <row r="58" spans="1:15" x14ac:dyDescent="0.25">
      <c r="A58" s="2">
        <f t="shared" si="0"/>
        <v>56</v>
      </c>
      <c r="B58" s="7" t="s">
        <v>2607</v>
      </c>
      <c r="C58" s="7" t="s">
        <v>2608</v>
      </c>
      <c r="D58" s="7" t="s">
        <v>2607</v>
      </c>
      <c r="E58" s="7" t="s">
        <v>131</v>
      </c>
      <c r="F58" s="7" t="s">
        <v>2609</v>
      </c>
      <c r="G58" s="17" t="s">
        <v>7747</v>
      </c>
      <c r="H58" s="7" t="s">
        <v>28</v>
      </c>
      <c r="I58" s="7" t="s">
        <v>245</v>
      </c>
      <c r="J58" s="7" t="s">
        <v>761</v>
      </c>
      <c r="K58" s="7" t="s">
        <v>1078</v>
      </c>
      <c r="L58" s="7" t="s">
        <v>247</v>
      </c>
      <c r="M58" s="7">
        <v>5.6155309999999998</v>
      </c>
      <c r="N58" s="7">
        <v>10.26225</v>
      </c>
      <c r="O58" s="7" t="s">
        <v>23</v>
      </c>
    </row>
    <row r="59" spans="1:15" x14ac:dyDescent="0.25">
      <c r="A59" s="2">
        <f t="shared" si="0"/>
        <v>57</v>
      </c>
      <c r="B59" s="7" t="s">
        <v>2678</v>
      </c>
      <c r="C59" s="7" t="s">
        <v>2679</v>
      </c>
      <c r="D59" s="7" t="s">
        <v>2678</v>
      </c>
      <c r="E59" s="7" t="s">
        <v>131</v>
      </c>
      <c r="F59" s="7" t="s">
        <v>2483</v>
      </c>
      <c r="G59" s="17" t="s">
        <v>7747</v>
      </c>
      <c r="H59" s="7" t="s">
        <v>19</v>
      </c>
      <c r="I59" s="7" t="s">
        <v>783</v>
      </c>
      <c r="J59" s="7" t="s">
        <v>2482</v>
      </c>
      <c r="K59" s="7" t="s">
        <v>2483</v>
      </c>
      <c r="L59" s="7" t="s">
        <v>247</v>
      </c>
      <c r="M59" s="7">
        <v>5.3553100000000002</v>
      </c>
      <c r="N59" s="7">
        <v>10.431100000000001</v>
      </c>
      <c r="O59" s="7" t="s">
        <v>23</v>
      </c>
    </row>
    <row r="60" spans="1:15" x14ac:dyDescent="0.25">
      <c r="A60" s="2">
        <f t="shared" si="0"/>
        <v>58</v>
      </c>
      <c r="B60" s="7" t="s">
        <v>2680</v>
      </c>
      <c r="C60" s="7" t="s">
        <v>2681</v>
      </c>
      <c r="D60" s="7" t="s">
        <v>2680</v>
      </c>
      <c r="E60" s="7" t="s">
        <v>131</v>
      </c>
      <c r="F60" s="7" t="s">
        <v>2682</v>
      </c>
      <c r="G60" s="17" t="s">
        <v>7747</v>
      </c>
      <c r="H60" s="7" t="s">
        <v>28</v>
      </c>
      <c r="I60" s="7" t="s">
        <v>1069</v>
      </c>
      <c r="J60" s="7" t="s">
        <v>1070</v>
      </c>
      <c r="K60" s="7" t="s">
        <v>1071</v>
      </c>
      <c r="L60" s="7" t="s">
        <v>247</v>
      </c>
      <c r="M60" s="7">
        <v>5.5177360000000002</v>
      </c>
      <c r="N60" s="7">
        <v>10.428868</v>
      </c>
      <c r="O60" s="7" t="s">
        <v>23</v>
      </c>
    </row>
    <row r="61" spans="1:15" x14ac:dyDescent="0.25">
      <c r="A61" s="2">
        <f t="shared" si="0"/>
        <v>59</v>
      </c>
      <c r="B61" s="7" t="s">
        <v>2710</v>
      </c>
      <c r="C61" s="7" t="s">
        <v>2711</v>
      </c>
      <c r="D61" s="7" t="s">
        <v>2710</v>
      </c>
      <c r="E61" s="7" t="s">
        <v>131</v>
      </c>
      <c r="F61" s="7" t="s">
        <v>2712</v>
      </c>
      <c r="G61" s="17" t="s">
        <v>7747</v>
      </c>
      <c r="H61" s="7" t="s">
        <v>19</v>
      </c>
      <c r="I61" s="7" t="s">
        <v>133</v>
      </c>
      <c r="J61" s="7" t="s">
        <v>317</v>
      </c>
      <c r="K61" s="7" t="s">
        <v>417</v>
      </c>
      <c r="L61" s="7" t="s">
        <v>247</v>
      </c>
      <c r="M61" s="7">
        <v>4.8190799999999996</v>
      </c>
      <c r="N61" s="7">
        <v>10.98244</v>
      </c>
      <c r="O61" s="7" t="s">
        <v>23</v>
      </c>
    </row>
    <row r="62" spans="1:15" x14ac:dyDescent="0.25">
      <c r="A62" s="2">
        <f t="shared" si="0"/>
        <v>60</v>
      </c>
      <c r="B62" s="7" t="s">
        <v>2713</v>
      </c>
      <c r="C62" s="7" t="s">
        <v>2714</v>
      </c>
      <c r="D62" s="7" t="s">
        <v>2713</v>
      </c>
      <c r="E62" s="7" t="s">
        <v>131</v>
      </c>
      <c r="F62" s="7" t="s">
        <v>2715</v>
      </c>
      <c r="G62" s="17" t="s">
        <v>7747</v>
      </c>
      <c r="H62" s="7" t="s">
        <v>28</v>
      </c>
      <c r="I62" s="7" t="s">
        <v>783</v>
      </c>
      <c r="J62" s="7" t="s">
        <v>1110</v>
      </c>
      <c r="K62" s="7" t="s">
        <v>1111</v>
      </c>
      <c r="L62" s="7" t="s">
        <v>247</v>
      </c>
      <c r="M62" s="7">
        <v>5.3110299999999997</v>
      </c>
      <c r="N62" s="7">
        <v>10.327309</v>
      </c>
      <c r="O62" s="7" t="s">
        <v>23</v>
      </c>
    </row>
    <row r="63" spans="1:15" x14ac:dyDescent="0.25">
      <c r="A63" s="2">
        <f t="shared" si="0"/>
        <v>61</v>
      </c>
      <c r="B63" s="7" t="s">
        <v>2821</v>
      </c>
      <c r="C63" s="7" t="s">
        <v>2822</v>
      </c>
      <c r="D63" s="7" t="s">
        <v>2821</v>
      </c>
      <c r="E63" s="7" t="s">
        <v>131</v>
      </c>
      <c r="F63" s="7" t="s">
        <v>2823</v>
      </c>
      <c r="G63" s="17" t="s">
        <v>7747</v>
      </c>
      <c r="H63" s="7" t="s">
        <v>28</v>
      </c>
      <c r="I63" s="7" t="s">
        <v>1042</v>
      </c>
      <c r="J63" s="7" t="s">
        <v>1043</v>
      </c>
      <c r="K63" s="7" t="s">
        <v>1042</v>
      </c>
      <c r="L63" s="7" t="s">
        <v>247</v>
      </c>
      <c r="M63" s="7">
        <v>5.1307520000000002</v>
      </c>
      <c r="N63" s="7">
        <v>10.575295000000001</v>
      </c>
      <c r="O63" s="7" t="s">
        <v>23</v>
      </c>
    </row>
    <row r="64" spans="1:15" x14ac:dyDescent="0.25">
      <c r="A64" s="2">
        <f t="shared" si="0"/>
        <v>62</v>
      </c>
      <c r="B64" s="7" t="s">
        <v>2842</v>
      </c>
      <c r="C64" s="7" t="s">
        <v>2843</v>
      </c>
      <c r="D64" s="7" t="s">
        <v>2842</v>
      </c>
      <c r="E64" s="7" t="s">
        <v>131</v>
      </c>
      <c r="F64" s="7" t="s">
        <v>2844</v>
      </c>
      <c r="G64" s="17" t="s">
        <v>7747</v>
      </c>
      <c r="H64" s="7" t="s">
        <v>28</v>
      </c>
      <c r="I64" s="7" t="s">
        <v>145</v>
      </c>
      <c r="J64" s="7" t="s">
        <v>397</v>
      </c>
      <c r="K64" s="7" t="s">
        <v>145</v>
      </c>
      <c r="L64" s="7" t="s">
        <v>247</v>
      </c>
      <c r="M64" s="7">
        <v>5.7383059999999997</v>
      </c>
      <c r="N64" s="7">
        <v>10.895528000000001</v>
      </c>
      <c r="O64" s="7" t="s">
        <v>23</v>
      </c>
    </row>
    <row r="65" spans="1:15" x14ac:dyDescent="0.25">
      <c r="A65" s="2">
        <f t="shared" si="0"/>
        <v>63</v>
      </c>
      <c r="B65" s="7" t="s">
        <v>2880</v>
      </c>
      <c r="C65" s="7" t="s">
        <v>2881</v>
      </c>
      <c r="D65" s="7" t="s">
        <v>2880</v>
      </c>
      <c r="E65" s="7" t="s">
        <v>131</v>
      </c>
      <c r="F65" s="7" t="s">
        <v>2882</v>
      </c>
      <c r="G65" s="17" t="s">
        <v>7747</v>
      </c>
      <c r="H65" s="7" t="s">
        <v>19</v>
      </c>
      <c r="I65" s="7" t="s">
        <v>783</v>
      </c>
      <c r="J65" s="7" t="s">
        <v>1070</v>
      </c>
      <c r="K65" s="7" t="s">
        <v>1071</v>
      </c>
      <c r="L65" s="7" t="s">
        <v>247</v>
      </c>
      <c r="M65" s="7">
        <v>5.4820900000000004</v>
      </c>
      <c r="N65" s="7">
        <v>10.421125</v>
      </c>
      <c r="O65" s="7" t="s">
        <v>23</v>
      </c>
    </row>
    <row r="66" spans="1:15" x14ac:dyDescent="0.25">
      <c r="A66" s="2">
        <f t="shared" si="0"/>
        <v>64</v>
      </c>
      <c r="B66" s="7" t="s">
        <v>3016</v>
      </c>
      <c r="C66" s="7" t="s">
        <v>3017</v>
      </c>
      <c r="D66" s="7" t="s">
        <v>3016</v>
      </c>
      <c r="E66" s="7" t="s">
        <v>131</v>
      </c>
      <c r="F66" s="7" t="s">
        <v>3018</v>
      </c>
      <c r="G66" s="17" t="s">
        <v>7747</v>
      </c>
      <c r="H66" s="7" t="s">
        <v>28</v>
      </c>
      <c r="I66" s="7" t="s">
        <v>783</v>
      </c>
      <c r="J66" s="7" t="s">
        <v>2482</v>
      </c>
      <c r="K66" s="7" t="s">
        <v>2483</v>
      </c>
      <c r="L66" s="7" t="s">
        <v>247</v>
      </c>
      <c r="M66" s="7">
        <v>5.3199120000000004</v>
      </c>
      <c r="N66" s="7">
        <v>10.450143000000001</v>
      </c>
      <c r="O66" s="7" t="s">
        <v>23</v>
      </c>
    </row>
    <row r="67" spans="1:15" x14ac:dyDescent="0.25">
      <c r="A67" s="2">
        <f t="shared" si="0"/>
        <v>65</v>
      </c>
      <c r="B67" s="7" t="s">
        <v>3120</v>
      </c>
      <c r="C67" s="7" t="s">
        <v>3121</v>
      </c>
      <c r="D67" s="7" t="s">
        <v>3120</v>
      </c>
      <c r="E67" s="7" t="s">
        <v>131</v>
      </c>
      <c r="F67" s="7" t="s">
        <v>3122</v>
      </c>
      <c r="G67" s="17" t="s">
        <v>7747</v>
      </c>
      <c r="H67" s="7" t="s">
        <v>19</v>
      </c>
      <c r="I67" s="7" t="s">
        <v>783</v>
      </c>
      <c r="J67" s="7" t="s">
        <v>1070</v>
      </c>
      <c r="K67" s="7" t="s">
        <v>1071</v>
      </c>
      <c r="L67" s="7" t="s">
        <v>247</v>
      </c>
      <c r="M67" s="7">
        <v>5.4818619999999996</v>
      </c>
      <c r="N67" s="7">
        <v>10.423318</v>
      </c>
      <c r="O67" s="7" t="s">
        <v>23</v>
      </c>
    </row>
    <row r="68" spans="1:15" x14ac:dyDescent="0.25">
      <c r="A68" s="2">
        <f t="shared" si="0"/>
        <v>66</v>
      </c>
      <c r="B68" s="7" t="s">
        <v>3157</v>
      </c>
      <c r="C68" s="7" t="s">
        <v>3158</v>
      </c>
      <c r="D68" s="7" t="s">
        <v>3157</v>
      </c>
      <c r="E68" s="7" t="s">
        <v>131</v>
      </c>
      <c r="F68" s="7" t="s">
        <v>3159</v>
      </c>
      <c r="G68" s="17" t="s">
        <v>7747</v>
      </c>
      <c r="H68" s="7" t="s">
        <v>19</v>
      </c>
      <c r="I68" s="7" t="s">
        <v>783</v>
      </c>
      <c r="J68" s="7" t="s">
        <v>1110</v>
      </c>
      <c r="K68" s="7" t="s">
        <v>1111</v>
      </c>
      <c r="L68" s="7" t="s">
        <v>247</v>
      </c>
      <c r="M68" s="7">
        <v>5.3863200000000004</v>
      </c>
      <c r="N68" s="7">
        <v>10.3292</v>
      </c>
      <c r="O68" s="7" t="s">
        <v>23</v>
      </c>
    </row>
    <row r="69" spans="1:15" x14ac:dyDescent="0.25">
      <c r="A69" s="2">
        <f t="shared" ref="A69:A132" si="1">+A68+1</f>
        <v>67</v>
      </c>
      <c r="B69" s="7" t="s">
        <v>3194</v>
      </c>
      <c r="C69" s="7" t="s">
        <v>3195</v>
      </c>
      <c r="D69" s="7" t="s">
        <v>3194</v>
      </c>
      <c r="E69" s="7" t="s">
        <v>131</v>
      </c>
      <c r="F69" s="7" t="s">
        <v>145</v>
      </c>
      <c r="G69" s="17" t="s">
        <v>7747</v>
      </c>
      <c r="H69" s="7" t="s">
        <v>28</v>
      </c>
      <c r="I69" s="7" t="s">
        <v>145</v>
      </c>
      <c r="J69" s="7" t="s">
        <v>397</v>
      </c>
      <c r="K69" s="7" t="s">
        <v>145</v>
      </c>
      <c r="L69" s="7" t="s">
        <v>247</v>
      </c>
      <c r="M69" s="7">
        <v>5.7293329999999996</v>
      </c>
      <c r="N69" s="7">
        <v>10.890806</v>
      </c>
      <c r="O69" s="7" t="s">
        <v>23</v>
      </c>
    </row>
    <row r="70" spans="1:15" x14ac:dyDescent="0.25">
      <c r="A70" s="2">
        <f t="shared" si="1"/>
        <v>68</v>
      </c>
      <c r="B70" s="7" t="s">
        <v>3196</v>
      </c>
      <c r="C70" s="7" t="s">
        <v>3197</v>
      </c>
      <c r="D70" s="7" t="s">
        <v>3196</v>
      </c>
      <c r="E70" s="7" t="s">
        <v>131</v>
      </c>
      <c r="F70" s="7" t="s">
        <v>3198</v>
      </c>
      <c r="G70" s="17" t="s">
        <v>7747</v>
      </c>
      <c r="H70" s="7" t="s">
        <v>28</v>
      </c>
      <c r="I70" s="7" t="s">
        <v>396</v>
      </c>
      <c r="J70" s="7" t="s">
        <v>397</v>
      </c>
      <c r="K70" s="7" t="s">
        <v>396</v>
      </c>
      <c r="L70" s="7" t="s">
        <v>247</v>
      </c>
      <c r="M70" s="7">
        <v>5.5117500000000001</v>
      </c>
      <c r="N70" s="7">
        <v>10.636028</v>
      </c>
      <c r="O70" s="7" t="s">
        <v>23</v>
      </c>
    </row>
    <row r="71" spans="1:15" x14ac:dyDescent="0.25">
      <c r="A71" s="2">
        <f t="shared" si="1"/>
        <v>69</v>
      </c>
      <c r="B71" s="7" t="s">
        <v>3288</v>
      </c>
      <c r="C71" s="7" t="s">
        <v>3289</v>
      </c>
      <c r="D71" s="7" t="s">
        <v>3288</v>
      </c>
      <c r="E71" s="7" t="s">
        <v>131</v>
      </c>
      <c r="F71" s="7" t="s">
        <v>3290</v>
      </c>
      <c r="G71" s="17" t="s">
        <v>7747</v>
      </c>
      <c r="H71" s="7" t="s">
        <v>28</v>
      </c>
      <c r="I71" s="7" t="s">
        <v>1069</v>
      </c>
      <c r="J71" s="7" t="s">
        <v>1070</v>
      </c>
      <c r="K71" s="7" t="s">
        <v>1071</v>
      </c>
      <c r="L71" s="7" t="s">
        <v>247</v>
      </c>
      <c r="M71" s="7">
        <v>5.5103499999999999</v>
      </c>
      <c r="N71" s="7">
        <v>10.390533</v>
      </c>
      <c r="O71" s="7" t="s">
        <v>23</v>
      </c>
    </row>
    <row r="72" spans="1:15" x14ac:dyDescent="0.25">
      <c r="A72" s="2">
        <f t="shared" si="1"/>
        <v>70</v>
      </c>
      <c r="B72" s="7" t="s">
        <v>3291</v>
      </c>
      <c r="C72" s="7" t="s">
        <v>3292</v>
      </c>
      <c r="D72" s="7" t="s">
        <v>3291</v>
      </c>
      <c r="E72" s="7" t="s">
        <v>131</v>
      </c>
      <c r="F72" s="7" t="s">
        <v>1122</v>
      </c>
      <c r="G72" s="17" t="s">
        <v>7747</v>
      </c>
      <c r="H72" s="7" t="s">
        <v>28</v>
      </c>
      <c r="I72" s="7" t="s">
        <v>1042</v>
      </c>
      <c r="J72" s="7" t="s">
        <v>1043</v>
      </c>
      <c r="K72" s="7" t="s">
        <v>1042</v>
      </c>
      <c r="L72" s="7" t="s">
        <v>247</v>
      </c>
      <c r="M72" s="7">
        <v>5.1157899999999996</v>
      </c>
      <c r="N72" s="7">
        <v>10.465159999999999</v>
      </c>
      <c r="O72" s="7" t="s">
        <v>23</v>
      </c>
    </row>
    <row r="73" spans="1:15" x14ac:dyDescent="0.25">
      <c r="A73" s="2">
        <f t="shared" si="1"/>
        <v>71</v>
      </c>
      <c r="B73" s="7" t="s">
        <v>3377</v>
      </c>
      <c r="C73" s="7" t="s">
        <v>3378</v>
      </c>
      <c r="D73" s="7" t="s">
        <v>3377</v>
      </c>
      <c r="E73" s="7" t="s">
        <v>131</v>
      </c>
      <c r="F73" s="7" t="s">
        <v>3379</v>
      </c>
      <c r="G73" s="17" t="s">
        <v>7747</v>
      </c>
      <c r="H73" s="7" t="s">
        <v>19</v>
      </c>
      <c r="I73" s="7" t="s">
        <v>145</v>
      </c>
      <c r="J73" s="7" t="s">
        <v>397</v>
      </c>
      <c r="K73" s="7" t="s">
        <v>145</v>
      </c>
      <c r="L73" s="7" t="s">
        <v>247</v>
      </c>
      <c r="M73" s="7">
        <v>5.7245999999999997</v>
      </c>
      <c r="N73" s="7">
        <v>10.872109999999999</v>
      </c>
      <c r="O73" s="7" t="s">
        <v>23</v>
      </c>
    </row>
    <row r="74" spans="1:15" x14ac:dyDescent="0.25">
      <c r="A74" s="2">
        <f t="shared" si="1"/>
        <v>72</v>
      </c>
      <c r="B74" s="7" t="s">
        <v>3418</v>
      </c>
      <c r="C74" s="7" t="s">
        <v>3419</v>
      </c>
      <c r="D74" s="7" t="s">
        <v>3418</v>
      </c>
      <c r="E74" s="7" t="s">
        <v>131</v>
      </c>
      <c r="F74" s="7" t="s">
        <v>3420</v>
      </c>
      <c r="G74" s="17" t="s">
        <v>7747</v>
      </c>
      <c r="H74" s="7" t="s">
        <v>28</v>
      </c>
      <c r="I74" s="7" t="s">
        <v>1069</v>
      </c>
      <c r="J74" s="7" t="s">
        <v>1070</v>
      </c>
      <c r="K74" s="7" t="s">
        <v>1071</v>
      </c>
      <c r="L74" s="7" t="s">
        <v>247</v>
      </c>
      <c r="M74" s="7">
        <v>5.5338539999999998</v>
      </c>
      <c r="N74" s="7">
        <v>10.345637</v>
      </c>
      <c r="O74" s="7" t="s">
        <v>23</v>
      </c>
    </row>
    <row r="75" spans="1:15" x14ac:dyDescent="0.25">
      <c r="A75" s="2">
        <f t="shared" si="1"/>
        <v>73</v>
      </c>
      <c r="B75" s="7" t="s">
        <v>3445</v>
      </c>
      <c r="C75" s="7" t="s">
        <v>3446</v>
      </c>
      <c r="D75" s="7" t="s">
        <v>3445</v>
      </c>
      <c r="E75" s="7" t="s">
        <v>131</v>
      </c>
      <c r="F75" s="7" t="s">
        <v>318</v>
      </c>
      <c r="G75" s="17" t="s">
        <v>7747</v>
      </c>
      <c r="H75" s="7" t="s">
        <v>19</v>
      </c>
      <c r="I75" s="7" t="s">
        <v>1042</v>
      </c>
      <c r="J75" s="7" t="s">
        <v>317</v>
      </c>
      <c r="K75" s="7" t="s">
        <v>318</v>
      </c>
      <c r="L75" s="7" t="s">
        <v>247</v>
      </c>
      <c r="M75" s="7">
        <v>4.7654209999999999</v>
      </c>
      <c r="N75" s="7">
        <v>10.826571</v>
      </c>
      <c r="O75" s="7" t="s">
        <v>23</v>
      </c>
    </row>
    <row r="76" spans="1:15" x14ac:dyDescent="0.25">
      <c r="A76" s="2">
        <f t="shared" si="1"/>
        <v>74</v>
      </c>
      <c r="B76" s="7" t="s">
        <v>3562</v>
      </c>
      <c r="C76" s="7" t="s">
        <v>3563</v>
      </c>
      <c r="D76" s="7" t="s">
        <v>3562</v>
      </c>
      <c r="E76" s="7" t="s">
        <v>131</v>
      </c>
      <c r="F76" s="7" t="s">
        <v>3564</v>
      </c>
      <c r="G76" s="17" t="s">
        <v>7747</v>
      </c>
      <c r="H76" s="7" t="s">
        <v>28</v>
      </c>
      <c r="I76" s="7" t="s">
        <v>1069</v>
      </c>
      <c r="J76" s="7" t="s">
        <v>1070</v>
      </c>
      <c r="K76" s="7" t="s">
        <v>1071</v>
      </c>
      <c r="L76" s="7" t="s">
        <v>247</v>
      </c>
      <c r="M76" s="7">
        <v>5.4597220000000002</v>
      </c>
      <c r="N76" s="7">
        <v>10.395277999999999</v>
      </c>
      <c r="O76" s="7" t="s">
        <v>23</v>
      </c>
    </row>
    <row r="77" spans="1:15" x14ac:dyDescent="0.25">
      <c r="A77" s="2">
        <f t="shared" si="1"/>
        <v>75</v>
      </c>
      <c r="B77" s="7" t="s">
        <v>3777</v>
      </c>
      <c r="C77" s="7" t="s">
        <v>3778</v>
      </c>
      <c r="D77" s="7" t="s">
        <v>3777</v>
      </c>
      <c r="E77" s="7" t="s">
        <v>131</v>
      </c>
      <c r="F77" s="7" t="s">
        <v>3779</v>
      </c>
      <c r="G77" s="17" t="s">
        <v>7747</v>
      </c>
      <c r="H77" s="7" t="s">
        <v>28</v>
      </c>
      <c r="I77" s="7" t="s">
        <v>1069</v>
      </c>
      <c r="J77" s="7" t="s">
        <v>1070</v>
      </c>
      <c r="K77" s="7" t="s">
        <v>1071</v>
      </c>
      <c r="L77" s="7" t="s">
        <v>247</v>
      </c>
      <c r="M77" s="7">
        <v>5.4922769999999996</v>
      </c>
      <c r="N77" s="7">
        <v>10.409361000000001</v>
      </c>
      <c r="O77" s="7" t="s">
        <v>613</v>
      </c>
    </row>
    <row r="78" spans="1:15" x14ac:dyDescent="0.25">
      <c r="A78" s="2">
        <f t="shared" si="1"/>
        <v>76</v>
      </c>
      <c r="B78" s="7" t="s">
        <v>3786</v>
      </c>
      <c r="C78" s="7" t="s">
        <v>3787</v>
      </c>
      <c r="D78" s="7" t="s">
        <v>3786</v>
      </c>
      <c r="E78" s="7" t="s">
        <v>131</v>
      </c>
      <c r="F78" s="7" t="s">
        <v>3788</v>
      </c>
      <c r="G78" s="17" t="s">
        <v>7747</v>
      </c>
      <c r="H78" s="7" t="s">
        <v>28</v>
      </c>
      <c r="I78" s="7" t="s">
        <v>1069</v>
      </c>
      <c r="J78" s="7" t="s">
        <v>1070</v>
      </c>
      <c r="K78" s="7" t="s">
        <v>1071</v>
      </c>
      <c r="L78" s="7" t="s">
        <v>247</v>
      </c>
      <c r="M78" s="7">
        <v>5.4819719999999998</v>
      </c>
      <c r="N78" s="7">
        <v>10.391916999999999</v>
      </c>
      <c r="O78" s="7" t="s">
        <v>23</v>
      </c>
    </row>
    <row r="79" spans="1:15" x14ac:dyDescent="0.25">
      <c r="A79" s="2">
        <f t="shared" si="1"/>
        <v>77</v>
      </c>
      <c r="B79" s="7" t="s">
        <v>3829</v>
      </c>
      <c r="C79" s="7" t="s">
        <v>3830</v>
      </c>
      <c r="D79" s="7" t="s">
        <v>3829</v>
      </c>
      <c r="E79" s="7" t="s">
        <v>131</v>
      </c>
      <c r="F79" s="7" t="s">
        <v>3831</v>
      </c>
      <c r="G79" s="17" t="s">
        <v>7747</v>
      </c>
      <c r="H79" s="7" t="s">
        <v>28</v>
      </c>
      <c r="I79" s="7" t="s">
        <v>1069</v>
      </c>
      <c r="J79" s="7" t="s">
        <v>1070</v>
      </c>
      <c r="K79" s="7" t="s">
        <v>1071</v>
      </c>
      <c r="L79" s="7" t="s">
        <v>247</v>
      </c>
      <c r="M79" s="7">
        <v>5.5032300000000003</v>
      </c>
      <c r="N79" s="7">
        <v>10.40535</v>
      </c>
      <c r="O79" s="7" t="s">
        <v>23</v>
      </c>
    </row>
    <row r="80" spans="1:15" x14ac:dyDescent="0.25">
      <c r="A80" s="2">
        <f t="shared" si="1"/>
        <v>78</v>
      </c>
      <c r="B80" s="7" t="s">
        <v>3893</v>
      </c>
      <c r="C80" s="7" t="s">
        <v>3894</v>
      </c>
      <c r="D80" s="7" t="s">
        <v>3893</v>
      </c>
      <c r="E80" s="7" t="s">
        <v>131</v>
      </c>
      <c r="F80" s="7" t="s">
        <v>3895</v>
      </c>
      <c r="G80" s="17" t="s">
        <v>7747</v>
      </c>
      <c r="H80" s="7" t="s">
        <v>28</v>
      </c>
      <c r="I80" s="7" t="s">
        <v>145</v>
      </c>
      <c r="J80" s="7" t="s">
        <v>397</v>
      </c>
      <c r="K80" s="7" t="s">
        <v>3895</v>
      </c>
      <c r="L80" s="7" t="s">
        <v>247</v>
      </c>
      <c r="M80" s="7">
        <v>5.7295199999999999</v>
      </c>
      <c r="N80" s="7">
        <v>11.128360000000001</v>
      </c>
      <c r="O80" s="7" t="s">
        <v>23</v>
      </c>
    </row>
    <row r="81" spans="1:15" x14ac:dyDescent="0.25">
      <c r="A81" s="2">
        <f t="shared" si="1"/>
        <v>79</v>
      </c>
      <c r="B81" s="7" t="s">
        <v>3920</v>
      </c>
      <c r="C81" s="7" t="s">
        <v>3921</v>
      </c>
      <c r="D81" s="7" t="s">
        <v>3920</v>
      </c>
      <c r="E81" s="7" t="s">
        <v>131</v>
      </c>
      <c r="F81" s="7" t="s">
        <v>3922</v>
      </c>
      <c r="G81" s="17" t="s">
        <v>7747</v>
      </c>
      <c r="H81" s="7" t="s">
        <v>28</v>
      </c>
      <c r="I81" s="7" t="s">
        <v>1042</v>
      </c>
      <c r="J81" s="7" t="s">
        <v>1043</v>
      </c>
      <c r="K81" s="7" t="s">
        <v>3922</v>
      </c>
      <c r="L81" s="7" t="s">
        <v>247</v>
      </c>
      <c r="M81" s="7">
        <v>4.9700930000000003</v>
      </c>
      <c r="N81" s="7">
        <v>10.699873</v>
      </c>
      <c r="O81" s="7" t="s">
        <v>23</v>
      </c>
    </row>
    <row r="82" spans="1:15" x14ac:dyDescent="0.25">
      <c r="A82" s="2">
        <f t="shared" si="1"/>
        <v>80</v>
      </c>
      <c r="B82" s="7" t="s">
        <v>3926</v>
      </c>
      <c r="C82" s="7" t="s">
        <v>3927</v>
      </c>
      <c r="D82" s="7" t="s">
        <v>3926</v>
      </c>
      <c r="E82" s="7" t="s">
        <v>131</v>
      </c>
      <c r="F82" s="7" t="s">
        <v>3928</v>
      </c>
      <c r="G82" s="17" t="s">
        <v>7747</v>
      </c>
      <c r="H82" s="7" t="s">
        <v>19</v>
      </c>
      <c r="I82" s="7" t="s">
        <v>783</v>
      </c>
      <c r="J82" s="7" t="s">
        <v>1070</v>
      </c>
      <c r="K82" s="7" t="s">
        <v>1071</v>
      </c>
      <c r="L82" s="7" t="s">
        <v>247</v>
      </c>
      <c r="M82" s="7">
        <v>5.4891500000000004</v>
      </c>
      <c r="N82" s="7">
        <v>10.407220000000001</v>
      </c>
      <c r="O82" s="7" t="s">
        <v>613</v>
      </c>
    </row>
    <row r="83" spans="1:15" x14ac:dyDescent="0.25">
      <c r="A83" s="2">
        <f t="shared" si="1"/>
        <v>81</v>
      </c>
      <c r="B83" s="7" t="s">
        <v>4013</v>
      </c>
      <c r="C83" s="7" t="s">
        <v>4014</v>
      </c>
      <c r="D83" s="7" t="s">
        <v>4013</v>
      </c>
      <c r="E83" s="7" t="s">
        <v>131</v>
      </c>
      <c r="F83" s="7" t="s">
        <v>4015</v>
      </c>
      <c r="G83" s="17" t="s">
        <v>7747</v>
      </c>
      <c r="H83" s="7" t="s">
        <v>28</v>
      </c>
      <c r="I83" s="7" t="s">
        <v>245</v>
      </c>
      <c r="J83" s="7" t="s">
        <v>761</v>
      </c>
      <c r="K83" s="7" t="s">
        <v>762</v>
      </c>
      <c r="L83" s="7" t="s">
        <v>247</v>
      </c>
      <c r="M83" s="7">
        <v>5.6782500000000002</v>
      </c>
      <c r="N83" s="7">
        <v>10.288819999999999</v>
      </c>
      <c r="O83" s="7" t="s">
        <v>23</v>
      </c>
    </row>
    <row r="84" spans="1:15" x14ac:dyDescent="0.25">
      <c r="A84" s="2">
        <f t="shared" si="1"/>
        <v>82</v>
      </c>
      <c r="B84" s="7" t="s">
        <v>4016</v>
      </c>
      <c r="C84" s="7" t="s">
        <v>4017</v>
      </c>
      <c r="D84" s="7" t="s">
        <v>4016</v>
      </c>
      <c r="E84" s="7" t="s">
        <v>131</v>
      </c>
      <c r="F84" s="7" t="s">
        <v>4018</v>
      </c>
      <c r="G84" s="17" t="s">
        <v>7747</v>
      </c>
      <c r="H84" s="7" t="s">
        <v>28</v>
      </c>
      <c r="I84" s="7" t="s">
        <v>1042</v>
      </c>
      <c r="J84" s="7" t="s">
        <v>1043</v>
      </c>
      <c r="K84" s="7" t="s">
        <v>1042</v>
      </c>
      <c r="L84" s="7" t="s">
        <v>247</v>
      </c>
      <c r="M84" s="7">
        <v>5.160228</v>
      </c>
      <c r="N84" s="7">
        <v>10.390895</v>
      </c>
      <c r="O84" s="7" t="s">
        <v>23</v>
      </c>
    </row>
    <row r="85" spans="1:15" x14ac:dyDescent="0.25">
      <c r="A85" s="2">
        <f t="shared" si="1"/>
        <v>83</v>
      </c>
      <c r="B85" s="7" t="s">
        <v>4038</v>
      </c>
      <c r="C85" s="7" t="s">
        <v>4039</v>
      </c>
      <c r="D85" s="7" t="s">
        <v>4038</v>
      </c>
      <c r="E85" s="7" t="s">
        <v>131</v>
      </c>
      <c r="F85" s="7" t="s">
        <v>4040</v>
      </c>
      <c r="G85" s="17" t="s">
        <v>7747</v>
      </c>
      <c r="H85" s="7" t="s">
        <v>19</v>
      </c>
      <c r="I85" s="7" t="s">
        <v>1042</v>
      </c>
      <c r="J85" s="7" t="s">
        <v>1043</v>
      </c>
      <c r="K85" s="7" t="s">
        <v>1042</v>
      </c>
      <c r="L85" s="7" t="s">
        <v>247</v>
      </c>
      <c r="M85" s="7">
        <v>5.0574719999999997</v>
      </c>
      <c r="N85" s="7">
        <v>10.701167</v>
      </c>
      <c r="O85" s="7" t="s">
        <v>23</v>
      </c>
    </row>
    <row r="86" spans="1:15" x14ac:dyDescent="0.25">
      <c r="A86" s="2">
        <f t="shared" si="1"/>
        <v>84</v>
      </c>
      <c r="B86" s="7" t="s">
        <v>4059</v>
      </c>
      <c r="C86" s="7" t="s">
        <v>4060</v>
      </c>
      <c r="D86" s="7" t="s">
        <v>4059</v>
      </c>
      <c r="E86" s="7" t="s">
        <v>131</v>
      </c>
      <c r="F86" s="7" t="s">
        <v>4061</v>
      </c>
      <c r="G86" s="17" t="s">
        <v>7747</v>
      </c>
      <c r="H86" s="7" t="s">
        <v>28</v>
      </c>
      <c r="I86" s="7" t="s">
        <v>1042</v>
      </c>
      <c r="J86" s="7" t="s">
        <v>1043</v>
      </c>
      <c r="K86" s="7" t="s">
        <v>1042</v>
      </c>
      <c r="L86" s="7" t="s">
        <v>247</v>
      </c>
      <c r="M86" s="7">
        <v>5.1352000000000002</v>
      </c>
      <c r="N86" s="7">
        <v>10.512040000000001</v>
      </c>
      <c r="O86" s="7" t="s">
        <v>23</v>
      </c>
    </row>
    <row r="87" spans="1:15" x14ac:dyDescent="0.25">
      <c r="A87" s="2">
        <f t="shared" si="1"/>
        <v>85</v>
      </c>
      <c r="B87" s="7" t="s">
        <v>4067</v>
      </c>
      <c r="C87" s="7" t="s">
        <v>4068</v>
      </c>
      <c r="D87" s="7" t="s">
        <v>4067</v>
      </c>
      <c r="E87" s="7" t="s">
        <v>131</v>
      </c>
      <c r="F87" s="7" t="s">
        <v>4069</v>
      </c>
      <c r="G87" s="17" t="s">
        <v>7747</v>
      </c>
      <c r="H87" s="7" t="s">
        <v>28</v>
      </c>
      <c r="I87" s="7" t="s">
        <v>1069</v>
      </c>
      <c r="J87" s="7" t="s">
        <v>1070</v>
      </c>
      <c r="K87" s="7" t="s">
        <v>1071</v>
      </c>
      <c r="L87" s="7" t="s">
        <v>247</v>
      </c>
      <c r="M87" s="7">
        <v>5.4918670000000001</v>
      </c>
      <c r="N87" s="7">
        <v>10.419509</v>
      </c>
      <c r="O87" s="7" t="s">
        <v>23</v>
      </c>
    </row>
    <row r="88" spans="1:15" x14ac:dyDescent="0.25">
      <c r="A88" s="2">
        <f t="shared" si="1"/>
        <v>86</v>
      </c>
      <c r="B88" s="7" t="s">
        <v>4073</v>
      </c>
      <c r="C88" s="7" t="s">
        <v>4074</v>
      </c>
      <c r="D88" s="7" t="s">
        <v>4073</v>
      </c>
      <c r="E88" s="7" t="s">
        <v>131</v>
      </c>
      <c r="F88" s="7" t="s">
        <v>4075</v>
      </c>
      <c r="G88" s="17" t="s">
        <v>7747</v>
      </c>
      <c r="H88" s="7" t="s">
        <v>28</v>
      </c>
      <c r="I88" s="7" t="s">
        <v>165</v>
      </c>
      <c r="J88" s="7" t="s">
        <v>715</v>
      </c>
      <c r="K88" s="7" t="s">
        <v>2216</v>
      </c>
      <c r="L88" s="7" t="s">
        <v>247</v>
      </c>
      <c r="M88" s="7">
        <v>5.1474099999999998</v>
      </c>
      <c r="N88" s="7">
        <v>10.27028</v>
      </c>
      <c r="O88" s="7" t="s">
        <v>23</v>
      </c>
    </row>
    <row r="89" spans="1:15" x14ac:dyDescent="0.25">
      <c r="A89" s="2">
        <f t="shared" si="1"/>
        <v>87</v>
      </c>
      <c r="B89" s="7" t="s">
        <v>4088</v>
      </c>
      <c r="C89" s="7" t="s">
        <v>4089</v>
      </c>
      <c r="D89" s="7" t="s">
        <v>4088</v>
      </c>
      <c r="E89" s="7" t="s">
        <v>131</v>
      </c>
      <c r="F89" s="7" t="s">
        <v>4090</v>
      </c>
      <c r="G89" s="17" t="s">
        <v>7747</v>
      </c>
      <c r="H89" s="7" t="s">
        <v>28</v>
      </c>
      <c r="I89" s="7" t="s">
        <v>245</v>
      </c>
      <c r="J89" s="7" t="s">
        <v>246</v>
      </c>
      <c r="K89" s="7" t="s">
        <v>244</v>
      </c>
      <c r="L89" s="7" t="s">
        <v>247</v>
      </c>
      <c r="M89" s="7">
        <v>5.4775140000000002</v>
      </c>
      <c r="N89" s="7">
        <v>10.315049999999999</v>
      </c>
      <c r="O89" s="7" t="s">
        <v>23</v>
      </c>
    </row>
    <row r="90" spans="1:15" x14ac:dyDescent="0.25">
      <c r="A90" s="2">
        <f t="shared" si="1"/>
        <v>88</v>
      </c>
      <c r="B90" s="7" t="s">
        <v>4091</v>
      </c>
      <c r="C90" s="7" t="s">
        <v>4092</v>
      </c>
      <c r="D90" s="7" t="s">
        <v>4091</v>
      </c>
      <c r="E90" s="7" t="s">
        <v>131</v>
      </c>
      <c r="F90" s="7" t="s">
        <v>4093</v>
      </c>
      <c r="G90" s="17" t="s">
        <v>7747</v>
      </c>
      <c r="H90" s="7" t="s">
        <v>19</v>
      </c>
      <c r="I90" s="7" t="s">
        <v>1042</v>
      </c>
      <c r="J90" s="7" t="s">
        <v>1043</v>
      </c>
      <c r="K90" s="7" t="s">
        <v>1042</v>
      </c>
      <c r="L90" s="7" t="s">
        <v>247</v>
      </c>
      <c r="M90" s="7">
        <v>5.2722369999999996</v>
      </c>
      <c r="N90" s="7">
        <v>10.443108000000001</v>
      </c>
      <c r="O90" s="7" t="s">
        <v>23</v>
      </c>
    </row>
    <row r="91" spans="1:15" x14ac:dyDescent="0.25">
      <c r="A91" s="2">
        <f t="shared" si="1"/>
        <v>89</v>
      </c>
      <c r="B91" s="7" t="s">
        <v>4143</v>
      </c>
      <c r="C91" s="7" t="s">
        <v>4144</v>
      </c>
      <c r="D91" s="7" t="s">
        <v>4143</v>
      </c>
      <c r="E91" s="7" t="s">
        <v>131</v>
      </c>
      <c r="F91" s="7" t="s">
        <v>4145</v>
      </c>
      <c r="G91" s="17" t="s">
        <v>7747</v>
      </c>
      <c r="H91" s="7" t="s">
        <v>28</v>
      </c>
      <c r="I91" s="7" t="s">
        <v>396</v>
      </c>
      <c r="J91" s="7" t="s">
        <v>397</v>
      </c>
      <c r="K91" s="7" t="s">
        <v>4146</v>
      </c>
      <c r="L91" s="7" t="s">
        <v>247</v>
      </c>
      <c r="M91" s="7">
        <v>5.7332780000000003</v>
      </c>
      <c r="N91" s="7">
        <v>10.762</v>
      </c>
      <c r="O91" s="7" t="s">
        <v>23</v>
      </c>
    </row>
    <row r="92" spans="1:15" x14ac:dyDescent="0.25">
      <c r="A92" s="2">
        <f t="shared" si="1"/>
        <v>90</v>
      </c>
      <c r="B92" s="7" t="s">
        <v>4159</v>
      </c>
      <c r="C92" s="7" t="s">
        <v>4160</v>
      </c>
      <c r="D92" s="7" t="s">
        <v>4159</v>
      </c>
      <c r="E92" s="7" t="s">
        <v>131</v>
      </c>
      <c r="F92" s="7" t="s">
        <v>4161</v>
      </c>
      <c r="G92" s="17" t="s">
        <v>7747</v>
      </c>
      <c r="H92" s="7" t="s">
        <v>19</v>
      </c>
      <c r="I92" s="7" t="s">
        <v>133</v>
      </c>
      <c r="J92" s="7" t="s">
        <v>317</v>
      </c>
      <c r="K92" s="7" t="s">
        <v>417</v>
      </c>
      <c r="L92" s="7" t="s">
        <v>247</v>
      </c>
      <c r="M92" s="7">
        <v>4.8547700000000003</v>
      </c>
      <c r="N92" s="7">
        <v>11.12049</v>
      </c>
      <c r="O92" s="7" t="s">
        <v>23</v>
      </c>
    </row>
    <row r="93" spans="1:15" x14ac:dyDescent="0.25">
      <c r="A93" s="2">
        <f t="shared" si="1"/>
        <v>91</v>
      </c>
      <c r="B93" s="7" t="s">
        <v>4177</v>
      </c>
      <c r="C93" s="7" t="s">
        <v>4178</v>
      </c>
      <c r="D93" s="7" t="s">
        <v>4177</v>
      </c>
      <c r="E93" s="7" t="s">
        <v>131</v>
      </c>
      <c r="F93" s="7" t="s">
        <v>4179</v>
      </c>
      <c r="G93" s="17" t="s">
        <v>7747</v>
      </c>
      <c r="H93" s="7" t="s">
        <v>28</v>
      </c>
      <c r="I93" s="7" t="s">
        <v>1042</v>
      </c>
      <c r="J93" s="7" t="s">
        <v>317</v>
      </c>
      <c r="K93" s="7" t="s">
        <v>4180</v>
      </c>
      <c r="L93" s="7" t="s">
        <v>247</v>
      </c>
      <c r="M93" s="7">
        <v>4.9192970000000003</v>
      </c>
      <c r="N93" s="7">
        <v>10.777011</v>
      </c>
      <c r="O93" s="7" t="s">
        <v>23</v>
      </c>
    </row>
    <row r="94" spans="1:15" x14ac:dyDescent="0.25">
      <c r="A94" s="2">
        <f t="shared" si="1"/>
        <v>92</v>
      </c>
      <c r="B94" s="7" t="s">
        <v>4238</v>
      </c>
      <c r="C94" s="7" t="s">
        <v>4239</v>
      </c>
      <c r="D94" s="7" t="s">
        <v>4238</v>
      </c>
      <c r="E94" s="7" t="s">
        <v>131</v>
      </c>
      <c r="F94" s="7" t="s">
        <v>1122</v>
      </c>
      <c r="G94" s="17" t="s">
        <v>7747</v>
      </c>
      <c r="H94" s="7" t="s">
        <v>19</v>
      </c>
      <c r="I94" s="7" t="s">
        <v>1042</v>
      </c>
      <c r="J94" s="7" t="s">
        <v>1043</v>
      </c>
      <c r="K94" s="7" t="s">
        <v>1122</v>
      </c>
      <c r="L94" s="7" t="s">
        <v>247</v>
      </c>
      <c r="M94" s="7">
        <v>5.0455920000000001</v>
      </c>
      <c r="N94" s="7">
        <v>10.478456</v>
      </c>
      <c r="O94" s="7" t="s">
        <v>23</v>
      </c>
    </row>
    <row r="95" spans="1:15" x14ac:dyDescent="0.25">
      <c r="A95" s="2">
        <f t="shared" si="1"/>
        <v>93</v>
      </c>
      <c r="B95" s="7" t="s">
        <v>4250</v>
      </c>
      <c r="C95" s="7" t="s">
        <v>4251</v>
      </c>
      <c r="D95" s="7" t="s">
        <v>4250</v>
      </c>
      <c r="E95" s="7" t="s">
        <v>131</v>
      </c>
      <c r="F95" s="7" t="s">
        <v>4018</v>
      </c>
      <c r="G95" s="17" t="s">
        <v>7747</v>
      </c>
      <c r="H95" s="7" t="s">
        <v>28</v>
      </c>
      <c r="I95" s="7" t="s">
        <v>1042</v>
      </c>
      <c r="J95" s="7" t="s">
        <v>1043</v>
      </c>
      <c r="K95" s="7" t="s">
        <v>1042</v>
      </c>
      <c r="L95" s="7" t="s">
        <v>247</v>
      </c>
      <c r="M95" s="7">
        <v>5.1721180000000002</v>
      </c>
      <c r="N95" s="7">
        <v>10.386182</v>
      </c>
      <c r="O95" s="7" t="s">
        <v>23</v>
      </c>
    </row>
    <row r="96" spans="1:15" x14ac:dyDescent="0.25">
      <c r="A96" s="2">
        <f t="shared" si="1"/>
        <v>94</v>
      </c>
      <c r="B96" s="7" t="s">
        <v>4258</v>
      </c>
      <c r="C96" s="7" t="s">
        <v>4259</v>
      </c>
      <c r="D96" s="7" t="s">
        <v>4258</v>
      </c>
      <c r="E96" s="7" t="s">
        <v>131</v>
      </c>
      <c r="F96" s="7" t="s">
        <v>4260</v>
      </c>
      <c r="G96" s="17" t="s">
        <v>7747</v>
      </c>
      <c r="H96" s="7" t="s">
        <v>28</v>
      </c>
      <c r="I96" s="7" t="s">
        <v>245</v>
      </c>
      <c r="J96" s="7" t="s">
        <v>761</v>
      </c>
      <c r="K96" s="7" t="s">
        <v>1078</v>
      </c>
      <c r="L96" s="7" t="s">
        <v>247</v>
      </c>
      <c r="M96" s="7">
        <v>5.5786619999999996</v>
      </c>
      <c r="N96" s="7">
        <v>10.300921000000001</v>
      </c>
      <c r="O96" s="7" t="s">
        <v>23</v>
      </c>
    </row>
    <row r="97" spans="1:15" x14ac:dyDescent="0.25">
      <c r="A97" s="2">
        <f t="shared" si="1"/>
        <v>95</v>
      </c>
      <c r="B97" s="7" t="s">
        <v>4267</v>
      </c>
      <c r="C97" s="7" t="s">
        <v>4268</v>
      </c>
      <c r="D97" s="7" t="s">
        <v>4267</v>
      </c>
      <c r="E97" s="7" t="s">
        <v>131</v>
      </c>
      <c r="F97" s="7" t="s">
        <v>4269</v>
      </c>
      <c r="G97" s="17" t="s">
        <v>7747</v>
      </c>
      <c r="H97" s="7" t="s">
        <v>28</v>
      </c>
      <c r="I97" s="7" t="s">
        <v>1069</v>
      </c>
      <c r="J97" s="7" t="s">
        <v>1070</v>
      </c>
      <c r="K97" s="7" t="s">
        <v>1071</v>
      </c>
      <c r="L97" s="7" t="s">
        <v>247</v>
      </c>
      <c r="M97" s="7">
        <v>5.4788329999999998</v>
      </c>
      <c r="N97" s="7">
        <v>10.468697000000001</v>
      </c>
      <c r="O97" s="7" t="s">
        <v>23</v>
      </c>
    </row>
    <row r="98" spans="1:15" x14ac:dyDescent="0.25">
      <c r="A98" s="2">
        <f t="shared" si="1"/>
        <v>96</v>
      </c>
      <c r="B98" s="7" t="s">
        <v>4289</v>
      </c>
      <c r="C98" s="7" t="s">
        <v>4290</v>
      </c>
      <c r="D98" s="7" t="s">
        <v>4289</v>
      </c>
      <c r="E98" s="7" t="s">
        <v>131</v>
      </c>
      <c r="F98" s="7" t="s">
        <v>4291</v>
      </c>
      <c r="G98" s="17" t="s">
        <v>7747</v>
      </c>
      <c r="H98" s="7" t="s">
        <v>28</v>
      </c>
      <c r="I98" s="7" t="s">
        <v>1069</v>
      </c>
      <c r="J98" s="7" t="s">
        <v>1070</v>
      </c>
      <c r="K98" s="7" t="s">
        <v>1071</v>
      </c>
      <c r="L98" s="7" t="s">
        <v>247</v>
      </c>
      <c r="M98" s="7">
        <v>5.4901739999999997</v>
      </c>
      <c r="N98" s="7">
        <v>10.445361999999999</v>
      </c>
      <c r="O98" s="7" t="s">
        <v>23</v>
      </c>
    </row>
    <row r="99" spans="1:15" x14ac:dyDescent="0.25">
      <c r="A99" s="2">
        <f t="shared" si="1"/>
        <v>97</v>
      </c>
      <c r="B99" s="7" t="s">
        <v>4305</v>
      </c>
      <c r="C99" s="7" t="s">
        <v>4306</v>
      </c>
      <c r="D99" s="7" t="s">
        <v>4305</v>
      </c>
      <c r="E99" s="7" t="s">
        <v>131</v>
      </c>
      <c r="F99" s="7" t="s">
        <v>4307</v>
      </c>
      <c r="G99" s="17" t="s">
        <v>7747</v>
      </c>
      <c r="H99" s="7" t="s">
        <v>19</v>
      </c>
      <c r="I99" s="7" t="s">
        <v>396</v>
      </c>
      <c r="J99" s="7" t="s">
        <v>397</v>
      </c>
      <c r="K99" s="7" t="s">
        <v>4146</v>
      </c>
      <c r="L99" s="7" t="s">
        <v>247</v>
      </c>
      <c r="M99" s="7">
        <v>5.6377170000000003</v>
      </c>
      <c r="N99" s="7">
        <v>10.74</v>
      </c>
      <c r="O99" s="7" t="s">
        <v>23</v>
      </c>
    </row>
    <row r="100" spans="1:15" x14ac:dyDescent="0.25">
      <c r="A100" s="2">
        <f t="shared" si="1"/>
        <v>98</v>
      </c>
      <c r="B100" s="7" t="s">
        <v>4319</v>
      </c>
      <c r="C100" s="7" t="s">
        <v>4320</v>
      </c>
      <c r="D100" s="7" t="s">
        <v>4319</v>
      </c>
      <c r="E100" s="7" t="s">
        <v>131</v>
      </c>
      <c r="F100" s="7" t="s">
        <v>4321</v>
      </c>
      <c r="G100" s="17" t="s">
        <v>7747</v>
      </c>
      <c r="H100" s="7" t="s">
        <v>28</v>
      </c>
      <c r="I100" s="7" t="s">
        <v>1069</v>
      </c>
      <c r="J100" s="7" t="s">
        <v>1070</v>
      </c>
      <c r="K100" s="7" t="s">
        <v>1071</v>
      </c>
      <c r="L100" s="7" t="s">
        <v>247</v>
      </c>
      <c r="M100" s="7">
        <v>5.507511</v>
      </c>
      <c r="N100" s="7">
        <v>10.401437</v>
      </c>
      <c r="O100" s="7" t="s">
        <v>23</v>
      </c>
    </row>
    <row r="101" spans="1:15" x14ac:dyDescent="0.25">
      <c r="A101" s="2">
        <f t="shared" si="1"/>
        <v>99</v>
      </c>
      <c r="B101" s="7" t="s">
        <v>4322</v>
      </c>
      <c r="C101" s="7" t="s">
        <v>4323</v>
      </c>
      <c r="D101" s="7" t="s">
        <v>4322</v>
      </c>
      <c r="E101" s="7" t="s">
        <v>131</v>
      </c>
      <c r="F101" s="7" t="s">
        <v>4324</v>
      </c>
      <c r="G101" s="17" t="s">
        <v>7747</v>
      </c>
      <c r="H101" s="7" t="s">
        <v>28</v>
      </c>
      <c r="I101" s="7" t="s">
        <v>783</v>
      </c>
      <c r="J101" s="7" t="s">
        <v>1070</v>
      </c>
      <c r="K101" s="7" t="s">
        <v>1071</v>
      </c>
      <c r="L101" s="7" t="s">
        <v>247</v>
      </c>
      <c r="M101" s="7">
        <v>5.4772150000000002</v>
      </c>
      <c r="N101" s="7">
        <v>10.405362999999999</v>
      </c>
      <c r="O101" s="7" t="s">
        <v>23</v>
      </c>
    </row>
    <row r="102" spans="1:15" x14ac:dyDescent="0.25">
      <c r="A102" s="2">
        <f t="shared" si="1"/>
        <v>100</v>
      </c>
      <c r="B102" s="7" t="s">
        <v>4328</v>
      </c>
      <c r="C102" s="7" t="s">
        <v>4329</v>
      </c>
      <c r="D102" s="7" t="s">
        <v>4328</v>
      </c>
      <c r="E102" s="7" t="s">
        <v>131</v>
      </c>
      <c r="F102" s="7" t="s">
        <v>2454</v>
      </c>
      <c r="G102" s="17" t="s">
        <v>7747</v>
      </c>
      <c r="H102" s="7" t="s">
        <v>28</v>
      </c>
      <c r="I102" s="7" t="s">
        <v>783</v>
      </c>
      <c r="J102" s="7" t="s">
        <v>1059</v>
      </c>
      <c r="K102" s="7" t="s">
        <v>1042</v>
      </c>
      <c r="L102" s="7" t="s">
        <v>247</v>
      </c>
      <c r="M102" s="7">
        <v>5.3122999999999996</v>
      </c>
      <c r="N102" s="7">
        <v>10.4421</v>
      </c>
      <c r="O102" s="7" t="s">
        <v>23</v>
      </c>
    </row>
    <row r="103" spans="1:15" x14ac:dyDescent="0.25">
      <c r="A103" s="2">
        <f t="shared" si="1"/>
        <v>101</v>
      </c>
      <c r="B103" s="7" t="s">
        <v>4351</v>
      </c>
      <c r="C103" s="7" t="s">
        <v>4352</v>
      </c>
      <c r="D103" s="7" t="s">
        <v>4351</v>
      </c>
      <c r="E103" s="7" t="s">
        <v>131</v>
      </c>
      <c r="F103" s="7" t="s">
        <v>4353</v>
      </c>
      <c r="G103" s="17" t="s">
        <v>7747</v>
      </c>
      <c r="H103" s="7" t="s">
        <v>28</v>
      </c>
      <c r="I103" s="7" t="s">
        <v>783</v>
      </c>
      <c r="J103" s="7" t="s">
        <v>2482</v>
      </c>
      <c r="K103" s="7" t="s">
        <v>2483</v>
      </c>
      <c r="L103" s="7" t="s">
        <v>247</v>
      </c>
      <c r="M103" s="7">
        <v>5.3665010000000004</v>
      </c>
      <c r="N103" s="7">
        <v>10.410213000000001</v>
      </c>
      <c r="O103" s="7" t="s">
        <v>23</v>
      </c>
    </row>
    <row r="104" spans="1:15" x14ac:dyDescent="0.25">
      <c r="A104" s="2">
        <f t="shared" si="1"/>
        <v>102</v>
      </c>
      <c r="B104" s="7" t="s">
        <v>4389</v>
      </c>
      <c r="C104" s="7" t="s">
        <v>4390</v>
      </c>
      <c r="D104" s="7" t="s">
        <v>4389</v>
      </c>
      <c r="E104" s="7" t="s">
        <v>131</v>
      </c>
      <c r="F104" s="7" t="s">
        <v>4391</v>
      </c>
      <c r="G104" s="17" t="s">
        <v>7747</v>
      </c>
      <c r="H104" s="7" t="s">
        <v>28</v>
      </c>
      <c r="I104" s="7" t="s">
        <v>1042</v>
      </c>
      <c r="J104" s="7" t="s">
        <v>1043</v>
      </c>
      <c r="K104" s="7" t="s">
        <v>4391</v>
      </c>
      <c r="L104" s="7" t="s">
        <v>247</v>
      </c>
      <c r="M104" s="7">
        <v>5.0519689999999997</v>
      </c>
      <c r="N104" s="7">
        <v>10.572457</v>
      </c>
      <c r="O104" s="7" t="s">
        <v>23</v>
      </c>
    </row>
    <row r="105" spans="1:15" x14ac:dyDescent="0.25">
      <c r="A105" s="2">
        <f t="shared" si="1"/>
        <v>103</v>
      </c>
      <c r="B105" s="7" t="s">
        <v>4406</v>
      </c>
      <c r="C105" s="7" t="s">
        <v>4407</v>
      </c>
      <c r="D105" s="7" t="s">
        <v>4406</v>
      </c>
      <c r="E105" s="7" t="s">
        <v>131</v>
      </c>
      <c r="F105" s="7" t="s">
        <v>4408</v>
      </c>
      <c r="G105" s="17" t="s">
        <v>7747</v>
      </c>
      <c r="H105" s="7" t="s">
        <v>28</v>
      </c>
      <c r="I105" s="7" t="s">
        <v>1042</v>
      </c>
      <c r="J105" s="7" t="s">
        <v>1043</v>
      </c>
      <c r="K105" s="7" t="s">
        <v>1042</v>
      </c>
      <c r="L105" s="7" t="s">
        <v>247</v>
      </c>
      <c r="M105" s="7">
        <v>5.2134830000000001</v>
      </c>
      <c r="N105" s="7">
        <v>10.455859999999999</v>
      </c>
      <c r="O105" s="7" t="s">
        <v>23</v>
      </c>
    </row>
    <row r="106" spans="1:15" x14ac:dyDescent="0.25">
      <c r="A106" s="2">
        <f t="shared" si="1"/>
        <v>104</v>
      </c>
      <c r="B106" s="7" t="s">
        <v>4420</v>
      </c>
      <c r="C106" s="7" t="s">
        <v>4421</v>
      </c>
      <c r="D106" s="7" t="s">
        <v>4420</v>
      </c>
      <c r="E106" s="7" t="s">
        <v>131</v>
      </c>
      <c r="F106" s="7" t="s">
        <v>4422</v>
      </c>
      <c r="G106" s="17" t="s">
        <v>7747</v>
      </c>
      <c r="H106" s="7" t="s">
        <v>28</v>
      </c>
      <c r="I106" s="7" t="s">
        <v>1069</v>
      </c>
      <c r="J106" s="7" t="s">
        <v>1070</v>
      </c>
      <c r="K106" s="7" t="s">
        <v>1071</v>
      </c>
      <c r="L106" s="7" t="s">
        <v>247</v>
      </c>
      <c r="M106" s="7">
        <v>5.4834370000000003</v>
      </c>
      <c r="N106" s="7">
        <v>10.434514</v>
      </c>
      <c r="O106" s="7" t="s">
        <v>23</v>
      </c>
    </row>
    <row r="107" spans="1:15" x14ac:dyDescent="0.25">
      <c r="A107" s="2">
        <f t="shared" si="1"/>
        <v>105</v>
      </c>
      <c r="B107" s="7" t="s">
        <v>4433</v>
      </c>
      <c r="C107" s="7" t="s">
        <v>4434</v>
      </c>
      <c r="D107" s="7" t="s">
        <v>4433</v>
      </c>
      <c r="E107" s="7" t="s">
        <v>131</v>
      </c>
      <c r="F107" s="7" t="s">
        <v>2715</v>
      </c>
      <c r="G107" s="17" t="s">
        <v>7747</v>
      </c>
      <c r="H107" s="7" t="s">
        <v>28</v>
      </c>
      <c r="I107" s="7" t="s">
        <v>783</v>
      </c>
      <c r="J107" s="7" t="s">
        <v>1110</v>
      </c>
      <c r="K107" s="7" t="s">
        <v>1111</v>
      </c>
      <c r="L107" s="7" t="s">
        <v>247</v>
      </c>
      <c r="M107" s="7">
        <v>5.3072239999999997</v>
      </c>
      <c r="N107" s="7">
        <v>10.290284</v>
      </c>
      <c r="O107" s="7" t="s">
        <v>23</v>
      </c>
    </row>
    <row r="108" spans="1:15" x14ac:dyDescent="0.25">
      <c r="A108" s="2">
        <f t="shared" si="1"/>
        <v>106</v>
      </c>
      <c r="B108" s="7" t="s">
        <v>4438</v>
      </c>
      <c r="C108" s="7" t="s">
        <v>4439</v>
      </c>
      <c r="D108" s="7" t="s">
        <v>4438</v>
      </c>
      <c r="E108" s="7" t="s">
        <v>131</v>
      </c>
      <c r="F108" s="7" t="s">
        <v>4440</v>
      </c>
      <c r="G108" s="17" t="s">
        <v>7747</v>
      </c>
      <c r="H108" s="7" t="s">
        <v>28</v>
      </c>
      <c r="I108" s="7" t="s">
        <v>783</v>
      </c>
      <c r="J108" s="7" t="s">
        <v>1070</v>
      </c>
      <c r="K108" s="7" t="s">
        <v>1071</v>
      </c>
      <c r="L108" s="7" t="s">
        <v>247</v>
      </c>
      <c r="M108" s="7">
        <v>5.4721970000000004</v>
      </c>
      <c r="N108" s="7">
        <v>10.433311</v>
      </c>
      <c r="O108" s="7" t="s">
        <v>23</v>
      </c>
    </row>
    <row r="109" spans="1:15" x14ac:dyDescent="0.25">
      <c r="A109" s="2">
        <f t="shared" si="1"/>
        <v>107</v>
      </c>
      <c r="B109" s="7" t="s">
        <v>4522</v>
      </c>
      <c r="C109" s="7" t="s">
        <v>4523</v>
      </c>
      <c r="D109" s="7" t="s">
        <v>4522</v>
      </c>
      <c r="E109" s="7" t="s">
        <v>131</v>
      </c>
      <c r="F109" s="7" t="s">
        <v>4524</v>
      </c>
      <c r="G109" s="17" t="s">
        <v>7747</v>
      </c>
      <c r="H109" s="7" t="s">
        <v>28</v>
      </c>
      <c r="I109" s="7" t="s">
        <v>1069</v>
      </c>
      <c r="J109" s="7" t="s">
        <v>1070</v>
      </c>
      <c r="K109" s="7" t="s">
        <v>1071</v>
      </c>
      <c r="L109" s="7" t="s">
        <v>247</v>
      </c>
      <c r="M109" s="7">
        <v>5.4978999999999996</v>
      </c>
      <c r="N109" s="7">
        <v>10.38805</v>
      </c>
      <c r="O109" s="7" t="s">
        <v>23</v>
      </c>
    </row>
    <row r="110" spans="1:15" x14ac:dyDescent="0.25">
      <c r="A110" s="2">
        <f t="shared" si="1"/>
        <v>108</v>
      </c>
      <c r="B110" s="7" t="s">
        <v>4540</v>
      </c>
      <c r="C110" s="7" t="s">
        <v>4541</v>
      </c>
      <c r="D110" s="7" t="s">
        <v>4540</v>
      </c>
      <c r="E110" s="7" t="s">
        <v>131</v>
      </c>
      <c r="F110" s="7" t="s">
        <v>4542</v>
      </c>
      <c r="G110" s="17" t="s">
        <v>7747</v>
      </c>
      <c r="H110" s="7" t="s">
        <v>19</v>
      </c>
      <c r="I110" s="7" t="s">
        <v>145</v>
      </c>
      <c r="J110" s="7" t="s">
        <v>397</v>
      </c>
      <c r="K110" s="7" t="s">
        <v>145</v>
      </c>
      <c r="L110" s="7" t="s">
        <v>247</v>
      </c>
      <c r="M110" s="7">
        <v>5.7304719999999998</v>
      </c>
      <c r="N110" s="7">
        <v>10.880833000000001</v>
      </c>
      <c r="O110" s="7" t="s">
        <v>23</v>
      </c>
    </row>
    <row r="111" spans="1:15" x14ac:dyDescent="0.25">
      <c r="A111" s="2">
        <f t="shared" si="1"/>
        <v>109</v>
      </c>
      <c r="B111" s="7" t="s">
        <v>4552</v>
      </c>
      <c r="C111" s="7" t="s">
        <v>4553</v>
      </c>
      <c r="D111" s="7" t="s">
        <v>4552</v>
      </c>
      <c r="E111" s="7" t="s">
        <v>131</v>
      </c>
      <c r="F111" s="7" t="s">
        <v>4554</v>
      </c>
      <c r="G111" s="17" t="s">
        <v>7747</v>
      </c>
      <c r="H111" s="7" t="s">
        <v>28</v>
      </c>
      <c r="I111" s="7" t="s">
        <v>1069</v>
      </c>
      <c r="J111" s="7" t="s">
        <v>1070</v>
      </c>
      <c r="K111" s="7" t="s">
        <v>1071</v>
      </c>
      <c r="L111" s="7" t="s">
        <v>247</v>
      </c>
      <c r="M111" s="7">
        <v>5.4814119999999997</v>
      </c>
      <c r="N111" s="7">
        <v>10.488811999999999</v>
      </c>
      <c r="O111" s="7" t="s">
        <v>23</v>
      </c>
    </row>
    <row r="112" spans="1:15" x14ac:dyDescent="0.25">
      <c r="A112" s="2">
        <f t="shared" si="1"/>
        <v>110</v>
      </c>
      <c r="B112" s="7" t="s">
        <v>4567</v>
      </c>
      <c r="C112" s="7" t="s">
        <v>4568</v>
      </c>
      <c r="D112" s="7" t="s">
        <v>4567</v>
      </c>
      <c r="E112" s="7" t="s">
        <v>131</v>
      </c>
      <c r="F112" s="7" t="s">
        <v>4146</v>
      </c>
      <c r="G112" s="17" t="s">
        <v>7747</v>
      </c>
      <c r="H112" s="7" t="s">
        <v>19</v>
      </c>
      <c r="I112" s="7" t="s">
        <v>396</v>
      </c>
      <c r="J112" s="7" t="s">
        <v>397</v>
      </c>
      <c r="K112" s="7" t="s">
        <v>4146</v>
      </c>
      <c r="L112" s="7" t="s">
        <v>247</v>
      </c>
      <c r="M112" s="7">
        <v>5.64154</v>
      </c>
      <c r="N112" s="7">
        <v>10.74681</v>
      </c>
      <c r="O112" s="7" t="s">
        <v>23</v>
      </c>
    </row>
    <row r="113" spans="1:15" x14ac:dyDescent="0.25">
      <c r="A113" s="2">
        <f t="shared" si="1"/>
        <v>111</v>
      </c>
      <c r="B113" s="7" t="s">
        <v>4577</v>
      </c>
      <c r="C113" s="7" t="s">
        <v>4578</v>
      </c>
      <c r="D113" s="7" t="s">
        <v>4577</v>
      </c>
      <c r="E113" s="7" t="s">
        <v>131</v>
      </c>
      <c r="F113" s="7" t="s">
        <v>1111</v>
      </c>
      <c r="G113" s="17" t="s">
        <v>7747</v>
      </c>
      <c r="H113" s="7" t="s">
        <v>19</v>
      </c>
      <c r="I113" s="7" t="s">
        <v>783</v>
      </c>
      <c r="J113" s="7" t="s">
        <v>1110</v>
      </c>
      <c r="K113" s="7" t="s">
        <v>1111</v>
      </c>
      <c r="L113" s="7" t="s">
        <v>247</v>
      </c>
      <c r="M113" s="7">
        <v>5.3318139999999996</v>
      </c>
      <c r="N113" s="7">
        <v>10.367323000000001</v>
      </c>
      <c r="O113" s="7" t="s">
        <v>23</v>
      </c>
    </row>
    <row r="114" spans="1:15" x14ac:dyDescent="0.25">
      <c r="A114" s="2">
        <f t="shared" si="1"/>
        <v>112</v>
      </c>
      <c r="B114" s="7" t="s">
        <v>4644</v>
      </c>
      <c r="C114" s="7" t="s">
        <v>4645</v>
      </c>
      <c r="D114" s="7" t="s">
        <v>4644</v>
      </c>
      <c r="E114" s="7" t="s">
        <v>131</v>
      </c>
      <c r="F114" s="7" t="s">
        <v>4040</v>
      </c>
      <c r="G114" s="17" t="s">
        <v>7747</v>
      </c>
      <c r="H114" s="7" t="s">
        <v>19</v>
      </c>
      <c r="I114" s="7" t="s">
        <v>1042</v>
      </c>
      <c r="J114" s="7" t="s">
        <v>1043</v>
      </c>
      <c r="K114" s="7" t="s">
        <v>1042</v>
      </c>
      <c r="L114" s="7" t="s">
        <v>247</v>
      </c>
      <c r="M114" s="7">
        <v>5.0406519999999997</v>
      </c>
      <c r="N114" s="7">
        <v>10.703117000000001</v>
      </c>
      <c r="O114" s="7" t="s">
        <v>23</v>
      </c>
    </row>
    <row r="115" spans="1:15" x14ac:dyDescent="0.25">
      <c r="A115" s="2">
        <f t="shared" si="1"/>
        <v>113</v>
      </c>
      <c r="B115" s="7" t="s">
        <v>4722</v>
      </c>
      <c r="C115" s="7" t="s">
        <v>4723</v>
      </c>
      <c r="D115" s="7" t="s">
        <v>4722</v>
      </c>
      <c r="E115" s="7" t="s">
        <v>131</v>
      </c>
      <c r="F115" s="7" t="s">
        <v>2483</v>
      </c>
      <c r="G115" s="17" t="s">
        <v>7747</v>
      </c>
      <c r="H115" s="7" t="s">
        <v>28</v>
      </c>
      <c r="I115" s="7" t="s">
        <v>783</v>
      </c>
      <c r="J115" s="7" t="s">
        <v>4724</v>
      </c>
      <c r="K115" s="7" t="s">
        <v>4725</v>
      </c>
      <c r="L115" s="7" t="s">
        <v>247</v>
      </c>
      <c r="M115" s="7">
        <v>5.3795299999999999</v>
      </c>
      <c r="N115" s="7">
        <v>10.413830000000001</v>
      </c>
      <c r="O115" s="7" t="s">
        <v>23</v>
      </c>
    </row>
    <row r="116" spans="1:15" x14ac:dyDescent="0.25">
      <c r="A116" s="2">
        <f t="shared" si="1"/>
        <v>114</v>
      </c>
      <c r="B116" s="7" t="s">
        <v>4758</v>
      </c>
      <c r="C116" s="7" t="s">
        <v>4759</v>
      </c>
      <c r="D116" s="7" t="s">
        <v>4758</v>
      </c>
      <c r="E116" s="7" t="s">
        <v>131</v>
      </c>
      <c r="F116" s="7" t="s">
        <v>1042</v>
      </c>
      <c r="G116" s="17" t="s">
        <v>7747</v>
      </c>
      <c r="H116" s="7" t="s">
        <v>19</v>
      </c>
      <c r="I116" s="7" t="s">
        <v>1042</v>
      </c>
      <c r="J116" s="7" t="s">
        <v>1043</v>
      </c>
      <c r="K116" s="7" t="s">
        <v>1042</v>
      </c>
      <c r="L116" s="7" t="s">
        <v>247</v>
      </c>
      <c r="M116" s="7">
        <v>5.1404249999999996</v>
      </c>
      <c r="N116" s="7">
        <v>10.528005</v>
      </c>
      <c r="O116" s="7" t="s">
        <v>23</v>
      </c>
    </row>
    <row r="117" spans="1:15" x14ac:dyDescent="0.25">
      <c r="A117" s="2">
        <f t="shared" si="1"/>
        <v>115</v>
      </c>
      <c r="B117" s="7" t="s">
        <v>4760</v>
      </c>
      <c r="C117" s="7" t="s">
        <v>4761</v>
      </c>
      <c r="D117" s="7" t="s">
        <v>4760</v>
      </c>
      <c r="E117" s="7" t="s">
        <v>131</v>
      </c>
      <c r="F117" s="7" t="s">
        <v>4762</v>
      </c>
      <c r="G117" s="17" t="s">
        <v>7747</v>
      </c>
      <c r="H117" s="7" t="s">
        <v>19</v>
      </c>
      <c r="I117" s="7" t="s">
        <v>1042</v>
      </c>
      <c r="J117" s="7" t="s">
        <v>1043</v>
      </c>
      <c r="K117" s="7" t="s">
        <v>1042</v>
      </c>
      <c r="L117" s="7" t="s">
        <v>247</v>
      </c>
      <c r="M117" s="7">
        <v>5.1059099999999997</v>
      </c>
      <c r="N117" s="7">
        <v>10.615589999999999</v>
      </c>
      <c r="O117" s="7" t="s">
        <v>23</v>
      </c>
    </row>
    <row r="118" spans="1:15" x14ac:dyDescent="0.25">
      <c r="A118" s="2">
        <f t="shared" si="1"/>
        <v>116</v>
      </c>
      <c r="B118" s="7" t="s">
        <v>4766</v>
      </c>
      <c r="C118" s="7" t="s">
        <v>4767</v>
      </c>
      <c r="D118" s="7" t="s">
        <v>4766</v>
      </c>
      <c r="E118" s="7" t="s">
        <v>131</v>
      </c>
      <c r="F118" s="7" t="s">
        <v>4768</v>
      </c>
      <c r="G118" s="17" t="s">
        <v>7747</v>
      </c>
      <c r="H118" s="7" t="s">
        <v>19</v>
      </c>
      <c r="I118" s="7" t="s">
        <v>396</v>
      </c>
      <c r="J118" s="7" t="s">
        <v>397</v>
      </c>
      <c r="K118" s="7" t="s">
        <v>396</v>
      </c>
      <c r="L118" s="7" t="s">
        <v>247</v>
      </c>
      <c r="M118" s="7">
        <v>5.5058699999999998</v>
      </c>
      <c r="N118" s="7">
        <v>10.623670000000001</v>
      </c>
      <c r="O118" s="7" t="s">
        <v>23</v>
      </c>
    </row>
    <row r="119" spans="1:15" x14ac:dyDescent="0.25">
      <c r="A119" s="2">
        <f t="shared" si="1"/>
        <v>117</v>
      </c>
      <c r="B119" s="7" t="s">
        <v>4876</v>
      </c>
      <c r="C119" s="7" t="s">
        <v>4877</v>
      </c>
      <c r="D119" s="7" t="s">
        <v>4876</v>
      </c>
      <c r="E119" s="7" t="s">
        <v>131</v>
      </c>
      <c r="F119" s="7" t="s">
        <v>4878</v>
      </c>
      <c r="G119" s="17" t="s">
        <v>7747</v>
      </c>
      <c r="H119" s="7" t="s">
        <v>28</v>
      </c>
      <c r="I119" s="7" t="s">
        <v>245</v>
      </c>
      <c r="J119" s="7" t="s">
        <v>761</v>
      </c>
      <c r="K119" s="7" t="s">
        <v>1078</v>
      </c>
      <c r="L119" s="7" t="s">
        <v>247</v>
      </c>
      <c r="M119" s="7">
        <v>5.6245000000000003</v>
      </c>
      <c r="N119" s="7">
        <v>10.263444</v>
      </c>
      <c r="O119" s="7" t="s">
        <v>23</v>
      </c>
    </row>
    <row r="120" spans="1:15" x14ac:dyDescent="0.25">
      <c r="A120" s="2">
        <f t="shared" si="1"/>
        <v>118</v>
      </c>
      <c r="B120" s="7" t="s">
        <v>4879</v>
      </c>
      <c r="C120" s="7" t="s">
        <v>4880</v>
      </c>
      <c r="D120" s="7" t="s">
        <v>4879</v>
      </c>
      <c r="E120" s="7" t="s">
        <v>131</v>
      </c>
      <c r="F120" s="7" t="s">
        <v>4881</v>
      </c>
      <c r="G120" s="17" t="s">
        <v>7747</v>
      </c>
      <c r="H120" s="7" t="s">
        <v>28</v>
      </c>
      <c r="I120" s="7" t="s">
        <v>396</v>
      </c>
      <c r="J120" s="7" t="s">
        <v>397</v>
      </c>
      <c r="K120" s="7" t="s">
        <v>396</v>
      </c>
      <c r="L120" s="7" t="s">
        <v>247</v>
      </c>
      <c r="M120" s="7">
        <v>5.5726940000000003</v>
      </c>
      <c r="N120" s="7">
        <v>10.680889000000001</v>
      </c>
      <c r="O120" s="7" t="s">
        <v>23</v>
      </c>
    </row>
    <row r="121" spans="1:15" x14ac:dyDescent="0.25">
      <c r="A121" s="2">
        <f t="shared" si="1"/>
        <v>119</v>
      </c>
      <c r="B121" s="7" t="s">
        <v>4938</v>
      </c>
      <c r="C121" s="7" t="s">
        <v>4939</v>
      </c>
      <c r="D121" s="7" t="s">
        <v>4938</v>
      </c>
      <c r="E121" s="7" t="s">
        <v>131</v>
      </c>
      <c r="F121" s="7" t="s">
        <v>4940</v>
      </c>
      <c r="G121" s="17" t="s">
        <v>7747</v>
      </c>
      <c r="H121" s="7" t="s">
        <v>28</v>
      </c>
      <c r="I121" s="7" t="s">
        <v>783</v>
      </c>
      <c r="J121" s="7" t="s">
        <v>1070</v>
      </c>
      <c r="K121" s="7" t="s">
        <v>1071</v>
      </c>
      <c r="L121" s="7" t="s">
        <v>247</v>
      </c>
      <c r="M121" s="7">
        <v>5.4775499999999999</v>
      </c>
      <c r="N121" s="7">
        <v>10.4169</v>
      </c>
      <c r="O121" s="7" t="s">
        <v>613</v>
      </c>
    </row>
    <row r="122" spans="1:15" x14ac:dyDescent="0.25">
      <c r="A122" s="2">
        <f t="shared" si="1"/>
        <v>120</v>
      </c>
      <c r="B122" s="7" t="s">
        <v>4944</v>
      </c>
      <c r="C122" s="7" t="s">
        <v>4945</v>
      </c>
      <c r="D122" s="7" t="s">
        <v>4944</v>
      </c>
      <c r="E122" s="7" t="s">
        <v>131</v>
      </c>
      <c r="F122" s="7" t="s">
        <v>396</v>
      </c>
      <c r="G122" s="17" t="s">
        <v>7747</v>
      </c>
      <c r="H122" s="7" t="s">
        <v>19</v>
      </c>
      <c r="I122" s="7" t="s">
        <v>396</v>
      </c>
      <c r="J122" s="7" t="s">
        <v>397</v>
      </c>
      <c r="K122" s="7" t="s">
        <v>396</v>
      </c>
      <c r="L122" s="7" t="s">
        <v>247</v>
      </c>
      <c r="M122" s="7">
        <v>5.524953</v>
      </c>
      <c r="N122" s="7">
        <v>10.640806</v>
      </c>
      <c r="O122" s="7" t="s">
        <v>23</v>
      </c>
    </row>
    <row r="123" spans="1:15" x14ac:dyDescent="0.25">
      <c r="A123" s="2">
        <f t="shared" si="1"/>
        <v>121</v>
      </c>
      <c r="B123" s="7" t="s">
        <v>4956</v>
      </c>
      <c r="C123" s="7" t="s">
        <v>4957</v>
      </c>
      <c r="D123" s="7" t="s">
        <v>4956</v>
      </c>
      <c r="E123" s="7" t="s">
        <v>131</v>
      </c>
      <c r="F123" s="7" t="s">
        <v>4958</v>
      </c>
      <c r="G123" s="17" t="s">
        <v>7747</v>
      </c>
      <c r="H123" s="7" t="s">
        <v>28</v>
      </c>
      <c r="I123" s="7" t="s">
        <v>245</v>
      </c>
      <c r="J123" s="7" t="s">
        <v>761</v>
      </c>
      <c r="K123" s="7" t="s">
        <v>1078</v>
      </c>
      <c r="L123" s="7" t="s">
        <v>247</v>
      </c>
      <c r="M123" s="7">
        <v>5.625667</v>
      </c>
      <c r="N123" s="7">
        <v>10.257528000000001</v>
      </c>
      <c r="O123" s="7" t="s">
        <v>613</v>
      </c>
    </row>
    <row r="124" spans="1:15" x14ac:dyDescent="0.25">
      <c r="A124" s="2">
        <f t="shared" si="1"/>
        <v>122</v>
      </c>
      <c r="B124" s="7" t="s">
        <v>4983</v>
      </c>
      <c r="C124" s="7" t="s">
        <v>4984</v>
      </c>
      <c r="D124" s="7" t="s">
        <v>4983</v>
      </c>
      <c r="E124" s="7" t="s">
        <v>131</v>
      </c>
      <c r="F124" s="7" t="s">
        <v>4985</v>
      </c>
      <c r="G124" s="17" t="s">
        <v>7747</v>
      </c>
      <c r="H124" s="7" t="s">
        <v>28</v>
      </c>
      <c r="I124" s="7" t="s">
        <v>1069</v>
      </c>
      <c r="J124" s="7" t="s">
        <v>1070</v>
      </c>
      <c r="K124" s="7" t="s">
        <v>1071</v>
      </c>
      <c r="L124" s="7" t="s">
        <v>247</v>
      </c>
      <c r="M124" s="7">
        <v>5.4804469999999998</v>
      </c>
      <c r="N124" s="7">
        <v>10.444324999999999</v>
      </c>
      <c r="O124" s="7" t="s">
        <v>613</v>
      </c>
    </row>
    <row r="125" spans="1:15" x14ac:dyDescent="0.25">
      <c r="A125" s="2">
        <f t="shared" si="1"/>
        <v>123</v>
      </c>
      <c r="B125" s="7" t="s">
        <v>4991</v>
      </c>
      <c r="C125" s="7" t="s">
        <v>4992</v>
      </c>
      <c r="D125" s="7" t="s">
        <v>4991</v>
      </c>
      <c r="E125" s="7" t="s">
        <v>131</v>
      </c>
      <c r="F125" s="7" t="s">
        <v>4993</v>
      </c>
      <c r="G125" s="17" t="s">
        <v>7747</v>
      </c>
      <c r="H125" s="7" t="s">
        <v>19</v>
      </c>
      <c r="I125" s="7" t="s">
        <v>1069</v>
      </c>
      <c r="J125" s="7" t="s">
        <v>1070</v>
      </c>
      <c r="K125" s="7" t="s">
        <v>1071</v>
      </c>
      <c r="L125" s="7" t="s">
        <v>247</v>
      </c>
      <c r="M125" s="7">
        <v>5.4703030000000004</v>
      </c>
      <c r="N125" s="7">
        <v>10.407365</v>
      </c>
      <c r="O125" s="7" t="s">
        <v>613</v>
      </c>
    </row>
    <row r="126" spans="1:15" x14ac:dyDescent="0.25">
      <c r="A126" s="2">
        <f t="shared" si="1"/>
        <v>124</v>
      </c>
      <c r="B126" s="7" t="s">
        <v>5047</v>
      </c>
      <c r="C126" s="7" t="s">
        <v>5048</v>
      </c>
      <c r="D126" s="7" t="s">
        <v>5047</v>
      </c>
      <c r="E126" s="7" t="s">
        <v>131</v>
      </c>
      <c r="F126" s="7" t="s">
        <v>5049</v>
      </c>
      <c r="G126" s="17" t="s">
        <v>7747</v>
      </c>
      <c r="H126" s="7" t="s">
        <v>28</v>
      </c>
      <c r="I126" s="7" t="s">
        <v>145</v>
      </c>
      <c r="J126" s="7" t="s">
        <v>397</v>
      </c>
      <c r="K126" s="7" t="s">
        <v>145</v>
      </c>
      <c r="L126" s="7" t="s">
        <v>247</v>
      </c>
      <c r="M126" s="7">
        <v>5.7241669999999996</v>
      </c>
      <c r="N126" s="7">
        <v>10.900528</v>
      </c>
      <c r="O126" s="7" t="s">
        <v>613</v>
      </c>
    </row>
    <row r="127" spans="1:15" x14ac:dyDescent="0.25">
      <c r="A127" s="2">
        <f t="shared" si="1"/>
        <v>125</v>
      </c>
      <c r="B127" s="7" t="s">
        <v>5126</v>
      </c>
      <c r="C127" s="7" t="s">
        <v>5127</v>
      </c>
      <c r="D127" s="7" t="s">
        <v>5126</v>
      </c>
      <c r="E127" s="7" t="s">
        <v>131</v>
      </c>
      <c r="F127" s="7" t="s">
        <v>5128</v>
      </c>
      <c r="G127" s="17" t="s">
        <v>7747</v>
      </c>
      <c r="H127" s="7" t="s">
        <v>28</v>
      </c>
      <c r="I127" s="7" t="s">
        <v>783</v>
      </c>
      <c r="J127" s="7" t="s">
        <v>1070</v>
      </c>
      <c r="K127" s="7" t="s">
        <v>1071</v>
      </c>
      <c r="L127" s="7" t="s">
        <v>247</v>
      </c>
      <c r="M127" s="7">
        <v>5.4705000000000004</v>
      </c>
      <c r="N127" s="7">
        <v>10.407166999999999</v>
      </c>
      <c r="O127" s="7" t="s">
        <v>613</v>
      </c>
    </row>
    <row r="128" spans="1:15" x14ac:dyDescent="0.25">
      <c r="A128" s="2">
        <f t="shared" si="1"/>
        <v>126</v>
      </c>
      <c r="B128" s="7" t="s">
        <v>5147</v>
      </c>
      <c r="C128" s="7" t="s">
        <v>5148</v>
      </c>
      <c r="D128" s="7" t="s">
        <v>5147</v>
      </c>
      <c r="E128" s="7" t="s">
        <v>131</v>
      </c>
      <c r="F128" s="7" t="s">
        <v>5149</v>
      </c>
      <c r="G128" s="17" t="s">
        <v>7747</v>
      </c>
      <c r="H128" s="7" t="s">
        <v>28</v>
      </c>
      <c r="I128" s="7" t="s">
        <v>1069</v>
      </c>
      <c r="J128" s="7" t="s">
        <v>1070</v>
      </c>
      <c r="K128" s="7" t="s">
        <v>1071</v>
      </c>
      <c r="L128" s="7" t="s">
        <v>247</v>
      </c>
      <c r="M128" s="7">
        <v>5.478961</v>
      </c>
      <c r="N128" s="7">
        <v>10.418663</v>
      </c>
      <c r="O128" s="7" t="s">
        <v>613</v>
      </c>
    </row>
    <row r="129" spans="1:15" x14ac:dyDescent="0.25">
      <c r="A129" s="2">
        <f t="shared" si="1"/>
        <v>127</v>
      </c>
      <c r="B129" s="7" t="s">
        <v>5153</v>
      </c>
      <c r="C129" s="7" t="s">
        <v>5154</v>
      </c>
      <c r="D129" s="7" t="s">
        <v>5153</v>
      </c>
      <c r="E129" s="7" t="s">
        <v>131</v>
      </c>
      <c r="F129" s="7" t="s">
        <v>5155</v>
      </c>
      <c r="G129" s="17" t="s">
        <v>7747</v>
      </c>
      <c r="H129" s="7" t="s">
        <v>28</v>
      </c>
      <c r="I129" s="7" t="s">
        <v>783</v>
      </c>
      <c r="J129" s="7" t="s">
        <v>1069</v>
      </c>
      <c r="K129" s="7" t="s">
        <v>1071</v>
      </c>
      <c r="L129" s="7" t="s">
        <v>247</v>
      </c>
      <c r="M129" s="7">
        <v>5.4466939999999999</v>
      </c>
      <c r="N129" s="7">
        <v>10.423693999999999</v>
      </c>
      <c r="O129" s="7" t="s">
        <v>613</v>
      </c>
    </row>
    <row r="130" spans="1:15" x14ac:dyDescent="0.25">
      <c r="A130" s="2">
        <f t="shared" si="1"/>
        <v>128</v>
      </c>
      <c r="B130" s="7" t="s">
        <v>5183</v>
      </c>
      <c r="C130" s="7" t="s">
        <v>5184</v>
      </c>
      <c r="D130" s="7" t="s">
        <v>5183</v>
      </c>
      <c r="E130" s="7" t="s">
        <v>131</v>
      </c>
      <c r="F130" s="7" t="s">
        <v>5185</v>
      </c>
      <c r="G130" s="17" t="s">
        <v>7747</v>
      </c>
      <c r="H130" s="7" t="s">
        <v>19</v>
      </c>
      <c r="I130" s="7" t="s">
        <v>1042</v>
      </c>
      <c r="J130" s="7" t="s">
        <v>1043</v>
      </c>
      <c r="K130" s="7" t="s">
        <v>1042</v>
      </c>
      <c r="L130" s="7" t="s">
        <v>247</v>
      </c>
      <c r="M130" s="7">
        <v>5.14</v>
      </c>
      <c r="N130" s="7">
        <v>10.524305999999999</v>
      </c>
      <c r="O130" s="7" t="s">
        <v>613</v>
      </c>
    </row>
    <row r="131" spans="1:15" x14ac:dyDescent="0.25">
      <c r="A131" s="2">
        <f t="shared" si="1"/>
        <v>129</v>
      </c>
      <c r="B131" s="7" t="s">
        <v>5284</v>
      </c>
      <c r="C131" s="7" t="s">
        <v>5285</v>
      </c>
      <c r="D131" s="7" t="s">
        <v>5284</v>
      </c>
      <c r="E131" s="7" t="s">
        <v>131</v>
      </c>
      <c r="F131" s="7" t="s">
        <v>5286</v>
      </c>
      <c r="G131" s="17" t="s">
        <v>7747</v>
      </c>
      <c r="H131" s="7" t="s">
        <v>19</v>
      </c>
      <c r="I131" s="7" t="s">
        <v>1069</v>
      </c>
      <c r="J131" s="7" t="s">
        <v>1070</v>
      </c>
      <c r="K131" s="7" t="s">
        <v>1071</v>
      </c>
      <c r="L131" s="7" t="s">
        <v>247</v>
      </c>
      <c r="M131" s="7">
        <v>5.4944280000000001</v>
      </c>
      <c r="N131" s="7">
        <v>10.3995</v>
      </c>
      <c r="O131" s="7" t="s">
        <v>613</v>
      </c>
    </row>
    <row r="132" spans="1:15" x14ac:dyDescent="0.25">
      <c r="A132" s="2">
        <f t="shared" si="1"/>
        <v>130</v>
      </c>
      <c r="B132" s="7" t="s">
        <v>5377</v>
      </c>
      <c r="C132" s="7" t="s">
        <v>5378</v>
      </c>
      <c r="D132" s="7" t="s">
        <v>5377</v>
      </c>
      <c r="E132" s="7" t="s">
        <v>131</v>
      </c>
      <c r="F132" s="7" t="s">
        <v>5379</v>
      </c>
      <c r="G132" s="17" t="s">
        <v>7747</v>
      </c>
      <c r="H132" s="7" t="s">
        <v>28</v>
      </c>
      <c r="I132" s="7" t="s">
        <v>783</v>
      </c>
      <c r="J132" s="7" t="s">
        <v>1070</v>
      </c>
      <c r="K132" s="7" t="s">
        <v>1071</v>
      </c>
      <c r="L132" s="7" t="s">
        <v>247</v>
      </c>
      <c r="M132" s="7">
        <v>5.4855559999999999</v>
      </c>
      <c r="N132" s="7">
        <v>10.413971999999999</v>
      </c>
      <c r="O132" s="7" t="s">
        <v>613</v>
      </c>
    </row>
    <row r="133" spans="1:15" x14ac:dyDescent="0.25">
      <c r="A133" s="2">
        <f t="shared" ref="A133:A196" si="2">+A132+1</f>
        <v>131</v>
      </c>
      <c r="B133" s="7" t="s">
        <v>5380</v>
      </c>
      <c r="C133" s="7" t="s">
        <v>5381</v>
      </c>
      <c r="D133" s="7" t="s">
        <v>5380</v>
      </c>
      <c r="E133" s="7" t="s">
        <v>131</v>
      </c>
      <c r="F133" s="7" t="s">
        <v>5382</v>
      </c>
      <c r="G133" s="17" t="s">
        <v>7747</v>
      </c>
      <c r="H133" s="7" t="s">
        <v>28</v>
      </c>
      <c r="I133" s="7" t="s">
        <v>783</v>
      </c>
      <c r="J133" s="7" t="s">
        <v>1070</v>
      </c>
      <c r="K133" s="7" t="s">
        <v>1071</v>
      </c>
      <c r="L133" s="7" t="s">
        <v>247</v>
      </c>
      <c r="M133" s="7">
        <v>5.4621300000000002</v>
      </c>
      <c r="N133" s="7">
        <v>10.409955999999999</v>
      </c>
      <c r="O133" s="7" t="s">
        <v>613</v>
      </c>
    </row>
    <row r="134" spans="1:15" x14ac:dyDescent="0.25">
      <c r="A134" s="2">
        <f t="shared" si="2"/>
        <v>132</v>
      </c>
      <c r="B134" s="7" t="s">
        <v>5511</v>
      </c>
      <c r="C134" s="7" t="s">
        <v>5512</v>
      </c>
      <c r="D134" s="7" t="s">
        <v>5511</v>
      </c>
      <c r="E134" s="7" t="s">
        <v>131</v>
      </c>
      <c r="F134" s="7" t="s">
        <v>5513</v>
      </c>
      <c r="G134" s="17" t="s">
        <v>7747</v>
      </c>
      <c r="H134" s="7" t="s">
        <v>19</v>
      </c>
      <c r="I134" s="7" t="s">
        <v>1069</v>
      </c>
      <c r="J134" s="7" t="s">
        <v>1070</v>
      </c>
      <c r="K134" s="7" t="s">
        <v>1071</v>
      </c>
      <c r="L134" s="7" t="s">
        <v>247</v>
      </c>
      <c r="M134" s="7">
        <v>5.4786669999999997</v>
      </c>
      <c r="N134" s="7">
        <v>10.414917000000001</v>
      </c>
      <c r="O134" s="7" t="s">
        <v>613</v>
      </c>
    </row>
    <row r="135" spans="1:15" x14ac:dyDescent="0.25">
      <c r="A135" s="2">
        <f t="shared" si="2"/>
        <v>133</v>
      </c>
      <c r="B135" s="7" t="s">
        <v>5662</v>
      </c>
      <c r="C135" s="7" t="s">
        <v>5663</v>
      </c>
      <c r="D135" s="7" t="s">
        <v>5662</v>
      </c>
      <c r="E135" s="7" t="s">
        <v>131</v>
      </c>
      <c r="F135" s="7" t="s">
        <v>5664</v>
      </c>
      <c r="G135" s="17" t="s">
        <v>7747</v>
      </c>
      <c r="H135" s="7" t="s">
        <v>28</v>
      </c>
      <c r="I135" s="7" t="s">
        <v>1042</v>
      </c>
      <c r="J135" s="7" t="s">
        <v>1043</v>
      </c>
      <c r="K135" s="7" t="s">
        <v>1042</v>
      </c>
      <c r="L135" s="7" t="s">
        <v>247</v>
      </c>
      <c r="M135" s="7">
        <v>5.1471150000000003</v>
      </c>
      <c r="N135" s="7">
        <v>10.51994</v>
      </c>
      <c r="O135" s="7" t="s">
        <v>613</v>
      </c>
    </row>
    <row r="136" spans="1:15" x14ac:dyDescent="0.25">
      <c r="A136" s="2">
        <f t="shared" si="2"/>
        <v>134</v>
      </c>
      <c r="B136" s="7" t="s">
        <v>5903</v>
      </c>
      <c r="C136" s="7" t="s">
        <v>5904</v>
      </c>
      <c r="D136" s="7" t="s">
        <v>5903</v>
      </c>
      <c r="E136" s="7" t="s">
        <v>131</v>
      </c>
      <c r="F136" s="7" t="s">
        <v>5905</v>
      </c>
      <c r="G136" s="17" t="s">
        <v>7747</v>
      </c>
      <c r="H136" s="7" t="s">
        <v>28</v>
      </c>
      <c r="I136" s="7" t="s">
        <v>145</v>
      </c>
      <c r="J136" s="7" t="s">
        <v>397</v>
      </c>
      <c r="K136" s="7" t="s">
        <v>5905</v>
      </c>
      <c r="L136" s="7" t="s">
        <v>247</v>
      </c>
      <c r="M136" s="7">
        <v>5.8249199999999997</v>
      </c>
      <c r="N136" s="7">
        <v>10.945499999999999</v>
      </c>
      <c r="O136" s="7" t="s">
        <v>23</v>
      </c>
    </row>
    <row r="137" spans="1:15" x14ac:dyDescent="0.25">
      <c r="A137" s="2">
        <f t="shared" si="2"/>
        <v>135</v>
      </c>
      <c r="B137" s="7" t="s">
        <v>5908</v>
      </c>
      <c r="C137" s="7" t="s">
        <v>5909</v>
      </c>
      <c r="D137" s="7" t="s">
        <v>5908</v>
      </c>
      <c r="E137" s="7" t="s">
        <v>131</v>
      </c>
      <c r="F137" s="7" t="s">
        <v>5910</v>
      </c>
      <c r="G137" s="17" t="s">
        <v>7747</v>
      </c>
      <c r="H137" s="7" t="s">
        <v>28</v>
      </c>
      <c r="I137" s="7" t="s">
        <v>133</v>
      </c>
      <c r="J137" s="7" t="s">
        <v>317</v>
      </c>
      <c r="K137" s="7" t="s">
        <v>5910</v>
      </c>
      <c r="L137" s="7" t="s">
        <v>247</v>
      </c>
      <c r="M137" s="7">
        <v>4.9594009999999997</v>
      </c>
      <c r="N137" s="7">
        <v>11.387579000000001</v>
      </c>
      <c r="O137" s="7" t="s">
        <v>23</v>
      </c>
    </row>
    <row r="138" spans="1:15" x14ac:dyDescent="0.25">
      <c r="A138" s="2">
        <f t="shared" si="2"/>
        <v>136</v>
      </c>
      <c r="B138" s="7" t="s">
        <v>6334</v>
      </c>
      <c r="C138" s="7" t="s">
        <v>6335</v>
      </c>
      <c r="D138" s="7" t="s">
        <v>6334</v>
      </c>
      <c r="E138" s="7" t="s">
        <v>131</v>
      </c>
      <c r="F138" s="7" t="s">
        <v>6336</v>
      </c>
      <c r="G138" s="17" t="s">
        <v>7747</v>
      </c>
      <c r="H138" s="7" t="s">
        <v>28</v>
      </c>
      <c r="I138" s="7" t="s">
        <v>396</v>
      </c>
      <c r="J138" s="7" t="s">
        <v>397</v>
      </c>
      <c r="K138" s="7" t="s">
        <v>6336</v>
      </c>
      <c r="L138" s="7" t="s">
        <v>247</v>
      </c>
      <c r="M138" s="7">
        <v>5.4272220000000004</v>
      </c>
      <c r="N138" s="7">
        <v>11.015556</v>
      </c>
      <c r="O138" s="7" t="s">
        <v>23</v>
      </c>
    </row>
    <row r="139" spans="1:15" x14ac:dyDescent="0.25">
      <c r="A139" s="2">
        <f t="shared" si="2"/>
        <v>137</v>
      </c>
      <c r="B139" s="7" t="s">
        <v>6467</v>
      </c>
      <c r="C139" s="7" t="s">
        <v>6468</v>
      </c>
      <c r="D139" s="7" t="s">
        <v>6467</v>
      </c>
      <c r="E139" s="7" t="s">
        <v>131</v>
      </c>
      <c r="F139" s="7" t="s">
        <v>6469</v>
      </c>
      <c r="G139" s="17" t="s">
        <v>7747</v>
      </c>
      <c r="H139" s="7" t="s">
        <v>28</v>
      </c>
      <c r="I139" s="7" t="s">
        <v>145</v>
      </c>
      <c r="J139" s="7" t="s">
        <v>397</v>
      </c>
      <c r="K139" s="7" t="s">
        <v>5905</v>
      </c>
      <c r="L139" s="7" t="s">
        <v>247</v>
      </c>
      <c r="M139" s="7">
        <v>5.8473800000000002</v>
      </c>
      <c r="N139" s="7">
        <v>11.05672</v>
      </c>
      <c r="O139" s="7" t="s">
        <v>23</v>
      </c>
    </row>
    <row r="140" spans="1:15" x14ac:dyDescent="0.25">
      <c r="A140" s="2">
        <f t="shared" si="2"/>
        <v>138</v>
      </c>
      <c r="B140" s="7" t="s">
        <v>6483</v>
      </c>
      <c r="C140" s="7" t="s">
        <v>6484</v>
      </c>
      <c r="D140" s="7" t="s">
        <v>6483</v>
      </c>
      <c r="E140" s="7" t="s">
        <v>131</v>
      </c>
      <c r="F140" s="7" t="s">
        <v>6485</v>
      </c>
      <c r="G140" s="17" t="s">
        <v>7747</v>
      </c>
      <c r="H140" s="7" t="s">
        <v>28</v>
      </c>
      <c r="I140" s="7" t="s">
        <v>133</v>
      </c>
      <c r="J140" s="7" t="s">
        <v>317</v>
      </c>
      <c r="K140" s="7" t="s">
        <v>6485</v>
      </c>
      <c r="L140" s="7" t="s">
        <v>247</v>
      </c>
      <c r="M140" s="7">
        <v>4.9379499999999998</v>
      </c>
      <c r="N140" s="7">
        <v>11.259641</v>
      </c>
      <c r="O140" s="7" t="s">
        <v>23</v>
      </c>
    </row>
    <row r="141" spans="1:15" x14ac:dyDescent="0.25">
      <c r="A141" s="2">
        <f t="shared" si="2"/>
        <v>139</v>
      </c>
      <c r="B141" s="7" t="s">
        <v>6563</v>
      </c>
      <c r="C141" s="7" t="s">
        <v>6564</v>
      </c>
      <c r="D141" s="7" t="s">
        <v>6563</v>
      </c>
      <c r="E141" s="7" t="s">
        <v>131</v>
      </c>
      <c r="F141" s="7" t="s">
        <v>6565</v>
      </c>
      <c r="G141" s="17" t="s">
        <v>7747</v>
      </c>
      <c r="H141" s="7" t="s">
        <v>19</v>
      </c>
      <c r="I141" s="7" t="s">
        <v>133</v>
      </c>
      <c r="J141" s="7" t="s">
        <v>317</v>
      </c>
      <c r="K141" s="7" t="s">
        <v>417</v>
      </c>
      <c r="L141" s="7" t="s">
        <v>247</v>
      </c>
      <c r="M141" s="7">
        <v>4.8360219999999998</v>
      </c>
      <c r="N141" s="7">
        <v>11.077894000000001</v>
      </c>
      <c r="O141" s="7" t="s">
        <v>23</v>
      </c>
    </row>
    <row r="142" spans="1:15" x14ac:dyDescent="0.25">
      <c r="A142" s="2">
        <f t="shared" si="2"/>
        <v>140</v>
      </c>
      <c r="B142" s="7" t="s">
        <v>6634</v>
      </c>
      <c r="C142" s="7" t="s">
        <v>6635</v>
      </c>
      <c r="D142" s="7" t="s">
        <v>6634</v>
      </c>
      <c r="E142" s="7" t="s">
        <v>131</v>
      </c>
      <c r="F142" s="7" t="s">
        <v>6636</v>
      </c>
      <c r="G142" s="17" t="s">
        <v>7747</v>
      </c>
      <c r="H142" s="7" t="s">
        <v>28</v>
      </c>
      <c r="I142" s="7" t="s">
        <v>1069</v>
      </c>
      <c r="J142" s="7" t="s">
        <v>1070</v>
      </c>
      <c r="K142" s="7" t="s">
        <v>1071</v>
      </c>
      <c r="L142" s="7" t="s">
        <v>247</v>
      </c>
      <c r="M142" s="7">
        <v>5.4730559999999997</v>
      </c>
      <c r="N142" s="7">
        <v>10.426</v>
      </c>
      <c r="O142" s="7" t="s">
        <v>613</v>
      </c>
    </row>
    <row r="143" spans="1:15" x14ac:dyDescent="0.25">
      <c r="A143" s="2">
        <f t="shared" si="2"/>
        <v>141</v>
      </c>
      <c r="B143" s="7" t="s">
        <v>6860</v>
      </c>
      <c r="C143" s="7" t="s">
        <v>6861</v>
      </c>
      <c r="D143" s="7" t="s">
        <v>6860</v>
      </c>
      <c r="E143" s="7" t="s">
        <v>131</v>
      </c>
      <c r="F143" s="7" t="s">
        <v>6862</v>
      </c>
      <c r="G143" s="17" t="s">
        <v>7747</v>
      </c>
      <c r="H143" s="7" t="s">
        <v>28</v>
      </c>
      <c r="I143" s="7" t="s">
        <v>396</v>
      </c>
      <c r="J143" s="7" t="s">
        <v>397</v>
      </c>
      <c r="K143" s="7" t="s">
        <v>145</v>
      </c>
      <c r="L143" s="7" t="s">
        <v>247</v>
      </c>
      <c r="M143" s="7">
        <v>5.6541699999999997</v>
      </c>
      <c r="N143" s="7">
        <v>10.8042</v>
      </c>
      <c r="O143" s="7" t="s">
        <v>23</v>
      </c>
    </row>
    <row r="144" spans="1:15" x14ac:dyDescent="0.25">
      <c r="A144" s="2">
        <f t="shared" si="2"/>
        <v>142</v>
      </c>
      <c r="B144" s="7" t="s">
        <v>6893</v>
      </c>
      <c r="C144" s="7" t="s">
        <v>6894</v>
      </c>
      <c r="D144" s="7" t="s">
        <v>6893</v>
      </c>
      <c r="E144" s="7" t="s">
        <v>131</v>
      </c>
      <c r="F144" s="7" t="s">
        <v>6895</v>
      </c>
      <c r="G144" s="17" t="s">
        <v>7747</v>
      </c>
      <c r="H144" s="7" t="s">
        <v>28</v>
      </c>
      <c r="I144" s="7" t="s">
        <v>396</v>
      </c>
      <c r="J144" s="7" t="s">
        <v>1070</v>
      </c>
      <c r="K144" s="7" t="s">
        <v>1071</v>
      </c>
      <c r="L144" s="7" t="s">
        <v>247</v>
      </c>
      <c r="M144" s="7">
        <v>5.4806140000000001</v>
      </c>
      <c r="N144" s="7">
        <v>10.549125</v>
      </c>
      <c r="O144" s="7" t="s">
        <v>23</v>
      </c>
    </row>
    <row r="145" spans="1:15" x14ac:dyDescent="0.25">
      <c r="A145" s="2">
        <f t="shared" si="2"/>
        <v>143</v>
      </c>
      <c r="B145" s="7" t="s">
        <v>7054</v>
      </c>
      <c r="C145" s="7" t="s">
        <v>7055</v>
      </c>
      <c r="D145" s="7" t="s">
        <v>7054</v>
      </c>
      <c r="E145" s="7" t="s">
        <v>131</v>
      </c>
      <c r="F145" s="7" t="s">
        <v>7056</v>
      </c>
      <c r="G145" s="17" t="s">
        <v>7747</v>
      </c>
      <c r="H145" s="7" t="s">
        <v>28</v>
      </c>
      <c r="I145" s="7" t="s">
        <v>1069</v>
      </c>
      <c r="J145" s="7" t="s">
        <v>1070</v>
      </c>
      <c r="K145" s="7" t="s">
        <v>1071</v>
      </c>
      <c r="L145" s="7" t="s">
        <v>247</v>
      </c>
      <c r="M145" s="7">
        <v>5.4892200000000004</v>
      </c>
      <c r="N145" s="7">
        <v>10.395720000000001</v>
      </c>
      <c r="O145" s="7" t="s">
        <v>613</v>
      </c>
    </row>
    <row r="146" spans="1:15" x14ac:dyDescent="0.25">
      <c r="A146" s="2">
        <f t="shared" si="2"/>
        <v>144</v>
      </c>
      <c r="B146" s="7" t="s">
        <v>7262</v>
      </c>
      <c r="C146" s="7" t="s">
        <v>7263</v>
      </c>
      <c r="D146" s="7" t="s">
        <v>7262</v>
      </c>
      <c r="E146" s="7" t="s">
        <v>131</v>
      </c>
      <c r="F146" s="7" t="s">
        <v>7264</v>
      </c>
      <c r="G146" s="17" t="s">
        <v>7747</v>
      </c>
      <c r="H146" s="7" t="s">
        <v>28</v>
      </c>
      <c r="I146" s="7" t="s">
        <v>1042</v>
      </c>
      <c r="J146" s="7" t="s">
        <v>1043</v>
      </c>
      <c r="K146" s="7" t="s">
        <v>7265</v>
      </c>
      <c r="L146" s="7" t="s">
        <v>247</v>
      </c>
      <c r="M146" s="7">
        <v>5.181743</v>
      </c>
      <c r="N146" s="7">
        <v>10.369114</v>
      </c>
      <c r="O146" s="7" t="s">
        <v>23</v>
      </c>
    </row>
    <row r="147" spans="1:15" x14ac:dyDescent="0.25">
      <c r="A147" s="2">
        <f t="shared" si="2"/>
        <v>145</v>
      </c>
      <c r="B147" s="7" t="s">
        <v>7460</v>
      </c>
      <c r="C147" s="7" t="s">
        <v>7461</v>
      </c>
      <c r="D147" s="7" t="s">
        <v>7460</v>
      </c>
      <c r="E147" s="7" t="s">
        <v>131</v>
      </c>
      <c r="F147" s="7" t="s">
        <v>7462</v>
      </c>
      <c r="G147" s="17" t="s">
        <v>7747</v>
      </c>
      <c r="H147" s="7" t="s">
        <v>28</v>
      </c>
      <c r="I147" s="7" t="s">
        <v>1042</v>
      </c>
      <c r="J147" s="7" t="s">
        <v>1043</v>
      </c>
      <c r="K147" s="7" t="s">
        <v>7463</v>
      </c>
      <c r="L147" s="7" t="s">
        <v>247</v>
      </c>
      <c r="M147" s="7">
        <v>5.1225120000000004</v>
      </c>
      <c r="N147" s="7">
        <v>10.538926999999999</v>
      </c>
      <c r="O147" s="7" t="s">
        <v>23</v>
      </c>
    </row>
    <row r="148" spans="1:15" x14ac:dyDescent="0.25">
      <c r="A148" s="2">
        <f t="shared" si="2"/>
        <v>146</v>
      </c>
      <c r="B148" s="7" t="s">
        <v>7496</v>
      </c>
      <c r="C148" s="7" t="s">
        <v>7497</v>
      </c>
      <c r="D148" s="7" t="s">
        <v>7496</v>
      </c>
      <c r="E148" s="7" t="s">
        <v>7498</v>
      </c>
      <c r="F148" s="7" t="s">
        <v>7499</v>
      </c>
      <c r="G148" s="17" t="s">
        <v>7747</v>
      </c>
      <c r="H148" s="7" t="s">
        <v>28</v>
      </c>
      <c r="I148" s="7" t="s">
        <v>1069</v>
      </c>
      <c r="J148" s="7" t="s">
        <v>1070</v>
      </c>
      <c r="K148" s="7" t="s">
        <v>1071</v>
      </c>
      <c r="L148" s="7" t="s">
        <v>247</v>
      </c>
      <c r="M148" s="7">
        <v>5.4711980000000002</v>
      </c>
      <c r="N148" s="7">
        <v>10.415765</v>
      </c>
      <c r="O148" s="7" t="s">
        <v>613</v>
      </c>
    </row>
    <row r="149" spans="1:15" x14ac:dyDescent="0.25">
      <c r="A149" s="2">
        <f t="shared" si="2"/>
        <v>147</v>
      </c>
      <c r="B149" s="7" t="s">
        <v>7520</v>
      </c>
      <c r="C149" s="7" t="s">
        <v>7521</v>
      </c>
      <c r="D149" s="7" t="s">
        <v>7520</v>
      </c>
      <c r="E149" s="7" t="s">
        <v>131</v>
      </c>
      <c r="F149" s="7" t="s">
        <v>7522</v>
      </c>
      <c r="G149" s="17" t="s">
        <v>7747</v>
      </c>
      <c r="H149" s="7" t="s">
        <v>28</v>
      </c>
      <c r="I149" s="7" t="s">
        <v>145</v>
      </c>
      <c r="J149" s="7" t="s">
        <v>397</v>
      </c>
      <c r="K149" s="7" t="s">
        <v>145</v>
      </c>
      <c r="L149" s="7" t="s">
        <v>247</v>
      </c>
      <c r="M149" s="7">
        <v>5.7090620000000003</v>
      </c>
      <c r="N149" s="7">
        <v>10.862035000000001</v>
      </c>
      <c r="O149" s="7" t="s">
        <v>23</v>
      </c>
    </row>
    <row r="150" spans="1:15" x14ac:dyDescent="0.25">
      <c r="A150" s="2">
        <f t="shared" si="2"/>
        <v>148</v>
      </c>
      <c r="B150" s="7" t="s">
        <v>7552</v>
      </c>
      <c r="C150" s="7" t="s">
        <v>7553</v>
      </c>
      <c r="D150" s="7" t="s">
        <v>7552</v>
      </c>
      <c r="E150" s="7" t="s">
        <v>131</v>
      </c>
      <c r="F150" s="7" t="s">
        <v>7554</v>
      </c>
      <c r="G150" s="17" t="s">
        <v>7747</v>
      </c>
      <c r="H150" s="7" t="s">
        <v>28</v>
      </c>
      <c r="I150" s="7" t="s">
        <v>145</v>
      </c>
      <c r="J150" s="7" t="s">
        <v>397</v>
      </c>
      <c r="K150" s="7" t="s">
        <v>145</v>
      </c>
      <c r="L150" s="7" t="s">
        <v>247</v>
      </c>
      <c r="M150" s="7">
        <v>5.6468800000000003</v>
      </c>
      <c r="N150" s="7">
        <v>10.887779999999999</v>
      </c>
      <c r="O150" s="7" t="s">
        <v>23</v>
      </c>
    </row>
    <row r="151" spans="1:15" x14ac:dyDescent="0.25">
      <c r="A151" s="2">
        <f t="shared" si="2"/>
        <v>149</v>
      </c>
      <c r="B151" s="7" t="s">
        <v>7566</v>
      </c>
      <c r="C151" s="7" t="s">
        <v>7567</v>
      </c>
      <c r="D151" s="7" t="s">
        <v>7566</v>
      </c>
      <c r="E151" s="7" t="s">
        <v>131</v>
      </c>
      <c r="F151" s="7" t="s">
        <v>7568</v>
      </c>
      <c r="G151" s="17" t="s">
        <v>7747</v>
      </c>
      <c r="H151" s="7" t="s">
        <v>28</v>
      </c>
      <c r="I151" s="7" t="s">
        <v>7329</v>
      </c>
      <c r="J151" s="7" t="s">
        <v>7562</v>
      </c>
      <c r="K151" s="7" t="s">
        <v>2327</v>
      </c>
      <c r="L151" s="7" t="s">
        <v>247</v>
      </c>
      <c r="M151" s="7">
        <v>5.5597099999999999</v>
      </c>
      <c r="N151" s="7">
        <v>10.28415</v>
      </c>
      <c r="O151" s="7" t="s">
        <v>23</v>
      </c>
    </row>
    <row r="152" spans="1:15" x14ac:dyDescent="0.25">
      <c r="A152" s="2">
        <f t="shared" si="2"/>
        <v>150</v>
      </c>
      <c r="B152" s="7" t="s">
        <v>7569</v>
      </c>
      <c r="C152" s="7" t="s">
        <v>7570</v>
      </c>
      <c r="D152" s="7" t="s">
        <v>7569</v>
      </c>
      <c r="E152" s="7" t="s">
        <v>131</v>
      </c>
      <c r="F152" s="7" t="s">
        <v>7571</v>
      </c>
      <c r="G152" s="17" t="s">
        <v>7747</v>
      </c>
      <c r="H152" s="7" t="s">
        <v>28</v>
      </c>
      <c r="I152" s="7" t="s">
        <v>145</v>
      </c>
      <c r="J152" s="7" t="s">
        <v>397</v>
      </c>
      <c r="K152" s="7" t="s">
        <v>145</v>
      </c>
      <c r="L152" s="7" t="s">
        <v>247</v>
      </c>
      <c r="M152" s="7">
        <v>5.8461860000000003</v>
      </c>
      <c r="N152" s="7">
        <v>10.88687</v>
      </c>
      <c r="O152" s="7" t="s">
        <v>23</v>
      </c>
    </row>
    <row r="153" spans="1:15" x14ac:dyDescent="0.25">
      <c r="A153" s="2">
        <f t="shared" si="2"/>
        <v>151</v>
      </c>
      <c r="B153" s="7" t="s">
        <v>7654</v>
      </c>
      <c r="C153" s="7" t="s">
        <v>7655</v>
      </c>
      <c r="D153" s="7" t="s">
        <v>7654</v>
      </c>
      <c r="E153" s="7" t="s">
        <v>131</v>
      </c>
      <c r="F153" s="7" t="s">
        <v>7656</v>
      </c>
      <c r="G153" s="17" t="s">
        <v>7747</v>
      </c>
      <c r="H153" s="7" t="s">
        <v>28</v>
      </c>
      <c r="I153" s="7" t="s">
        <v>165</v>
      </c>
      <c r="J153" s="7" t="s">
        <v>715</v>
      </c>
      <c r="K153" s="7" t="s">
        <v>2216</v>
      </c>
      <c r="L153" s="7" t="s">
        <v>247</v>
      </c>
      <c r="M153" s="10">
        <v>5.1435750000000002</v>
      </c>
      <c r="N153" s="10">
        <v>10.277202000000001</v>
      </c>
      <c r="O153" s="7" t="s">
        <v>23</v>
      </c>
    </row>
    <row r="154" spans="1:15" x14ac:dyDescent="0.25">
      <c r="A154" s="2">
        <f t="shared" si="2"/>
        <v>152</v>
      </c>
      <c r="B154" s="7" t="s">
        <v>7666</v>
      </c>
      <c r="C154" s="7" t="s">
        <v>7667</v>
      </c>
      <c r="D154" s="7" t="s">
        <v>7666</v>
      </c>
      <c r="E154" s="10" t="s">
        <v>131</v>
      </c>
      <c r="F154" s="7" t="s">
        <v>7668</v>
      </c>
      <c r="G154" s="17" t="s">
        <v>7747</v>
      </c>
      <c r="H154" s="7" t="s">
        <v>28</v>
      </c>
      <c r="I154" s="7" t="s">
        <v>1069</v>
      </c>
      <c r="J154" s="7" t="s">
        <v>1070</v>
      </c>
      <c r="K154" s="7" t="s">
        <v>1071</v>
      </c>
      <c r="L154" s="7" t="s">
        <v>247</v>
      </c>
      <c r="M154" s="10">
        <v>5.4559625</v>
      </c>
      <c r="N154" s="10">
        <v>10.415249722</v>
      </c>
      <c r="O154" s="7" t="s">
        <v>613</v>
      </c>
    </row>
    <row r="155" spans="1:15" x14ac:dyDescent="0.25">
      <c r="A155" s="2">
        <f t="shared" si="2"/>
        <v>153</v>
      </c>
      <c r="B155" s="7" t="s">
        <v>24</v>
      </c>
      <c r="C155" s="7" t="s">
        <v>25</v>
      </c>
      <c r="D155" s="7" t="s">
        <v>24</v>
      </c>
      <c r="E155" s="7" t="s">
        <v>26</v>
      </c>
      <c r="F155" s="7" t="s">
        <v>27</v>
      </c>
      <c r="G155" s="8" t="s">
        <v>18</v>
      </c>
      <c r="H155" s="7" t="s">
        <v>28</v>
      </c>
      <c r="I155" s="7" t="s">
        <v>29</v>
      </c>
      <c r="J155" s="7" t="s">
        <v>30</v>
      </c>
      <c r="K155" s="7" t="s">
        <v>27</v>
      </c>
      <c r="L155" s="7" t="s">
        <v>31</v>
      </c>
      <c r="M155" s="7">
        <v>6.5311833330000004</v>
      </c>
      <c r="N155" s="7">
        <v>10.199999999999999</v>
      </c>
      <c r="O155" s="7" t="s">
        <v>23</v>
      </c>
    </row>
    <row r="156" spans="1:15" x14ac:dyDescent="0.25">
      <c r="A156" s="2">
        <f t="shared" si="2"/>
        <v>154</v>
      </c>
      <c r="B156" s="7" t="s">
        <v>111</v>
      </c>
      <c r="C156" s="7" t="s">
        <v>112</v>
      </c>
      <c r="D156" s="7" t="s">
        <v>111</v>
      </c>
      <c r="E156" s="7" t="s">
        <v>26</v>
      </c>
      <c r="F156" s="7" t="s">
        <v>113</v>
      </c>
      <c r="G156" s="8" t="s">
        <v>18</v>
      </c>
      <c r="H156" s="7" t="s">
        <v>28</v>
      </c>
      <c r="I156" s="7" t="s">
        <v>114</v>
      </c>
      <c r="J156" s="7" t="s">
        <v>115</v>
      </c>
      <c r="K156" s="7" t="s">
        <v>116</v>
      </c>
      <c r="L156" s="7" t="s">
        <v>31</v>
      </c>
      <c r="M156" s="7">
        <v>6.3445109999999998</v>
      </c>
      <c r="N156" s="7">
        <v>10.770329</v>
      </c>
      <c r="O156" s="7" t="s">
        <v>23</v>
      </c>
    </row>
    <row r="157" spans="1:15" x14ac:dyDescent="0.25">
      <c r="A157" s="2">
        <f t="shared" si="2"/>
        <v>155</v>
      </c>
      <c r="B157" s="7" t="s">
        <v>137</v>
      </c>
      <c r="C157" s="7" t="s">
        <v>138</v>
      </c>
      <c r="D157" s="7" t="s">
        <v>137</v>
      </c>
      <c r="E157" s="7" t="s">
        <v>26</v>
      </c>
      <c r="F157" s="7" t="s">
        <v>139</v>
      </c>
      <c r="G157" s="8" t="s">
        <v>18</v>
      </c>
      <c r="H157" s="7" t="s">
        <v>28</v>
      </c>
      <c r="I157" s="7" t="s">
        <v>140</v>
      </c>
      <c r="J157" s="7" t="s">
        <v>115</v>
      </c>
      <c r="K157" s="7" t="s">
        <v>141</v>
      </c>
      <c r="L157" s="7" t="s">
        <v>31</v>
      </c>
      <c r="M157" s="7">
        <v>6.2371800000000004</v>
      </c>
      <c r="N157" s="7">
        <v>10.589529000000001</v>
      </c>
      <c r="O157" s="7" t="s">
        <v>23</v>
      </c>
    </row>
    <row r="158" spans="1:15" x14ac:dyDescent="0.25">
      <c r="A158" s="2">
        <f t="shared" si="2"/>
        <v>156</v>
      </c>
      <c r="B158" s="7" t="s">
        <v>191</v>
      </c>
      <c r="C158" s="7" t="s">
        <v>192</v>
      </c>
      <c r="D158" s="7" t="s">
        <v>191</v>
      </c>
      <c r="E158" s="7" t="s">
        <v>26</v>
      </c>
      <c r="F158" s="7" t="s">
        <v>193</v>
      </c>
      <c r="G158" s="8" t="s">
        <v>36</v>
      </c>
      <c r="H158" s="7" t="s">
        <v>28</v>
      </c>
      <c r="I158" s="7" t="s">
        <v>194</v>
      </c>
      <c r="J158" s="7" t="s">
        <v>195</v>
      </c>
      <c r="K158" s="7" t="s">
        <v>196</v>
      </c>
      <c r="L158" s="7" t="s">
        <v>31</v>
      </c>
      <c r="M158" s="7">
        <v>5.9493330000000002</v>
      </c>
      <c r="N158" s="7">
        <v>10.326582999999999</v>
      </c>
      <c r="O158" s="7" t="s">
        <v>23</v>
      </c>
    </row>
    <row r="159" spans="1:15" x14ac:dyDescent="0.25">
      <c r="A159" s="2">
        <f t="shared" si="2"/>
        <v>157</v>
      </c>
      <c r="B159" s="7" t="s">
        <v>220</v>
      </c>
      <c r="C159" s="7" t="s">
        <v>221</v>
      </c>
      <c r="D159" s="7" t="s">
        <v>220</v>
      </c>
      <c r="E159" s="7" t="s">
        <v>26</v>
      </c>
      <c r="F159" s="7" t="s">
        <v>222</v>
      </c>
      <c r="G159" s="8" t="s">
        <v>18</v>
      </c>
      <c r="H159" s="7" t="s">
        <v>28</v>
      </c>
      <c r="I159" s="7" t="s">
        <v>194</v>
      </c>
      <c r="J159" s="7" t="s">
        <v>195</v>
      </c>
      <c r="K159" s="7" t="s">
        <v>196</v>
      </c>
      <c r="L159" s="7" t="s">
        <v>31</v>
      </c>
      <c r="M159" s="7">
        <v>6.013814</v>
      </c>
      <c r="N159" s="7">
        <v>10.320171999999999</v>
      </c>
      <c r="O159" s="7" t="s">
        <v>23</v>
      </c>
    </row>
    <row r="160" spans="1:15" x14ac:dyDescent="0.25">
      <c r="A160" s="2">
        <f t="shared" si="2"/>
        <v>158</v>
      </c>
      <c r="B160" s="7" t="s">
        <v>237</v>
      </c>
      <c r="C160" s="7" t="s">
        <v>238</v>
      </c>
      <c r="D160" s="7" t="s">
        <v>237</v>
      </c>
      <c r="E160" s="7" t="s">
        <v>26</v>
      </c>
      <c r="F160" s="7" t="s">
        <v>239</v>
      </c>
      <c r="G160" s="8" t="s">
        <v>18</v>
      </c>
      <c r="H160" s="7" t="s">
        <v>240</v>
      </c>
      <c r="I160" s="7" t="s">
        <v>241</v>
      </c>
      <c r="J160" s="7" t="s">
        <v>195</v>
      </c>
      <c r="K160" s="7" t="s">
        <v>196</v>
      </c>
      <c r="L160" s="7" t="s">
        <v>31</v>
      </c>
      <c r="M160" s="7">
        <v>5.807455</v>
      </c>
      <c r="N160" s="7">
        <v>10.066274999999999</v>
      </c>
      <c r="O160" s="7" t="s">
        <v>23</v>
      </c>
    </row>
    <row r="161" spans="1:15" x14ac:dyDescent="0.25">
      <c r="A161" s="2">
        <f t="shared" si="2"/>
        <v>159</v>
      </c>
      <c r="B161" s="7" t="s">
        <v>325</v>
      </c>
      <c r="C161" s="7" t="s">
        <v>326</v>
      </c>
      <c r="D161" s="7" t="s">
        <v>325</v>
      </c>
      <c r="E161" s="7" t="s">
        <v>26</v>
      </c>
      <c r="F161" s="7" t="s">
        <v>327</v>
      </c>
      <c r="G161" s="8" t="s">
        <v>18</v>
      </c>
      <c r="H161" s="7" t="s">
        <v>28</v>
      </c>
      <c r="I161" s="7" t="s">
        <v>114</v>
      </c>
      <c r="J161" s="7" t="s">
        <v>328</v>
      </c>
      <c r="K161" s="7" t="s">
        <v>329</v>
      </c>
      <c r="L161" s="7" t="s">
        <v>31</v>
      </c>
      <c r="M161" s="7">
        <v>6.3832649999999997</v>
      </c>
      <c r="N161" s="7">
        <v>10.584664999999999</v>
      </c>
      <c r="O161" s="7" t="s">
        <v>23</v>
      </c>
    </row>
    <row r="162" spans="1:15" x14ac:dyDescent="0.25">
      <c r="A162" s="2">
        <f t="shared" si="2"/>
        <v>160</v>
      </c>
      <c r="B162" s="7" t="s">
        <v>346</v>
      </c>
      <c r="C162" s="7" t="s">
        <v>347</v>
      </c>
      <c r="D162" s="7" t="s">
        <v>346</v>
      </c>
      <c r="E162" s="7" t="s">
        <v>26</v>
      </c>
      <c r="F162" s="7" t="s">
        <v>348</v>
      </c>
      <c r="G162" s="8" t="s">
        <v>18</v>
      </c>
      <c r="H162" s="7" t="s">
        <v>28</v>
      </c>
      <c r="I162" s="7" t="s">
        <v>140</v>
      </c>
      <c r="J162" s="7" t="s">
        <v>328</v>
      </c>
      <c r="K162" s="7" t="s">
        <v>349</v>
      </c>
      <c r="L162" s="7" t="s">
        <v>31</v>
      </c>
      <c r="M162" s="7">
        <v>6.0944444400000002</v>
      </c>
      <c r="N162" s="7">
        <v>10.637861109999999</v>
      </c>
      <c r="O162" s="7" t="s">
        <v>23</v>
      </c>
    </row>
    <row r="163" spans="1:15" x14ac:dyDescent="0.25">
      <c r="A163" s="2">
        <f t="shared" si="2"/>
        <v>161</v>
      </c>
      <c r="B163" s="7" t="s">
        <v>362</v>
      </c>
      <c r="C163" s="7" t="s">
        <v>363</v>
      </c>
      <c r="D163" s="7" t="s">
        <v>362</v>
      </c>
      <c r="E163" s="7" t="s">
        <v>26</v>
      </c>
      <c r="F163" s="7" t="s">
        <v>364</v>
      </c>
      <c r="G163" s="8" t="s">
        <v>18</v>
      </c>
      <c r="H163" s="7" t="s">
        <v>28</v>
      </c>
      <c r="I163" s="7" t="s">
        <v>241</v>
      </c>
      <c r="J163" s="7" t="s">
        <v>365</v>
      </c>
      <c r="K163" s="7" t="s">
        <v>366</v>
      </c>
      <c r="L163" s="7" t="s">
        <v>31</v>
      </c>
      <c r="M163" s="7">
        <v>6.1292249999999999</v>
      </c>
      <c r="N163" s="7">
        <v>9.8565166669999993</v>
      </c>
      <c r="O163" s="7" t="s">
        <v>23</v>
      </c>
    </row>
    <row r="164" spans="1:15" x14ac:dyDescent="0.25">
      <c r="A164" s="2">
        <f t="shared" si="2"/>
        <v>162</v>
      </c>
      <c r="B164" s="7" t="s">
        <v>431</v>
      </c>
      <c r="C164" s="7" t="s">
        <v>432</v>
      </c>
      <c r="D164" s="7" t="s">
        <v>431</v>
      </c>
      <c r="E164" s="7" t="s">
        <v>26</v>
      </c>
      <c r="F164" s="7" t="s">
        <v>433</v>
      </c>
      <c r="G164" s="8" t="s">
        <v>18</v>
      </c>
      <c r="H164" s="7" t="s">
        <v>28</v>
      </c>
      <c r="I164" s="7" t="s">
        <v>29</v>
      </c>
      <c r="J164" s="7" t="s">
        <v>195</v>
      </c>
      <c r="K164" s="7" t="s">
        <v>29</v>
      </c>
      <c r="L164" s="7" t="s">
        <v>31</v>
      </c>
      <c r="M164" s="7">
        <v>6.1116429999999999</v>
      </c>
      <c r="N164" s="7">
        <v>10.121765999999999</v>
      </c>
      <c r="O164" s="7" t="s">
        <v>23</v>
      </c>
    </row>
    <row r="165" spans="1:15" x14ac:dyDescent="0.25">
      <c r="A165" s="2">
        <f t="shared" si="2"/>
        <v>163</v>
      </c>
      <c r="B165" s="7" t="s">
        <v>528</v>
      </c>
      <c r="C165" s="7" t="s">
        <v>529</v>
      </c>
      <c r="D165" s="7" t="s">
        <v>528</v>
      </c>
      <c r="E165" s="7" t="s">
        <v>26</v>
      </c>
      <c r="F165" s="7" t="s">
        <v>530</v>
      </c>
      <c r="G165" s="8" t="s">
        <v>18</v>
      </c>
      <c r="H165" s="7" t="s">
        <v>28</v>
      </c>
      <c r="I165" s="7" t="s">
        <v>114</v>
      </c>
      <c r="J165" s="7" t="s">
        <v>328</v>
      </c>
      <c r="K165" s="7" t="s">
        <v>531</v>
      </c>
      <c r="L165" s="7" t="s">
        <v>31</v>
      </c>
      <c r="M165" s="7">
        <v>6.2614080000000003</v>
      </c>
      <c r="N165" s="7">
        <v>10.946337</v>
      </c>
      <c r="O165" s="7" t="s">
        <v>23</v>
      </c>
    </row>
    <row r="166" spans="1:15" x14ac:dyDescent="0.25">
      <c r="A166" s="2">
        <f t="shared" si="2"/>
        <v>164</v>
      </c>
      <c r="B166" s="7" t="s">
        <v>534</v>
      </c>
      <c r="C166" s="7" t="s">
        <v>535</v>
      </c>
      <c r="D166" s="7" t="s">
        <v>534</v>
      </c>
      <c r="E166" s="7" t="s">
        <v>26</v>
      </c>
      <c r="F166" s="7" t="s">
        <v>536</v>
      </c>
      <c r="G166" s="8" t="s">
        <v>18</v>
      </c>
      <c r="H166" s="7" t="s">
        <v>28</v>
      </c>
      <c r="I166" s="7" t="s">
        <v>114</v>
      </c>
      <c r="J166" s="7" t="s">
        <v>306</v>
      </c>
      <c r="K166" s="7" t="s">
        <v>537</v>
      </c>
      <c r="L166" s="7" t="s">
        <v>31</v>
      </c>
      <c r="M166" s="7">
        <v>6.4542222200000001</v>
      </c>
      <c r="N166" s="7">
        <v>10.754222220000001</v>
      </c>
      <c r="O166" s="7" t="s">
        <v>23</v>
      </c>
    </row>
    <row r="167" spans="1:15" x14ac:dyDescent="0.25">
      <c r="A167" s="2">
        <f t="shared" si="2"/>
        <v>165</v>
      </c>
      <c r="B167" s="7" t="s">
        <v>541</v>
      </c>
      <c r="C167" s="7" t="s">
        <v>542</v>
      </c>
      <c r="D167" s="7" t="s">
        <v>541</v>
      </c>
      <c r="E167" s="7" t="s">
        <v>26</v>
      </c>
      <c r="F167" s="7" t="s">
        <v>543</v>
      </c>
      <c r="G167" s="8" t="s">
        <v>18</v>
      </c>
      <c r="H167" s="7" t="s">
        <v>28</v>
      </c>
      <c r="I167" s="7" t="s">
        <v>140</v>
      </c>
      <c r="J167" s="7" t="s">
        <v>328</v>
      </c>
      <c r="K167" s="7" t="s">
        <v>543</v>
      </c>
      <c r="L167" s="7" t="s">
        <v>31</v>
      </c>
      <c r="M167" s="7">
        <v>6.1885469999999998</v>
      </c>
      <c r="N167" s="7">
        <v>10.849605</v>
      </c>
      <c r="O167" s="7" t="s">
        <v>23</v>
      </c>
    </row>
    <row r="168" spans="1:15" x14ac:dyDescent="0.25">
      <c r="A168" s="2">
        <f t="shared" si="2"/>
        <v>166</v>
      </c>
      <c r="B168" s="7" t="s">
        <v>544</v>
      </c>
      <c r="C168" s="7" t="s">
        <v>545</v>
      </c>
      <c r="D168" s="7" t="s">
        <v>544</v>
      </c>
      <c r="E168" s="7" t="s">
        <v>26</v>
      </c>
      <c r="F168" s="7" t="s">
        <v>546</v>
      </c>
      <c r="G168" s="8" t="s">
        <v>18</v>
      </c>
      <c r="H168" s="7" t="s">
        <v>28</v>
      </c>
      <c r="I168" s="7" t="s">
        <v>241</v>
      </c>
      <c r="J168" s="7" t="s">
        <v>365</v>
      </c>
      <c r="K168" s="7" t="s">
        <v>547</v>
      </c>
      <c r="L168" s="7" t="s">
        <v>31</v>
      </c>
      <c r="M168" s="7">
        <v>5.9681240000000004</v>
      </c>
      <c r="N168" s="7">
        <v>10.036383000000001</v>
      </c>
      <c r="O168" s="7" t="s">
        <v>23</v>
      </c>
    </row>
    <row r="169" spans="1:15" x14ac:dyDescent="0.25">
      <c r="A169" s="2">
        <f t="shared" si="2"/>
        <v>167</v>
      </c>
      <c r="B169" s="7" t="s">
        <v>548</v>
      </c>
      <c r="C169" s="7" t="s">
        <v>549</v>
      </c>
      <c r="D169" s="7" t="s">
        <v>548</v>
      </c>
      <c r="E169" s="7" t="s">
        <v>26</v>
      </c>
      <c r="F169" s="7" t="s">
        <v>550</v>
      </c>
      <c r="G169" s="8" t="s">
        <v>18</v>
      </c>
      <c r="H169" s="7" t="s">
        <v>28</v>
      </c>
      <c r="I169" s="7" t="s">
        <v>241</v>
      </c>
      <c r="J169" s="7" t="s">
        <v>365</v>
      </c>
      <c r="K169" s="7" t="s">
        <v>547</v>
      </c>
      <c r="L169" s="7" t="s">
        <v>31</v>
      </c>
      <c r="M169" s="7">
        <v>6.0012160000000003</v>
      </c>
      <c r="N169" s="7">
        <v>10.020552</v>
      </c>
      <c r="O169" s="7" t="s">
        <v>23</v>
      </c>
    </row>
    <row r="170" spans="1:15" x14ac:dyDescent="0.25">
      <c r="A170" s="2">
        <f t="shared" si="2"/>
        <v>168</v>
      </c>
      <c r="B170" s="7" t="s">
        <v>551</v>
      </c>
      <c r="C170" s="7" t="s">
        <v>552</v>
      </c>
      <c r="D170" s="7" t="s">
        <v>551</v>
      </c>
      <c r="E170" s="7" t="s">
        <v>26</v>
      </c>
      <c r="F170" s="7" t="s">
        <v>553</v>
      </c>
      <c r="G170" s="8" t="s">
        <v>18</v>
      </c>
      <c r="H170" s="7" t="s">
        <v>28</v>
      </c>
      <c r="I170" s="7" t="s">
        <v>241</v>
      </c>
      <c r="J170" s="7" t="s">
        <v>195</v>
      </c>
      <c r="K170" s="7" t="s">
        <v>241</v>
      </c>
      <c r="L170" s="7" t="s">
        <v>31</v>
      </c>
      <c r="M170" s="7">
        <v>5.9347300000000001</v>
      </c>
      <c r="N170" s="7">
        <v>10.13917</v>
      </c>
      <c r="O170" s="7" t="s">
        <v>23</v>
      </c>
    </row>
    <row r="171" spans="1:15" x14ac:dyDescent="0.25">
      <c r="A171" s="2">
        <f t="shared" si="2"/>
        <v>169</v>
      </c>
      <c r="B171" s="7" t="s">
        <v>656</v>
      </c>
      <c r="C171" s="7" t="s">
        <v>657</v>
      </c>
      <c r="D171" s="7" t="s">
        <v>656</v>
      </c>
      <c r="E171" s="7" t="s">
        <v>26</v>
      </c>
      <c r="F171" s="7" t="s">
        <v>658</v>
      </c>
      <c r="G171" s="8" t="s">
        <v>18</v>
      </c>
      <c r="H171" s="7" t="s">
        <v>28</v>
      </c>
      <c r="I171" s="7" t="s">
        <v>114</v>
      </c>
      <c r="J171" s="7" t="s">
        <v>328</v>
      </c>
      <c r="K171" s="7" t="s">
        <v>329</v>
      </c>
      <c r="L171" s="7" t="s">
        <v>31</v>
      </c>
      <c r="M171" s="7">
        <v>6.4422860000000002</v>
      </c>
      <c r="N171" s="7">
        <v>10.620562</v>
      </c>
      <c r="O171" s="7" t="s">
        <v>23</v>
      </c>
    </row>
    <row r="172" spans="1:15" x14ac:dyDescent="0.25">
      <c r="A172" s="2">
        <f t="shared" si="2"/>
        <v>170</v>
      </c>
      <c r="B172" s="7" t="s">
        <v>719</v>
      </c>
      <c r="C172" s="7" t="s">
        <v>720</v>
      </c>
      <c r="D172" s="7" t="s">
        <v>719</v>
      </c>
      <c r="E172" s="7" t="s">
        <v>26</v>
      </c>
      <c r="F172" s="7" t="s">
        <v>721</v>
      </c>
      <c r="G172" s="8" t="s">
        <v>18</v>
      </c>
      <c r="H172" s="7" t="s">
        <v>28</v>
      </c>
      <c r="I172" s="7" t="s">
        <v>140</v>
      </c>
      <c r="J172" s="7" t="s">
        <v>328</v>
      </c>
      <c r="K172" s="7" t="s">
        <v>722</v>
      </c>
      <c r="L172" s="7" t="s">
        <v>31</v>
      </c>
      <c r="M172" s="7">
        <v>6.2407899999999996</v>
      </c>
      <c r="N172" s="7">
        <v>10.465491999999999</v>
      </c>
      <c r="O172" s="7" t="s">
        <v>23</v>
      </c>
    </row>
    <row r="173" spans="1:15" x14ac:dyDescent="0.25">
      <c r="A173" s="2">
        <f t="shared" si="2"/>
        <v>171</v>
      </c>
      <c r="B173" s="7" t="s">
        <v>763</v>
      </c>
      <c r="C173" s="7" t="s">
        <v>764</v>
      </c>
      <c r="D173" s="7" t="s">
        <v>763</v>
      </c>
      <c r="E173" s="7" t="s">
        <v>26</v>
      </c>
      <c r="F173" s="7" t="s">
        <v>765</v>
      </c>
      <c r="G173" s="8" t="s">
        <v>18</v>
      </c>
      <c r="H173" s="7" t="s">
        <v>28</v>
      </c>
      <c r="I173" s="7" t="s">
        <v>194</v>
      </c>
      <c r="J173" s="7" t="s">
        <v>766</v>
      </c>
      <c r="K173" s="7" t="s">
        <v>767</v>
      </c>
      <c r="L173" s="7" t="s">
        <v>31</v>
      </c>
      <c r="M173" s="7">
        <v>6.2713609999999997</v>
      </c>
      <c r="N173" s="7">
        <v>10.294694</v>
      </c>
      <c r="O173" s="7" t="s">
        <v>23</v>
      </c>
    </row>
    <row r="174" spans="1:15" x14ac:dyDescent="0.25">
      <c r="A174" s="2">
        <f t="shared" si="2"/>
        <v>172</v>
      </c>
      <c r="B174" s="7" t="s">
        <v>794</v>
      </c>
      <c r="C174" s="7" t="s">
        <v>795</v>
      </c>
      <c r="D174" s="7" t="s">
        <v>794</v>
      </c>
      <c r="E174" s="7" t="s">
        <v>26</v>
      </c>
      <c r="F174" s="7" t="s">
        <v>796</v>
      </c>
      <c r="G174" s="8" t="s">
        <v>18</v>
      </c>
      <c r="H174" s="7" t="s">
        <v>28</v>
      </c>
      <c r="I174" s="7" t="s">
        <v>114</v>
      </c>
      <c r="J174" s="7" t="s">
        <v>766</v>
      </c>
      <c r="K174" s="7" t="s">
        <v>796</v>
      </c>
      <c r="L174" s="7" t="s">
        <v>31</v>
      </c>
      <c r="M174" s="7">
        <v>6.5345370000000003</v>
      </c>
      <c r="N174" s="7">
        <v>10.478177000000001</v>
      </c>
      <c r="O174" s="7" t="s">
        <v>23</v>
      </c>
    </row>
    <row r="175" spans="1:15" x14ac:dyDescent="0.25">
      <c r="A175" s="2">
        <f t="shared" si="2"/>
        <v>173</v>
      </c>
      <c r="B175" s="7" t="s">
        <v>809</v>
      </c>
      <c r="C175" s="7" t="s">
        <v>810</v>
      </c>
      <c r="D175" s="7" t="s">
        <v>809</v>
      </c>
      <c r="E175" s="7" t="s">
        <v>26</v>
      </c>
      <c r="F175" s="7" t="s">
        <v>811</v>
      </c>
      <c r="G175" s="8" t="s">
        <v>36</v>
      </c>
      <c r="H175" s="7" t="s">
        <v>28</v>
      </c>
      <c r="I175" s="7" t="s">
        <v>29</v>
      </c>
      <c r="J175" s="7" t="s">
        <v>812</v>
      </c>
      <c r="K175" s="7" t="s">
        <v>813</v>
      </c>
      <c r="L175" s="7" t="s">
        <v>31</v>
      </c>
      <c r="M175" s="7">
        <v>6.56741668</v>
      </c>
      <c r="N175" s="7">
        <v>10.09394447</v>
      </c>
      <c r="O175" s="7" t="s">
        <v>23</v>
      </c>
    </row>
    <row r="176" spans="1:15" x14ac:dyDescent="0.25">
      <c r="A176" s="2">
        <f t="shared" si="2"/>
        <v>174</v>
      </c>
      <c r="B176" s="7" t="s">
        <v>841</v>
      </c>
      <c r="C176" s="7" t="s">
        <v>842</v>
      </c>
      <c r="D176" s="7" t="s">
        <v>841</v>
      </c>
      <c r="E176" s="7" t="s">
        <v>26</v>
      </c>
      <c r="F176" s="7" t="s">
        <v>843</v>
      </c>
      <c r="G176" s="8" t="s">
        <v>18</v>
      </c>
      <c r="H176" s="7" t="s">
        <v>28</v>
      </c>
      <c r="I176" s="7" t="s">
        <v>140</v>
      </c>
      <c r="J176" s="7" t="s">
        <v>328</v>
      </c>
      <c r="K176" s="7" t="s">
        <v>722</v>
      </c>
      <c r="L176" s="7" t="s">
        <v>31</v>
      </c>
      <c r="M176" s="7">
        <v>6.1325000000000003</v>
      </c>
      <c r="N176" s="7">
        <v>10.471014</v>
      </c>
      <c r="O176" s="7" t="s">
        <v>23</v>
      </c>
    </row>
    <row r="177" spans="1:15" x14ac:dyDescent="0.25">
      <c r="A177" s="2">
        <f t="shared" si="2"/>
        <v>175</v>
      </c>
      <c r="B177" s="7" t="s">
        <v>847</v>
      </c>
      <c r="C177" s="7" t="s">
        <v>848</v>
      </c>
      <c r="D177" s="7" t="s">
        <v>847</v>
      </c>
      <c r="E177" s="7" t="s">
        <v>26</v>
      </c>
      <c r="F177" s="7" t="s">
        <v>849</v>
      </c>
      <c r="G177" s="8" t="s">
        <v>18</v>
      </c>
      <c r="H177" s="7" t="s">
        <v>28</v>
      </c>
      <c r="I177" s="7" t="s">
        <v>114</v>
      </c>
      <c r="J177" s="7" t="s">
        <v>306</v>
      </c>
      <c r="K177" s="7" t="s">
        <v>850</v>
      </c>
      <c r="L177" s="7" t="s">
        <v>31</v>
      </c>
      <c r="M177" s="7">
        <v>6.7075199999999997</v>
      </c>
      <c r="N177" s="7">
        <v>10.50703</v>
      </c>
      <c r="O177" s="7" t="s">
        <v>23</v>
      </c>
    </row>
    <row r="178" spans="1:15" x14ac:dyDescent="0.25">
      <c r="A178" s="2">
        <f t="shared" si="2"/>
        <v>176</v>
      </c>
      <c r="B178" s="7" t="s">
        <v>971</v>
      </c>
      <c r="C178" s="7" t="s">
        <v>972</v>
      </c>
      <c r="D178" s="7" t="s">
        <v>971</v>
      </c>
      <c r="E178" s="7" t="s">
        <v>26</v>
      </c>
      <c r="F178" s="7" t="s">
        <v>973</v>
      </c>
      <c r="G178" s="8" t="s">
        <v>18</v>
      </c>
      <c r="H178" s="7" t="s">
        <v>28</v>
      </c>
      <c r="I178" s="7" t="s">
        <v>114</v>
      </c>
      <c r="J178" s="7" t="s">
        <v>306</v>
      </c>
      <c r="K178" s="7" t="s">
        <v>114</v>
      </c>
      <c r="L178" s="7" t="s">
        <v>31</v>
      </c>
      <c r="M178" s="7">
        <v>6.5416939999999997</v>
      </c>
      <c r="N178" s="7">
        <v>10.773250000000001</v>
      </c>
      <c r="O178" s="7" t="s">
        <v>23</v>
      </c>
    </row>
    <row r="179" spans="1:15" x14ac:dyDescent="0.25">
      <c r="A179" s="2">
        <f t="shared" si="2"/>
        <v>177</v>
      </c>
      <c r="B179" s="7" t="s">
        <v>980</v>
      </c>
      <c r="C179" s="7" t="s">
        <v>981</v>
      </c>
      <c r="D179" s="7" t="s">
        <v>980</v>
      </c>
      <c r="E179" s="7" t="s">
        <v>26</v>
      </c>
      <c r="F179" s="7" t="s">
        <v>982</v>
      </c>
      <c r="G179" s="8" t="s">
        <v>18</v>
      </c>
      <c r="H179" s="7" t="s">
        <v>28</v>
      </c>
      <c r="I179" s="7" t="s">
        <v>194</v>
      </c>
      <c r="J179" s="7" t="s">
        <v>766</v>
      </c>
      <c r="K179" s="7" t="s">
        <v>196</v>
      </c>
      <c r="L179" s="7" t="s">
        <v>31</v>
      </c>
      <c r="M179" s="7">
        <v>6.1176500000000003</v>
      </c>
      <c r="N179" s="7">
        <v>10.246167</v>
      </c>
      <c r="O179" s="7" t="s">
        <v>23</v>
      </c>
    </row>
    <row r="180" spans="1:15" x14ac:dyDescent="0.25">
      <c r="A180" s="2">
        <f t="shared" si="2"/>
        <v>178</v>
      </c>
      <c r="B180" s="7" t="s">
        <v>1000</v>
      </c>
      <c r="C180" s="7" t="s">
        <v>1001</v>
      </c>
      <c r="D180" s="7" t="s">
        <v>1000</v>
      </c>
      <c r="E180" s="7" t="s">
        <v>26</v>
      </c>
      <c r="F180" s="7" t="s">
        <v>1002</v>
      </c>
      <c r="G180" s="8" t="s">
        <v>18</v>
      </c>
      <c r="H180" s="7" t="s">
        <v>28</v>
      </c>
      <c r="I180" s="7" t="s">
        <v>29</v>
      </c>
      <c r="J180" s="7" t="s">
        <v>812</v>
      </c>
      <c r="K180" s="7" t="s">
        <v>1002</v>
      </c>
      <c r="L180" s="7" t="s">
        <v>31</v>
      </c>
      <c r="M180" s="7">
        <v>6.4</v>
      </c>
      <c r="N180" s="7">
        <v>9.8999999899999995</v>
      </c>
      <c r="O180" s="7" t="s">
        <v>23</v>
      </c>
    </row>
    <row r="181" spans="1:15" x14ac:dyDescent="0.25">
      <c r="A181" s="2">
        <f t="shared" si="2"/>
        <v>179</v>
      </c>
      <c r="B181" s="7" t="s">
        <v>1007</v>
      </c>
      <c r="C181" s="7" t="s">
        <v>1008</v>
      </c>
      <c r="D181" s="7" t="s">
        <v>1007</v>
      </c>
      <c r="E181" s="7" t="s">
        <v>26</v>
      </c>
      <c r="F181" s="7" t="s">
        <v>1009</v>
      </c>
      <c r="G181" s="8" t="s">
        <v>18</v>
      </c>
      <c r="H181" s="7" t="s">
        <v>28</v>
      </c>
      <c r="I181" s="7" t="s">
        <v>1010</v>
      </c>
      <c r="J181" s="7" t="s">
        <v>195</v>
      </c>
      <c r="K181" s="7" t="s">
        <v>241</v>
      </c>
      <c r="L181" s="7" t="s">
        <v>31</v>
      </c>
      <c r="M181" s="7">
        <v>5.9876199999999997</v>
      </c>
      <c r="N181" s="7">
        <v>10.153187000000001</v>
      </c>
      <c r="O181" s="7" t="s">
        <v>23</v>
      </c>
    </row>
    <row r="182" spans="1:15" x14ac:dyDescent="0.25">
      <c r="A182" s="2">
        <f t="shared" si="2"/>
        <v>180</v>
      </c>
      <c r="B182" s="7" t="s">
        <v>1072</v>
      </c>
      <c r="C182" s="7" t="s">
        <v>1073</v>
      </c>
      <c r="D182" s="7" t="s">
        <v>1072</v>
      </c>
      <c r="E182" s="7" t="s">
        <v>131</v>
      </c>
      <c r="F182" s="7" t="s">
        <v>1074</v>
      </c>
      <c r="G182" s="8" t="s">
        <v>18</v>
      </c>
      <c r="H182" s="7" t="s">
        <v>28</v>
      </c>
      <c r="I182" s="7" t="s">
        <v>245</v>
      </c>
      <c r="J182" s="7" t="s">
        <v>761</v>
      </c>
      <c r="K182" s="7" t="s">
        <v>762</v>
      </c>
      <c r="L182" s="7" t="s">
        <v>31</v>
      </c>
      <c r="M182" s="7">
        <v>5.756589</v>
      </c>
      <c r="N182" s="7">
        <v>10.31809</v>
      </c>
      <c r="O182" s="7" t="s">
        <v>23</v>
      </c>
    </row>
    <row r="183" spans="1:15" x14ac:dyDescent="0.25">
      <c r="A183" s="2">
        <f t="shared" si="2"/>
        <v>181</v>
      </c>
      <c r="B183" s="7" t="s">
        <v>1085</v>
      </c>
      <c r="C183" s="7" t="s">
        <v>1086</v>
      </c>
      <c r="D183" s="7" t="s">
        <v>1085</v>
      </c>
      <c r="E183" s="7" t="s">
        <v>26</v>
      </c>
      <c r="F183" s="7" t="s">
        <v>1087</v>
      </c>
      <c r="G183" s="8" t="s">
        <v>18</v>
      </c>
      <c r="H183" s="7" t="s">
        <v>28</v>
      </c>
      <c r="I183" s="7" t="s">
        <v>1010</v>
      </c>
      <c r="J183" s="7" t="s">
        <v>195</v>
      </c>
      <c r="K183" s="7" t="s">
        <v>241</v>
      </c>
      <c r="L183" s="7" t="s">
        <v>31</v>
      </c>
      <c r="M183" s="7">
        <v>5.9529399999999999</v>
      </c>
      <c r="N183" s="7">
        <v>10.1571</v>
      </c>
      <c r="O183" s="7" t="s">
        <v>23</v>
      </c>
    </row>
    <row r="184" spans="1:15" x14ac:dyDescent="0.25">
      <c r="A184" s="2">
        <f t="shared" si="2"/>
        <v>182</v>
      </c>
      <c r="B184" s="7" t="s">
        <v>1088</v>
      </c>
      <c r="C184" s="7" t="s">
        <v>1089</v>
      </c>
      <c r="D184" s="7" t="s">
        <v>1088</v>
      </c>
      <c r="E184" s="7" t="s">
        <v>26</v>
      </c>
      <c r="F184" s="7" t="s">
        <v>1090</v>
      </c>
      <c r="G184" s="8" t="s">
        <v>18</v>
      </c>
      <c r="H184" s="7" t="s">
        <v>28</v>
      </c>
      <c r="I184" s="7" t="s">
        <v>1010</v>
      </c>
      <c r="J184" s="7" t="s">
        <v>195</v>
      </c>
      <c r="K184" s="7" t="s">
        <v>241</v>
      </c>
      <c r="L184" s="7" t="s">
        <v>31</v>
      </c>
      <c r="M184" s="7">
        <v>5.9898379999999998</v>
      </c>
      <c r="N184" s="7">
        <v>10.162345999999999</v>
      </c>
      <c r="O184" s="7" t="s">
        <v>23</v>
      </c>
    </row>
    <row r="185" spans="1:15" x14ac:dyDescent="0.25">
      <c r="A185" s="2">
        <f t="shared" si="2"/>
        <v>183</v>
      </c>
      <c r="B185" s="7" t="s">
        <v>1091</v>
      </c>
      <c r="C185" s="7" t="s">
        <v>1092</v>
      </c>
      <c r="D185" s="7" t="s">
        <v>1091</v>
      </c>
      <c r="E185" s="7" t="s">
        <v>26</v>
      </c>
      <c r="F185" s="7" t="s">
        <v>1093</v>
      </c>
      <c r="G185" s="8" t="s">
        <v>18</v>
      </c>
      <c r="H185" s="7" t="s">
        <v>28</v>
      </c>
      <c r="I185" s="7" t="s">
        <v>29</v>
      </c>
      <c r="J185" s="7" t="s">
        <v>195</v>
      </c>
      <c r="K185" s="7" t="s">
        <v>241</v>
      </c>
      <c r="L185" s="7" t="s">
        <v>31</v>
      </c>
      <c r="M185" s="7">
        <v>6.0102209999999996</v>
      </c>
      <c r="N185" s="7">
        <v>10.133228000000001</v>
      </c>
      <c r="O185" s="7" t="s">
        <v>23</v>
      </c>
    </row>
    <row r="186" spans="1:15" x14ac:dyDescent="0.25">
      <c r="A186" s="2">
        <f t="shared" si="2"/>
        <v>184</v>
      </c>
      <c r="B186" s="7" t="s">
        <v>1094</v>
      </c>
      <c r="C186" s="7" t="s">
        <v>1095</v>
      </c>
      <c r="D186" s="7" t="s">
        <v>1094</v>
      </c>
      <c r="E186" s="7" t="s">
        <v>26</v>
      </c>
      <c r="F186" s="7" t="s">
        <v>1096</v>
      </c>
      <c r="G186" s="8" t="s">
        <v>18</v>
      </c>
      <c r="H186" s="7" t="s">
        <v>28</v>
      </c>
      <c r="I186" s="7" t="s">
        <v>1010</v>
      </c>
      <c r="J186" s="7" t="s">
        <v>195</v>
      </c>
      <c r="K186" s="7" t="s">
        <v>194</v>
      </c>
      <c r="L186" s="7" t="s">
        <v>31</v>
      </c>
      <c r="M186" s="7">
        <v>5.9357470000000001</v>
      </c>
      <c r="N186" s="7">
        <v>10.162219</v>
      </c>
      <c r="O186" s="7" t="s">
        <v>23</v>
      </c>
    </row>
    <row r="187" spans="1:15" x14ac:dyDescent="0.25">
      <c r="A187" s="2">
        <f t="shared" si="2"/>
        <v>185</v>
      </c>
      <c r="B187" s="7" t="s">
        <v>1097</v>
      </c>
      <c r="C187" s="7" t="s">
        <v>1098</v>
      </c>
      <c r="D187" s="7" t="s">
        <v>1097</v>
      </c>
      <c r="E187" s="7" t="s">
        <v>26</v>
      </c>
      <c r="F187" s="7" t="s">
        <v>1099</v>
      </c>
      <c r="G187" s="8" t="s">
        <v>18</v>
      </c>
      <c r="H187" s="7" t="s">
        <v>28</v>
      </c>
      <c r="I187" s="7" t="s">
        <v>194</v>
      </c>
      <c r="J187" s="7" t="s">
        <v>195</v>
      </c>
      <c r="K187" s="7" t="s">
        <v>194</v>
      </c>
      <c r="L187" s="7" t="s">
        <v>31</v>
      </c>
      <c r="M187" s="7">
        <v>5.9401190000000001</v>
      </c>
      <c r="N187" s="7">
        <v>10.197202000000001</v>
      </c>
      <c r="O187" s="7" t="s">
        <v>23</v>
      </c>
    </row>
    <row r="188" spans="1:15" x14ac:dyDescent="0.25">
      <c r="A188" s="2">
        <f t="shared" si="2"/>
        <v>186</v>
      </c>
      <c r="B188" s="7" t="s">
        <v>1100</v>
      </c>
      <c r="C188" s="7" t="s">
        <v>1101</v>
      </c>
      <c r="D188" s="7" t="s">
        <v>1100</v>
      </c>
      <c r="E188" s="7" t="s">
        <v>26</v>
      </c>
      <c r="F188" s="7" t="s">
        <v>1102</v>
      </c>
      <c r="G188" s="8" t="s">
        <v>18</v>
      </c>
      <c r="H188" s="7" t="s">
        <v>28</v>
      </c>
      <c r="I188" s="7" t="s">
        <v>241</v>
      </c>
      <c r="J188" s="7" t="s">
        <v>195</v>
      </c>
      <c r="K188" s="7" t="s">
        <v>241</v>
      </c>
      <c r="L188" s="7" t="s">
        <v>31</v>
      </c>
      <c r="M188" s="7">
        <v>5.9482299999999997</v>
      </c>
      <c r="N188" s="7">
        <v>10.130345999999999</v>
      </c>
      <c r="O188" s="7" t="s">
        <v>23</v>
      </c>
    </row>
    <row r="189" spans="1:15" x14ac:dyDescent="0.25">
      <c r="A189" s="2">
        <f t="shared" si="2"/>
        <v>187</v>
      </c>
      <c r="B189" s="7" t="s">
        <v>1103</v>
      </c>
      <c r="C189" s="7" t="s">
        <v>1104</v>
      </c>
      <c r="D189" s="7" t="s">
        <v>1103</v>
      </c>
      <c r="E189" s="7" t="s">
        <v>26</v>
      </c>
      <c r="F189" s="7" t="s">
        <v>1105</v>
      </c>
      <c r="G189" s="8" t="s">
        <v>1106</v>
      </c>
      <c r="H189" s="7" t="s">
        <v>28</v>
      </c>
      <c r="I189" s="7" t="s">
        <v>241</v>
      </c>
      <c r="J189" s="7" t="s">
        <v>195</v>
      </c>
      <c r="K189" s="7" t="s">
        <v>194</v>
      </c>
      <c r="L189" s="7" t="s">
        <v>31</v>
      </c>
      <c r="M189" s="7">
        <v>5.9370830000000003</v>
      </c>
      <c r="N189" s="7">
        <v>10.150407</v>
      </c>
      <c r="O189" s="7" t="s">
        <v>23</v>
      </c>
    </row>
    <row r="190" spans="1:15" x14ac:dyDescent="0.25">
      <c r="A190" s="2">
        <f t="shared" si="2"/>
        <v>188</v>
      </c>
      <c r="B190" s="7" t="s">
        <v>1133</v>
      </c>
      <c r="C190" s="7" t="s">
        <v>1134</v>
      </c>
      <c r="D190" s="7" t="s">
        <v>1133</v>
      </c>
      <c r="E190" s="7" t="s">
        <v>26</v>
      </c>
      <c r="F190" s="7" t="s">
        <v>1135</v>
      </c>
      <c r="G190" s="8" t="s">
        <v>18</v>
      </c>
      <c r="H190" s="7" t="s">
        <v>28</v>
      </c>
      <c r="I190" s="7" t="s">
        <v>29</v>
      </c>
      <c r="J190" s="7" t="s">
        <v>195</v>
      </c>
      <c r="K190" s="7" t="s">
        <v>29</v>
      </c>
      <c r="L190" s="7" t="s">
        <v>31</v>
      </c>
      <c r="M190" s="7">
        <v>6.0378600000000002</v>
      </c>
      <c r="N190" s="7">
        <v>10.15</v>
      </c>
      <c r="O190" s="7" t="s">
        <v>23</v>
      </c>
    </row>
    <row r="191" spans="1:15" x14ac:dyDescent="0.25">
      <c r="A191" s="2">
        <f t="shared" si="2"/>
        <v>189</v>
      </c>
      <c r="B191" s="7" t="s">
        <v>1140</v>
      </c>
      <c r="C191" s="7" t="s">
        <v>1141</v>
      </c>
      <c r="D191" s="7" t="s">
        <v>1140</v>
      </c>
      <c r="E191" s="7" t="s">
        <v>26</v>
      </c>
      <c r="F191" s="7" t="s">
        <v>1142</v>
      </c>
      <c r="G191" s="8" t="s">
        <v>18</v>
      </c>
      <c r="H191" s="7" t="s">
        <v>28</v>
      </c>
      <c r="I191" s="7" t="s">
        <v>194</v>
      </c>
      <c r="J191" s="7" t="s">
        <v>766</v>
      </c>
      <c r="K191" s="7" t="s">
        <v>27</v>
      </c>
      <c r="L191" s="7" t="s">
        <v>31</v>
      </c>
      <c r="M191" s="7">
        <v>6.35433</v>
      </c>
      <c r="N191" s="7">
        <v>10.239699999999999</v>
      </c>
      <c r="O191" s="7" t="s">
        <v>23</v>
      </c>
    </row>
    <row r="192" spans="1:15" x14ac:dyDescent="0.25">
      <c r="A192" s="2">
        <f t="shared" si="2"/>
        <v>190</v>
      </c>
      <c r="B192" s="7" t="s">
        <v>1149</v>
      </c>
      <c r="C192" s="7" t="s">
        <v>1150</v>
      </c>
      <c r="D192" s="7" t="s">
        <v>1149</v>
      </c>
      <c r="E192" s="7" t="s">
        <v>131</v>
      </c>
      <c r="F192" s="7" t="s">
        <v>1151</v>
      </c>
      <c r="G192" s="8" t="s">
        <v>18</v>
      </c>
      <c r="H192" s="7" t="s">
        <v>28</v>
      </c>
      <c r="I192" s="7" t="s">
        <v>194</v>
      </c>
      <c r="J192" s="7" t="s">
        <v>1054</v>
      </c>
      <c r="K192" s="7" t="s">
        <v>1152</v>
      </c>
      <c r="L192" s="7" t="s">
        <v>31</v>
      </c>
      <c r="M192" s="7">
        <v>5.8406929999999999</v>
      </c>
      <c r="N192" s="7">
        <v>10.380815999999999</v>
      </c>
      <c r="O192" s="7" t="s">
        <v>23</v>
      </c>
    </row>
    <row r="193" spans="1:15" x14ac:dyDescent="0.25">
      <c r="A193" s="2">
        <f t="shared" si="2"/>
        <v>191</v>
      </c>
      <c r="B193" s="7" t="s">
        <v>1157</v>
      </c>
      <c r="C193" s="7" t="s">
        <v>1158</v>
      </c>
      <c r="D193" s="7" t="s">
        <v>1157</v>
      </c>
      <c r="E193" s="7" t="s">
        <v>26</v>
      </c>
      <c r="F193" s="7" t="s">
        <v>1159</v>
      </c>
      <c r="G193" s="8" t="s">
        <v>18</v>
      </c>
      <c r="H193" s="7" t="s">
        <v>28</v>
      </c>
      <c r="I193" s="7" t="s">
        <v>140</v>
      </c>
      <c r="J193" s="7" t="s">
        <v>1160</v>
      </c>
      <c r="K193" s="7" t="s">
        <v>1161</v>
      </c>
      <c r="L193" s="7" t="s">
        <v>31</v>
      </c>
      <c r="M193" s="7">
        <v>6.06911111111111</v>
      </c>
      <c r="N193" s="7">
        <v>10.442305555555556</v>
      </c>
      <c r="O193" s="7" t="s">
        <v>23</v>
      </c>
    </row>
    <row r="194" spans="1:15" x14ac:dyDescent="0.25">
      <c r="A194" s="2">
        <f t="shared" si="2"/>
        <v>192</v>
      </c>
      <c r="B194" s="7" t="s">
        <v>1179</v>
      </c>
      <c r="C194" s="7" t="s">
        <v>1180</v>
      </c>
      <c r="D194" s="7" t="s">
        <v>1179</v>
      </c>
      <c r="E194" s="7" t="s">
        <v>26</v>
      </c>
      <c r="F194" s="7" t="s">
        <v>1181</v>
      </c>
      <c r="G194" s="8" t="s">
        <v>18</v>
      </c>
      <c r="H194" s="7" t="s">
        <v>28</v>
      </c>
      <c r="I194" s="7" t="s">
        <v>194</v>
      </c>
      <c r="J194" s="7" t="s">
        <v>195</v>
      </c>
      <c r="K194" s="7" t="s">
        <v>1182</v>
      </c>
      <c r="L194" s="7" t="s">
        <v>31</v>
      </c>
      <c r="M194" s="7">
        <v>5.8855560000000002</v>
      </c>
      <c r="N194" s="7">
        <v>10.158917000000001</v>
      </c>
      <c r="O194" s="7" t="s">
        <v>23</v>
      </c>
    </row>
    <row r="195" spans="1:15" x14ac:dyDescent="0.25">
      <c r="A195" s="2">
        <f t="shared" si="2"/>
        <v>193</v>
      </c>
      <c r="B195" s="7" t="s">
        <v>1190</v>
      </c>
      <c r="C195" s="7" t="s">
        <v>1191</v>
      </c>
      <c r="D195" s="7" t="s">
        <v>1190</v>
      </c>
      <c r="E195" s="7" t="s">
        <v>26</v>
      </c>
      <c r="F195" s="7" t="s">
        <v>1192</v>
      </c>
      <c r="G195" s="8" t="s">
        <v>18</v>
      </c>
      <c r="H195" s="7" t="s">
        <v>28</v>
      </c>
      <c r="I195" s="7" t="s">
        <v>114</v>
      </c>
      <c r="J195" s="7" t="s">
        <v>306</v>
      </c>
      <c r="K195" s="7" t="s">
        <v>1192</v>
      </c>
      <c r="L195" s="7" t="s">
        <v>31</v>
      </c>
      <c r="M195" s="7">
        <v>6.816719</v>
      </c>
      <c r="N195" s="7">
        <v>10.71663</v>
      </c>
      <c r="O195" s="7" t="s">
        <v>23</v>
      </c>
    </row>
    <row r="196" spans="1:15" x14ac:dyDescent="0.25">
      <c r="A196" s="2">
        <f t="shared" si="2"/>
        <v>194</v>
      </c>
      <c r="B196" s="7" t="s">
        <v>1201</v>
      </c>
      <c r="C196" s="7" t="s">
        <v>1202</v>
      </c>
      <c r="D196" s="7" t="s">
        <v>1201</v>
      </c>
      <c r="E196" s="7" t="s">
        <v>26</v>
      </c>
      <c r="F196" s="7" t="s">
        <v>1203</v>
      </c>
      <c r="G196" s="8" t="s">
        <v>18</v>
      </c>
      <c r="H196" s="7" t="s">
        <v>28</v>
      </c>
      <c r="I196" s="7" t="s">
        <v>241</v>
      </c>
      <c r="J196" s="7" t="s">
        <v>365</v>
      </c>
      <c r="K196" s="7" t="s">
        <v>547</v>
      </c>
      <c r="L196" s="7" t="s">
        <v>31</v>
      </c>
      <c r="M196" s="7">
        <v>5.9881390000000003</v>
      </c>
      <c r="N196" s="7">
        <v>9.9337219999999995</v>
      </c>
      <c r="O196" s="7" t="s">
        <v>23</v>
      </c>
    </row>
    <row r="197" spans="1:15" x14ac:dyDescent="0.25">
      <c r="A197" s="2">
        <f t="shared" ref="A197:A260" si="3">+A196+1</f>
        <v>195</v>
      </c>
      <c r="B197" s="7" t="s">
        <v>1204</v>
      </c>
      <c r="C197" s="7" t="s">
        <v>1205</v>
      </c>
      <c r="D197" s="7" t="s">
        <v>1204</v>
      </c>
      <c r="E197" s="7" t="s">
        <v>26</v>
      </c>
      <c r="F197" s="7" t="s">
        <v>1206</v>
      </c>
      <c r="G197" s="8" t="s">
        <v>18</v>
      </c>
      <c r="H197" s="7" t="s">
        <v>28</v>
      </c>
      <c r="I197" s="7" t="s">
        <v>194</v>
      </c>
      <c r="J197" s="7" t="s">
        <v>766</v>
      </c>
      <c r="K197" s="7" t="s">
        <v>767</v>
      </c>
      <c r="L197" s="7" t="s">
        <v>31</v>
      </c>
      <c r="M197" s="7">
        <v>6.2965970000000002</v>
      </c>
      <c r="N197" s="7">
        <v>10.33318</v>
      </c>
      <c r="O197" s="7" t="s">
        <v>23</v>
      </c>
    </row>
    <row r="198" spans="1:15" x14ac:dyDescent="0.25">
      <c r="A198" s="2">
        <f t="shared" si="3"/>
        <v>196</v>
      </c>
      <c r="B198" s="7" t="s">
        <v>1228</v>
      </c>
      <c r="C198" s="7" t="s">
        <v>1229</v>
      </c>
      <c r="D198" s="7" t="s">
        <v>1228</v>
      </c>
      <c r="E198" s="7" t="s">
        <v>26</v>
      </c>
      <c r="F198" s="7" t="s">
        <v>1230</v>
      </c>
      <c r="G198" s="8" t="s">
        <v>18</v>
      </c>
      <c r="H198" s="7" t="s">
        <v>28</v>
      </c>
      <c r="I198" s="7" t="s">
        <v>194</v>
      </c>
      <c r="J198" s="7" t="s">
        <v>766</v>
      </c>
      <c r="K198" s="7" t="s">
        <v>1230</v>
      </c>
      <c r="L198" s="7" t="s">
        <v>31</v>
      </c>
      <c r="M198" s="7">
        <v>6.2242100000000002</v>
      </c>
      <c r="N198" s="7">
        <v>10.307333</v>
      </c>
      <c r="O198" s="7" t="s">
        <v>23</v>
      </c>
    </row>
    <row r="199" spans="1:15" x14ac:dyDescent="0.25">
      <c r="A199" s="2">
        <f t="shared" si="3"/>
        <v>197</v>
      </c>
      <c r="B199" s="7" t="s">
        <v>1275</v>
      </c>
      <c r="C199" s="7" t="s">
        <v>1276</v>
      </c>
      <c r="D199" s="7" t="s">
        <v>1275</v>
      </c>
      <c r="E199" s="7" t="s">
        <v>26</v>
      </c>
      <c r="F199" s="7" t="s">
        <v>1277</v>
      </c>
      <c r="G199" s="8" t="s">
        <v>18</v>
      </c>
      <c r="H199" s="7" t="s">
        <v>28</v>
      </c>
      <c r="I199" s="7" t="s">
        <v>140</v>
      </c>
      <c r="J199" s="7" t="s">
        <v>328</v>
      </c>
      <c r="K199" s="7" t="s">
        <v>329</v>
      </c>
      <c r="L199" s="7" t="s">
        <v>31</v>
      </c>
      <c r="M199" s="7">
        <v>6.2772199999999998</v>
      </c>
      <c r="N199" s="7">
        <v>10.56278</v>
      </c>
      <c r="O199" s="7" t="s">
        <v>23</v>
      </c>
    </row>
    <row r="200" spans="1:15" x14ac:dyDescent="0.25">
      <c r="A200" s="2">
        <f t="shared" si="3"/>
        <v>198</v>
      </c>
      <c r="B200" s="7" t="s">
        <v>1451</v>
      </c>
      <c r="C200" s="7" t="s">
        <v>1452</v>
      </c>
      <c r="D200" s="7" t="s">
        <v>1451</v>
      </c>
      <c r="E200" s="7" t="s">
        <v>26</v>
      </c>
      <c r="F200" s="7" t="s">
        <v>1453</v>
      </c>
      <c r="G200" s="8" t="s">
        <v>18</v>
      </c>
      <c r="H200" s="7" t="s">
        <v>28</v>
      </c>
      <c r="I200" s="7" t="s">
        <v>140</v>
      </c>
      <c r="J200" s="7" t="s">
        <v>1160</v>
      </c>
      <c r="K200" s="7" t="s">
        <v>1454</v>
      </c>
      <c r="L200" s="7" t="s">
        <v>31</v>
      </c>
      <c r="M200" s="7">
        <v>5.9846111110000004</v>
      </c>
      <c r="N200" s="7">
        <v>10.458</v>
      </c>
      <c r="O200" s="7" t="s">
        <v>23</v>
      </c>
    </row>
    <row r="201" spans="1:15" x14ac:dyDescent="0.25">
      <c r="A201" s="2">
        <f t="shared" si="3"/>
        <v>199</v>
      </c>
      <c r="B201" s="7" t="s">
        <v>1472</v>
      </c>
      <c r="C201" s="7" t="s">
        <v>1473</v>
      </c>
      <c r="D201" s="7" t="s">
        <v>1472</v>
      </c>
      <c r="E201" s="7" t="s">
        <v>26</v>
      </c>
      <c r="F201" s="7" t="s">
        <v>1474</v>
      </c>
      <c r="G201" s="8" t="s">
        <v>18</v>
      </c>
      <c r="H201" s="7" t="s">
        <v>28</v>
      </c>
      <c r="I201" s="7" t="s">
        <v>114</v>
      </c>
      <c r="J201" s="7" t="s">
        <v>306</v>
      </c>
      <c r="K201" s="7" t="s">
        <v>114</v>
      </c>
      <c r="L201" s="7" t="s">
        <v>31</v>
      </c>
      <c r="M201" s="7">
        <v>6.5732390000000001</v>
      </c>
      <c r="N201" s="7">
        <v>10.709175999999999</v>
      </c>
      <c r="O201" s="7" t="s">
        <v>23</v>
      </c>
    </row>
    <row r="202" spans="1:15" x14ac:dyDescent="0.25">
      <c r="A202" s="2">
        <f t="shared" si="3"/>
        <v>200</v>
      </c>
      <c r="B202" s="7" t="s">
        <v>1488</v>
      </c>
      <c r="C202" s="7" t="s">
        <v>1489</v>
      </c>
      <c r="D202" s="7" t="s">
        <v>1488</v>
      </c>
      <c r="E202" s="7" t="s">
        <v>26</v>
      </c>
      <c r="F202" s="7" t="s">
        <v>1490</v>
      </c>
      <c r="G202" s="8" t="s">
        <v>18</v>
      </c>
      <c r="H202" s="7" t="s">
        <v>28</v>
      </c>
      <c r="I202" s="7" t="s">
        <v>114</v>
      </c>
      <c r="J202" s="7" t="s">
        <v>306</v>
      </c>
      <c r="K202" s="7" t="s">
        <v>537</v>
      </c>
      <c r="L202" s="7" t="s">
        <v>31</v>
      </c>
      <c r="M202" s="7">
        <v>6.4269790000000002</v>
      </c>
      <c r="N202" s="7">
        <v>10.790075</v>
      </c>
      <c r="O202" s="7" t="s">
        <v>23</v>
      </c>
    </row>
    <row r="203" spans="1:15" x14ac:dyDescent="0.25">
      <c r="A203" s="2">
        <f t="shared" si="3"/>
        <v>201</v>
      </c>
      <c r="B203" s="7" t="s">
        <v>1500</v>
      </c>
      <c r="C203" s="7" t="s">
        <v>1501</v>
      </c>
      <c r="D203" s="7" t="s">
        <v>1500</v>
      </c>
      <c r="E203" s="7" t="s">
        <v>26</v>
      </c>
      <c r="F203" s="7" t="s">
        <v>1502</v>
      </c>
      <c r="G203" s="8" t="s">
        <v>18</v>
      </c>
      <c r="H203" s="7" t="s">
        <v>28</v>
      </c>
      <c r="I203" s="7" t="s">
        <v>194</v>
      </c>
      <c r="J203" s="7" t="s">
        <v>195</v>
      </c>
      <c r="K203" s="7" t="s">
        <v>1182</v>
      </c>
      <c r="L203" s="7" t="s">
        <v>31</v>
      </c>
      <c r="M203" s="7">
        <v>5.8502130000000001</v>
      </c>
      <c r="N203" s="7">
        <v>10.244930999999999</v>
      </c>
      <c r="O203" s="7" t="s">
        <v>23</v>
      </c>
    </row>
    <row r="204" spans="1:15" x14ac:dyDescent="0.25">
      <c r="A204" s="2">
        <f t="shared" si="3"/>
        <v>202</v>
      </c>
      <c r="B204" s="7" t="s">
        <v>1653</v>
      </c>
      <c r="C204" s="7" t="s">
        <v>1654</v>
      </c>
      <c r="D204" s="7" t="s">
        <v>1653</v>
      </c>
      <c r="E204" s="7" t="s">
        <v>26</v>
      </c>
      <c r="F204" s="7" t="s">
        <v>1655</v>
      </c>
      <c r="G204" s="8" t="s">
        <v>18</v>
      </c>
      <c r="H204" s="7" t="s">
        <v>19</v>
      </c>
      <c r="I204" s="7" t="s">
        <v>1010</v>
      </c>
      <c r="J204" s="7" t="s">
        <v>195</v>
      </c>
      <c r="K204" s="7" t="s">
        <v>194</v>
      </c>
      <c r="L204" s="7" t="s">
        <v>31</v>
      </c>
      <c r="M204" s="7">
        <v>5.9532040000000004</v>
      </c>
      <c r="N204" s="7">
        <v>10.183572</v>
      </c>
      <c r="O204" s="7" t="s">
        <v>23</v>
      </c>
    </row>
    <row r="205" spans="1:15" x14ac:dyDescent="0.25">
      <c r="A205" s="2">
        <f t="shared" si="3"/>
        <v>203</v>
      </c>
      <c r="B205" s="7" t="s">
        <v>1737</v>
      </c>
      <c r="C205" s="7" t="s">
        <v>1738</v>
      </c>
      <c r="D205" s="7" t="s">
        <v>1737</v>
      </c>
      <c r="E205" s="7" t="s">
        <v>26</v>
      </c>
      <c r="F205" s="7" t="s">
        <v>1739</v>
      </c>
      <c r="G205" s="8" t="s">
        <v>18</v>
      </c>
      <c r="H205" s="7" t="s">
        <v>28</v>
      </c>
      <c r="I205" s="7" t="s">
        <v>241</v>
      </c>
      <c r="J205" s="7" t="s">
        <v>195</v>
      </c>
      <c r="K205" s="7" t="s">
        <v>241</v>
      </c>
      <c r="L205" s="7" t="s">
        <v>31</v>
      </c>
      <c r="M205" s="7">
        <v>5.9635670000000003</v>
      </c>
      <c r="N205" s="7">
        <v>10.159238</v>
      </c>
      <c r="O205" s="7" t="s">
        <v>23</v>
      </c>
    </row>
    <row r="206" spans="1:15" x14ac:dyDescent="0.25">
      <c r="A206" s="2">
        <f t="shared" si="3"/>
        <v>204</v>
      </c>
      <c r="B206" s="7" t="s">
        <v>1846</v>
      </c>
      <c r="C206" s="7" t="s">
        <v>1847</v>
      </c>
      <c r="D206" s="7" t="s">
        <v>1846</v>
      </c>
      <c r="E206" s="7" t="s">
        <v>26</v>
      </c>
      <c r="F206" s="7" t="s">
        <v>1848</v>
      </c>
      <c r="G206" s="8" t="s">
        <v>18</v>
      </c>
      <c r="H206" s="7" t="s">
        <v>28</v>
      </c>
      <c r="I206" s="7" t="s">
        <v>114</v>
      </c>
      <c r="J206" s="7" t="s">
        <v>306</v>
      </c>
      <c r="K206" s="7" t="s">
        <v>537</v>
      </c>
      <c r="L206" s="7" t="s">
        <v>31</v>
      </c>
      <c r="M206" s="7">
        <v>6.4228059999999996</v>
      </c>
      <c r="N206" s="7">
        <v>10.784388999999999</v>
      </c>
      <c r="O206" s="7" t="s">
        <v>23</v>
      </c>
    </row>
    <row r="207" spans="1:15" x14ac:dyDescent="0.25">
      <c r="A207" s="2">
        <f t="shared" si="3"/>
        <v>205</v>
      </c>
      <c r="B207" s="7" t="s">
        <v>1917</v>
      </c>
      <c r="C207" s="7" t="s">
        <v>1918</v>
      </c>
      <c r="D207" s="7" t="s">
        <v>1917</v>
      </c>
      <c r="E207" s="7" t="s">
        <v>26</v>
      </c>
      <c r="F207" s="7" t="s">
        <v>1919</v>
      </c>
      <c r="G207" s="8" t="s">
        <v>18</v>
      </c>
      <c r="H207" s="7" t="s">
        <v>28</v>
      </c>
      <c r="I207" s="7" t="s">
        <v>140</v>
      </c>
      <c r="J207" s="7" t="s">
        <v>328</v>
      </c>
      <c r="K207" s="7" t="s">
        <v>1920</v>
      </c>
      <c r="L207" s="7" t="s">
        <v>31</v>
      </c>
      <c r="M207" s="7">
        <v>6.2395833300000003</v>
      </c>
      <c r="N207" s="7">
        <v>10.69488889</v>
      </c>
      <c r="O207" s="7" t="s">
        <v>23</v>
      </c>
    </row>
    <row r="208" spans="1:15" x14ac:dyDescent="0.25">
      <c r="A208" s="2">
        <f t="shared" si="3"/>
        <v>206</v>
      </c>
      <c r="B208" s="7" t="s">
        <v>1966</v>
      </c>
      <c r="C208" s="7" t="s">
        <v>1967</v>
      </c>
      <c r="D208" s="7" t="s">
        <v>1966</v>
      </c>
      <c r="E208" s="7" t="s">
        <v>26</v>
      </c>
      <c r="F208" s="7" t="s">
        <v>1968</v>
      </c>
      <c r="G208" s="8" t="s">
        <v>18</v>
      </c>
      <c r="H208" s="7" t="s">
        <v>28</v>
      </c>
      <c r="I208" s="7" t="s">
        <v>194</v>
      </c>
      <c r="J208" s="7" t="s">
        <v>766</v>
      </c>
      <c r="K208" s="7" t="s">
        <v>1969</v>
      </c>
      <c r="L208" s="7" t="s">
        <v>31</v>
      </c>
      <c r="M208" s="7">
        <v>5.9597300000000004</v>
      </c>
      <c r="N208" s="7">
        <v>10.166463</v>
      </c>
      <c r="O208" s="7" t="s">
        <v>23</v>
      </c>
    </row>
    <row r="209" spans="1:15" x14ac:dyDescent="0.25">
      <c r="A209" s="2">
        <f t="shared" si="3"/>
        <v>207</v>
      </c>
      <c r="B209" s="7" t="s">
        <v>1976</v>
      </c>
      <c r="C209" s="7" t="s">
        <v>1977</v>
      </c>
      <c r="D209" s="7" t="s">
        <v>1976</v>
      </c>
      <c r="E209" s="7" t="s">
        <v>26</v>
      </c>
      <c r="F209" s="7" t="s">
        <v>1978</v>
      </c>
      <c r="G209" s="8" t="s">
        <v>18</v>
      </c>
      <c r="H209" s="7" t="s">
        <v>28</v>
      </c>
      <c r="I209" s="7" t="s">
        <v>194</v>
      </c>
      <c r="J209" s="7" t="s">
        <v>195</v>
      </c>
      <c r="K209" s="7" t="s">
        <v>196</v>
      </c>
      <c r="L209" s="7" t="s">
        <v>31</v>
      </c>
      <c r="M209" s="7">
        <v>6.0099340000000003</v>
      </c>
      <c r="N209" s="7">
        <v>10.227228999999999</v>
      </c>
      <c r="O209" s="7" t="s">
        <v>23</v>
      </c>
    </row>
    <row r="210" spans="1:15" x14ac:dyDescent="0.25">
      <c r="A210" s="2">
        <f t="shared" si="3"/>
        <v>208</v>
      </c>
      <c r="B210" s="7" t="s">
        <v>2009</v>
      </c>
      <c r="C210" s="7" t="s">
        <v>2010</v>
      </c>
      <c r="D210" s="7" t="s">
        <v>2009</v>
      </c>
      <c r="E210" s="7" t="s">
        <v>26</v>
      </c>
      <c r="F210" s="7" t="s">
        <v>2011</v>
      </c>
      <c r="G210" s="8" t="s">
        <v>18</v>
      </c>
      <c r="H210" s="7" t="s">
        <v>19</v>
      </c>
      <c r="I210" s="7" t="s">
        <v>29</v>
      </c>
      <c r="J210" s="7" t="s">
        <v>812</v>
      </c>
      <c r="K210" s="7" t="s">
        <v>2011</v>
      </c>
      <c r="L210" s="7" t="s">
        <v>31</v>
      </c>
      <c r="M210" s="7">
        <v>6.3943027780000001</v>
      </c>
      <c r="N210" s="7">
        <v>10.083888890000001</v>
      </c>
      <c r="O210" s="7" t="s">
        <v>23</v>
      </c>
    </row>
    <row r="211" spans="1:15" x14ac:dyDescent="0.25">
      <c r="A211" s="2">
        <f t="shared" si="3"/>
        <v>209</v>
      </c>
      <c r="B211" s="7" t="s">
        <v>2012</v>
      </c>
      <c r="C211" s="7" t="s">
        <v>2013</v>
      </c>
      <c r="D211" s="7" t="s">
        <v>2012</v>
      </c>
      <c r="E211" s="7" t="s">
        <v>26</v>
      </c>
      <c r="F211" s="7" t="s">
        <v>2011</v>
      </c>
      <c r="G211" s="8" t="s">
        <v>18</v>
      </c>
      <c r="H211" s="7" t="s">
        <v>19</v>
      </c>
      <c r="I211" s="7" t="s">
        <v>29</v>
      </c>
      <c r="J211" s="7" t="s">
        <v>812</v>
      </c>
      <c r="K211" s="7" t="s">
        <v>2011</v>
      </c>
      <c r="L211" s="7" t="s">
        <v>31</v>
      </c>
      <c r="M211" s="7">
        <v>6.3811</v>
      </c>
      <c r="N211" s="7">
        <v>10.07868</v>
      </c>
      <c r="O211" s="7" t="s">
        <v>23</v>
      </c>
    </row>
    <row r="212" spans="1:15" x14ac:dyDescent="0.25">
      <c r="A212" s="2">
        <f t="shared" si="3"/>
        <v>210</v>
      </c>
      <c r="B212" s="7" t="s">
        <v>2031</v>
      </c>
      <c r="C212" s="7" t="s">
        <v>2032</v>
      </c>
      <c r="D212" s="7" t="s">
        <v>2031</v>
      </c>
      <c r="E212" s="7" t="s">
        <v>26</v>
      </c>
      <c r="F212" s="7" t="s">
        <v>2033</v>
      </c>
      <c r="G212" s="8" t="s">
        <v>18</v>
      </c>
      <c r="H212" s="7" t="s">
        <v>28</v>
      </c>
      <c r="I212" s="7" t="s">
        <v>1010</v>
      </c>
      <c r="J212" s="7" t="s">
        <v>195</v>
      </c>
      <c r="K212" s="7" t="s">
        <v>241</v>
      </c>
      <c r="L212" s="7" t="s">
        <v>31</v>
      </c>
      <c r="M212" s="7">
        <v>5.9520799999999996</v>
      </c>
      <c r="N212" s="7">
        <v>10.152419999999999</v>
      </c>
      <c r="O212" s="7" t="s">
        <v>613</v>
      </c>
    </row>
    <row r="213" spans="1:15" x14ac:dyDescent="0.25">
      <c r="A213" s="2">
        <f t="shared" si="3"/>
        <v>211</v>
      </c>
      <c r="B213" s="7" t="s">
        <v>2048</v>
      </c>
      <c r="C213" s="7" t="s">
        <v>2049</v>
      </c>
      <c r="D213" s="7" t="s">
        <v>2048</v>
      </c>
      <c r="E213" s="7" t="s">
        <v>26</v>
      </c>
      <c r="F213" s="7" t="s">
        <v>2050</v>
      </c>
      <c r="G213" s="8" t="s">
        <v>18</v>
      </c>
      <c r="H213" s="7" t="s">
        <v>19</v>
      </c>
      <c r="I213" s="7" t="s">
        <v>1010</v>
      </c>
      <c r="J213" s="7" t="s">
        <v>195</v>
      </c>
      <c r="K213" s="7" t="s">
        <v>241</v>
      </c>
      <c r="L213" s="7" t="s">
        <v>31</v>
      </c>
      <c r="M213" s="7">
        <v>5.958558</v>
      </c>
      <c r="N213" s="7">
        <v>10.151246</v>
      </c>
      <c r="O213" s="7" t="s">
        <v>613</v>
      </c>
    </row>
    <row r="214" spans="1:15" x14ac:dyDescent="0.25">
      <c r="A214" s="2">
        <f t="shared" si="3"/>
        <v>212</v>
      </c>
      <c r="B214" s="7" t="s">
        <v>2060</v>
      </c>
      <c r="C214" s="7" t="s">
        <v>2061</v>
      </c>
      <c r="D214" s="7" t="s">
        <v>2060</v>
      </c>
      <c r="E214" s="7" t="s">
        <v>26</v>
      </c>
      <c r="F214" s="7" t="s">
        <v>2062</v>
      </c>
      <c r="G214" s="8" t="s">
        <v>18</v>
      </c>
      <c r="H214" s="7" t="s">
        <v>28</v>
      </c>
      <c r="I214" s="7" t="s">
        <v>1010</v>
      </c>
      <c r="J214" s="7" t="s">
        <v>195</v>
      </c>
      <c r="K214" s="7" t="s">
        <v>241</v>
      </c>
      <c r="L214" s="7" t="s">
        <v>31</v>
      </c>
      <c r="M214" s="7">
        <v>5.9743599999999999</v>
      </c>
      <c r="N214" s="7">
        <v>10.1563</v>
      </c>
      <c r="O214" s="7" t="s">
        <v>23</v>
      </c>
    </row>
    <row r="215" spans="1:15" x14ac:dyDescent="0.25">
      <c r="A215" s="2">
        <f t="shared" si="3"/>
        <v>213</v>
      </c>
      <c r="B215" s="7" t="s">
        <v>2117</v>
      </c>
      <c r="C215" s="7" t="s">
        <v>2118</v>
      </c>
      <c r="D215" s="7" t="s">
        <v>2117</v>
      </c>
      <c r="E215" s="7" t="s">
        <v>26</v>
      </c>
      <c r="F215" s="7" t="s">
        <v>2119</v>
      </c>
      <c r="G215" s="8" t="s">
        <v>18</v>
      </c>
      <c r="H215" s="7" t="s">
        <v>28</v>
      </c>
      <c r="I215" s="7" t="s">
        <v>1010</v>
      </c>
      <c r="J215" s="7" t="s">
        <v>195</v>
      </c>
      <c r="K215" s="7" t="s">
        <v>241</v>
      </c>
      <c r="L215" s="7" t="s">
        <v>31</v>
      </c>
      <c r="M215" s="7">
        <v>5.9619400000000002</v>
      </c>
      <c r="N215" s="7">
        <v>10.151759999999999</v>
      </c>
      <c r="O215" s="7" t="s">
        <v>613</v>
      </c>
    </row>
    <row r="216" spans="1:15" x14ac:dyDescent="0.25">
      <c r="A216" s="2">
        <f t="shared" si="3"/>
        <v>214</v>
      </c>
      <c r="B216" s="7" t="s">
        <v>2144</v>
      </c>
      <c r="C216" s="7" t="s">
        <v>2145</v>
      </c>
      <c r="D216" s="7" t="s">
        <v>2144</v>
      </c>
      <c r="E216" s="7" t="s">
        <v>26</v>
      </c>
      <c r="F216" s="7" t="s">
        <v>2146</v>
      </c>
      <c r="G216" s="8" t="s">
        <v>18</v>
      </c>
      <c r="H216" s="7" t="s">
        <v>28</v>
      </c>
      <c r="I216" s="7" t="s">
        <v>92</v>
      </c>
      <c r="J216" s="7" t="s">
        <v>365</v>
      </c>
      <c r="K216" s="7" t="s">
        <v>2147</v>
      </c>
      <c r="L216" s="7" t="s">
        <v>31</v>
      </c>
      <c r="M216" s="7">
        <v>5.8850800000000003</v>
      </c>
      <c r="N216" s="7">
        <v>9.7542799999999996</v>
      </c>
      <c r="O216" s="7" t="s">
        <v>23</v>
      </c>
    </row>
    <row r="217" spans="1:15" x14ac:dyDescent="0.25">
      <c r="A217" s="2">
        <f t="shared" si="3"/>
        <v>215</v>
      </c>
      <c r="B217" s="7" t="s">
        <v>2164</v>
      </c>
      <c r="C217" s="7" t="s">
        <v>2165</v>
      </c>
      <c r="D217" s="7" t="s">
        <v>2164</v>
      </c>
      <c r="E217" s="7" t="s">
        <v>26</v>
      </c>
      <c r="F217" s="7" t="s">
        <v>2166</v>
      </c>
      <c r="G217" s="8" t="s">
        <v>18</v>
      </c>
      <c r="H217" s="7" t="s">
        <v>19</v>
      </c>
      <c r="I217" s="7" t="s">
        <v>194</v>
      </c>
      <c r="J217" s="7" t="s">
        <v>1054</v>
      </c>
      <c r="K217" s="7" t="s">
        <v>1152</v>
      </c>
      <c r="L217" s="7" t="s">
        <v>31</v>
      </c>
      <c r="M217" s="7">
        <v>5.8983930000000004</v>
      </c>
      <c r="N217" s="7">
        <v>10.372153000000001</v>
      </c>
      <c r="O217" s="7" t="s">
        <v>23</v>
      </c>
    </row>
    <row r="218" spans="1:15" x14ac:dyDescent="0.25">
      <c r="A218" s="2">
        <f t="shared" si="3"/>
        <v>216</v>
      </c>
      <c r="B218" s="7" t="s">
        <v>2230</v>
      </c>
      <c r="C218" s="7" t="s">
        <v>2231</v>
      </c>
      <c r="D218" s="7" t="s">
        <v>2230</v>
      </c>
      <c r="E218" s="7" t="s">
        <v>26</v>
      </c>
      <c r="F218" s="7" t="s">
        <v>2232</v>
      </c>
      <c r="G218" s="8" t="s">
        <v>18</v>
      </c>
      <c r="H218" s="7" t="s">
        <v>19</v>
      </c>
      <c r="I218" s="7" t="s">
        <v>114</v>
      </c>
      <c r="J218" s="7" t="s">
        <v>328</v>
      </c>
      <c r="K218" s="7" t="s">
        <v>116</v>
      </c>
      <c r="L218" s="7" t="s">
        <v>31</v>
      </c>
      <c r="M218" s="7">
        <v>6.3106944440000001</v>
      </c>
      <c r="N218" s="7">
        <v>10.726749999999999</v>
      </c>
      <c r="O218" s="7" t="s">
        <v>23</v>
      </c>
    </row>
    <row r="219" spans="1:15" x14ac:dyDescent="0.25">
      <c r="A219" s="2">
        <f t="shared" si="3"/>
        <v>217</v>
      </c>
      <c r="B219" s="7" t="s">
        <v>2279</v>
      </c>
      <c r="C219" s="7" t="s">
        <v>2280</v>
      </c>
      <c r="D219" s="7" t="s">
        <v>2279</v>
      </c>
      <c r="E219" s="7" t="s">
        <v>26</v>
      </c>
      <c r="F219" s="7" t="s">
        <v>2281</v>
      </c>
      <c r="G219" s="8" t="s">
        <v>18</v>
      </c>
      <c r="H219" s="7" t="s">
        <v>28</v>
      </c>
      <c r="I219" s="7" t="s">
        <v>140</v>
      </c>
      <c r="J219" s="7" t="s">
        <v>328</v>
      </c>
      <c r="K219" s="7" t="s">
        <v>140</v>
      </c>
      <c r="L219" s="7" t="s">
        <v>31</v>
      </c>
      <c r="M219" s="7">
        <v>6.1698240000000002</v>
      </c>
      <c r="N219" s="7">
        <v>10.673164999999999</v>
      </c>
      <c r="O219" s="7" t="s">
        <v>23</v>
      </c>
    </row>
    <row r="220" spans="1:15" x14ac:dyDescent="0.25">
      <c r="A220" s="2">
        <f t="shared" si="3"/>
        <v>218</v>
      </c>
      <c r="B220" s="7" t="s">
        <v>2328</v>
      </c>
      <c r="C220" s="7" t="s">
        <v>2329</v>
      </c>
      <c r="D220" s="7" t="s">
        <v>2328</v>
      </c>
      <c r="E220" s="7" t="s">
        <v>26</v>
      </c>
      <c r="F220" s="7" t="s">
        <v>2330</v>
      </c>
      <c r="G220" s="8" t="s">
        <v>18</v>
      </c>
      <c r="H220" s="7" t="s">
        <v>19</v>
      </c>
      <c r="I220" s="7" t="s">
        <v>1010</v>
      </c>
      <c r="J220" s="7" t="s">
        <v>195</v>
      </c>
      <c r="K220" s="7" t="s">
        <v>241</v>
      </c>
      <c r="L220" s="7" t="s">
        <v>31</v>
      </c>
      <c r="M220" s="7">
        <v>5.9709310000000002</v>
      </c>
      <c r="N220" s="7">
        <v>10.140806</v>
      </c>
      <c r="O220" s="7" t="s">
        <v>23</v>
      </c>
    </row>
    <row r="221" spans="1:15" x14ac:dyDescent="0.25">
      <c r="A221" s="2">
        <f t="shared" si="3"/>
        <v>219</v>
      </c>
      <c r="B221" s="7" t="s">
        <v>2364</v>
      </c>
      <c r="C221" s="7" t="s">
        <v>2365</v>
      </c>
      <c r="D221" s="7" t="s">
        <v>2364</v>
      </c>
      <c r="E221" s="7" t="s">
        <v>26</v>
      </c>
      <c r="F221" s="7" t="s">
        <v>2366</v>
      </c>
      <c r="G221" s="8" t="s">
        <v>18</v>
      </c>
      <c r="H221" s="7" t="s">
        <v>19</v>
      </c>
      <c r="I221" s="7" t="s">
        <v>241</v>
      </c>
      <c r="J221" s="7" t="s">
        <v>195</v>
      </c>
      <c r="K221" s="7" t="s">
        <v>241</v>
      </c>
      <c r="L221" s="7" t="s">
        <v>31</v>
      </c>
      <c r="M221" s="7">
        <v>5.9708550000000002</v>
      </c>
      <c r="N221" s="7">
        <v>10.164631</v>
      </c>
      <c r="O221" s="7" t="s">
        <v>23</v>
      </c>
    </row>
    <row r="222" spans="1:15" x14ac:dyDescent="0.25">
      <c r="A222" s="2">
        <f t="shared" si="3"/>
        <v>220</v>
      </c>
      <c r="B222" s="7" t="s">
        <v>2414</v>
      </c>
      <c r="C222" s="7" t="s">
        <v>2415</v>
      </c>
      <c r="D222" s="7" t="s">
        <v>2414</v>
      </c>
      <c r="E222" s="7" t="s">
        <v>26</v>
      </c>
      <c r="F222" s="7" t="s">
        <v>2416</v>
      </c>
      <c r="G222" s="8" t="s">
        <v>18</v>
      </c>
      <c r="H222" s="7" t="s">
        <v>19</v>
      </c>
      <c r="I222" s="7" t="s">
        <v>1010</v>
      </c>
      <c r="J222" s="7" t="s">
        <v>195</v>
      </c>
      <c r="K222" s="7" t="s">
        <v>1010</v>
      </c>
      <c r="L222" s="7" t="s">
        <v>31</v>
      </c>
      <c r="M222" s="7">
        <v>5.9811589999999999</v>
      </c>
      <c r="N222" s="7">
        <v>10.178846999999999</v>
      </c>
      <c r="O222" s="7" t="s">
        <v>23</v>
      </c>
    </row>
    <row r="223" spans="1:15" x14ac:dyDescent="0.25">
      <c r="A223" s="2">
        <f t="shared" si="3"/>
        <v>221</v>
      </c>
      <c r="B223" s="7" t="s">
        <v>2530</v>
      </c>
      <c r="C223" s="7" t="s">
        <v>2531</v>
      </c>
      <c r="D223" s="7" t="s">
        <v>2530</v>
      </c>
      <c r="E223" s="7" t="s">
        <v>26</v>
      </c>
      <c r="F223" s="7" t="s">
        <v>2532</v>
      </c>
      <c r="G223" s="8" t="s">
        <v>18</v>
      </c>
      <c r="H223" s="7" t="s">
        <v>28</v>
      </c>
      <c r="I223" s="7" t="s">
        <v>241</v>
      </c>
      <c r="J223" s="7" t="s">
        <v>195</v>
      </c>
      <c r="K223" s="7" t="s">
        <v>241</v>
      </c>
      <c r="L223" s="7" t="s">
        <v>31</v>
      </c>
      <c r="M223" s="7">
        <v>5.9593400000000001</v>
      </c>
      <c r="N223" s="7">
        <v>10.14494</v>
      </c>
      <c r="O223" s="7" t="s">
        <v>613</v>
      </c>
    </row>
    <row r="224" spans="1:15" x14ac:dyDescent="0.25">
      <c r="A224" s="2">
        <f t="shared" si="3"/>
        <v>222</v>
      </c>
      <c r="B224" s="7" t="s">
        <v>2616</v>
      </c>
      <c r="C224" s="7" t="s">
        <v>2617</v>
      </c>
      <c r="D224" s="7" t="s">
        <v>2616</v>
      </c>
      <c r="E224" s="7" t="s">
        <v>26</v>
      </c>
      <c r="F224" s="7" t="s">
        <v>2618</v>
      </c>
      <c r="G224" s="8" t="s">
        <v>18</v>
      </c>
      <c r="H224" s="7" t="s">
        <v>28</v>
      </c>
      <c r="I224" s="7" t="s">
        <v>241</v>
      </c>
      <c r="J224" s="7" t="s">
        <v>195</v>
      </c>
      <c r="K224" s="7" t="s">
        <v>241</v>
      </c>
      <c r="L224" s="7" t="s">
        <v>31</v>
      </c>
      <c r="M224" s="7">
        <v>5.9420900000000003</v>
      </c>
      <c r="N224" s="7">
        <v>10.15291</v>
      </c>
      <c r="O224" s="7" t="s">
        <v>23</v>
      </c>
    </row>
    <row r="225" spans="1:15" x14ac:dyDescent="0.25">
      <c r="A225" s="2">
        <f t="shared" si="3"/>
        <v>223</v>
      </c>
      <c r="B225" s="7" t="s">
        <v>2690</v>
      </c>
      <c r="C225" s="7" t="s">
        <v>2691</v>
      </c>
      <c r="D225" s="7" t="s">
        <v>2690</v>
      </c>
      <c r="E225" s="7" t="s">
        <v>26</v>
      </c>
      <c r="F225" s="7" t="s">
        <v>2692</v>
      </c>
      <c r="G225" s="8" t="s">
        <v>18</v>
      </c>
      <c r="H225" s="7" t="s">
        <v>28</v>
      </c>
      <c r="I225" s="7" t="s">
        <v>194</v>
      </c>
      <c r="J225" s="7" t="s">
        <v>1160</v>
      </c>
      <c r="K225" s="7" t="s">
        <v>1454</v>
      </c>
      <c r="L225" s="7" t="s">
        <v>31</v>
      </c>
      <c r="M225" s="7">
        <v>5.99031</v>
      </c>
      <c r="N225" s="7">
        <v>10.376480000000001</v>
      </c>
      <c r="O225" s="7" t="s">
        <v>23</v>
      </c>
    </row>
    <row r="226" spans="1:15" x14ac:dyDescent="0.25">
      <c r="A226" s="2">
        <f t="shared" si="3"/>
        <v>224</v>
      </c>
      <c r="B226" s="7" t="s">
        <v>2716</v>
      </c>
      <c r="C226" s="7" t="s">
        <v>2717</v>
      </c>
      <c r="D226" s="7" t="s">
        <v>2716</v>
      </c>
      <c r="E226" s="7" t="s">
        <v>26</v>
      </c>
      <c r="F226" s="7" t="s">
        <v>2718</v>
      </c>
      <c r="G226" s="8" t="s">
        <v>18</v>
      </c>
      <c r="H226" s="7" t="s">
        <v>19</v>
      </c>
      <c r="I226" s="7" t="s">
        <v>241</v>
      </c>
      <c r="J226" s="7" t="s">
        <v>195</v>
      </c>
      <c r="K226" s="7" t="s">
        <v>2718</v>
      </c>
      <c r="L226" s="7" t="s">
        <v>31</v>
      </c>
      <c r="M226" s="7">
        <v>5.8791859999999998</v>
      </c>
      <c r="N226" s="7">
        <v>10.011922</v>
      </c>
      <c r="O226" s="7" t="s">
        <v>23</v>
      </c>
    </row>
    <row r="227" spans="1:15" x14ac:dyDescent="0.25">
      <c r="A227" s="2">
        <f t="shared" si="3"/>
        <v>225</v>
      </c>
      <c r="B227" s="7" t="s">
        <v>2731</v>
      </c>
      <c r="C227" s="7" t="s">
        <v>2732</v>
      </c>
      <c r="D227" s="7" t="s">
        <v>2731</v>
      </c>
      <c r="E227" s="7" t="s">
        <v>26</v>
      </c>
      <c r="F227" s="7" t="s">
        <v>2733</v>
      </c>
      <c r="G227" s="8" t="s">
        <v>18</v>
      </c>
      <c r="H227" s="7" t="s">
        <v>28</v>
      </c>
      <c r="I227" s="7" t="s">
        <v>140</v>
      </c>
      <c r="J227" s="7" t="s">
        <v>1160</v>
      </c>
      <c r="K227" s="7" t="s">
        <v>1161</v>
      </c>
      <c r="L227" s="7" t="s">
        <v>31</v>
      </c>
      <c r="M227" s="7">
        <v>6.0702559999999997</v>
      </c>
      <c r="N227" s="7">
        <v>10.487463</v>
      </c>
      <c r="O227" s="7" t="s">
        <v>23</v>
      </c>
    </row>
    <row r="228" spans="1:15" x14ac:dyDescent="0.25">
      <c r="A228" s="2">
        <f t="shared" si="3"/>
        <v>226</v>
      </c>
      <c r="B228" s="7" t="s">
        <v>2734</v>
      </c>
      <c r="C228" s="7" t="s">
        <v>2735</v>
      </c>
      <c r="D228" s="7" t="s">
        <v>2734</v>
      </c>
      <c r="E228" s="7" t="s">
        <v>26</v>
      </c>
      <c r="F228" s="7" t="s">
        <v>349</v>
      </c>
      <c r="G228" s="8" t="s">
        <v>18</v>
      </c>
      <c r="H228" s="7" t="s">
        <v>19</v>
      </c>
      <c r="I228" s="7" t="s">
        <v>140</v>
      </c>
      <c r="J228" s="7" t="s">
        <v>328</v>
      </c>
      <c r="K228" s="7" t="s">
        <v>349</v>
      </c>
      <c r="L228" s="7" t="s">
        <v>31</v>
      </c>
      <c r="M228" s="7">
        <v>6.083806</v>
      </c>
      <c r="N228" s="7">
        <v>10.608499999999999</v>
      </c>
      <c r="O228" s="7" t="s">
        <v>23</v>
      </c>
    </row>
    <row r="229" spans="1:15" x14ac:dyDescent="0.25">
      <c r="A229" s="2">
        <f t="shared" si="3"/>
        <v>227</v>
      </c>
      <c r="B229" s="7" t="s">
        <v>2739</v>
      </c>
      <c r="C229" s="7" t="s">
        <v>2740</v>
      </c>
      <c r="D229" s="7" t="s">
        <v>2739</v>
      </c>
      <c r="E229" s="7" t="s">
        <v>26</v>
      </c>
      <c r="F229" s="7" t="s">
        <v>2741</v>
      </c>
      <c r="G229" s="8" t="s">
        <v>18</v>
      </c>
      <c r="H229" s="7" t="s">
        <v>28</v>
      </c>
      <c r="I229" s="7" t="s">
        <v>140</v>
      </c>
      <c r="J229" s="7" t="s">
        <v>1160</v>
      </c>
      <c r="K229" s="7" t="s">
        <v>1161</v>
      </c>
      <c r="L229" s="7" t="s">
        <v>31</v>
      </c>
      <c r="M229" s="7">
        <v>6.332833333</v>
      </c>
      <c r="N229" s="7">
        <v>10.58295833</v>
      </c>
      <c r="O229" s="7" t="s">
        <v>23</v>
      </c>
    </row>
    <row r="230" spans="1:15" x14ac:dyDescent="0.25">
      <c r="A230" s="2">
        <f t="shared" si="3"/>
        <v>228</v>
      </c>
      <c r="B230" s="7" t="s">
        <v>2746</v>
      </c>
      <c r="C230" s="7" t="s">
        <v>2747</v>
      </c>
      <c r="D230" s="7" t="s">
        <v>2746</v>
      </c>
      <c r="E230" s="7" t="s">
        <v>26</v>
      </c>
      <c r="F230" s="7" t="s">
        <v>349</v>
      </c>
      <c r="G230" s="8" t="s">
        <v>18</v>
      </c>
      <c r="H230" s="7" t="s">
        <v>19</v>
      </c>
      <c r="I230" s="7" t="s">
        <v>140</v>
      </c>
      <c r="J230" s="7" t="s">
        <v>328</v>
      </c>
      <c r="K230" s="7" t="s">
        <v>349</v>
      </c>
      <c r="L230" s="7" t="s">
        <v>31</v>
      </c>
      <c r="M230" s="7">
        <v>6.0825800000000001</v>
      </c>
      <c r="N230" s="7">
        <v>10.60824</v>
      </c>
      <c r="O230" s="7" t="s">
        <v>23</v>
      </c>
    </row>
    <row r="231" spans="1:15" x14ac:dyDescent="0.25">
      <c r="A231" s="2">
        <f t="shared" si="3"/>
        <v>229</v>
      </c>
      <c r="B231" s="7" t="s">
        <v>2776</v>
      </c>
      <c r="C231" s="7" t="s">
        <v>2777</v>
      </c>
      <c r="D231" s="7" t="s">
        <v>2776</v>
      </c>
      <c r="E231" s="7" t="s">
        <v>26</v>
      </c>
      <c r="F231" s="7" t="s">
        <v>2778</v>
      </c>
      <c r="G231" s="8" t="s">
        <v>18</v>
      </c>
      <c r="H231" s="7" t="s">
        <v>19</v>
      </c>
      <c r="I231" s="7" t="s">
        <v>114</v>
      </c>
      <c r="J231" s="7" t="s">
        <v>328</v>
      </c>
      <c r="K231" s="7" t="s">
        <v>116</v>
      </c>
      <c r="L231" s="7" t="s">
        <v>31</v>
      </c>
      <c r="M231" s="7">
        <v>6.3106299999999997</v>
      </c>
      <c r="N231" s="7">
        <v>10.727040000000001</v>
      </c>
      <c r="O231" s="7" t="s">
        <v>23</v>
      </c>
    </row>
    <row r="232" spans="1:15" x14ac:dyDescent="0.25">
      <c r="A232" s="2">
        <f t="shared" si="3"/>
        <v>230</v>
      </c>
      <c r="B232" s="7" t="s">
        <v>2783</v>
      </c>
      <c r="C232" s="7" t="s">
        <v>2784</v>
      </c>
      <c r="D232" s="7" t="s">
        <v>2783</v>
      </c>
      <c r="E232" s="7" t="s">
        <v>26</v>
      </c>
      <c r="F232" s="7" t="s">
        <v>547</v>
      </c>
      <c r="G232" s="8" t="s">
        <v>18</v>
      </c>
      <c r="H232" s="7" t="s">
        <v>19</v>
      </c>
      <c r="I232" s="7" t="s">
        <v>241</v>
      </c>
      <c r="J232" s="7" t="s">
        <v>365</v>
      </c>
      <c r="K232" s="7" t="s">
        <v>547</v>
      </c>
      <c r="L232" s="7" t="s">
        <v>31</v>
      </c>
      <c r="M232" s="7">
        <v>6.0065030000000004</v>
      </c>
      <c r="N232" s="7">
        <v>10.001763</v>
      </c>
      <c r="O232" s="7" t="s">
        <v>23</v>
      </c>
    </row>
    <row r="233" spans="1:15" x14ac:dyDescent="0.25">
      <c r="A233" s="2">
        <f t="shared" si="3"/>
        <v>231</v>
      </c>
      <c r="B233" s="7" t="s">
        <v>2785</v>
      </c>
      <c r="C233" s="7" t="s">
        <v>2786</v>
      </c>
      <c r="D233" s="7" t="s">
        <v>2785</v>
      </c>
      <c r="E233" s="7" t="s">
        <v>26</v>
      </c>
      <c r="F233" s="7" t="s">
        <v>2787</v>
      </c>
      <c r="G233" s="8" t="s">
        <v>18</v>
      </c>
      <c r="H233" s="7" t="s">
        <v>28</v>
      </c>
      <c r="I233" s="7" t="s">
        <v>140</v>
      </c>
      <c r="J233" s="7" t="s">
        <v>328</v>
      </c>
      <c r="K233" s="7" t="s">
        <v>349</v>
      </c>
      <c r="L233" s="7" t="s">
        <v>31</v>
      </c>
      <c r="M233" s="7">
        <v>6.0773165999999996</v>
      </c>
      <c r="N233" s="7">
        <v>10.640361</v>
      </c>
      <c r="O233" s="7" t="s">
        <v>23</v>
      </c>
    </row>
    <row r="234" spans="1:15" x14ac:dyDescent="0.25">
      <c r="A234" s="2">
        <f t="shared" si="3"/>
        <v>232</v>
      </c>
      <c r="B234" s="7" t="s">
        <v>2794</v>
      </c>
      <c r="C234" s="7" t="s">
        <v>2795</v>
      </c>
      <c r="D234" s="7" t="s">
        <v>2794</v>
      </c>
      <c r="E234" s="7" t="s">
        <v>26</v>
      </c>
      <c r="F234" s="7" t="s">
        <v>29</v>
      </c>
      <c r="G234" s="8" t="s">
        <v>18</v>
      </c>
      <c r="H234" s="7" t="s">
        <v>19</v>
      </c>
      <c r="I234" s="7" t="s">
        <v>29</v>
      </c>
      <c r="J234" s="7" t="s">
        <v>195</v>
      </c>
      <c r="K234" s="7" t="s">
        <v>29</v>
      </c>
      <c r="L234" s="7" t="s">
        <v>31</v>
      </c>
      <c r="M234" s="7">
        <v>6.0735999999999999</v>
      </c>
      <c r="N234" s="7">
        <v>10.142670000000001</v>
      </c>
      <c r="O234" s="7" t="s">
        <v>23</v>
      </c>
    </row>
    <row r="235" spans="1:15" x14ac:dyDescent="0.25">
      <c r="A235" s="2">
        <f t="shared" si="3"/>
        <v>233</v>
      </c>
      <c r="B235" s="7" t="s">
        <v>2830</v>
      </c>
      <c r="C235" s="7" t="s">
        <v>2831</v>
      </c>
      <c r="D235" s="7" t="s">
        <v>2830</v>
      </c>
      <c r="E235" s="7" t="s">
        <v>26</v>
      </c>
      <c r="F235" s="7" t="s">
        <v>2832</v>
      </c>
      <c r="G235" s="8" t="s">
        <v>18</v>
      </c>
      <c r="H235" s="7" t="s">
        <v>28</v>
      </c>
      <c r="I235" s="7" t="s">
        <v>241</v>
      </c>
      <c r="J235" s="7" t="s">
        <v>195</v>
      </c>
      <c r="K235" s="7" t="s">
        <v>241</v>
      </c>
      <c r="L235" s="7" t="s">
        <v>31</v>
      </c>
      <c r="M235" s="7">
        <v>5.9586490000000003</v>
      </c>
      <c r="N235" s="7">
        <v>10.129381</v>
      </c>
      <c r="O235" s="7" t="s">
        <v>23</v>
      </c>
    </row>
    <row r="236" spans="1:15" x14ac:dyDescent="0.25">
      <c r="A236" s="2">
        <f t="shared" si="3"/>
        <v>234</v>
      </c>
      <c r="B236" s="7" t="s">
        <v>2833</v>
      </c>
      <c r="C236" s="7" t="s">
        <v>2834</v>
      </c>
      <c r="D236" s="7" t="s">
        <v>2833</v>
      </c>
      <c r="E236" s="7" t="s">
        <v>26</v>
      </c>
      <c r="F236" s="7" t="s">
        <v>2835</v>
      </c>
      <c r="G236" s="8" t="s">
        <v>18</v>
      </c>
      <c r="H236" s="7" t="s">
        <v>28</v>
      </c>
      <c r="I236" s="7" t="s">
        <v>194</v>
      </c>
      <c r="J236" s="7" t="s">
        <v>195</v>
      </c>
      <c r="K236" s="7" t="s">
        <v>194</v>
      </c>
      <c r="L236" s="7" t="s">
        <v>31</v>
      </c>
      <c r="M236" s="7">
        <v>5.9335040000000001</v>
      </c>
      <c r="N236" s="7">
        <v>10.183420999999999</v>
      </c>
      <c r="O236" s="7" t="s">
        <v>23</v>
      </c>
    </row>
    <row r="237" spans="1:15" x14ac:dyDescent="0.25">
      <c r="A237" s="2">
        <f t="shared" si="3"/>
        <v>235</v>
      </c>
      <c r="B237" s="7" t="s">
        <v>2883</v>
      </c>
      <c r="C237" s="7" t="s">
        <v>2884</v>
      </c>
      <c r="D237" s="7" t="s">
        <v>2883</v>
      </c>
      <c r="E237" s="7" t="s">
        <v>26</v>
      </c>
      <c r="F237" s="7" t="s">
        <v>1454</v>
      </c>
      <c r="G237" s="8" t="s">
        <v>18</v>
      </c>
      <c r="H237" s="7" t="s">
        <v>19</v>
      </c>
      <c r="I237" s="7" t="s">
        <v>140</v>
      </c>
      <c r="J237" s="7" t="s">
        <v>1160</v>
      </c>
      <c r="K237" s="7" t="s">
        <v>1454</v>
      </c>
      <c r="L237" s="7" t="s">
        <v>31</v>
      </c>
      <c r="M237" s="7">
        <v>5.9846166670000001</v>
      </c>
      <c r="N237" s="7">
        <v>10.43468333</v>
      </c>
      <c r="O237" s="7" t="s">
        <v>23</v>
      </c>
    </row>
    <row r="238" spans="1:15" x14ac:dyDescent="0.25">
      <c r="A238" s="2">
        <f t="shared" si="3"/>
        <v>236</v>
      </c>
      <c r="B238" s="7" t="s">
        <v>3093</v>
      </c>
      <c r="C238" s="7" t="s">
        <v>3094</v>
      </c>
      <c r="D238" s="7" t="s">
        <v>3093</v>
      </c>
      <c r="E238" s="7" t="s">
        <v>26</v>
      </c>
      <c r="F238" s="7" t="s">
        <v>3095</v>
      </c>
      <c r="G238" s="8" t="s">
        <v>18</v>
      </c>
      <c r="H238" s="7" t="s">
        <v>28</v>
      </c>
      <c r="I238" s="7" t="s">
        <v>241</v>
      </c>
      <c r="J238" s="7" t="s">
        <v>365</v>
      </c>
      <c r="K238" s="7" t="s">
        <v>3095</v>
      </c>
      <c r="L238" s="7" t="s">
        <v>31</v>
      </c>
      <c r="M238" s="7">
        <v>5.8363839999999998</v>
      </c>
      <c r="N238" s="7">
        <v>9.8830439999999999</v>
      </c>
      <c r="O238" s="7" t="s">
        <v>23</v>
      </c>
    </row>
    <row r="239" spans="1:15" x14ac:dyDescent="0.25">
      <c r="A239" s="2">
        <f t="shared" si="3"/>
        <v>237</v>
      </c>
      <c r="B239" s="7" t="s">
        <v>3199</v>
      </c>
      <c r="C239" s="7" t="s">
        <v>3200</v>
      </c>
      <c r="D239" s="7" t="s">
        <v>3199</v>
      </c>
      <c r="E239" s="7" t="s">
        <v>26</v>
      </c>
      <c r="F239" s="7" t="s">
        <v>3201</v>
      </c>
      <c r="G239" s="8" t="s">
        <v>18</v>
      </c>
      <c r="H239" s="7" t="s">
        <v>28</v>
      </c>
      <c r="I239" s="7" t="s">
        <v>194</v>
      </c>
      <c r="J239" s="7" t="s">
        <v>195</v>
      </c>
      <c r="K239" s="7" t="s">
        <v>3202</v>
      </c>
      <c r="L239" s="7" t="s">
        <v>31</v>
      </c>
      <c r="M239" s="7">
        <v>6.0077199999999999</v>
      </c>
      <c r="N239" s="7">
        <v>10.253880000000001</v>
      </c>
      <c r="O239" s="7" t="s">
        <v>23</v>
      </c>
    </row>
    <row r="240" spans="1:15" x14ac:dyDescent="0.25">
      <c r="A240" s="2">
        <f t="shared" si="3"/>
        <v>238</v>
      </c>
      <c r="B240" s="7" t="s">
        <v>3233</v>
      </c>
      <c r="C240" s="7" t="s">
        <v>3234</v>
      </c>
      <c r="D240" s="7" t="s">
        <v>3233</v>
      </c>
      <c r="E240" s="7" t="s">
        <v>26</v>
      </c>
      <c r="F240" s="7" t="s">
        <v>3235</v>
      </c>
      <c r="G240" s="8" t="s">
        <v>18</v>
      </c>
      <c r="H240" s="7" t="s">
        <v>28</v>
      </c>
      <c r="I240" s="7" t="s">
        <v>241</v>
      </c>
      <c r="J240" s="7" t="s">
        <v>195</v>
      </c>
      <c r="K240" s="7" t="s">
        <v>2718</v>
      </c>
      <c r="L240" s="7" t="s">
        <v>31</v>
      </c>
      <c r="M240" s="7">
        <v>5.8916944439999996</v>
      </c>
      <c r="N240" s="7">
        <v>10.02088889</v>
      </c>
      <c r="O240" s="7" t="s">
        <v>23</v>
      </c>
    </row>
    <row r="241" spans="1:15" x14ac:dyDescent="0.25">
      <c r="A241" s="2">
        <f t="shared" si="3"/>
        <v>239</v>
      </c>
      <c r="B241" s="7" t="s">
        <v>3299</v>
      </c>
      <c r="C241" s="7" t="s">
        <v>3300</v>
      </c>
      <c r="D241" s="7" t="s">
        <v>3299</v>
      </c>
      <c r="E241" s="7" t="s">
        <v>26</v>
      </c>
      <c r="F241" s="7" t="s">
        <v>3301</v>
      </c>
      <c r="G241" s="8" t="s">
        <v>18</v>
      </c>
      <c r="H241" s="7" t="s">
        <v>28</v>
      </c>
      <c r="I241" s="7" t="s">
        <v>1010</v>
      </c>
      <c r="J241" s="7" t="s">
        <v>195</v>
      </c>
      <c r="K241" s="7" t="s">
        <v>241</v>
      </c>
      <c r="L241" s="7" t="s">
        <v>31</v>
      </c>
      <c r="M241" s="7">
        <v>5.9587719999999997</v>
      </c>
      <c r="N241" s="7">
        <v>10.168169000000001</v>
      </c>
      <c r="O241" s="7" t="s">
        <v>23</v>
      </c>
    </row>
    <row r="242" spans="1:15" x14ac:dyDescent="0.25">
      <c r="A242" s="2">
        <f t="shared" si="3"/>
        <v>240</v>
      </c>
      <c r="B242" s="7" t="s">
        <v>3302</v>
      </c>
      <c r="C242" s="7" t="s">
        <v>3303</v>
      </c>
      <c r="D242" s="7" t="s">
        <v>3302</v>
      </c>
      <c r="E242" s="7" t="s">
        <v>26</v>
      </c>
      <c r="F242" s="7" t="s">
        <v>3304</v>
      </c>
      <c r="G242" s="8" t="s">
        <v>18</v>
      </c>
      <c r="H242" s="7" t="s">
        <v>28</v>
      </c>
      <c r="I242" s="7" t="s">
        <v>241</v>
      </c>
      <c r="J242" s="7" t="s">
        <v>195</v>
      </c>
      <c r="K242" s="7" t="s">
        <v>241</v>
      </c>
      <c r="L242" s="7" t="s">
        <v>31</v>
      </c>
      <c r="M242" s="7">
        <v>5.9534719999999997</v>
      </c>
      <c r="N242" s="7">
        <v>10.146556</v>
      </c>
      <c r="O242" s="7" t="s">
        <v>613</v>
      </c>
    </row>
    <row r="243" spans="1:15" x14ac:dyDescent="0.25">
      <c r="A243" s="2">
        <f t="shared" si="3"/>
        <v>241</v>
      </c>
      <c r="B243" s="7" t="s">
        <v>3430</v>
      </c>
      <c r="C243" s="7" t="s">
        <v>3431</v>
      </c>
      <c r="D243" s="7" t="s">
        <v>3430</v>
      </c>
      <c r="E243" s="7" t="s">
        <v>26</v>
      </c>
      <c r="F243" s="7" t="s">
        <v>3432</v>
      </c>
      <c r="G243" s="8" t="s">
        <v>18</v>
      </c>
      <c r="H243" s="7" t="s">
        <v>28</v>
      </c>
      <c r="I243" s="7" t="s">
        <v>1010</v>
      </c>
      <c r="J243" s="7" t="s">
        <v>195</v>
      </c>
      <c r="K243" s="7" t="s">
        <v>241</v>
      </c>
      <c r="L243" s="7" t="s">
        <v>31</v>
      </c>
      <c r="M243" s="7">
        <v>5.9719709999999999</v>
      </c>
      <c r="N243" s="7">
        <v>10.141662999999999</v>
      </c>
      <c r="O243" s="7" t="s">
        <v>23</v>
      </c>
    </row>
    <row r="244" spans="1:15" x14ac:dyDescent="0.25">
      <c r="A244" s="2">
        <f t="shared" si="3"/>
        <v>242</v>
      </c>
      <c r="B244" s="7" t="s">
        <v>3453</v>
      </c>
      <c r="C244" s="7" t="s">
        <v>3454</v>
      </c>
      <c r="D244" s="7" t="s">
        <v>3453</v>
      </c>
      <c r="E244" s="7" t="s">
        <v>26</v>
      </c>
      <c r="F244" s="7" t="s">
        <v>3455</v>
      </c>
      <c r="G244" s="8" t="s">
        <v>18</v>
      </c>
      <c r="H244" s="7" t="s">
        <v>28</v>
      </c>
      <c r="I244" s="7" t="s">
        <v>194</v>
      </c>
      <c r="J244" s="7" t="s">
        <v>195</v>
      </c>
      <c r="K244" s="7" t="s">
        <v>241</v>
      </c>
      <c r="L244" s="7" t="s">
        <v>31</v>
      </c>
      <c r="M244" s="7">
        <v>5.9725840000000003</v>
      </c>
      <c r="N244" s="7">
        <v>10.173876</v>
      </c>
      <c r="O244" s="7" t="s">
        <v>613</v>
      </c>
    </row>
    <row r="245" spans="1:15" x14ac:dyDescent="0.25">
      <c r="A245" s="2">
        <f t="shared" si="3"/>
        <v>243</v>
      </c>
      <c r="B245" s="7" t="s">
        <v>3565</v>
      </c>
      <c r="C245" s="7" t="s">
        <v>3566</v>
      </c>
      <c r="D245" s="7" t="s">
        <v>3565</v>
      </c>
      <c r="E245" s="7" t="s">
        <v>26</v>
      </c>
      <c r="F245" s="7" t="s">
        <v>3567</v>
      </c>
      <c r="G245" s="8" t="s">
        <v>18</v>
      </c>
      <c r="H245" s="7" t="s">
        <v>28</v>
      </c>
      <c r="I245" s="7" t="s">
        <v>1010</v>
      </c>
      <c r="J245" s="7" t="s">
        <v>195</v>
      </c>
      <c r="K245" s="7" t="s">
        <v>194</v>
      </c>
      <c r="L245" s="7" t="s">
        <v>31</v>
      </c>
      <c r="M245" s="7">
        <v>5.9441670000000002</v>
      </c>
      <c r="N245" s="7">
        <v>10.170555999999999</v>
      </c>
      <c r="O245" s="7" t="s">
        <v>23</v>
      </c>
    </row>
    <row r="246" spans="1:15" x14ac:dyDescent="0.25">
      <c r="A246" s="2">
        <f t="shared" si="3"/>
        <v>244</v>
      </c>
      <c r="B246" s="7" t="s">
        <v>3796</v>
      </c>
      <c r="C246" s="7" t="s">
        <v>3797</v>
      </c>
      <c r="D246" s="7" t="s">
        <v>3796</v>
      </c>
      <c r="E246" s="7" t="s">
        <v>26</v>
      </c>
      <c r="F246" s="7" t="s">
        <v>3798</v>
      </c>
      <c r="G246" s="8" t="s">
        <v>18</v>
      </c>
      <c r="H246" s="7" t="s">
        <v>28</v>
      </c>
      <c r="I246" s="7" t="s">
        <v>29</v>
      </c>
      <c r="J246" s="7" t="s">
        <v>195</v>
      </c>
      <c r="K246" s="7" t="s">
        <v>241</v>
      </c>
      <c r="L246" s="7" t="s">
        <v>31</v>
      </c>
      <c r="M246" s="7">
        <v>6.0110599999999996</v>
      </c>
      <c r="N246" s="7">
        <v>10.11225</v>
      </c>
      <c r="O246" s="7" t="s">
        <v>23</v>
      </c>
    </row>
    <row r="247" spans="1:15" x14ac:dyDescent="0.25">
      <c r="A247" s="2">
        <f t="shared" si="3"/>
        <v>245</v>
      </c>
      <c r="B247" s="7" t="s">
        <v>3923</v>
      </c>
      <c r="C247" s="7" t="s">
        <v>3924</v>
      </c>
      <c r="D247" s="7" t="s">
        <v>3923</v>
      </c>
      <c r="E247" s="7" t="s">
        <v>26</v>
      </c>
      <c r="F247" s="7" t="s">
        <v>3925</v>
      </c>
      <c r="G247" s="8" t="s">
        <v>18</v>
      </c>
      <c r="H247" s="7" t="s">
        <v>28</v>
      </c>
      <c r="I247" s="7" t="s">
        <v>140</v>
      </c>
      <c r="J247" s="7" t="s">
        <v>1160</v>
      </c>
      <c r="K247" s="7" t="s">
        <v>1454</v>
      </c>
      <c r="L247" s="7" t="s">
        <v>31</v>
      </c>
      <c r="M247" s="7">
        <v>6.0013800000000002</v>
      </c>
      <c r="N247" s="7">
        <v>10.44359</v>
      </c>
      <c r="O247" s="7" t="s">
        <v>23</v>
      </c>
    </row>
    <row r="248" spans="1:15" x14ac:dyDescent="0.25">
      <c r="A248" s="2">
        <f t="shared" si="3"/>
        <v>246</v>
      </c>
      <c r="B248" s="7" t="s">
        <v>4032</v>
      </c>
      <c r="C248" s="7" t="s">
        <v>4033</v>
      </c>
      <c r="D248" s="7" t="s">
        <v>4032</v>
      </c>
      <c r="E248" s="7" t="s">
        <v>26</v>
      </c>
      <c r="F248" s="7" t="s">
        <v>140</v>
      </c>
      <c r="G248" s="8" t="s">
        <v>18</v>
      </c>
      <c r="H248" s="7" t="s">
        <v>19</v>
      </c>
      <c r="I248" s="7" t="s">
        <v>140</v>
      </c>
      <c r="J248" s="7" t="s">
        <v>328</v>
      </c>
      <c r="K248" s="7" t="s">
        <v>1920</v>
      </c>
      <c r="L248" s="7" t="s">
        <v>31</v>
      </c>
      <c r="M248" s="7">
        <v>6.20106</v>
      </c>
      <c r="N248" s="7">
        <v>10.70356</v>
      </c>
      <c r="O248" s="7" t="s">
        <v>23</v>
      </c>
    </row>
    <row r="249" spans="1:15" x14ac:dyDescent="0.25">
      <c r="A249" s="2">
        <f t="shared" si="3"/>
        <v>247</v>
      </c>
      <c r="B249" s="7" t="s">
        <v>4055</v>
      </c>
      <c r="C249" s="7" t="s">
        <v>4056</v>
      </c>
      <c r="D249" s="7" t="s">
        <v>4055</v>
      </c>
      <c r="E249" s="7" t="s">
        <v>26</v>
      </c>
      <c r="F249" s="7" t="s">
        <v>722</v>
      </c>
      <c r="G249" s="8" t="s">
        <v>18</v>
      </c>
      <c r="H249" s="7" t="s">
        <v>28</v>
      </c>
      <c r="I249" s="7" t="s">
        <v>140</v>
      </c>
      <c r="J249" s="7" t="s">
        <v>328</v>
      </c>
      <c r="K249" s="7" t="s">
        <v>722</v>
      </c>
      <c r="L249" s="7" t="s">
        <v>31</v>
      </c>
      <c r="M249" s="7">
        <v>6.24871</v>
      </c>
      <c r="N249" s="7">
        <v>10.50643</v>
      </c>
      <c r="O249" s="7" t="s">
        <v>23</v>
      </c>
    </row>
    <row r="250" spans="1:15" x14ac:dyDescent="0.25">
      <c r="A250" s="2">
        <f t="shared" si="3"/>
        <v>248</v>
      </c>
      <c r="B250" s="7" t="s">
        <v>4106</v>
      </c>
      <c r="C250" s="7" t="s">
        <v>4107</v>
      </c>
      <c r="D250" s="7" t="s">
        <v>4106</v>
      </c>
      <c r="E250" s="7" t="s">
        <v>26</v>
      </c>
      <c r="F250" s="7" t="s">
        <v>4108</v>
      </c>
      <c r="G250" s="8" t="s">
        <v>18</v>
      </c>
      <c r="H250" s="7" t="s">
        <v>19</v>
      </c>
      <c r="I250" s="7" t="s">
        <v>140</v>
      </c>
      <c r="J250" s="7" t="s">
        <v>328</v>
      </c>
      <c r="K250" s="7" t="s">
        <v>1920</v>
      </c>
      <c r="L250" s="7" t="s">
        <v>31</v>
      </c>
      <c r="M250" s="7">
        <v>6.2024169999999996</v>
      </c>
      <c r="N250" s="7">
        <v>10.703722000000001</v>
      </c>
      <c r="O250" s="7" t="s">
        <v>23</v>
      </c>
    </row>
    <row r="251" spans="1:15" x14ac:dyDescent="0.25">
      <c r="A251" s="2">
        <f t="shared" si="3"/>
        <v>249</v>
      </c>
      <c r="B251" s="7" t="s">
        <v>4240</v>
      </c>
      <c r="C251" s="7" t="s">
        <v>4241</v>
      </c>
      <c r="D251" s="7" t="s">
        <v>4240</v>
      </c>
      <c r="E251" s="7" t="s">
        <v>26</v>
      </c>
      <c r="F251" s="7" t="s">
        <v>4242</v>
      </c>
      <c r="G251" s="8" t="s">
        <v>18</v>
      </c>
      <c r="H251" s="7" t="s">
        <v>28</v>
      </c>
      <c r="I251" s="7" t="s">
        <v>140</v>
      </c>
      <c r="J251" s="7" t="s">
        <v>328</v>
      </c>
      <c r="K251" s="7" t="s">
        <v>722</v>
      </c>
      <c r="L251" s="7" t="s">
        <v>31</v>
      </c>
      <c r="M251" s="7">
        <v>6.2387277780000003</v>
      </c>
      <c r="N251" s="7">
        <v>10.498950000000001</v>
      </c>
      <c r="O251" s="7" t="s">
        <v>23</v>
      </c>
    </row>
    <row r="252" spans="1:15" x14ac:dyDescent="0.25">
      <c r="A252" s="2">
        <f t="shared" si="3"/>
        <v>250</v>
      </c>
      <c r="B252" s="7" t="s">
        <v>4247</v>
      </c>
      <c r="C252" s="7" t="s">
        <v>4248</v>
      </c>
      <c r="D252" s="7" t="s">
        <v>4247</v>
      </c>
      <c r="E252" s="7" t="s">
        <v>26</v>
      </c>
      <c r="F252" s="7" t="s">
        <v>4249</v>
      </c>
      <c r="G252" s="8" t="s">
        <v>18</v>
      </c>
      <c r="H252" s="7" t="s">
        <v>28</v>
      </c>
      <c r="I252" s="7" t="s">
        <v>241</v>
      </c>
      <c r="J252" s="7" t="s">
        <v>195</v>
      </c>
      <c r="K252" s="7" t="s">
        <v>1182</v>
      </c>
      <c r="L252" s="7" t="s">
        <v>31</v>
      </c>
      <c r="M252" s="7">
        <v>5.7762250000000002</v>
      </c>
      <c r="N252" s="7">
        <v>10.068580000000001</v>
      </c>
      <c r="O252" s="7" t="s">
        <v>23</v>
      </c>
    </row>
    <row r="253" spans="1:15" x14ac:dyDescent="0.25">
      <c r="A253" s="2">
        <f t="shared" si="3"/>
        <v>251</v>
      </c>
      <c r="B253" s="7" t="s">
        <v>4255</v>
      </c>
      <c r="C253" s="7" t="s">
        <v>4256</v>
      </c>
      <c r="D253" s="7" t="s">
        <v>4255</v>
      </c>
      <c r="E253" s="7" t="s">
        <v>26</v>
      </c>
      <c r="F253" s="7" t="s">
        <v>4257</v>
      </c>
      <c r="G253" s="8" t="s">
        <v>18</v>
      </c>
      <c r="H253" s="7" t="s">
        <v>19</v>
      </c>
      <c r="I253" s="7" t="s">
        <v>1010</v>
      </c>
      <c r="J253" s="7" t="s">
        <v>195</v>
      </c>
      <c r="K253" s="7" t="s">
        <v>241</v>
      </c>
      <c r="L253" s="7" t="s">
        <v>31</v>
      </c>
      <c r="M253" s="7">
        <v>5.9838300000000002</v>
      </c>
      <c r="N253" s="7">
        <v>10.129958</v>
      </c>
      <c r="O253" s="7" t="s">
        <v>23</v>
      </c>
    </row>
    <row r="254" spans="1:15" x14ac:dyDescent="0.25">
      <c r="A254" s="2">
        <f t="shared" si="3"/>
        <v>252</v>
      </c>
      <c r="B254" s="7" t="s">
        <v>4270</v>
      </c>
      <c r="C254" s="7" t="s">
        <v>4271</v>
      </c>
      <c r="D254" s="7" t="s">
        <v>4270</v>
      </c>
      <c r="E254" s="7" t="s">
        <v>26</v>
      </c>
      <c r="F254" s="7" t="s">
        <v>4272</v>
      </c>
      <c r="G254" s="8" t="s">
        <v>18</v>
      </c>
      <c r="H254" s="7" t="s">
        <v>28</v>
      </c>
      <c r="I254" s="7" t="s">
        <v>194</v>
      </c>
      <c r="J254" s="7" t="s">
        <v>1054</v>
      </c>
      <c r="K254" s="7" t="s">
        <v>1152</v>
      </c>
      <c r="L254" s="7" t="s">
        <v>31</v>
      </c>
      <c r="M254" s="7">
        <v>5.877891</v>
      </c>
      <c r="N254" s="7">
        <v>10.389462</v>
      </c>
      <c r="O254" s="7" t="s">
        <v>23</v>
      </c>
    </row>
    <row r="255" spans="1:15" x14ac:dyDescent="0.25">
      <c r="A255" s="2">
        <f t="shared" si="3"/>
        <v>253</v>
      </c>
      <c r="B255" s="7" t="s">
        <v>4280</v>
      </c>
      <c r="C255" s="7" t="s">
        <v>4281</v>
      </c>
      <c r="D255" s="7" t="s">
        <v>4280</v>
      </c>
      <c r="E255" s="7" t="s">
        <v>26</v>
      </c>
      <c r="F255" s="7" t="s">
        <v>1969</v>
      </c>
      <c r="G255" s="8" t="s">
        <v>18</v>
      </c>
      <c r="H255" s="7" t="s">
        <v>28</v>
      </c>
      <c r="I255" s="7" t="s">
        <v>194</v>
      </c>
      <c r="J255" s="7" t="s">
        <v>766</v>
      </c>
      <c r="K255" s="7" t="s">
        <v>4282</v>
      </c>
      <c r="L255" s="7" t="s">
        <v>31</v>
      </c>
      <c r="M255" s="7">
        <v>6.176361</v>
      </c>
      <c r="N255" s="7">
        <v>10.341443999999999</v>
      </c>
      <c r="O255" s="7" t="s">
        <v>23</v>
      </c>
    </row>
    <row r="256" spans="1:15" x14ac:dyDescent="0.25">
      <c r="A256" s="2">
        <f t="shared" si="3"/>
        <v>254</v>
      </c>
      <c r="B256" s="7" t="s">
        <v>4302</v>
      </c>
      <c r="C256" s="7" t="s">
        <v>4303</v>
      </c>
      <c r="D256" s="7" t="s">
        <v>4302</v>
      </c>
      <c r="E256" s="7" t="s">
        <v>26</v>
      </c>
      <c r="F256" s="7" t="s">
        <v>4304</v>
      </c>
      <c r="G256" s="8" t="s">
        <v>18</v>
      </c>
      <c r="H256" s="7" t="s">
        <v>28</v>
      </c>
      <c r="I256" s="7" t="s">
        <v>140</v>
      </c>
      <c r="J256" s="7" t="s">
        <v>328</v>
      </c>
      <c r="K256" s="7" t="s">
        <v>349</v>
      </c>
      <c r="L256" s="7" t="s">
        <v>31</v>
      </c>
      <c r="M256" s="7">
        <v>6.1369899999999999</v>
      </c>
      <c r="N256" s="7">
        <v>10.58663</v>
      </c>
      <c r="O256" s="7" t="s">
        <v>23</v>
      </c>
    </row>
    <row r="257" spans="1:15" x14ac:dyDescent="0.25">
      <c r="A257" s="2">
        <f t="shared" si="3"/>
        <v>255</v>
      </c>
      <c r="B257" s="7" t="s">
        <v>4308</v>
      </c>
      <c r="C257" s="7" t="s">
        <v>4309</v>
      </c>
      <c r="D257" s="7" t="s">
        <v>4308</v>
      </c>
      <c r="E257" s="7" t="s">
        <v>26</v>
      </c>
      <c r="F257" s="7" t="s">
        <v>196</v>
      </c>
      <c r="G257" s="8" t="s">
        <v>18</v>
      </c>
      <c r="H257" s="7" t="s">
        <v>28</v>
      </c>
      <c r="I257" s="7" t="s">
        <v>194</v>
      </c>
      <c r="J257" s="7" t="s">
        <v>195</v>
      </c>
      <c r="K257" s="7" t="s">
        <v>3202</v>
      </c>
      <c r="L257" s="7" t="s">
        <v>31</v>
      </c>
      <c r="M257" s="7">
        <v>6.01844</v>
      </c>
      <c r="N257" s="7">
        <v>10.241580000000001</v>
      </c>
      <c r="O257" s="7" t="s">
        <v>23</v>
      </c>
    </row>
    <row r="258" spans="1:15" x14ac:dyDescent="0.25">
      <c r="A258" s="2">
        <f t="shared" si="3"/>
        <v>256</v>
      </c>
      <c r="B258" s="7" t="s">
        <v>4310</v>
      </c>
      <c r="C258" s="7" t="s">
        <v>4311</v>
      </c>
      <c r="D258" s="7" t="s">
        <v>4310</v>
      </c>
      <c r="E258" s="7" t="s">
        <v>26</v>
      </c>
      <c r="F258" s="7" t="s">
        <v>4312</v>
      </c>
      <c r="G258" s="8" t="s">
        <v>1106</v>
      </c>
      <c r="H258" s="7" t="s">
        <v>28</v>
      </c>
      <c r="I258" s="7" t="s">
        <v>245</v>
      </c>
      <c r="J258" s="7" t="s">
        <v>761</v>
      </c>
      <c r="K258" s="7" t="s">
        <v>4275</v>
      </c>
      <c r="L258" s="7" t="s">
        <v>31</v>
      </c>
      <c r="M258" s="7">
        <v>5.7354200000000004</v>
      </c>
      <c r="N258" s="7">
        <v>10.14756</v>
      </c>
      <c r="O258" s="7" t="s">
        <v>23</v>
      </c>
    </row>
    <row r="259" spans="1:15" x14ac:dyDescent="0.25">
      <c r="A259" s="2">
        <f t="shared" si="3"/>
        <v>257</v>
      </c>
      <c r="B259" s="7" t="s">
        <v>4313</v>
      </c>
      <c r="C259" s="7" t="s">
        <v>4314</v>
      </c>
      <c r="D259" s="7" t="s">
        <v>4313</v>
      </c>
      <c r="E259" s="7" t="s">
        <v>26</v>
      </c>
      <c r="F259" s="7" t="s">
        <v>4315</v>
      </c>
      <c r="G259" s="8" t="s">
        <v>18</v>
      </c>
      <c r="H259" s="7" t="s">
        <v>28</v>
      </c>
      <c r="I259" s="7" t="s">
        <v>140</v>
      </c>
      <c r="J259" s="7" t="s">
        <v>328</v>
      </c>
      <c r="K259" s="7" t="s">
        <v>349</v>
      </c>
      <c r="L259" s="7" t="s">
        <v>31</v>
      </c>
      <c r="M259" s="7">
        <v>6.1365400000000001</v>
      </c>
      <c r="N259" s="7">
        <v>10.64364</v>
      </c>
      <c r="O259" s="7" t="s">
        <v>23</v>
      </c>
    </row>
    <row r="260" spans="1:15" x14ac:dyDescent="0.25">
      <c r="A260" s="2">
        <f t="shared" si="3"/>
        <v>258</v>
      </c>
      <c r="B260" s="7" t="s">
        <v>4348</v>
      </c>
      <c r="C260" s="7" t="s">
        <v>4349</v>
      </c>
      <c r="D260" s="7" t="s">
        <v>4348</v>
      </c>
      <c r="E260" s="7" t="s">
        <v>26</v>
      </c>
      <c r="F260" s="7" t="s">
        <v>4350</v>
      </c>
      <c r="G260" s="8" t="s">
        <v>18</v>
      </c>
      <c r="H260" s="7" t="s">
        <v>28</v>
      </c>
      <c r="I260" s="7" t="s">
        <v>194</v>
      </c>
      <c r="J260" s="7" t="s">
        <v>195</v>
      </c>
      <c r="K260" s="7" t="s">
        <v>1010</v>
      </c>
      <c r="L260" s="7" t="s">
        <v>31</v>
      </c>
      <c r="M260" s="7">
        <v>5.9953599999999998</v>
      </c>
      <c r="N260" s="7">
        <v>10.200519999999999</v>
      </c>
      <c r="O260" s="7" t="s">
        <v>23</v>
      </c>
    </row>
    <row r="261" spans="1:15" x14ac:dyDescent="0.25">
      <c r="A261" s="2">
        <f t="shared" ref="A261:A324" si="4">+A260+1</f>
        <v>259</v>
      </c>
      <c r="B261" s="7" t="s">
        <v>4480</v>
      </c>
      <c r="C261" s="7" t="s">
        <v>4481</v>
      </c>
      <c r="D261" s="7" t="s">
        <v>4480</v>
      </c>
      <c r="E261" s="7" t="s">
        <v>26</v>
      </c>
      <c r="F261" s="7" t="s">
        <v>3095</v>
      </c>
      <c r="G261" s="8" t="s">
        <v>18</v>
      </c>
      <c r="H261" s="7" t="s">
        <v>19</v>
      </c>
      <c r="I261" s="7" t="s">
        <v>241</v>
      </c>
      <c r="J261" s="7" t="s">
        <v>195</v>
      </c>
      <c r="K261" s="7" t="s">
        <v>3095</v>
      </c>
      <c r="L261" s="7" t="s">
        <v>31</v>
      </c>
      <c r="M261" s="7">
        <v>5.8348899999999997</v>
      </c>
      <c r="N261" s="7">
        <v>9.8834199999999992</v>
      </c>
      <c r="O261" s="7" t="s">
        <v>23</v>
      </c>
    </row>
    <row r="262" spans="1:15" x14ac:dyDescent="0.25">
      <c r="A262" s="2">
        <f t="shared" si="4"/>
        <v>260</v>
      </c>
      <c r="B262" s="7" t="s">
        <v>4543</v>
      </c>
      <c r="C262" s="7" t="s">
        <v>4544</v>
      </c>
      <c r="D262" s="7" t="s">
        <v>4543</v>
      </c>
      <c r="E262" s="7" t="s">
        <v>26</v>
      </c>
      <c r="F262" s="7" t="s">
        <v>4545</v>
      </c>
      <c r="G262" s="8" t="s">
        <v>18</v>
      </c>
      <c r="H262" s="7" t="s">
        <v>28</v>
      </c>
      <c r="I262" s="7" t="s">
        <v>194</v>
      </c>
      <c r="J262" s="7" t="s">
        <v>195</v>
      </c>
      <c r="K262" s="7" t="s">
        <v>241</v>
      </c>
      <c r="L262" s="7" t="s">
        <v>31</v>
      </c>
      <c r="M262" s="7">
        <v>5.9683529999999996</v>
      </c>
      <c r="N262" s="7">
        <v>10.181889</v>
      </c>
      <c r="O262" s="7" t="s">
        <v>23</v>
      </c>
    </row>
    <row r="263" spans="1:15" x14ac:dyDescent="0.25">
      <c r="A263" s="2">
        <f t="shared" si="4"/>
        <v>261</v>
      </c>
      <c r="B263" s="7" t="s">
        <v>4617</v>
      </c>
      <c r="C263" s="7" t="s">
        <v>4618</v>
      </c>
      <c r="D263" s="7" t="s">
        <v>4617</v>
      </c>
      <c r="E263" s="7" t="s">
        <v>26</v>
      </c>
      <c r="F263" s="7" t="s">
        <v>4619</v>
      </c>
      <c r="G263" s="8" t="s">
        <v>18</v>
      </c>
      <c r="H263" s="7" t="s">
        <v>19</v>
      </c>
      <c r="I263" s="7" t="s">
        <v>194</v>
      </c>
      <c r="J263" s="7" t="s">
        <v>195</v>
      </c>
      <c r="K263" s="7" t="s">
        <v>2718</v>
      </c>
      <c r="L263" s="7" t="s">
        <v>31</v>
      </c>
      <c r="M263" s="7">
        <v>5.9980900000000004</v>
      </c>
      <c r="N263" s="7">
        <v>10.284319999999999</v>
      </c>
      <c r="O263" s="7" t="s">
        <v>23</v>
      </c>
    </row>
    <row r="264" spans="1:15" x14ac:dyDescent="0.25">
      <c r="A264" s="2">
        <f t="shared" si="4"/>
        <v>262</v>
      </c>
      <c r="B264" s="7" t="s">
        <v>4620</v>
      </c>
      <c r="C264" s="7" t="s">
        <v>4621</v>
      </c>
      <c r="D264" s="7" t="s">
        <v>4620</v>
      </c>
      <c r="E264" s="7" t="s">
        <v>26</v>
      </c>
      <c r="F264" s="7" t="s">
        <v>4622</v>
      </c>
      <c r="G264" s="8" t="s">
        <v>18</v>
      </c>
      <c r="H264" s="7" t="s">
        <v>28</v>
      </c>
      <c r="I264" s="7" t="s">
        <v>194</v>
      </c>
      <c r="J264" s="7" t="s">
        <v>766</v>
      </c>
      <c r="K264" s="7" t="s">
        <v>196</v>
      </c>
      <c r="L264" s="7" t="s">
        <v>31</v>
      </c>
      <c r="M264" s="7">
        <v>6.139024</v>
      </c>
      <c r="N264" s="7">
        <v>10.256549</v>
      </c>
      <c r="O264" s="7" t="s">
        <v>23</v>
      </c>
    </row>
    <row r="265" spans="1:15" x14ac:dyDescent="0.25">
      <c r="A265" s="2">
        <f t="shared" si="4"/>
        <v>263</v>
      </c>
      <c r="B265" s="7" t="s">
        <v>4623</v>
      </c>
      <c r="C265" s="7" t="s">
        <v>4624</v>
      </c>
      <c r="D265" s="7" t="s">
        <v>4623</v>
      </c>
      <c r="E265" s="7" t="s">
        <v>26</v>
      </c>
      <c r="F265" s="7" t="s">
        <v>4625</v>
      </c>
      <c r="G265" s="8" t="s">
        <v>18</v>
      </c>
      <c r="H265" s="7" t="s">
        <v>19</v>
      </c>
      <c r="I265" s="7" t="s">
        <v>194</v>
      </c>
      <c r="J265" s="7" t="s">
        <v>195</v>
      </c>
      <c r="K265" s="7" t="s">
        <v>3202</v>
      </c>
      <c r="L265" s="7" t="s">
        <v>31</v>
      </c>
      <c r="M265" s="7">
        <v>5.9980140000000004</v>
      </c>
      <c r="N265" s="7">
        <v>10.284268000000001</v>
      </c>
      <c r="O265" s="7" t="s">
        <v>23</v>
      </c>
    </row>
    <row r="266" spans="1:15" x14ac:dyDescent="0.25">
      <c r="A266" s="2">
        <f t="shared" si="4"/>
        <v>264</v>
      </c>
      <c r="B266" s="7" t="s">
        <v>4626</v>
      </c>
      <c r="C266" s="7" t="s">
        <v>4627</v>
      </c>
      <c r="D266" s="7" t="s">
        <v>4626</v>
      </c>
      <c r="E266" s="7" t="s">
        <v>26</v>
      </c>
      <c r="F266" s="7" t="s">
        <v>1502</v>
      </c>
      <c r="G266" s="8" t="s">
        <v>18</v>
      </c>
      <c r="H266" s="7" t="s">
        <v>28</v>
      </c>
      <c r="I266" s="7" t="s">
        <v>194</v>
      </c>
      <c r="J266" s="7" t="s">
        <v>195</v>
      </c>
      <c r="K266" s="7" t="s">
        <v>4628</v>
      </c>
      <c r="L266" s="7" t="s">
        <v>31</v>
      </c>
      <c r="M266" s="7">
        <v>5.8503340000000001</v>
      </c>
      <c r="N266" s="7">
        <v>10.244092999999999</v>
      </c>
      <c r="O266" s="7" t="s">
        <v>23</v>
      </c>
    </row>
    <row r="267" spans="1:15" x14ac:dyDescent="0.25">
      <c r="A267" s="2">
        <f t="shared" si="4"/>
        <v>265</v>
      </c>
      <c r="B267" s="7" t="s">
        <v>4629</v>
      </c>
      <c r="C267" s="7" t="s">
        <v>4630</v>
      </c>
      <c r="D267" s="7" t="s">
        <v>4629</v>
      </c>
      <c r="E267" s="7" t="s">
        <v>26</v>
      </c>
      <c r="F267" s="7" t="s">
        <v>4631</v>
      </c>
      <c r="G267" s="8" t="s">
        <v>18</v>
      </c>
      <c r="H267" s="7" t="s">
        <v>19</v>
      </c>
      <c r="I267" s="7" t="s">
        <v>1010</v>
      </c>
      <c r="J267" s="7" t="s">
        <v>195</v>
      </c>
      <c r="K267" s="7" t="s">
        <v>1182</v>
      </c>
      <c r="L267" s="7" t="s">
        <v>31</v>
      </c>
      <c r="M267" s="7">
        <v>5.8020569999999996</v>
      </c>
      <c r="N267" s="7">
        <v>10.159784</v>
      </c>
      <c r="O267" s="7" t="s">
        <v>23</v>
      </c>
    </row>
    <row r="268" spans="1:15" x14ac:dyDescent="0.25">
      <c r="A268" s="2">
        <f t="shared" si="4"/>
        <v>266</v>
      </c>
      <c r="B268" s="7" t="s">
        <v>4632</v>
      </c>
      <c r="C268" s="7" t="s">
        <v>4633</v>
      </c>
      <c r="D268" s="7" t="s">
        <v>4632</v>
      </c>
      <c r="E268" s="7" t="s">
        <v>26</v>
      </c>
      <c r="F268" s="7" t="s">
        <v>2718</v>
      </c>
      <c r="G268" s="8" t="s">
        <v>18</v>
      </c>
      <c r="H268" s="7" t="s">
        <v>19</v>
      </c>
      <c r="I268" s="7" t="s">
        <v>241</v>
      </c>
      <c r="J268" s="7" t="s">
        <v>195</v>
      </c>
      <c r="K268" s="7" t="s">
        <v>2718</v>
      </c>
      <c r="L268" s="7" t="s">
        <v>31</v>
      </c>
      <c r="M268" s="7">
        <v>5.8794149999999998</v>
      </c>
      <c r="N268" s="7">
        <v>10.011998</v>
      </c>
      <c r="O268" s="7" t="s">
        <v>23</v>
      </c>
    </row>
    <row r="269" spans="1:15" x14ac:dyDescent="0.25">
      <c r="A269" s="2">
        <f t="shared" si="4"/>
        <v>267</v>
      </c>
      <c r="B269" s="7" t="s">
        <v>4636</v>
      </c>
      <c r="C269" s="7" t="s">
        <v>4637</v>
      </c>
      <c r="D269" s="7" t="s">
        <v>4636</v>
      </c>
      <c r="E269" s="7" t="s">
        <v>26</v>
      </c>
      <c r="F269" s="7" t="s">
        <v>767</v>
      </c>
      <c r="G269" s="8" t="s">
        <v>18</v>
      </c>
      <c r="H269" s="7" t="s">
        <v>19</v>
      </c>
      <c r="I269" s="7" t="s">
        <v>194</v>
      </c>
      <c r="J269" s="7" t="s">
        <v>766</v>
      </c>
      <c r="K269" s="7" t="s">
        <v>767</v>
      </c>
      <c r="L269" s="7" t="s">
        <v>31</v>
      </c>
      <c r="M269" s="7">
        <v>6.2943499999999997</v>
      </c>
      <c r="N269" s="7">
        <v>10.268331</v>
      </c>
      <c r="O269" s="7" t="s">
        <v>23</v>
      </c>
    </row>
    <row r="270" spans="1:15" x14ac:dyDescent="0.25">
      <c r="A270" s="2">
        <f t="shared" si="4"/>
        <v>268</v>
      </c>
      <c r="B270" s="7" t="s">
        <v>4638</v>
      </c>
      <c r="C270" s="7" t="s">
        <v>4639</v>
      </c>
      <c r="D270" s="7" t="s">
        <v>4638</v>
      </c>
      <c r="E270" s="7" t="s">
        <v>26</v>
      </c>
      <c r="F270" s="7" t="s">
        <v>4640</v>
      </c>
      <c r="G270" s="8" t="s">
        <v>18</v>
      </c>
      <c r="H270" s="7" t="s">
        <v>28</v>
      </c>
      <c r="I270" s="7" t="s">
        <v>194</v>
      </c>
      <c r="J270" s="7" t="s">
        <v>766</v>
      </c>
      <c r="K270" s="7" t="s">
        <v>1969</v>
      </c>
      <c r="L270" s="7" t="s">
        <v>31</v>
      </c>
      <c r="M270" s="7">
        <v>6.1810809999999998</v>
      </c>
      <c r="N270" s="7">
        <v>10.287743000000001</v>
      </c>
      <c r="O270" s="7" t="s">
        <v>23</v>
      </c>
    </row>
    <row r="271" spans="1:15" x14ac:dyDescent="0.25">
      <c r="A271" s="2">
        <f t="shared" si="4"/>
        <v>269</v>
      </c>
      <c r="B271" s="7" t="s">
        <v>4641</v>
      </c>
      <c r="C271" s="7" t="s">
        <v>4642</v>
      </c>
      <c r="D271" s="7" t="s">
        <v>4641</v>
      </c>
      <c r="E271" s="7" t="s">
        <v>26</v>
      </c>
      <c r="F271" s="7" t="s">
        <v>4643</v>
      </c>
      <c r="G271" s="8" t="s">
        <v>18</v>
      </c>
      <c r="H271" s="7" t="s">
        <v>19</v>
      </c>
      <c r="I271" s="7" t="s">
        <v>194</v>
      </c>
      <c r="J271" s="7" t="s">
        <v>766</v>
      </c>
      <c r="K271" s="7" t="s">
        <v>767</v>
      </c>
      <c r="L271" s="7" t="s">
        <v>31</v>
      </c>
      <c r="M271" s="7">
        <v>6.2548000000000004</v>
      </c>
      <c r="N271" s="7">
        <v>10.261240000000001</v>
      </c>
      <c r="O271" s="7" t="s">
        <v>23</v>
      </c>
    </row>
    <row r="272" spans="1:15" x14ac:dyDescent="0.25">
      <c r="A272" s="2">
        <f t="shared" si="4"/>
        <v>270</v>
      </c>
      <c r="B272" s="7" t="s">
        <v>4646</v>
      </c>
      <c r="C272" s="7" t="s">
        <v>4647</v>
      </c>
      <c r="D272" s="7" t="s">
        <v>4646</v>
      </c>
      <c r="E272" s="7" t="s">
        <v>26</v>
      </c>
      <c r="F272" s="7" t="s">
        <v>1454</v>
      </c>
      <c r="G272" s="8" t="s">
        <v>18</v>
      </c>
      <c r="H272" s="7" t="s">
        <v>19</v>
      </c>
      <c r="I272" s="7" t="s">
        <v>140</v>
      </c>
      <c r="J272" s="7" t="s">
        <v>1160</v>
      </c>
      <c r="K272" s="7" t="s">
        <v>1454</v>
      </c>
      <c r="L272" s="7" t="s">
        <v>31</v>
      </c>
      <c r="M272" s="7">
        <v>5.9823399999999998</v>
      </c>
      <c r="N272" s="7">
        <v>10.4354</v>
      </c>
      <c r="O272" s="7" t="s">
        <v>23</v>
      </c>
    </row>
    <row r="273" spans="1:15" x14ac:dyDescent="0.25">
      <c r="A273" s="2">
        <f t="shared" si="4"/>
        <v>271</v>
      </c>
      <c r="B273" s="7" t="s">
        <v>4691</v>
      </c>
      <c r="C273" s="7" t="s">
        <v>4692</v>
      </c>
      <c r="D273" s="7" t="s">
        <v>4691</v>
      </c>
      <c r="E273" s="7" t="s">
        <v>26</v>
      </c>
      <c r="F273" s="7" t="s">
        <v>4693</v>
      </c>
      <c r="G273" s="8" t="s">
        <v>18</v>
      </c>
      <c r="H273" s="7" t="s">
        <v>19</v>
      </c>
      <c r="I273" s="7" t="s">
        <v>114</v>
      </c>
      <c r="J273" s="7" t="s">
        <v>1160</v>
      </c>
      <c r="K273" s="7" t="s">
        <v>537</v>
      </c>
      <c r="L273" s="7" t="s">
        <v>31</v>
      </c>
      <c r="M273" s="7">
        <v>6.4209259999999997</v>
      </c>
      <c r="N273" s="7">
        <v>10.796643</v>
      </c>
      <c r="O273" s="7" t="s">
        <v>23</v>
      </c>
    </row>
    <row r="274" spans="1:15" x14ac:dyDescent="0.25">
      <c r="A274" s="2">
        <f t="shared" si="4"/>
        <v>272</v>
      </c>
      <c r="B274" s="7" t="s">
        <v>4694</v>
      </c>
      <c r="C274" s="7" t="s">
        <v>4695</v>
      </c>
      <c r="D274" s="7" t="s">
        <v>4694</v>
      </c>
      <c r="E274" s="7" t="s">
        <v>26</v>
      </c>
      <c r="F274" s="7" t="s">
        <v>537</v>
      </c>
      <c r="G274" s="8" t="s">
        <v>18</v>
      </c>
      <c r="H274" s="7" t="s">
        <v>19</v>
      </c>
      <c r="I274" s="7" t="s">
        <v>114</v>
      </c>
      <c r="J274" s="7" t="s">
        <v>306</v>
      </c>
      <c r="K274" s="7" t="s">
        <v>537</v>
      </c>
      <c r="L274" s="7" t="s">
        <v>31</v>
      </c>
      <c r="M274" s="7">
        <v>6.420833333</v>
      </c>
      <c r="N274" s="7">
        <v>10.796611110000001</v>
      </c>
      <c r="O274" s="7" t="s">
        <v>23</v>
      </c>
    </row>
    <row r="275" spans="1:15" x14ac:dyDescent="0.25">
      <c r="A275" s="2">
        <f t="shared" si="4"/>
        <v>273</v>
      </c>
      <c r="B275" s="7" t="s">
        <v>4837</v>
      </c>
      <c r="C275" s="7" t="s">
        <v>4838</v>
      </c>
      <c r="D275" s="7" t="s">
        <v>4837</v>
      </c>
      <c r="E275" s="7" t="s">
        <v>26</v>
      </c>
      <c r="F275" s="7" t="s">
        <v>4839</v>
      </c>
      <c r="G275" s="8" t="s">
        <v>18</v>
      </c>
      <c r="H275" s="7" t="s">
        <v>19</v>
      </c>
      <c r="I275" s="7" t="s">
        <v>241</v>
      </c>
      <c r="J275" s="7" t="s">
        <v>195</v>
      </c>
      <c r="K275" s="7" t="s">
        <v>241</v>
      </c>
      <c r="L275" s="7" t="s">
        <v>31</v>
      </c>
      <c r="M275" s="7">
        <v>5.9553890000000003</v>
      </c>
      <c r="N275" s="7">
        <v>10.135904</v>
      </c>
      <c r="O275" s="7" t="s">
        <v>23</v>
      </c>
    </row>
    <row r="276" spans="1:15" x14ac:dyDescent="0.25">
      <c r="A276" s="2">
        <f t="shared" si="4"/>
        <v>274</v>
      </c>
      <c r="B276" s="7" t="s">
        <v>4840</v>
      </c>
      <c r="C276" s="7" t="s">
        <v>4841</v>
      </c>
      <c r="D276" s="7" t="s">
        <v>4840</v>
      </c>
      <c r="E276" s="7" t="s">
        <v>26</v>
      </c>
      <c r="F276" s="7" t="s">
        <v>4842</v>
      </c>
      <c r="G276" s="8" t="s">
        <v>18</v>
      </c>
      <c r="H276" s="7" t="s">
        <v>28</v>
      </c>
      <c r="I276" s="7" t="s">
        <v>241</v>
      </c>
      <c r="J276" s="7" t="s">
        <v>195</v>
      </c>
      <c r="K276" s="7" t="s">
        <v>2718</v>
      </c>
      <c r="L276" s="7" t="s">
        <v>31</v>
      </c>
      <c r="M276" s="7">
        <v>5.9113800000000003</v>
      </c>
      <c r="N276" s="7">
        <v>10.14087</v>
      </c>
      <c r="O276" s="7" t="s">
        <v>23</v>
      </c>
    </row>
    <row r="277" spans="1:15" x14ac:dyDescent="0.25">
      <c r="A277" s="2">
        <f t="shared" si="4"/>
        <v>275</v>
      </c>
      <c r="B277" s="7" t="s">
        <v>4861</v>
      </c>
      <c r="C277" s="7" t="s">
        <v>4862</v>
      </c>
      <c r="D277" s="7" t="s">
        <v>4861</v>
      </c>
      <c r="E277" s="7" t="s">
        <v>26</v>
      </c>
      <c r="F277" s="7" t="s">
        <v>4863</v>
      </c>
      <c r="G277" s="8" t="s">
        <v>18</v>
      </c>
      <c r="H277" s="7" t="s">
        <v>28</v>
      </c>
      <c r="I277" s="7" t="s">
        <v>241</v>
      </c>
      <c r="J277" s="7" t="s">
        <v>195</v>
      </c>
      <c r="K277" s="7" t="s">
        <v>241</v>
      </c>
      <c r="L277" s="7" t="s">
        <v>31</v>
      </c>
      <c r="M277" s="7">
        <v>5.9276939999999998</v>
      </c>
      <c r="N277" s="7">
        <v>10.117972</v>
      </c>
      <c r="O277" s="7" t="s">
        <v>23</v>
      </c>
    </row>
    <row r="278" spans="1:15" x14ac:dyDescent="0.25">
      <c r="A278" s="2">
        <f t="shared" si="4"/>
        <v>276</v>
      </c>
      <c r="B278" s="7" t="s">
        <v>4910</v>
      </c>
      <c r="C278" s="7" t="s">
        <v>4911</v>
      </c>
      <c r="D278" s="7" t="s">
        <v>4910</v>
      </c>
      <c r="E278" s="7" t="s">
        <v>26</v>
      </c>
      <c r="F278" s="7" t="s">
        <v>4912</v>
      </c>
      <c r="G278" s="8" t="s">
        <v>18</v>
      </c>
      <c r="H278" s="7" t="s">
        <v>28</v>
      </c>
      <c r="I278" s="7" t="s">
        <v>241</v>
      </c>
      <c r="J278" s="7" t="s">
        <v>195</v>
      </c>
      <c r="K278" s="7" t="s">
        <v>241</v>
      </c>
      <c r="L278" s="7" t="s">
        <v>31</v>
      </c>
      <c r="M278" s="7">
        <v>5.9473330000000004</v>
      </c>
      <c r="N278" s="7">
        <v>10.140389000000001</v>
      </c>
      <c r="O278" s="7" t="s">
        <v>23</v>
      </c>
    </row>
    <row r="279" spans="1:15" x14ac:dyDescent="0.25">
      <c r="A279" s="2">
        <f t="shared" si="4"/>
        <v>277</v>
      </c>
      <c r="B279" s="7" t="s">
        <v>5008</v>
      </c>
      <c r="C279" s="7" t="s">
        <v>5009</v>
      </c>
      <c r="D279" s="7" t="s">
        <v>5008</v>
      </c>
      <c r="E279" s="7" t="s">
        <v>26</v>
      </c>
      <c r="F279" s="7" t="s">
        <v>5010</v>
      </c>
      <c r="G279" s="8" t="s">
        <v>18</v>
      </c>
      <c r="H279" s="7" t="s">
        <v>28</v>
      </c>
      <c r="I279" s="7" t="s">
        <v>194</v>
      </c>
      <c r="J279" s="7" t="s">
        <v>195</v>
      </c>
      <c r="K279" s="7" t="s">
        <v>196</v>
      </c>
      <c r="L279" s="7" t="s">
        <v>31</v>
      </c>
      <c r="M279" s="7">
        <v>6.00488</v>
      </c>
      <c r="N279" s="7">
        <v>10.255388</v>
      </c>
      <c r="O279" s="7" t="s">
        <v>613</v>
      </c>
    </row>
    <row r="280" spans="1:15" x14ac:dyDescent="0.25">
      <c r="A280" s="2">
        <f t="shared" si="4"/>
        <v>278</v>
      </c>
      <c r="B280" s="7" t="s">
        <v>5116</v>
      </c>
      <c r="C280" s="7" t="s">
        <v>5117</v>
      </c>
      <c r="D280" s="7" t="s">
        <v>5116</v>
      </c>
      <c r="E280" s="7" t="s">
        <v>131</v>
      </c>
      <c r="F280" s="7" t="s">
        <v>5118</v>
      </c>
      <c r="G280" s="8" t="s">
        <v>18</v>
      </c>
      <c r="H280" s="7" t="s">
        <v>28</v>
      </c>
      <c r="I280" s="7" t="s">
        <v>783</v>
      </c>
      <c r="J280" s="7" t="s">
        <v>1070</v>
      </c>
      <c r="K280" s="7" t="s">
        <v>1071</v>
      </c>
      <c r="L280" s="7" t="s">
        <v>31</v>
      </c>
      <c r="M280" s="7">
        <v>6.4742499999999996</v>
      </c>
      <c r="N280" s="7">
        <v>10.419917</v>
      </c>
      <c r="O280" s="7" t="s">
        <v>613</v>
      </c>
    </row>
    <row r="281" spans="1:15" x14ac:dyDescent="0.25">
      <c r="A281" s="2">
        <f t="shared" si="4"/>
        <v>279</v>
      </c>
      <c r="B281" s="7" t="s">
        <v>5854</v>
      </c>
      <c r="C281" s="7" t="s">
        <v>5855</v>
      </c>
      <c r="D281" s="7" t="s">
        <v>5854</v>
      </c>
      <c r="E281" s="7" t="s">
        <v>26</v>
      </c>
      <c r="F281" s="7" t="s">
        <v>5856</v>
      </c>
      <c r="G281" s="8" t="s">
        <v>18</v>
      </c>
      <c r="H281" s="7" t="s">
        <v>28</v>
      </c>
      <c r="I281" s="7" t="s">
        <v>241</v>
      </c>
      <c r="J281" s="7" t="s">
        <v>365</v>
      </c>
      <c r="K281" s="7" t="s">
        <v>2147</v>
      </c>
      <c r="L281" s="7" t="s">
        <v>31</v>
      </c>
      <c r="M281" s="7">
        <v>5.8486700000000003</v>
      </c>
      <c r="N281" s="7">
        <v>9.81297</v>
      </c>
      <c r="O281" s="7" t="s">
        <v>23</v>
      </c>
    </row>
    <row r="282" spans="1:15" x14ac:dyDescent="0.25">
      <c r="A282" s="2">
        <f t="shared" si="4"/>
        <v>280</v>
      </c>
      <c r="B282" s="7" t="s">
        <v>5953</v>
      </c>
      <c r="C282" s="7" t="s">
        <v>5954</v>
      </c>
      <c r="D282" s="7" t="s">
        <v>5953</v>
      </c>
      <c r="E282" s="7" t="s">
        <v>26</v>
      </c>
      <c r="F282" s="7" t="s">
        <v>5955</v>
      </c>
      <c r="G282" s="8" t="s">
        <v>18</v>
      </c>
      <c r="H282" s="7" t="s">
        <v>28</v>
      </c>
      <c r="I282" s="7" t="s">
        <v>29</v>
      </c>
      <c r="J282" s="7" t="s">
        <v>812</v>
      </c>
      <c r="K282" s="7" t="s">
        <v>29</v>
      </c>
      <c r="L282" s="7" t="s">
        <v>31</v>
      </c>
      <c r="M282" s="7">
        <v>6.2010079999999999</v>
      </c>
      <c r="N282" s="7">
        <v>10.06452</v>
      </c>
      <c r="O282" s="7" t="s">
        <v>23</v>
      </c>
    </row>
    <row r="283" spans="1:15" x14ac:dyDescent="0.25">
      <c r="A283" s="2">
        <f t="shared" si="4"/>
        <v>281</v>
      </c>
      <c r="B283" s="7" t="s">
        <v>6062</v>
      </c>
      <c r="C283" s="7" t="s">
        <v>6063</v>
      </c>
      <c r="D283" s="7" t="s">
        <v>6062</v>
      </c>
      <c r="E283" s="7" t="s">
        <v>26</v>
      </c>
      <c r="F283" s="7" t="s">
        <v>6064</v>
      </c>
      <c r="G283" s="8" t="s">
        <v>18</v>
      </c>
      <c r="H283" s="7" t="s">
        <v>28</v>
      </c>
      <c r="I283" s="7" t="s">
        <v>29</v>
      </c>
      <c r="J283" s="7" t="s">
        <v>812</v>
      </c>
      <c r="K283" s="7" t="s">
        <v>1002</v>
      </c>
      <c r="L283" s="7" t="s">
        <v>31</v>
      </c>
      <c r="M283" s="7">
        <v>6.3379099999999999</v>
      </c>
      <c r="N283" s="7">
        <v>9.9917700000000007</v>
      </c>
      <c r="O283" s="7" t="s">
        <v>23</v>
      </c>
    </row>
    <row r="284" spans="1:15" x14ac:dyDescent="0.25">
      <c r="A284" s="2">
        <f t="shared" si="4"/>
        <v>282</v>
      </c>
      <c r="B284" s="7" t="s">
        <v>6093</v>
      </c>
      <c r="C284" s="7" t="s">
        <v>6094</v>
      </c>
      <c r="D284" s="7" t="s">
        <v>6093</v>
      </c>
      <c r="E284" s="7" t="s">
        <v>26</v>
      </c>
      <c r="F284" s="7" t="s">
        <v>6095</v>
      </c>
      <c r="G284" s="8" t="s">
        <v>18</v>
      </c>
      <c r="H284" s="7" t="s">
        <v>28</v>
      </c>
      <c r="I284" s="7" t="s">
        <v>29</v>
      </c>
      <c r="J284" s="7" t="s">
        <v>812</v>
      </c>
      <c r="K284" s="7" t="s">
        <v>2011</v>
      </c>
      <c r="L284" s="7" t="s">
        <v>31</v>
      </c>
      <c r="M284" s="7">
        <v>6.2899950000000002</v>
      </c>
      <c r="N284" s="7">
        <v>10.036151</v>
      </c>
      <c r="O284" s="7" t="s">
        <v>23</v>
      </c>
    </row>
    <row r="285" spans="1:15" x14ac:dyDescent="0.25">
      <c r="A285" s="2">
        <f t="shared" si="4"/>
        <v>283</v>
      </c>
      <c r="B285" s="7" t="s">
        <v>6103</v>
      </c>
      <c r="C285" s="7" t="s">
        <v>6104</v>
      </c>
      <c r="D285" s="7" t="s">
        <v>6103</v>
      </c>
      <c r="E285" s="7" t="s">
        <v>26</v>
      </c>
      <c r="F285" s="7" t="s">
        <v>6105</v>
      </c>
      <c r="G285" s="8" t="s">
        <v>18</v>
      </c>
      <c r="H285" s="7" t="s">
        <v>28</v>
      </c>
      <c r="I285" s="7" t="s">
        <v>114</v>
      </c>
      <c r="J285" s="7" t="s">
        <v>306</v>
      </c>
      <c r="K285" s="7" t="s">
        <v>114</v>
      </c>
      <c r="L285" s="7" t="s">
        <v>31</v>
      </c>
      <c r="M285" s="7">
        <v>6.48055</v>
      </c>
      <c r="N285" s="7">
        <v>10.747643</v>
      </c>
      <c r="O285" s="7" t="s">
        <v>23</v>
      </c>
    </row>
    <row r="286" spans="1:15" x14ac:dyDescent="0.25">
      <c r="A286" s="2">
        <f t="shared" si="4"/>
        <v>284</v>
      </c>
      <c r="B286" s="7" t="s">
        <v>6144</v>
      </c>
      <c r="C286" s="7" t="s">
        <v>6145</v>
      </c>
      <c r="D286" s="7" t="s">
        <v>6144</v>
      </c>
      <c r="E286" s="7" t="s">
        <v>26</v>
      </c>
      <c r="F286" s="7" t="s">
        <v>6105</v>
      </c>
      <c r="G286" s="8" t="s">
        <v>18</v>
      </c>
      <c r="H286" s="7" t="s">
        <v>28</v>
      </c>
      <c r="I286" s="7" t="s">
        <v>114</v>
      </c>
      <c r="J286" s="7" t="s">
        <v>306</v>
      </c>
      <c r="K286" s="7" t="s">
        <v>114</v>
      </c>
      <c r="L286" s="7" t="s">
        <v>31</v>
      </c>
      <c r="M286" s="7">
        <v>6.4807920000000001</v>
      </c>
      <c r="N286" s="7">
        <v>10.747964</v>
      </c>
      <c r="O286" s="7" t="s">
        <v>23</v>
      </c>
    </row>
    <row r="287" spans="1:15" x14ac:dyDescent="0.25">
      <c r="A287" s="2">
        <f t="shared" si="4"/>
        <v>285</v>
      </c>
      <c r="B287" s="7" t="s">
        <v>6176</v>
      </c>
      <c r="C287" s="7" t="s">
        <v>6177</v>
      </c>
      <c r="D287" s="7" t="s">
        <v>6176</v>
      </c>
      <c r="E287" s="7" t="s">
        <v>26</v>
      </c>
      <c r="F287" s="7" t="s">
        <v>2147</v>
      </c>
      <c r="G287" s="8" t="s">
        <v>18</v>
      </c>
      <c r="H287" s="7" t="s">
        <v>28</v>
      </c>
      <c r="I287" s="7" t="s">
        <v>92</v>
      </c>
      <c r="J287" s="7" t="s">
        <v>365</v>
      </c>
      <c r="K287" s="7" t="s">
        <v>2147</v>
      </c>
      <c r="L287" s="7" t="s">
        <v>31</v>
      </c>
      <c r="M287" s="7">
        <v>5.8885277780000003</v>
      </c>
      <c r="N287" s="7">
        <v>9.7561666670000005</v>
      </c>
      <c r="O287" s="7" t="s">
        <v>23</v>
      </c>
    </row>
    <row r="288" spans="1:15" x14ac:dyDescent="0.25">
      <c r="A288" s="2">
        <f t="shared" si="4"/>
        <v>286</v>
      </c>
      <c r="B288" s="7" t="s">
        <v>6214</v>
      </c>
      <c r="C288" s="7" t="s">
        <v>6215</v>
      </c>
      <c r="D288" s="7" t="s">
        <v>6214</v>
      </c>
      <c r="E288" s="7" t="s">
        <v>26</v>
      </c>
      <c r="F288" s="7" t="s">
        <v>6216</v>
      </c>
      <c r="G288" s="8" t="s">
        <v>18</v>
      </c>
      <c r="H288" s="7" t="s">
        <v>28</v>
      </c>
      <c r="I288" s="7" t="s">
        <v>114</v>
      </c>
      <c r="J288" s="7" t="s">
        <v>306</v>
      </c>
      <c r="K288" s="7" t="s">
        <v>537</v>
      </c>
      <c r="L288" s="7" t="s">
        <v>31</v>
      </c>
      <c r="M288" s="7">
        <v>6.3617499999999998</v>
      </c>
      <c r="N288" s="7">
        <v>10.863111</v>
      </c>
      <c r="O288" s="7" t="s">
        <v>23</v>
      </c>
    </row>
    <row r="289" spans="1:15" x14ac:dyDescent="0.25">
      <c r="A289" s="2">
        <f t="shared" si="4"/>
        <v>287</v>
      </c>
      <c r="B289" s="7" t="s">
        <v>6217</v>
      </c>
      <c r="C289" s="7" t="s">
        <v>6218</v>
      </c>
      <c r="D289" s="7" t="s">
        <v>6217</v>
      </c>
      <c r="E289" s="7" t="s">
        <v>26</v>
      </c>
      <c r="F289" s="7" t="s">
        <v>329</v>
      </c>
      <c r="G289" s="8" t="s">
        <v>18</v>
      </c>
      <c r="H289" s="7" t="s">
        <v>28</v>
      </c>
      <c r="I289" s="7" t="s">
        <v>114</v>
      </c>
      <c r="J289" s="7" t="s">
        <v>328</v>
      </c>
      <c r="K289" s="7" t="s">
        <v>329</v>
      </c>
      <c r="L289" s="7" t="s">
        <v>31</v>
      </c>
      <c r="M289" s="7">
        <v>6.35</v>
      </c>
      <c r="N289" s="7">
        <v>10.566667000000001</v>
      </c>
      <c r="O289" s="7" t="s">
        <v>23</v>
      </c>
    </row>
    <row r="290" spans="1:15" x14ac:dyDescent="0.25">
      <c r="A290" s="2">
        <f t="shared" si="4"/>
        <v>288</v>
      </c>
      <c r="B290" s="7" t="s">
        <v>6277</v>
      </c>
      <c r="C290" s="7" t="s">
        <v>6278</v>
      </c>
      <c r="D290" s="7" t="s">
        <v>6277</v>
      </c>
      <c r="E290" s="7" t="s">
        <v>26</v>
      </c>
      <c r="F290" s="7" t="s">
        <v>6279</v>
      </c>
      <c r="G290" s="8" t="s">
        <v>18</v>
      </c>
      <c r="H290" s="7" t="s">
        <v>28</v>
      </c>
      <c r="I290" s="7" t="s">
        <v>114</v>
      </c>
      <c r="J290" s="7" t="s">
        <v>306</v>
      </c>
      <c r="K290" s="7" t="s">
        <v>6279</v>
      </c>
      <c r="L290" s="7" t="s">
        <v>31</v>
      </c>
      <c r="M290" s="7">
        <v>6.5666667099999998</v>
      </c>
      <c r="N290" s="7">
        <v>10.55000004</v>
      </c>
      <c r="O290" s="7" t="s">
        <v>23</v>
      </c>
    </row>
    <row r="291" spans="1:15" x14ac:dyDescent="0.25">
      <c r="A291" s="2">
        <f t="shared" si="4"/>
        <v>289</v>
      </c>
      <c r="B291" s="7" t="s">
        <v>6585</v>
      </c>
      <c r="C291" s="7" t="s">
        <v>6586</v>
      </c>
      <c r="D291" s="7" t="s">
        <v>6585</v>
      </c>
      <c r="E291" s="7" t="s">
        <v>26</v>
      </c>
      <c r="F291" s="7" t="s">
        <v>6587</v>
      </c>
      <c r="G291" s="8" t="s">
        <v>18</v>
      </c>
      <c r="H291" s="7" t="s">
        <v>28</v>
      </c>
      <c r="I291" s="7" t="s">
        <v>241</v>
      </c>
      <c r="J291" s="7" t="s">
        <v>365</v>
      </c>
      <c r="K291" s="7" t="s">
        <v>6587</v>
      </c>
      <c r="L291" s="7" t="s">
        <v>31</v>
      </c>
      <c r="M291" s="7">
        <v>5.9758100000000001</v>
      </c>
      <c r="N291" s="7">
        <v>9.8425039999999999</v>
      </c>
      <c r="O291" s="7" t="s">
        <v>23</v>
      </c>
    </row>
    <row r="292" spans="1:15" x14ac:dyDescent="0.25">
      <c r="A292" s="2">
        <f t="shared" si="4"/>
        <v>290</v>
      </c>
      <c r="B292" s="7" t="s">
        <v>6686</v>
      </c>
      <c r="C292" s="7" t="s">
        <v>6687</v>
      </c>
      <c r="D292" s="7" t="s">
        <v>6686</v>
      </c>
      <c r="E292" s="7" t="s">
        <v>26</v>
      </c>
      <c r="F292" s="7" t="s">
        <v>6688</v>
      </c>
      <c r="G292" s="8" t="s">
        <v>18</v>
      </c>
      <c r="H292" s="7" t="s">
        <v>28</v>
      </c>
      <c r="I292" s="7" t="s">
        <v>194</v>
      </c>
      <c r="J292" s="7" t="s">
        <v>195</v>
      </c>
      <c r="K292" s="7" t="s">
        <v>196</v>
      </c>
      <c r="L292" s="7" t="s">
        <v>31</v>
      </c>
      <c r="M292" s="7">
        <v>6.0135899999999998</v>
      </c>
      <c r="N292" s="7">
        <v>10.253880000000001</v>
      </c>
      <c r="O292" s="7" t="s">
        <v>23</v>
      </c>
    </row>
    <row r="293" spans="1:15" x14ac:dyDescent="0.25">
      <c r="A293" s="2">
        <f t="shared" si="4"/>
        <v>291</v>
      </c>
      <c r="B293" s="7" t="s">
        <v>6689</v>
      </c>
      <c r="C293" s="7" t="s">
        <v>6690</v>
      </c>
      <c r="D293" s="7" t="s">
        <v>6689</v>
      </c>
      <c r="E293" s="7" t="s">
        <v>26</v>
      </c>
      <c r="F293" s="7" t="s">
        <v>6691</v>
      </c>
      <c r="G293" s="8" t="s">
        <v>18</v>
      </c>
      <c r="H293" s="7" t="s">
        <v>28</v>
      </c>
      <c r="I293" s="7" t="s">
        <v>1010</v>
      </c>
      <c r="J293" s="7" t="s">
        <v>195</v>
      </c>
      <c r="K293" s="7" t="s">
        <v>241</v>
      </c>
      <c r="L293" s="7" t="s">
        <v>31</v>
      </c>
      <c r="M293" s="7">
        <v>5.9655279999999999</v>
      </c>
      <c r="N293" s="7">
        <v>10.127889</v>
      </c>
      <c r="O293" s="7" t="s">
        <v>23</v>
      </c>
    </row>
    <row r="294" spans="1:15" x14ac:dyDescent="0.25">
      <c r="A294" s="2">
        <f t="shared" si="4"/>
        <v>292</v>
      </c>
      <c r="B294" s="7" t="s">
        <v>6699</v>
      </c>
      <c r="C294" s="7" t="s">
        <v>6700</v>
      </c>
      <c r="D294" s="7" t="s">
        <v>6699</v>
      </c>
      <c r="E294" s="7" t="s">
        <v>26</v>
      </c>
      <c r="F294" s="7" t="s">
        <v>6701</v>
      </c>
      <c r="G294" s="8" t="s">
        <v>18</v>
      </c>
      <c r="H294" s="7" t="s">
        <v>28</v>
      </c>
      <c r="I294" s="7" t="s">
        <v>1010</v>
      </c>
      <c r="J294" s="7" t="s">
        <v>195</v>
      </c>
      <c r="K294" s="7" t="s">
        <v>194</v>
      </c>
      <c r="L294" s="7" t="s">
        <v>31</v>
      </c>
      <c r="M294" s="7">
        <v>5.9516109999999998</v>
      </c>
      <c r="N294" s="7">
        <v>10.174803000000001</v>
      </c>
      <c r="O294" s="7" t="s">
        <v>23</v>
      </c>
    </row>
    <row r="295" spans="1:15" x14ac:dyDescent="0.25">
      <c r="A295" s="2">
        <f t="shared" si="4"/>
        <v>293</v>
      </c>
      <c r="B295" s="7" t="s">
        <v>6708</v>
      </c>
      <c r="C295" s="7" t="s">
        <v>6709</v>
      </c>
      <c r="D295" s="7" t="s">
        <v>6708</v>
      </c>
      <c r="E295" s="7" t="s">
        <v>26</v>
      </c>
      <c r="F295" s="7" t="s">
        <v>6710</v>
      </c>
      <c r="G295" s="8" t="s">
        <v>18</v>
      </c>
      <c r="H295" s="7" t="s">
        <v>28</v>
      </c>
      <c r="I295" s="7" t="s">
        <v>241</v>
      </c>
      <c r="J295" s="7" t="s">
        <v>365</v>
      </c>
      <c r="K295" s="7" t="s">
        <v>6587</v>
      </c>
      <c r="L295" s="7" t="s">
        <v>31</v>
      </c>
      <c r="M295" s="7">
        <v>6.0813670000000002</v>
      </c>
      <c r="N295" s="7">
        <v>9.8916029999999999</v>
      </c>
      <c r="O295" s="7" t="s">
        <v>23</v>
      </c>
    </row>
    <row r="296" spans="1:15" x14ac:dyDescent="0.25">
      <c r="A296" s="2">
        <f t="shared" si="4"/>
        <v>294</v>
      </c>
      <c r="B296" s="7" t="s">
        <v>6714</v>
      </c>
      <c r="C296" s="7" t="s">
        <v>6715</v>
      </c>
      <c r="D296" s="7" t="s">
        <v>6714</v>
      </c>
      <c r="E296" s="7" t="s">
        <v>26</v>
      </c>
      <c r="F296" s="7" t="s">
        <v>6716</v>
      </c>
      <c r="G296" s="8" t="s">
        <v>18</v>
      </c>
      <c r="H296" s="7" t="s">
        <v>28</v>
      </c>
      <c r="I296" s="7" t="s">
        <v>194</v>
      </c>
      <c r="J296" s="7" t="s">
        <v>195</v>
      </c>
      <c r="K296" s="7" t="s">
        <v>1010</v>
      </c>
      <c r="L296" s="7" t="s">
        <v>31</v>
      </c>
      <c r="M296" s="7">
        <v>5.9875400000000001</v>
      </c>
      <c r="N296" s="7">
        <v>10.18276</v>
      </c>
      <c r="O296" s="7" t="s">
        <v>23</v>
      </c>
    </row>
    <row r="297" spans="1:15" x14ac:dyDescent="0.25">
      <c r="A297" s="2">
        <f t="shared" si="4"/>
        <v>295</v>
      </c>
      <c r="B297" s="7" t="s">
        <v>6736</v>
      </c>
      <c r="C297" s="7" t="s">
        <v>6737</v>
      </c>
      <c r="D297" s="7" t="s">
        <v>6736</v>
      </c>
      <c r="E297" s="7" t="s">
        <v>26</v>
      </c>
      <c r="F297" s="7" t="s">
        <v>6738</v>
      </c>
      <c r="G297" s="8" t="s">
        <v>18</v>
      </c>
      <c r="H297" s="7" t="s">
        <v>28</v>
      </c>
      <c r="I297" s="7" t="s">
        <v>241</v>
      </c>
      <c r="J297" s="7" t="s">
        <v>365</v>
      </c>
      <c r="K297" s="7" t="s">
        <v>366</v>
      </c>
      <c r="L297" s="7" t="s">
        <v>31</v>
      </c>
      <c r="M297" s="7">
        <v>6.0952999999999999</v>
      </c>
      <c r="N297" s="7">
        <v>9.8102999999999998</v>
      </c>
      <c r="O297" s="7" t="s">
        <v>23</v>
      </c>
    </row>
    <row r="298" spans="1:15" x14ac:dyDescent="0.25">
      <c r="A298" s="2">
        <f t="shared" si="4"/>
        <v>296</v>
      </c>
      <c r="B298" s="7" t="s">
        <v>6761</v>
      </c>
      <c r="C298" s="7" t="s">
        <v>6762</v>
      </c>
      <c r="D298" s="7" t="s">
        <v>6761</v>
      </c>
      <c r="E298" s="7" t="s">
        <v>26</v>
      </c>
      <c r="F298" s="7" t="s">
        <v>6763</v>
      </c>
      <c r="G298" s="8" t="s">
        <v>18</v>
      </c>
      <c r="H298" s="7" t="s">
        <v>28</v>
      </c>
      <c r="I298" s="7" t="s">
        <v>1010</v>
      </c>
      <c r="J298" s="7" t="s">
        <v>195</v>
      </c>
      <c r="K298" s="7" t="s">
        <v>194</v>
      </c>
      <c r="L298" s="7" t="s">
        <v>31</v>
      </c>
      <c r="M298" s="7">
        <v>5.9276109999999997</v>
      </c>
      <c r="N298" s="7">
        <v>10.155730999999999</v>
      </c>
      <c r="O298" s="7" t="s">
        <v>23</v>
      </c>
    </row>
    <row r="299" spans="1:15" x14ac:dyDescent="0.25">
      <c r="A299" s="2">
        <f t="shared" si="4"/>
        <v>297</v>
      </c>
      <c r="B299" s="7" t="s">
        <v>6819</v>
      </c>
      <c r="C299" s="7" t="s">
        <v>6820</v>
      </c>
      <c r="D299" s="7" t="s">
        <v>6819</v>
      </c>
      <c r="E299" s="7" t="s">
        <v>26</v>
      </c>
      <c r="F299" s="7" t="s">
        <v>6821</v>
      </c>
      <c r="G299" s="8" t="s">
        <v>18</v>
      </c>
      <c r="H299" s="7" t="s">
        <v>28</v>
      </c>
      <c r="I299" s="7" t="s">
        <v>241</v>
      </c>
      <c r="J299" s="7" t="s">
        <v>365</v>
      </c>
      <c r="K299" s="7" t="s">
        <v>6587</v>
      </c>
      <c r="L299" s="7" t="s">
        <v>31</v>
      </c>
      <c r="M299" s="7">
        <v>6.0576472222222204</v>
      </c>
      <c r="N299" s="7">
        <v>9.9035111111111096</v>
      </c>
      <c r="O299" s="7" t="s">
        <v>23</v>
      </c>
    </row>
    <row r="300" spans="1:15" x14ac:dyDescent="0.25">
      <c r="A300" s="2">
        <f t="shared" si="4"/>
        <v>298</v>
      </c>
      <c r="B300" s="7" t="s">
        <v>7022</v>
      </c>
      <c r="C300" s="7" t="s">
        <v>7023</v>
      </c>
      <c r="D300" s="7" t="s">
        <v>7022</v>
      </c>
      <c r="E300" s="7" t="s">
        <v>26</v>
      </c>
      <c r="F300" s="7" t="s">
        <v>7024</v>
      </c>
      <c r="G300" s="8" t="s">
        <v>18</v>
      </c>
      <c r="H300" s="7" t="s">
        <v>28</v>
      </c>
      <c r="I300" s="7" t="s">
        <v>1010</v>
      </c>
      <c r="J300" s="7" t="s">
        <v>195</v>
      </c>
      <c r="K300" s="7" t="s">
        <v>241</v>
      </c>
      <c r="L300" s="7" t="s">
        <v>31</v>
      </c>
      <c r="M300" s="7">
        <v>5.9689769999999998</v>
      </c>
      <c r="N300" s="7">
        <v>10.147043</v>
      </c>
      <c r="O300" s="7" t="s">
        <v>613</v>
      </c>
    </row>
    <row r="301" spans="1:15" x14ac:dyDescent="0.25">
      <c r="A301" s="2">
        <f t="shared" si="4"/>
        <v>299</v>
      </c>
      <c r="B301" s="7" t="s">
        <v>7124</v>
      </c>
      <c r="C301" s="7" t="s">
        <v>7125</v>
      </c>
      <c r="D301" s="7" t="s">
        <v>7124</v>
      </c>
      <c r="E301" s="7" t="s">
        <v>26</v>
      </c>
      <c r="F301" s="7" t="s">
        <v>7126</v>
      </c>
      <c r="G301" s="8" t="s">
        <v>18</v>
      </c>
      <c r="H301" s="7" t="s">
        <v>28</v>
      </c>
      <c r="I301" s="7" t="s">
        <v>194</v>
      </c>
      <c r="J301" s="7" t="s">
        <v>195</v>
      </c>
      <c r="K301" s="7" t="s">
        <v>196</v>
      </c>
      <c r="L301" s="7" t="s">
        <v>31</v>
      </c>
      <c r="M301" s="7">
        <v>6.0106729999999997</v>
      </c>
      <c r="N301" s="7">
        <v>10.241841000000001</v>
      </c>
      <c r="O301" s="7" t="s">
        <v>23</v>
      </c>
    </row>
    <row r="302" spans="1:15" x14ac:dyDescent="0.25">
      <c r="A302" s="2">
        <f t="shared" si="4"/>
        <v>300</v>
      </c>
      <c r="B302" s="7" t="s">
        <v>7130</v>
      </c>
      <c r="C302" s="7" t="s">
        <v>7131</v>
      </c>
      <c r="D302" s="7" t="s">
        <v>7130</v>
      </c>
      <c r="E302" s="7" t="s">
        <v>26</v>
      </c>
      <c r="F302" s="7" t="s">
        <v>7132</v>
      </c>
      <c r="G302" s="8" t="s">
        <v>18</v>
      </c>
      <c r="H302" s="7" t="s">
        <v>28</v>
      </c>
      <c r="I302" s="7" t="s">
        <v>194</v>
      </c>
      <c r="J302" s="7" t="s">
        <v>195</v>
      </c>
      <c r="K302" s="7" t="s">
        <v>1010</v>
      </c>
      <c r="L302" s="7" t="s">
        <v>31</v>
      </c>
      <c r="M302" s="7">
        <v>5.9736729999999998</v>
      </c>
      <c r="N302" s="7">
        <v>10.199527</v>
      </c>
      <c r="O302" s="7" t="s">
        <v>23</v>
      </c>
    </row>
    <row r="303" spans="1:15" x14ac:dyDescent="0.25">
      <c r="A303" s="2">
        <f t="shared" si="4"/>
        <v>301</v>
      </c>
      <c r="B303" s="7" t="s">
        <v>7201</v>
      </c>
      <c r="C303" s="7" t="s">
        <v>7202</v>
      </c>
      <c r="D303" s="7" t="s">
        <v>7201</v>
      </c>
      <c r="E303" s="7" t="s">
        <v>131</v>
      </c>
      <c r="F303" s="7" t="s">
        <v>7203</v>
      </c>
      <c r="G303" s="17" t="s">
        <v>7747</v>
      </c>
      <c r="H303" s="7" t="s">
        <v>28</v>
      </c>
      <c r="I303" s="7" t="s">
        <v>245</v>
      </c>
      <c r="J303" s="7" t="s">
        <v>7204</v>
      </c>
      <c r="K303" s="7" t="s">
        <v>2327</v>
      </c>
      <c r="L303" s="7" t="s">
        <v>31</v>
      </c>
      <c r="M303" s="7">
        <v>5.7216779999999998</v>
      </c>
      <c r="N303" s="7">
        <v>10.182003</v>
      </c>
      <c r="O303" s="7" t="s">
        <v>23</v>
      </c>
    </row>
    <row r="304" spans="1:15" x14ac:dyDescent="0.25">
      <c r="A304" s="2">
        <f t="shared" si="4"/>
        <v>302</v>
      </c>
      <c r="B304" s="7" t="s">
        <v>7278</v>
      </c>
      <c r="C304" s="7" t="s">
        <v>7279</v>
      </c>
      <c r="D304" s="7" t="s">
        <v>7278</v>
      </c>
      <c r="E304" s="7" t="s">
        <v>26</v>
      </c>
      <c r="F304" s="7" t="s">
        <v>7280</v>
      </c>
      <c r="G304" s="8" t="s">
        <v>18</v>
      </c>
      <c r="H304" s="7" t="s">
        <v>28</v>
      </c>
      <c r="I304" s="7" t="s">
        <v>241</v>
      </c>
      <c r="J304" s="7" t="s">
        <v>195</v>
      </c>
      <c r="K304" s="7" t="s">
        <v>241</v>
      </c>
      <c r="L304" s="7" t="s">
        <v>31</v>
      </c>
      <c r="M304" s="7">
        <v>5.7739000000000003</v>
      </c>
      <c r="N304" s="7">
        <v>10.105029999999999</v>
      </c>
      <c r="O304" s="7" t="s">
        <v>23</v>
      </c>
    </row>
    <row r="305" spans="1:15" x14ac:dyDescent="0.25">
      <c r="A305" s="2">
        <f t="shared" si="4"/>
        <v>303</v>
      </c>
      <c r="B305" s="7" t="s">
        <v>7313</v>
      </c>
      <c r="C305" s="7" t="s">
        <v>7314</v>
      </c>
      <c r="D305" s="7" t="s">
        <v>7313</v>
      </c>
      <c r="E305" s="7" t="s">
        <v>26</v>
      </c>
      <c r="F305" s="7" t="s">
        <v>7315</v>
      </c>
      <c r="G305" s="8" t="s">
        <v>18</v>
      </c>
      <c r="H305" s="7" t="s">
        <v>28</v>
      </c>
      <c r="I305" s="7" t="s">
        <v>140</v>
      </c>
      <c r="J305" s="7" t="s">
        <v>328</v>
      </c>
      <c r="K305" s="7" t="s">
        <v>116</v>
      </c>
      <c r="L305" s="7" t="s">
        <v>31</v>
      </c>
      <c r="M305" s="7">
        <v>6.2932430000000004</v>
      </c>
      <c r="N305" s="7">
        <v>10.786978</v>
      </c>
      <c r="O305" s="7" t="s">
        <v>23</v>
      </c>
    </row>
    <row r="306" spans="1:15" x14ac:dyDescent="0.25">
      <c r="A306" s="2">
        <f t="shared" si="4"/>
        <v>304</v>
      </c>
      <c r="B306" s="7" t="s">
        <v>7316</v>
      </c>
      <c r="C306" s="7" t="s">
        <v>7317</v>
      </c>
      <c r="D306" s="7" t="s">
        <v>7316</v>
      </c>
      <c r="E306" s="7" t="s">
        <v>26</v>
      </c>
      <c r="F306" s="7" t="s">
        <v>7318</v>
      </c>
      <c r="G306" s="8" t="s">
        <v>18</v>
      </c>
      <c r="H306" s="7" t="s">
        <v>28</v>
      </c>
      <c r="I306" s="7" t="s">
        <v>31</v>
      </c>
      <c r="J306" s="7" t="s">
        <v>195</v>
      </c>
      <c r="K306" s="7" t="s">
        <v>2718</v>
      </c>
      <c r="L306" s="7" t="s">
        <v>31</v>
      </c>
      <c r="M306" s="7">
        <v>5.9220569999999997</v>
      </c>
      <c r="N306" s="7">
        <v>10.068813</v>
      </c>
      <c r="O306" s="7" t="s">
        <v>23</v>
      </c>
    </row>
    <row r="307" spans="1:15" x14ac:dyDescent="0.25">
      <c r="A307" s="2">
        <f t="shared" si="4"/>
        <v>305</v>
      </c>
      <c r="B307" s="7" t="s">
        <v>7319</v>
      </c>
      <c r="C307" s="7" t="s">
        <v>7320</v>
      </c>
      <c r="D307" s="7" t="s">
        <v>7319</v>
      </c>
      <c r="E307" s="7" t="s">
        <v>26</v>
      </c>
      <c r="F307" s="7" t="s">
        <v>7321</v>
      </c>
      <c r="G307" s="8" t="s">
        <v>18</v>
      </c>
      <c r="H307" s="7" t="s">
        <v>28</v>
      </c>
      <c r="I307" s="7" t="s">
        <v>140</v>
      </c>
      <c r="J307" s="7" t="s">
        <v>328</v>
      </c>
      <c r="K307" s="7" t="s">
        <v>349</v>
      </c>
      <c r="L307" s="7" t="s">
        <v>31</v>
      </c>
      <c r="M307" s="7">
        <v>6.0379100000000001</v>
      </c>
      <c r="N307" s="7">
        <v>10.68852</v>
      </c>
      <c r="O307" s="7" t="s">
        <v>23</v>
      </c>
    </row>
    <row r="308" spans="1:15" x14ac:dyDescent="0.25">
      <c r="A308" s="2">
        <f t="shared" si="4"/>
        <v>306</v>
      </c>
      <c r="B308" s="7" t="s">
        <v>7322</v>
      </c>
      <c r="C308" s="7" t="s">
        <v>7323</v>
      </c>
      <c r="D308" s="7" t="s">
        <v>7322</v>
      </c>
      <c r="E308" s="7" t="s">
        <v>26</v>
      </c>
      <c r="F308" s="7" t="s">
        <v>7324</v>
      </c>
      <c r="G308" s="8" t="s">
        <v>18</v>
      </c>
      <c r="H308" s="7" t="s">
        <v>28</v>
      </c>
      <c r="I308" s="7" t="s">
        <v>140</v>
      </c>
      <c r="J308" s="7" t="s">
        <v>7325</v>
      </c>
      <c r="K308" s="7" t="s">
        <v>1454</v>
      </c>
      <c r="L308" s="7" t="s">
        <v>31</v>
      </c>
      <c r="M308" s="7">
        <v>5.9220499999999996</v>
      </c>
      <c r="N308" s="7">
        <v>10.435627999999999</v>
      </c>
      <c r="O308" s="7" t="s">
        <v>23</v>
      </c>
    </row>
    <row r="309" spans="1:15" x14ac:dyDescent="0.25">
      <c r="A309" s="2">
        <f t="shared" si="4"/>
        <v>307</v>
      </c>
      <c r="B309" s="7" t="s">
        <v>7333</v>
      </c>
      <c r="C309" s="7" t="s">
        <v>7334</v>
      </c>
      <c r="D309" s="7" t="s">
        <v>7333</v>
      </c>
      <c r="E309" s="7" t="s">
        <v>26</v>
      </c>
      <c r="F309" s="7" t="s">
        <v>7335</v>
      </c>
      <c r="G309" s="8" t="s">
        <v>18</v>
      </c>
      <c r="H309" s="7" t="s">
        <v>28</v>
      </c>
      <c r="I309" s="7" t="s">
        <v>140</v>
      </c>
      <c r="J309" s="7" t="s">
        <v>328</v>
      </c>
      <c r="K309" s="7" t="s">
        <v>116</v>
      </c>
      <c r="L309" s="7" t="s">
        <v>31</v>
      </c>
      <c r="M309" s="7">
        <v>6.2248000000000001</v>
      </c>
      <c r="N309" s="7">
        <v>10.792870000000001</v>
      </c>
      <c r="O309" s="7" t="s">
        <v>23</v>
      </c>
    </row>
    <row r="310" spans="1:15" x14ac:dyDescent="0.25">
      <c r="A310" s="2">
        <f t="shared" si="4"/>
        <v>308</v>
      </c>
      <c r="B310" s="7" t="s">
        <v>7336</v>
      </c>
      <c r="C310" s="7" t="s">
        <v>7337</v>
      </c>
      <c r="D310" s="7" t="s">
        <v>7336</v>
      </c>
      <c r="E310" s="7" t="s">
        <v>26</v>
      </c>
      <c r="F310" s="7" t="s">
        <v>7338</v>
      </c>
      <c r="G310" s="8" t="s">
        <v>18</v>
      </c>
      <c r="H310" s="7" t="s">
        <v>28</v>
      </c>
      <c r="I310" s="7" t="s">
        <v>140</v>
      </c>
      <c r="J310" s="7" t="s">
        <v>328</v>
      </c>
      <c r="K310" s="7" t="s">
        <v>116</v>
      </c>
      <c r="L310" s="7" t="s">
        <v>31</v>
      </c>
      <c r="M310" s="7">
        <v>6.2639480000000001</v>
      </c>
      <c r="N310" s="7">
        <v>10.751713000000001</v>
      </c>
      <c r="O310" s="7" t="s">
        <v>23</v>
      </c>
    </row>
    <row r="311" spans="1:15" x14ac:dyDescent="0.25">
      <c r="A311" s="2">
        <f t="shared" si="4"/>
        <v>309</v>
      </c>
      <c r="B311" s="7" t="s">
        <v>7342</v>
      </c>
      <c r="C311" s="7" t="s">
        <v>7343</v>
      </c>
      <c r="D311" s="7" t="s">
        <v>7342</v>
      </c>
      <c r="E311" s="7" t="s">
        <v>26</v>
      </c>
      <c r="F311" s="7" t="s">
        <v>7344</v>
      </c>
      <c r="G311" s="8" t="s">
        <v>18</v>
      </c>
      <c r="H311" s="7" t="s">
        <v>28</v>
      </c>
      <c r="I311" s="7" t="s">
        <v>241</v>
      </c>
      <c r="J311" s="7" t="s">
        <v>195</v>
      </c>
      <c r="K311" s="7" t="s">
        <v>241</v>
      </c>
      <c r="L311" s="7" t="s">
        <v>31</v>
      </c>
      <c r="M311" s="7">
        <v>5.97044</v>
      </c>
      <c r="N311" s="7">
        <v>10.088900000000001</v>
      </c>
      <c r="O311" s="7" t="s">
        <v>23</v>
      </c>
    </row>
    <row r="312" spans="1:15" x14ac:dyDescent="0.25">
      <c r="A312" s="2">
        <f t="shared" si="4"/>
        <v>310</v>
      </c>
      <c r="B312" s="7" t="s">
        <v>7345</v>
      </c>
      <c r="C312" s="7" t="s">
        <v>7346</v>
      </c>
      <c r="D312" s="7" t="s">
        <v>7345</v>
      </c>
      <c r="E312" s="7" t="s">
        <v>26</v>
      </c>
      <c r="F312" s="7" t="s">
        <v>7347</v>
      </c>
      <c r="G312" s="8" t="s">
        <v>18</v>
      </c>
      <c r="H312" s="7" t="s">
        <v>28</v>
      </c>
      <c r="I312" s="7" t="s">
        <v>31</v>
      </c>
      <c r="J312" s="7" t="s">
        <v>195</v>
      </c>
      <c r="K312" s="7" t="s">
        <v>29</v>
      </c>
      <c r="L312" s="7" t="s">
        <v>31</v>
      </c>
      <c r="M312" s="7">
        <v>6.1054199999999996</v>
      </c>
      <c r="N312" s="7">
        <v>10.084680000000001</v>
      </c>
      <c r="O312" s="7" t="s">
        <v>23</v>
      </c>
    </row>
    <row r="313" spans="1:15" x14ac:dyDescent="0.25">
      <c r="A313" s="2">
        <f t="shared" si="4"/>
        <v>311</v>
      </c>
      <c r="B313" s="7" t="s">
        <v>7355</v>
      </c>
      <c r="C313" s="7" t="s">
        <v>7356</v>
      </c>
      <c r="D313" s="7" t="s">
        <v>7355</v>
      </c>
      <c r="E313" s="7" t="s">
        <v>26</v>
      </c>
      <c r="F313" s="7" t="s">
        <v>7357</v>
      </c>
      <c r="G313" s="8" t="s">
        <v>18</v>
      </c>
      <c r="H313" s="7" t="s">
        <v>28</v>
      </c>
      <c r="I313" s="7" t="s">
        <v>1010</v>
      </c>
      <c r="J313" s="7" t="s">
        <v>195</v>
      </c>
      <c r="K313" s="7" t="s">
        <v>1010</v>
      </c>
      <c r="L313" s="7" t="s">
        <v>31</v>
      </c>
      <c r="M313" s="7">
        <v>5.9759260000000003</v>
      </c>
      <c r="N313" s="7">
        <v>10.180094</v>
      </c>
      <c r="O313" s="7" t="s">
        <v>23</v>
      </c>
    </row>
    <row r="314" spans="1:15" x14ac:dyDescent="0.25">
      <c r="A314" s="2">
        <f t="shared" si="4"/>
        <v>312</v>
      </c>
      <c r="B314" s="7" t="s">
        <v>7361</v>
      </c>
      <c r="C314" s="7" t="s">
        <v>7362</v>
      </c>
      <c r="D314" s="7" t="s">
        <v>7361</v>
      </c>
      <c r="E314" s="7" t="s">
        <v>26</v>
      </c>
      <c r="F314" s="7" t="s">
        <v>7363</v>
      </c>
      <c r="G314" s="17" t="s">
        <v>7747</v>
      </c>
      <c r="H314" s="7" t="s">
        <v>28</v>
      </c>
      <c r="I314" s="7" t="s">
        <v>1010</v>
      </c>
      <c r="J314" s="7" t="s">
        <v>195</v>
      </c>
      <c r="K314" s="7" t="s">
        <v>194</v>
      </c>
      <c r="L314" s="7" t="s">
        <v>31</v>
      </c>
      <c r="M314" s="7">
        <v>5.9571310000000004</v>
      </c>
      <c r="N314" s="7">
        <v>10.179076</v>
      </c>
      <c r="O314" s="7" t="s">
        <v>23</v>
      </c>
    </row>
    <row r="315" spans="1:15" x14ac:dyDescent="0.25">
      <c r="A315" s="2">
        <f t="shared" si="4"/>
        <v>313</v>
      </c>
      <c r="B315" s="7" t="s">
        <v>7527</v>
      </c>
      <c r="C315" s="7" t="s">
        <v>7528</v>
      </c>
      <c r="D315" s="7" t="s">
        <v>7527</v>
      </c>
      <c r="E315" s="7" t="s">
        <v>26</v>
      </c>
      <c r="F315" s="7" t="s">
        <v>7529</v>
      </c>
      <c r="G315" s="8" t="s">
        <v>18</v>
      </c>
      <c r="H315" s="7" t="s">
        <v>28</v>
      </c>
      <c r="I315" s="7" t="s">
        <v>114</v>
      </c>
      <c r="J315" s="7" t="s">
        <v>306</v>
      </c>
      <c r="K315" s="7" t="s">
        <v>114</v>
      </c>
      <c r="L315" s="7" t="s">
        <v>31</v>
      </c>
      <c r="M315" s="7">
        <v>6.6634250000000002</v>
      </c>
      <c r="N315" s="7">
        <v>10.76455</v>
      </c>
      <c r="O315" s="7" t="s">
        <v>23</v>
      </c>
    </row>
    <row r="316" spans="1:15" x14ac:dyDescent="0.25">
      <c r="A316" s="2">
        <f t="shared" si="4"/>
        <v>314</v>
      </c>
      <c r="B316" s="7" t="s">
        <v>7549</v>
      </c>
      <c r="C316" s="7" t="s">
        <v>7550</v>
      </c>
      <c r="D316" s="7" t="s">
        <v>7549</v>
      </c>
      <c r="E316" s="7" t="s">
        <v>26</v>
      </c>
      <c r="F316" s="7" t="s">
        <v>7551</v>
      </c>
      <c r="G316" s="8" t="s">
        <v>18</v>
      </c>
      <c r="H316" s="7" t="s">
        <v>28</v>
      </c>
      <c r="I316" s="7" t="s">
        <v>29</v>
      </c>
      <c r="J316" s="7" t="s">
        <v>195</v>
      </c>
      <c r="K316" s="7" t="s">
        <v>29</v>
      </c>
      <c r="L316" s="7" t="s">
        <v>31</v>
      </c>
      <c r="M316" s="7">
        <v>6.0658079999999996</v>
      </c>
      <c r="N316" s="7">
        <v>10.101448</v>
      </c>
      <c r="O316" s="7" t="s">
        <v>23</v>
      </c>
    </row>
    <row r="317" spans="1:15" x14ac:dyDescent="0.25">
      <c r="A317" s="2">
        <f t="shared" si="4"/>
        <v>315</v>
      </c>
      <c r="B317" s="7" t="s">
        <v>7563</v>
      </c>
      <c r="C317" s="7" t="s">
        <v>7564</v>
      </c>
      <c r="D317" s="7" t="s">
        <v>7563</v>
      </c>
      <c r="E317" s="7" t="s">
        <v>131</v>
      </c>
      <c r="F317" s="7" t="s">
        <v>7565</v>
      </c>
      <c r="G317" s="17" t="s">
        <v>7747</v>
      </c>
      <c r="H317" s="7" t="s">
        <v>28</v>
      </c>
      <c r="I317" s="7" t="s">
        <v>7329</v>
      </c>
      <c r="J317" s="7" t="s">
        <v>7562</v>
      </c>
      <c r="K317" s="7" t="s">
        <v>4275</v>
      </c>
      <c r="L317" s="7" t="s">
        <v>31</v>
      </c>
      <c r="M317" s="7">
        <v>5.71136</v>
      </c>
      <c r="N317" s="7">
        <v>10.158250000000001</v>
      </c>
      <c r="O317" s="7" t="s">
        <v>23</v>
      </c>
    </row>
    <row r="318" spans="1:15" x14ac:dyDescent="0.25">
      <c r="A318" s="2">
        <f t="shared" si="4"/>
        <v>316</v>
      </c>
      <c r="B318" s="7" t="s">
        <v>7575</v>
      </c>
      <c r="C318" s="7" t="s">
        <v>7576</v>
      </c>
      <c r="D318" s="7" t="s">
        <v>7575</v>
      </c>
      <c r="E318" s="7" t="s">
        <v>26</v>
      </c>
      <c r="F318" s="7" t="s">
        <v>7577</v>
      </c>
      <c r="G318" s="8" t="s">
        <v>18</v>
      </c>
      <c r="H318" s="7" t="s">
        <v>28</v>
      </c>
      <c r="I318" s="7" t="s">
        <v>29</v>
      </c>
      <c r="J318" s="7" t="s">
        <v>812</v>
      </c>
      <c r="K318" s="7" t="s">
        <v>2011</v>
      </c>
      <c r="L318" s="7" t="s">
        <v>31</v>
      </c>
      <c r="M318" s="7">
        <v>6.4580330000000004</v>
      </c>
      <c r="N318" s="7">
        <v>10.122539</v>
      </c>
      <c r="O318" s="7" t="s">
        <v>23</v>
      </c>
    </row>
    <row r="319" spans="1:15" x14ac:dyDescent="0.25">
      <c r="A319" s="2">
        <f t="shared" si="4"/>
        <v>317</v>
      </c>
      <c r="B319" s="7" t="s">
        <v>7611</v>
      </c>
      <c r="C319" s="7" t="s">
        <v>7612</v>
      </c>
      <c r="D319" s="7" t="s">
        <v>7611</v>
      </c>
      <c r="E319" s="7" t="s">
        <v>26</v>
      </c>
      <c r="F319" s="7" t="s">
        <v>7613</v>
      </c>
      <c r="G319" s="17" t="s">
        <v>7747</v>
      </c>
      <c r="H319" s="7" t="s">
        <v>28</v>
      </c>
      <c r="I319" s="10" t="s">
        <v>241</v>
      </c>
      <c r="J319" s="10" t="s">
        <v>195</v>
      </c>
      <c r="K319" s="10" t="s">
        <v>241</v>
      </c>
      <c r="L319" s="7" t="s">
        <v>31</v>
      </c>
      <c r="M319" s="7">
        <v>5.962987</v>
      </c>
      <c r="N319" s="7">
        <v>10.134845</v>
      </c>
      <c r="O319" s="7" t="s">
        <v>23</v>
      </c>
    </row>
    <row r="320" spans="1:15" x14ac:dyDescent="0.25">
      <c r="A320" s="2">
        <f t="shared" si="4"/>
        <v>318</v>
      </c>
      <c r="B320" s="7" t="s">
        <v>7614</v>
      </c>
      <c r="C320" s="7" t="s">
        <v>7615</v>
      </c>
      <c r="D320" s="7" t="s">
        <v>7614</v>
      </c>
      <c r="E320" s="7" t="s">
        <v>26</v>
      </c>
      <c r="F320" s="7" t="s">
        <v>7616</v>
      </c>
      <c r="G320" s="17" t="s">
        <v>7747</v>
      </c>
      <c r="H320" s="7" t="s">
        <v>28</v>
      </c>
      <c r="I320" s="7" t="s">
        <v>241</v>
      </c>
      <c r="J320" s="7" t="s">
        <v>195</v>
      </c>
      <c r="K320" s="7" t="s">
        <v>241</v>
      </c>
      <c r="L320" s="7" t="s">
        <v>31</v>
      </c>
      <c r="M320" s="7">
        <v>5.9411949999999996</v>
      </c>
      <c r="N320" s="7">
        <v>10.135865000000001</v>
      </c>
      <c r="O320" s="7" t="s">
        <v>23</v>
      </c>
    </row>
    <row r="321" spans="1:15" x14ac:dyDescent="0.25">
      <c r="A321" s="2">
        <f t="shared" si="4"/>
        <v>319</v>
      </c>
      <c r="B321" s="7" t="s">
        <v>7641</v>
      </c>
      <c r="C321" s="7" t="s">
        <v>7642</v>
      </c>
      <c r="D321" s="7" t="s">
        <v>7641</v>
      </c>
      <c r="E321" s="7" t="s">
        <v>26</v>
      </c>
      <c r="F321" s="7" t="s">
        <v>7643</v>
      </c>
      <c r="G321" s="17" t="s">
        <v>7747</v>
      </c>
      <c r="H321" s="7" t="s">
        <v>28</v>
      </c>
      <c r="I321" s="7" t="s">
        <v>241</v>
      </c>
      <c r="J321" s="7" t="s">
        <v>195</v>
      </c>
      <c r="K321" s="7" t="s">
        <v>1010</v>
      </c>
      <c r="L321" s="7" t="s">
        <v>31</v>
      </c>
      <c r="M321" s="7">
        <v>6.0002599999999999</v>
      </c>
      <c r="N321" s="7">
        <v>10.20966</v>
      </c>
      <c r="O321" s="7" t="s">
        <v>23</v>
      </c>
    </row>
    <row r="322" spans="1:15" x14ac:dyDescent="0.25">
      <c r="A322" s="2">
        <f t="shared" si="4"/>
        <v>320</v>
      </c>
      <c r="B322" s="7" t="s">
        <v>7651</v>
      </c>
      <c r="C322" s="7" t="s">
        <v>7652</v>
      </c>
      <c r="D322" s="7" t="s">
        <v>7651</v>
      </c>
      <c r="E322" s="10" t="s">
        <v>26</v>
      </c>
      <c r="F322" s="7" t="s">
        <v>7653</v>
      </c>
      <c r="G322" s="17" t="s">
        <v>7747</v>
      </c>
      <c r="H322" s="7" t="s">
        <v>28</v>
      </c>
      <c r="I322" s="7" t="s">
        <v>241</v>
      </c>
      <c r="J322" s="7" t="s">
        <v>195</v>
      </c>
      <c r="K322" s="7" t="s">
        <v>1010</v>
      </c>
      <c r="L322" s="7" t="s">
        <v>31</v>
      </c>
      <c r="M322" s="10">
        <v>5.9759690000000001</v>
      </c>
      <c r="N322" s="10">
        <v>10.121524000000001</v>
      </c>
      <c r="O322" s="7" t="s">
        <v>23</v>
      </c>
    </row>
    <row r="323" spans="1:15" x14ac:dyDescent="0.25">
      <c r="A323" s="2">
        <f t="shared" si="4"/>
        <v>321</v>
      </c>
      <c r="B323" s="7" t="s">
        <v>7675</v>
      </c>
      <c r="C323" s="7" t="s">
        <v>7676</v>
      </c>
      <c r="D323" s="7" t="s">
        <v>7675</v>
      </c>
      <c r="E323" s="10" t="s">
        <v>7677</v>
      </c>
      <c r="F323" s="11" t="s">
        <v>7678</v>
      </c>
      <c r="G323" s="17" t="s">
        <v>7747</v>
      </c>
      <c r="H323" s="7" t="s">
        <v>28</v>
      </c>
      <c r="I323" s="10" t="s">
        <v>241</v>
      </c>
      <c r="J323" s="10" t="s">
        <v>195</v>
      </c>
      <c r="K323" s="10" t="s">
        <v>241</v>
      </c>
      <c r="L323" s="7" t="s">
        <v>31</v>
      </c>
      <c r="M323" s="12">
        <v>5.9533959999999997</v>
      </c>
      <c r="N323" s="12">
        <v>10.141564000000001</v>
      </c>
      <c r="O323" s="11" t="s">
        <v>613</v>
      </c>
    </row>
    <row r="324" spans="1:15" hidden="1" x14ac:dyDescent="0.25">
      <c r="A324" s="2">
        <f t="shared" si="4"/>
        <v>322</v>
      </c>
      <c r="B324" s="7" t="s">
        <v>117</v>
      </c>
      <c r="C324" s="7" t="s">
        <v>118</v>
      </c>
      <c r="D324" s="7" t="s">
        <v>117</v>
      </c>
      <c r="E324" s="7" t="s">
        <v>42</v>
      </c>
      <c r="F324" s="7" t="s">
        <v>119</v>
      </c>
      <c r="G324" s="17" t="s">
        <v>7747</v>
      </c>
      <c r="H324" s="7" t="s">
        <v>19</v>
      </c>
      <c r="I324" s="7" t="s">
        <v>102</v>
      </c>
      <c r="J324" s="7" t="s">
        <v>103</v>
      </c>
      <c r="K324" s="7" t="s">
        <v>120</v>
      </c>
      <c r="L324" s="7" t="s">
        <v>121</v>
      </c>
      <c r="M324" s="7">
        <v>6.7066109999999997</v>
      </c>
      <c r="N324" s="7">
        <v>11.779889000000001</v>
      </c>
      <c r="O324" s="7" t="s">
        <v>23</v>
      </c>
    </row>
    <row r="325" spans="1:15" x14ac:dyDescent="0.25">
      <c r="A325" s="2">
        <f t="shared" ref="A325:A388" si="5">+A324+1</f>
        <v>323</v>
      </c>
      <c r="B325" s="7" t="s">
        <v>142</v>
      </c>
      <c r="C325" s="7" t="s">
        <v>143</v>
      </c>
      <c r="D325" s="7" t="s">
        <v>142</v>
      </c>
      <c r="E325" s="7" t="s">
        <v>26</v>
      </c>
      <c r="F325" s="7" t="s">
        <v>144</v>
      </c>
      <c r="G325" s="8" t="s">
        <v>18</v>
      </c>
      <c r="H325" s="7" t="s">
        <v>28</v>
      </c>
      <c r="I325" s="7" t="s">
        <v>145</v>
      </c>
      <c r="J325" s="7" t="s">
        <v>146</v>
      </c>
      <c r="K325" s="7" t="s">
        <v>147</v>
      </c>
      <c r="L325" s="7" t="s">
        <v>121</v>
      </c>
      <c r="M325" s="7">
        <v>6.4088060000000002</v>
      </c>
      <c r="N325" s="7">
        <v>11.318972</v>
      </c>
      <c r="O325" s="7" t="s">
        <v>23</v>
      </c>
    </row>
    <row r="326" spans="1:15" x14ac:dyDescent="0.25">
      <c r="A326" s="2">
        <f t="shared" si="5"/>
        <v>324</v>
      </c>
      <c r="B326" s="7" t="s">
        <v>304</v>
      </c>
      <c r="C326" s="7" t="s">
        <v>305</v>
      </c>
      <c r="D326" s="7" t="s">
        <v>304</v>
      </c>
      <c r="E326" s="7" t="s">
        <v>26</v>
      </c>
      <c r="F326" s="7" t="s">
        <v>270</v>
      </c>
      <c r="G326" s="8" t="s">
        <v>18</v>
      </c>
      <c r="H326" s="7" t="s">
        <v>28</v>
      </c>
      <c r="I326" s="7" t="s">
        <v>114</v>
      </c>
      <c r="J326" s="7" t="s">
        <v>306</v>
      </c>
      <c r="K326" s="7" t="s">
        <v>307</v>
      </c>
      <c r="L326" s="7" t="s">
        <v>121</v>
      </c>
      <c r="M326" s="7">
        <v>6.3082799999999999</v>
      </c>
      <c r="N326" s="7">
        <v>11.030340000000001</v>
      </c>
      <c r="O326" s="7" t="s">
        <v>23</v>
      </c>
    </row>
    <row r="327" spans="1:15" x14ac:dyDescent="0.25">
      <c r="A327" s="2">
        <f t="shared" si="5"/>
        <v>325</v>
      </c>
      <c r="B327" s="7" t="s">
        <v>407</v>
      </c>
      <c r="C327" s="7" t="s">
        <v>408</v>
      </c>
      <c r="D327" s="7" t="s">
        <v>407</v>
      </c>
      <c r="E327" s="7" t="s">
        <v>131</v>
      </c>
      <c r="F327" s="7" t="s">
        <v>409</v>
      </c>
      <c r="G327" s="17" t="s">
        <v>7747</v>
      </c>
      <c r="H327" s="7" t="s">
        <v>28</v>
      </c>
      <c r="I327" s="7" t="s">
        <v>145</v>
      </c>
      <c r="J327" s="7" t="s">
        <v>134</v>
      </c>
      <c r="K327" s="7" t="s">
        <v>410</v>
      </c>
      <c r="L327" s="7" t="s">
        <v>121</v>
      </c>
      <c r="M327" s="7">
        <v>5.7818889999999996</v>
      </c>
      <c r="N327" s="7">
        <v>11.489750000000001</v>
      </c>
      <c r="O327" s="7" t="s">
        <v>23</v>
      </c>
    </row>
    <row r="328" spans="1:15" hidden="1" x14ac:dyDescent="0.25">
      <c r="A328" s="2">
        <f t="shared" si="5"/>
        <v>326</v>
      </c>
      <c r="B328" s="7" t="s">
        <v>561</v>
      </c>
      <c r="C328" s="7" t="s">
        <v>562</v>
      </c>
      <c r="D328" s="7" t="s">
        <v>561</v>
      </c>
      <c r="E328" s="7" t="s">
        <v>42</v>
      </c>
      <c r="F328" s="7" t="s">
        <v>563</v>
      </c>
      <c r="G328" s="17" t="s">
        <v>7747</v>
      </c>
      <c r="H328" s="7" t="s">
        <v>28</v>
      </c>
      <c r="I328" s="7" t="s">
        <v>102</v>
      </c>
      <c r="J328" s="7" t="s">
        <v>103</v>
      </c>
      <c r="K328" s="7" t="s">
        <v>383</v>
      </c>
      <c r="L328" s="7" t="s">
        <v>121</v>
      </c>
      <c r="M328" s="7">
        <v>5.9923500000000001</v>
      </c>
      <c r="N328" s="7">
        <v>12.391995</v>
      </c>
      <c r="O328" s="7" t="s">
        <v>23</v>
      </c>
    </row>
    <row r="329" spans="1:15" hidden="1" x14ac:dyDescent="0.25">
      <c r="A329" s="2">
        <f t="shared" si="5"/>
        <v>327</v>
      </c>
      <c r="B329" s="7" t="s">
        <v>574</v>
      </c>
      <c r="C329" s="7" t="s">
        <v>575</v>
      </c>
      <c r="D329" s="7" t="s">
        <v>574</v>
      </c>
      <c r="E329" s="7" t="s">
        <v>42</v>
      </c>
      <c r="F329" s="7" t="s">
        <v>576</v>
      </c>
      <c r="G329" s="17" t="s">
        <v>7747</v>
      </c>
      <c r="H329" s="7" t="s">
        <v>28</v>
      </c>
      <c r="I329" s="7" t="s">
        <v>102</v>
      </c>
      <c r="J329" s="7" t="s">
        <v>103</v>
      </c>
      <c r="K329" s="7" t="s">
        <v>577</v>
      </c>
      <c r="L329" s="7" t="s">
        <v>121</v>
      </c>
      <c r="M329" s="7">
        <v>7.6575829999999998</v>
      </c>
      <c r="N329" s="7">
        <v>12.334389</v>
      </c>
      <c r="O329" s="7" t="s">
        <v>23</v>
      </c>
    </row>
    <row r="330" spans="1:15" hidden="1" x14ac:dyDescent="0.25">
      <c r="A330" s="2">
        <f t="shared" si="5"/>
        <v>328</v>
      </c>
      <c r="B330" s="7" t="s">
        <v>578</v>
      </c>
      <c r="C330" s="7" t="s">
        <v>579</v>
      </c>
      <c r="D330" s="7" t="s">
        <v>578</v>
      </c>
      <c r="E330" s="7" t="s">
        <v>182</v>
      </c>
      <c r="F330" s="7" t="s">
        <v>580</v>
      </c>
      <c r="G330" s="17" t="s">
        <v>7747</v>
      </c>
      <c r="H330" s="7" t="s">
        <v>28</v>
      </c>
      <c r="I330" s="7" t="s">
        <v>374</v>
      </c>
      <c r="J330" s="7" t="s">
        <v>134</v>
      </c>
      <c r="K330" s="7" t="s">
        <v>383</v>
      </c>
      <c r="L330" s="7" t="s">
        <v>121</v>
      </c>
      <c r="M330" s="7">
        <v>5.3701100000000004</v>
      </c>
      <c r="N330" s="7">
        <v>12.271540999999999</v>
      </c>
      <c r="O330" s="7" t="s">
        <v>23</v>
      </c>
    </row>
    <row r="331" spans="1:15" hidden="1" x14ac:dyDescent="0.25">
      <c r="A331" s="2">
        <f t="shared" si="5"/>
        <v>329</v>
      </c>
      <c r="B331" s="7" t="s">
        <v>864</v>
      </c>
      <c r="C331" s="7" t="s">
        <v>865</v>
      </c>
      <c r="D331" s="7" t="s">
        <v>864</v>
      </c>
      <c r="E331" s="7" t="s">
        <v>42</v>
      </c>
      <c r="F331" s="7" t="s">
        <v>866</v>
      </c>
      <c r="G331" s="17" t="s">
        <v>7747</v>
      </c>
      <c r="H331" s="7" t="s">
        <v>28</v>
      </c>
      <c r="I331" s="7" t="s">
        <v>102</v>
      </c>
      <c r="J331" s="7" t="s">
        <v>103</v>
      </c>
      <c r="K331" s="7" t="s">
        <v>383</v>
      </c>
      <c r="L331" s="7" t="s">
        <v>121</v>
      </c>
      <c r="M331" s="7">
        <v>5.8946100000000001</v>
      </c>
      <c r="N331" s="7">
        <v>12.281280000000001</v>
      </c>
      <c r="O331" s="7" t="s">
        <v>23</v>
      </c>
    </row>
    <row r="332" spans="1:15" hidden="1" x14ac:dyDescent="0.25">
      <c r="A332" s="2">
        <f t="shared" si="5"/>
        <v>330</v>
      </c>
      <c r="B332" s="7" t="s">
        <v>871</v>
      </c>
      <c r="C332" s="7" t="s">
        <v>872</v>
      </c>
      <c r="D332" s="7" t="s">
        <v>871</v>
      </c>
      <c r="E332" s="7" t="s">
        <v>42</v>
      </c>
      <c r="F332" s="7" t="s">
        <v>873</v>
      </c>
      <c r="G332" s="17" t="s">
        <v>7747</v>
      </c>
      <c r="H332" s="7" t="s">
        <v>28</v>
      </c>
      <c r="I332" s="7" t="s">
        <v>102</v>
      </c>
      <c r="J332" s="7" t="s">
        <v>103</v>
      </c>
      <c r="K332" s="7" t="s">
        <v>577</v>
      </c>
      <c r="L332" s="7" t="s">
        <v>121</v>
      </c>
      <c r="M332" s="7">
        <v>7.6469360000000002</v>
      </c>
      <c r="N332" s="7">
        <v>12.389979</v>
      </c>
      <c r="O332" s="7" t="s">
        <v>23</v>
      </c>
    </row>
    <row r="333" spans="1:15" hidden="1" x14ac:dyDescent="0.25">
      <c r="A333" s="2">
        <f t="shared" si="5"/>
        <v>331</v>
      </c>
      <c r="B333" s="7" t="s">
        <v>910</v>
      </c>
      <c r="C333" s="7" t="s">
        <v>911</v>
      </c>
      <c r="D333" s="7" t="s">
        <v>910</v>
      </c>
      <c r="E333" s="7" t="s">
        <v>42</v>
      </c>
      <c r="F333" s="7" t="s">
        <v>912</v>
      </c>
      <c r="G333" s="17" t="s">
        <v>7747</v>
      </c>
      <c r="H333" s="7" t="s">
        <v>28</v>
      </c>
      <c r="I333" s="7" t="s">
        <v>102</v>
      </c>
      <c r="J333" s="7" t="s">
        <v>103</v>
      </c>
      <c r="K333" s="7" t="s">
        <v>120</v>
      </c>
      <c r="L333" s="7" t="s">
        <v>121</v>
      </c>
      <c r="M333" s="7">
        <v>6.656193</v>
      </c>
      <c r="N333" s="7">
        <v>12.061108000000001</v>
      </c>
      <c r="O333" s="7" t="s">
        <v>23</v>
      </c>
    </row>
    <row r="334" spans="1:15" x14ac:dyDescent="0.25">
      <c r="A334" s="2">
        <f t="shared" si="5"/>
        <v>332</v>
      </c>
      <c r="B334" s="7" t="s">
        <v>1207</v>
      </c>
      <c r="C334" s="7" t="s">
        <v>1208</v>
      </c>
      <c r="D334" s="7" t="s">
        <v>1207</v>
      </c>
      <c r="E334" s="7" t="s">
        <v>26</v>
      </c>
      <c r="F334" s="7" t="s">
        <v>1209</v>
      </c>
      <c r="G334" s="8" t="s">
        <v>18</v>
      </c>
      <c r="H334" s="7" t="s">
        <v>28</v>
      </c>
      <c r="I334" s="7" t="s">
        <v>114</v>
      </c>
      <c r="J334" s="7" t="s">
        <v>306</v>
      </c>
      <c r="K334" s="7" t="s">
        <v>1192</v>
      </c>
      <c r="L334" s="7" t="s">
        <v>121</v>
      </c>
      <c r="M334" s="7">
        <v>6.9556100000000001</v>
      </c>
      <c r="N334" s="7">
        <v>10.71881</v>
      </c>
      <c r="O334" s="7" t="s">
        <v>23</v>
      </c>
    </row>
    <row r="335" spans="1:15" x14ac:dyDescent="0.25">
      <c r="A335" s="2">
        <f t="shared" si="5"/>
        <v>333</v>
      </c>
      <c r="B335" s="7" t="s">
        <v>1260</v>
      </c>
      <c r="C335" s="7" t="s">
        <v>1261</v>
      </c>
      <c r="D335" s="7" t="s">
        <v>1260</v>
      </c>
      <c r="E335" s="7" t="s">
        <v>26</v>
      </c>
      <c r="F335" s="7" t="s">
        <v>1262</v>
      </c>
      <c r="G335" s="17" t="s">
        <v>7747</v>
      </c>
      <c r="H335" s="7" t="s">
        <v>28</v>
      </c>
      <c r="I335" s="7" t="s">
        <v>114</v>
      </c>
      <c r="J335" s="7" t="s">
        <v>306</v>
      </c>
      <c r="K335" s="7" t="s">
        <v>307</v>
      </c>
      <c r="L335" s="7" t="s">
        <v>121</v>
      </c>
      <c r="M335" s="7">
        <v>6.6481199999999996</v>
      </c>
      <c r="N335" s="7">
        <v>11.04256</v>
      </c>
      <c r="O335" s="7" t="s">
        <v>23</v>
      </c>
    </row>
    <row r="336" spans="1:15" hidden="1" x14ac:dyDescent="0.25">
      <c r="A336" s="2">
        <f t="shared" si="5"/>
        <v>334</v>
      </c>
      <c r="B336" s="7" t="s">
        <v>1534</v>
      </c>
      <c r="C336" s="7" t="s">
        <v>1535</v>
      </c>
      <c r="D336" s="7" t="s">
        <v>1534</v>
      </c>
      <c r="E336" s="7" t="s">
        <v>182</v>
      </c>
      <c r="F336" s="7" t="s">
        <v>1536</v>
      </c>
      <c r="G336" s="17" t="s">
        <v>7747</v>
      </c>
      <c r="H336" s="7" t="s">
        <v>19</v>
      </c>
      <c r="I336" s="7" t="s">
        <v>374</v>
      </c>
      <c r="J336" s="7" t="s">
        <v>134</v>
      </c>
      <c r="K336" s="7" t="s">
        <v>383</v>
      </c>
      <c r="L336" s="7" t="s">
        <v>121</v>
      </c>
      <c r="M336" s="7">
        <v>5.5391779999999997</v>
      </c>
      <c r="N336" s="7">
        <v>12.317745</v>
      </c>
      <c r="O336" s="7" t="s">
        <v>23</v>
      </c>
    </row>
    <row r="337" spans="1:15" hidden="1" x14ac:dyDescent="0.25">
      <c r="A337" s="2">
        <f t="shared" si="5"/>
        <v>335</v>
      </c>
      <c r="B337" s="7" t="s">
        <v>1557</v>
      </c>
      <c r="C337" s="7" t="s">
        <v>1558</v>
      </c>
      <c r="D337" s="7" t="s">
        <v>1557</v>
      </c>
      <c r="E337" s="7" t="s">
        <v>42</v>
      </c>
      <c r="F337" s="7" t="s">
        <v>1559</v>
      </c>
      <c r="G337" s="17" t="s">
        <v>7747</v>
      </c>
      <c r="H337" s="7" t="s">
        <v>28</v>
      </c>
      <c r="I337" s="7" t="s">
        <v>102</v>
      </c>
      <c r="J337" s="7" t="s">
        <v>103</v>
      </c>
      <c r="K337" s="7" t="s">
        <v>103</v>
      </c>
      <c r="L337" s="7" t="s">
        <v>121</v>
      </c>
      <c r="M337" s="7">
        <v>6.3110799999999996</v>
      </c>
      <c r="N337" s="7">
        <v>12.7965</v>
      </c>
      <c r="O337" s="7" t="s">
        <v>23</v>
      </c>
    </row>
    <row r="338" spans="1:15" x14ac:dyDescent="0.25">
      <c r="A338" s="2">
        <f t="shared" si="5"/>
        <v>336</v>
      </c>
      <c r="B338" s="7" t="s">
        <v>1902</v>
      </c>
      <c r="C338" s="7" t="s">
        <v>1903</v>
      </c>
      <c r="D338" s="7" t="s">
        <v>1902</v>
      </c>
      <c r="E338" s="7" t="s">
        <v>131</v>
      </c>
      <c r="F338" s="7" t="s">
        <v>1904</v>
      </c>
      <c r="G338" s="17" t="s">
        <v>7747</v>
      </c>
      <c r="H338" s="7" t="s">
        <v>28</v>
      </c>
      <c r="I338" s="7" t="s">
        <v>145</v>
      </c>
      <c r="J338" s="7" t="s">
        <v>146</v>
      </c>
      <c r="K338" s="7" t="s">
        <v>1522</v>
      </c>
      <c r="L338" s="7" t="s">
        <v>121</v>
      </c>
      <c r="M338" s="7">
        <v>6.0504300000000004</v>
      </c>
      <c r="N338" s="7">
        <v>11.291411999999999</v>
      </c>
      <c r="O338" s="7" t="s">
        <v>23</v>
      </c>
    </row>
    <row r="339" spans="1:15" x14ac:dyDescent="0.25">
      <c r="A339" s="2">
        <f t="shared" si="5"/>
        <v>337</v>
      </c>
      <c r="B339" s="7" t="s">
        <v>1992</v>
      </c>
      <c r="C339" s="7" t="s">
        <v>1993</v>
      </c>
      <c r="D339" s="7" t="s">
        <v>1992</v>
      </c>
      <c r="E339" s="7" t="s">
        <v>26</v>
      </c>
      <c r="F339" s="7" t="s">
        <v>1994</v>
      </c>
      <c r="G339" s="8" t="s">
        <v>1106</v>
      </c>
      <c r="H339" s="7" t="s">
        <v>28</v>
      </c>
      <c r="I339" s="7" t="s">
        <v>145</v>
      </c>
      <c r="J339" s="7" t="s">
        <v>146</v>
      </c>
      <c r="K339" s="7" t="s">
        <v>147</v>
      </c>
      <c r="L339" s="7" t="s">
        <v>121</v>
      </c>
      <c r="M339" s="7">
        <v>6.4658329999999999</v>
      </c>
      <c r="N339" s="7">
        <v>11.30917</v>
      </c>
      <c r="O339" s="7" t="s">
        <v>23</v>
      </c>
    </row>
    <row r="340" spans="1:15" hidden="1" x14ac:dyDescent="0.25">
      <c r="A340" s="2">
        <f t="shared" si="5"/>
        <v>338</v>
      </c>
      <c r="B340" s="7" t="s">
        <v>2004</v>
      </c>
      <c r="C340" s="7" t="s">
        <v>2005</v>
      </c>
      <c r="D340" s="7" t="s">
        <v>2004</v>
      </c>
      <c r="E340" s="7" t="s">
        <v>182</v>
      </c>
      <c r="F340" s="7" t="s">
        <v>1536</v>
      </c>
      <c r="G340" s="17" t="s">
        <v>7747</v>
      </c>
      <c r="H340" s="7" t="s">
        <v>28</v>
      </c>
      <c r="I340" s="7" t="s">
        <v>374</v>
      </c>
      <c r="J340" s="7" t="s">
        <v>134</v>
      </c>
      <c r="K340" s="7" t="s">
        <v>383</v>
      </c>
      <c r="L340" s="7" t="s">
        <v>121</v>
      </c>
      <c r="M340" s="7">
        <v>5.539167</v>
      </c>
      <c r="N340" s="7">
        <v>12.317805999999999</v>
      </c>
      <c r="O340" s="7" t="s">
        <v>23</v>
      </c>
    </row>
    <row r="341" spans="1:15" hidden="1" x14ac:dyDescent="0.25">
      <c r="A341" s="2">
        <f t="shared" si="5"/>
        <v>339</v>
      </c>
      <c r="B341" s="7" t="s">
        <v>2911</v>
      </c>
      <c r="C341" s="7" t="s">
        <v>2912</v>
      </c>
      <c r="D341" s="7" t="s">
        <v>2911</v>
      </c>
      <c r="E341" s="7" t="s">
        <v>42</v>
      </c>
      <c r="F341" s="7" t="s">
        <v>2913</v>
      </c>
      <c r="G341" s="17" t="s">
        <v>7747</v>
      </c>
      <c r="H341" s="7" t="s">
        <v>19</v>
      </c>
      <c r="I341" s="7" t="s">
        <v>102</v>
      </c>
      <c r="J341" s="7" t="s">
        <v>103</v>
      </c>
      <c r="K341" s="7" t="s">
        <v>120</v>
      </c>
      <c r="L341" s="7" t="s">
        <v>121</v>
      </c>
      <c r="M341" s="7">
        <v>6.7491399999999997</v>
      </c>
      <c r="N341" s="7">
        <v>11.80564</v>
      </c>
      <c r="O341" s="7" t="s">
        <v>613</v>
      </c>
    </row>
    <row r="342" spans="1:15" hidden="1" x14ac:dyDescent="0.25">
      <c r="A342" s="2">
        <f t="shared" si="5"/>
        <v>340</v>
      </c>
      <c r="B342" s="7" t="s">
        <v>2917</v>
      </c>
      <c r="C342" s="7" t="s">
        <v>2918</v>
      </c>
      <c r="D342" s="7" t="s">
        <v>2917</v>
      </c>
      <c r="E342" s="7" t="s">
        <v>42</v>
      </c>
      <c r="F342" s="7" t="s">
        <v>121</v>
      </c>
      <c r="G342" s="17" t="s">
        <v>7747</v>
      </c>
      <c r="H342" s="7" t="s">
        <v>19</v>
      </c>
      <c r="I342" s="7" t="s">
        <v>102</v>
      </c>
      <c r="J342" s="7" t="s">
        <v>103</v>
      </c>
      <c r="K342" s="7" t="s">
        <v>120</v>
      </c>
      <c r="L342" s="7" t="s">
        <v>121</v>
      </c>
      <c r="M342" s="7">
        <v>6.7080000000000002</v>
      </c>
      <c r="N342" s="7">
        <v>11.779</v>
      </c>
      <c r="O342" s="7" t="s">
        <v>23</v>
      </c>
    </row>
    <row r="343" spans="1:15" x14ac:dyDescent="0.25">
      <c r="A343" s="2">
        <f t="shared" si="5"/>
        <v>341</v>
      </c>
      <c r="B343" s="7" t="s">
        <v>2924</v>
      </c>
      <c r="C343" s="7" t="s">
        <v>2925</v>
      </c>
      <c r="D343" s="7" t="s">
        <v>2924</v>
      </c>
      <c r="E343" s="7" t="s">
        <v>131</v>
      </c>
      <c r="F343" s="7" t="s">
        <v>147</v>
      </c>
      <c r="G343" s="17" t="s">
        <v>7747</v>
      </c>
      <c r="H343" s="7" t="s">
        <v>19</v>
      </c>
      <c r="I343" s="7" t="s">
        <v>145</v>
      </c>
      <c r="J343" s="7" t="s">
        <v>146</v>
      </c>
      <c r="K343" s="7" t="s">
        <v>147</v>
      </c>
      <c r="L343" s="7" t="s">
        <v>121</v>
      </c>
      <c r="M343" s="7">
        <v>6.0834000000000001</v>
      </c>
      <c r="N343" s="7">
        <v>11.471778</v>
      </c>
      <c r="O343" s="7" t="s">
        <v>23</v>
      </c>
    </row>
    <row r="344" spans="1:15" hidden="1" x14ac:dyDescent="0.25">
      <c r="A344" s="2">
        <f t="shared" si="5"/>
        <v>342</v>
      </c>
      <c r="B344" s="7" t="s">
        <v>3368</v>
      </c>
      <c r="C344" s="7" t="s">
        <v>3369</v>
      </c>
      <c r="D344" s="7" t="s">
        <v>3368</v>
      </c>
      <c r="E344" s="7" t="s">
        <v>42</v>
      </c>
      <c r="F344" s="7" t="s">
        <v>3370</v>
      </c>
      <c r="G344" s="17" t="s">
        <v>7747</v>
      </c>
      <c r="H344" s="7" t="s">
        <v>28</v>
      </c>
      <c r="I344" s="7" t="s">
        <v>102</v>
      </c>
      <c r="J344" s="7" t="s">
        <v>103</v>
      </c>
      <c r="K344" s="7" t="s">
        <v>103</v>
      </c>
      <c r="L344" s="7" t="s">
        <v>121</v>
      </c>
      <c r="M344" s="7">
        <v>6.4664169999999999</v>
      </c>
      <c r="N344" s="7">
        <v>12.626194</v>
      </c>
      <c r="O344" s="7" t="s">
        <v>23</v>
      </c>
    </row>
    <row r="345" spans="1:15" hidden="1" x14ac:dyDescent="0.25">
      <c r="A345" s="2">
        <f t="shared" si="5"/>
        <v>343</v>
      </c>
      <c r="B345" s="7" t="s">
        <v>4614</v>
      </c>
      <c r="C345" s="7" t="s">
        <v>4615</v>
      </c>
      <c r="D345" s="7" t="s">
        <v>4614</v>
      </c>
      <c r="E345" s="7" t="s">
        <v>42</v>
      </c>
      <c r="F345" s="7" t="s">
        <v>4616</v>
      </c>
      <c r="G345" s="17" t="s">
        <v>7747</v>
      </c>
      <c r="H345" s="7" t="s">
        <v>19</v>
      </c>
      <c r="I345" s="7" t="s">
        <v>102</v>
      </c>
      <c r="J345" s="7" t="s">
        <v>103</v>
      </c>
      <c r="K345" s="7" t="s">
        <v>103</v>
      </c>
      <c r="L345" s="7" t="s">
        <v>121</v>
      </c>
      <c r="M345" s="7">
        <v>6.4791670000000003</v>
      </c>
      <c r="N345" s="7">
        <v>12.607250000000001</v>
      </c>
      <c r="O345" s="7" t="s">
        <v>23</v>
      </c>
    </row>
    <row r="346" spans="1:15" hidden="1" x14ac:dyDescent="0.25">
      <c r="A346" s="2">
        <f t="shared" si="5"/>
        <v>344</v>
      </c>
      <c r="B346" s="7" t="s">
        <v>5851</v>
      </c>
      <c r="C346" s="7" t="s">
        <v>5852</v>
      </c>
      <c r="D346" s="7" t="s">
        <v>5851</v>
      </c>
      <c r="E346" s="7" t="s">
        <v>42</v>
      </c>
      <c r="F346" s="7" t="s">
        <v>5853</v>
      </c>
      <c r="G346" s="17" t="s">
        <v>7747</v>
      </c>
      <c r="H346" s="7" t="s">
        <v>28</v>
      </c>
      <c r="I346" s="7" t="s">
        <v>102</v>
      </c>
      <c r="J346" s="7" t="s">
        <v>103</v>
      </c>
      <c r="K346" s="7" t="s">
        <v>103</v>
      </c>
      <c r="L346" s="7" t="s">
        <v>121</v>
      </c>
      <c r="M346" s="7">
        <v>6.7843900000000001</v>
      </c>
      <c r="N346" s="7">
        <v>12.62387</v>
      </c>
      <c r="O346" s="7" t="s">
        <v>23</v>
      </c>
    </row>
    <row r="347" spans="1:15" x14ac:dyDescent="0.25">
      <c r="A347" s="2">
        <f t="shared" si="5"/>
        <v>345</v>
      </c>
      <c r="B347" s="7" t="s">
        <v>5871</v>
      </c>
      <c r="C347" s="7" t="s">
        <v>5872</v>
      </c>
      <c r="D347" s="7" t="s">
        <v>5871</v>
      </c>
      <c r="E347" s="7" t="s">
        <v>26</v>
      </c>
      <c r="F347" s="7" t="s">
        <v>5873</v>
      </c>
      <c r="G347" s="8" t="s">
        <v>18</v>
      </c>
      <c r="H347" s="7" t="s">
        <v>28</v>
      </c>
      <c r="I347" s="7" t="s">
        <v>114</v>
      </c>
      <c r="J347" s="7" t="s">
        <v>306</v>
      </c>
      <c r="K347" s="7" t="s">
        <v>307</v>
      </c>
      <c r="L347" s="7" t="s">
        <v>121</v>
      </c>
      <c r="M347" s="7">
        <v>6.3856109999999999</v>
      </c>
      <c r="N347" s="7">
        <v>11.165082999999999</v>
      </c>
      <c r="O347" s="7" t="s">
        <v>23</v>
      </c>
    </row>
    <row r="348" spans="1:15" hidden="1" x14ac:dyDescent="0.25">
      <c r="A348" s="2">
        <f t="shared" si="5"/>
        <v>346</v>
      </c>
      <c r="B348" s="7" t="s">
        <v>5939</v>
      </c>
      <c r="C348" s="7" t="s">
        <v>5940</v>
      </c>
      <c r="D348" s="7" t="s">
        <v>5939</v>
      </c>
      <c r="E348" s="7" t="s">
        <v>42</v>
      </c>
      <c r="F348" s="7" t="s">
        <v>5941</v>
      </c>
      <c r="G348" s="17" t="s">
        <v>7747</v>
      </c>
      <c r="H348" s="7" t="s">
        <v>28</v>
      </c>
      <c r="I348" s="7" t="s">
        <v>102</v>
      </c>
      <c r="J348" s="7" t="s">
        <v>103</v>
      </c>
      <c r="K348" s="7" t="s">
        <v>103</v>
      </c>
      <c r="L348" s="7" t="s">
        <v>121</v>
      </c>
      <c r="M348" s="7">
        <v>6.3372510000000002</v>
      </c>
      <c r="N348" s="7">
        <v>12.555187999999999</v>
      </c>
      <c r="O348" s="7" t="s">
        <v>23</v>
      </c>
    </row>
    <row r="349" spans="1:15" x14ac:dyDescent="0.25">
      <c r="A349" s="2">
        <f t="shared" si="5"/>
        <v>347</v>
      </c>
      <c r="B349" s="7" t="s">
        <v>5959</v>
      </c>
      <c r="C349" s="7" t="s">
        <v>5960</v>
      </c>
      <c r="D349" s="7" t="s">
        <v>5959</v>
      </c>
      <c r="E349" s="7" t="s">
        <v>131</v>
      </c>
      <c r="F349" s="7" t="s">
        <v>5961</v>
      </c>
      <c r="G349" s="17" t="s">
        <v>7747</v>
      </c>
      <c r="H349" s="7" t="s">
        <v>28</v>
      </c>
      <c r="I349" s="7" t="s">
        <v>145</v>
      </c>
      <c r="J349" s="7" t="s">
        <v>5962</v>
      </c>
      <c r="K349" s="7" t="s">
        <v>5963</v>
      </c>
      <c r="L349" s="7" t="s">
        <v>121</v>
      </c>
      <c r="M349" s="7">
        <v>6.4863099999999996</v>
      </c>
      <c r="N349" s="7">
        <v>11.56549</v>
      </c>
      <c r="O349" s="7" t="s">
        <v>23</v>
      </c>
    </row>
    <row r="350" spans="1:15" hidden="1" x14ac:dyDescent="0.25">
      <c r="A350" s="2">
        <f t="shared" si="5"/>
        <v>348</v>
      </c>
      <c r="B350" s="7" t="s">
        <v>6000</v>
      </c>
      <c r="C350" s="7" t="s">
        <v>6001</v>
      </c>
      <c r="D350" s="7" t="s">
        <v>6000</v>
      </c>
      <c r="E350" s="7" t="s">
        <v>42</v>
      </c>
      <c r="F350" s="7" t="s">
        <v>6002</v>
      </c>
      <c r="G350" s="17" t="s">
        <v>7747</v>
      </c>
      <c r="H350" s="7" t="s">
        <v>28</v>
      </c>
      <c r="I350" s="7" t="s">
        <v>102</v>
      </c>
      <c r="J350" s="7" t="s">
        <v>103</v>
      </c>
      <c r="K350" s="7" t="s">
        <v>103</v>
      </c>
      <c r="L350" s="7" t="s">
        <v>121</v>
      </c>
      <c r="M350" s="7">
        <v>6.6571290000000003</v>
      </c>
      <c r="N350" s="7">
        <v>12.569858</v>
      </c>
      <c r="O350" s="7" t="s">
        <v>23</v>
      </c>
    </row>
    <row r="351" spans="1:15" hidden="1" x14ac:dyDescent="0.25">
      <c r="A351" s="2">
        <f t="shared" si="5"/>
        <v>349</v>
      </c>
      <c r="B351" s="7" t="s">
        <v>6019</v>
      </c>
      <c r="C351" s="7" t="s">
        <v>6020</v>
      </c>
      <c r="D351" s="7" t="s">
        <v>6019</v>
      </c>
      <c r="E351" s="7" t="s">
        <v>42</v>
      </c>
      <c r="F351" s="7" t="s">
        <v>6021</v>
      </c>
      <c r="G351" s="17" t="s">
        <v>7747</v>
      </c>
      <c r="H351" s="7" t="s">
        <v>28</v>
      </c>
      <c r="I351" s="7" t="s">
        <v>102</v>
      </c>
      <c r="J351" s="7" t="s">
        <v>103</v>
      </c>
      <c r="K351" s="7" t="s">
        <v>1014</v>
      </c>
      <c r="L351" s="7" t="s">
        <v>121</v>
      </c>
      <c r="M351" s="7">
        <v>7.0201500000000001</v>
      </c>
      <c r="N351" s="7">
        <v>12.64629</v>
      </c>
      <c r="O351" s="7" t="s">
        <v>23</v>
      </c>
    </row>
    <row r="352" spans="1:15" hidden="1" x14ac:dyDescent="0.25">
      <c r="A352" s="2">
        <f t="shared" si="5"/>
        <v>350</v>
      </c>
      <c r="B352" s="7" t="s">
        <v>6146</v>
      </c>
      <c r="C352" s="7" t="s">
        <v>6147</v>
      </c>
      <c r="D352" s="7" t="s">
        <v>6146</v>
      </c>
      <c r="E352" s="7" t="s">
        <v>42</v>
      </c>
      <c r="F352" s="7" t="s">
        <v>6148</v>
      </c>
      <c r="G352" s="17" t="s">
        <v>7747</v>
      </c>
      <c r="H352" s="7" t="s">
        <v>28</v>
      </c>
      <c r="I352" s="7" t="s">
        <v>102</v>
      </c>
      <c r="J352" s="7" t="s">
        <v>103</v>
      </c>
      <c r="K352" s="7" t="s">
        <v>103</v>
      </c>
      <c r="L352" s="7" t="s">
        <v>121</v>
      </c>
      <c r="M352" s="7">
        <v>6.1586400000000001</v>
      </c>
      <c r="N352" s="7">
        <v>12.47822</v>
      </c>
      <c r="O352" s="7" t="s">
        <v>23</v>
      </c>
    </row>
    <row r="353" spans="1:15" hidden="1" x14ac:dyDescent="0.25">
      <c r="A353" s="2">
        <f t="shared" si="5"/>
        <v>351</v>
      </c>
      <c r="B353" s="7" t="s">
        <v>6149</v>
      </c>
      <c r="C353" s="7" t="s">
        <v>6150</v>
      </c>
      <c r="D353" s="7" t="s">
        <v>6149</v>
      </c>
      <c r="E353" s="7" t="s">
        <v>42</v>
      </c>
      <c r="F353" s="7" t="s">
        <v>6151</v>
      </c>
      <c r="G353" s="17" t="s">
        <v>7747</v>
      </c>
      <c r="H353" s="7" t="s">
        <v>28</v>
      </c>
      <c r="I353" s="7" t="s">
        <v>102</v>
      </c>
      <c r="J353" s="7" t="s">
        <v>103</v>
      </c>
      <c r="K353" s="7" t="s">
        <v>120</v>
      </c>
      <c r="L353" s="7" t="s">
        <v>121</v>
      </c>
      <c r="M353" s="7">
        <v>6.7180559999999998</v>
      </c>
      <c r="N353" s="7">
        <v>11.936389</v>
      </c>
      <c r="O353" s="7" t="s">
        <v>23</v>
      </c>
    </row>
    <row r="354" spans="1:15" hidden="1" x14ac:dyDescent="0.25">
      <c r="A354" s="2">
        <f t="shared" si="5"/>
        <v>352</v>
      </c>
      <c r="B354" s="7" t="s">
        <v>6164</v>
      </c>
      <c r="C354" s="7" t="s">
        <v>6165</v>
      </c>
      <c r="D354" s="7" t="s">
        <v>6164</v>
      </c>
      <c r="E354" s="7" t="s">
        <v>42</v>
      </c>
      <c r="F354" s="7" t="s">
        <v>6166</v>
      </c>
      <c r="G354" s="17" t="s">
        <v>7747</v>
      </c>
      <c r="H354" s="7" t="s">
        <v>28</v>
      </c>
      <c r="I354" s="7" t="s">
        <v>102</v>
      </c>
      <c r="J354" s="7" t="s">
        <v>103</v>
      </c>
      <c r="K354" s="7" t="s">
        <v>120</v>
      </c>
      <c r="L354" s="7" t="s">
        <v>121</v>
      </c>
      <c r="M354" s="7">
        <v>6.6026100000000003</v>
      </c>
      <c r="N354" s="7">
        <v>11.63467</v>
      </c>
      <c r="O354" s="7" t="s">
        <v>23</v>
      </c>
    </row>
    <row r="355" spans="1:15" hidden="1" x14ac:dyDescent="0.25">
      <c r="A355" s="2">
        <f t="shared" si="5"/>
        <v>353</v>
      </c>
      <c r="B355" s="7" t="s">
        <v>6181</v>
      </c>
      <c r="C355" s="7" t="s">
        <v>6182</v>
      </c>
      <c r="D355" s="7" t="s">
        <v>6181</v>
      </c>
      <c r="E355" s="7" t="s">
        <v>42</v>
      </c>
      <c r="F355" s="7" t="s">
        <v>6183</v>
      </c>
      <c r="G355" s="17" t="s">
        <v>7747</v>
      </c>
      <c r="H355" s="7" t="s">
        <v>28</v>
      </c>
      <c r="I355" s="7" t="s">
        <v>102</v>
      </c>
      <c r="J355" s="7" t="s">
        <v>103</v>
      </c>
      <c r="K355" s="7" t="s">
        <v>103</v>
      </c>
      <c r="L355" s="7" t="s">
        <v>121</v>
      </c>
      <c r="M355" s="7">
        <v>6.5324989999999996</v>
      </c>
      <c r="N355" s="7">
        <v>12.378031</v>
      </c>
      <c r="O355" s="7" t="s">
        <v>23</v>
      </c>
    </row>
    <row r="356" spans="1:15" x14ac:dyDescent="0.25">
      <c r="A356" s="2">
        <f t="shared" si="5"/>
        <v>354</v>
      </c>
      <c r="B356" s="7" t="s">
        <v>6203</v>
      </c>
      <c r="C356" s="7" t="s">
        <v>6204</v>
      </c>
      <c r="D356" s="7" t="s">
        <v>6203</v>
      </c>
      <c r="E356" s="7" t="s">
        <v>131</v>
      </c>
      <c r="F356" s="7" t="s">
        <v>6205</v>
      </c>
      <c r="G356" s="17" t="s">
        <v>7747</v>
      </c>
      <c r="H356" s="7" t="s">
        <v>19</v>
      </c>
      <c r="I356" s="7" t="s">
        <v>145</v>
      </c>
      <c r="J356" s="7" t="s">
        <v>5962</v>
      </c>
      <c r="K356" s="7" t="s">
        <v>5963</v>
      </c>
      <c r="L356" s="7" t="s">
        <v>121</v>
      </c>
      <c r="M356" s="7">
        <v>6.3443100000000001</v>
      </c>
      <c r="N356" s="7">
        <v>11.61402</v>
      </c>
      <c r="O356" s="7" t="s">
        <v>23</v>
      </c>
    </row>
    <row r="357" spans="1:15" x14ac:dyDescent="0.25">
      <c r="A357" s="2">
        <f t="shared" si="5"/>
        <v>355</v>
      </c>
      <c r="B357" s="7" t="s">
        <v>6209</v>
      </c>
      <c r="C357" s="7" t="s">
        <v>6210</v>
      </c>
      <c r="D357" s="7" t="s">
        <v>6209</v>
      </c>
      <c r="E357" s="7" t="s">
        <v>26</v>
      </c>
      <c r="F357" s="7" t="s">
        <v>6211</v>
      </c>
      <c r="G357" s="8" t="s">
        <v>18</v>
      </c>
      <c r="H357" s="7" t="s">
        <v>28</v>
      </c>
      <c r="I357" s="7" t="s">
        <v>114</v>
      </c>
      <c r="J357" s="7" t="s">
        <v>306</v>
      </c>
      <c r="K357" s="7" t="s">
        <v>307</v>
      </c>
      <c r="L357" s="7" t="s">
        <v>121</v>
      </c>
      <c r="M357" s="7">
        <v>6.4783730000000004</v>
      </c>
      <c r="N357" s="7">
        <v>11.063392</v>
      </c>
      <c r="O357" s="7" t="s">
        <v>23</v>
      </c>
    </row>
    <row r="358" spans="1:15" x14ac:dyDescent="0.25">
      <c r="A358" s="2">
        <f t="shared" si="5"/>
        <v>356</v>
      </c>
      <c r="B358" s="7" t="s">
        <v>6212</v>
      </c>
      <c r="C358" s="7" t="s">
        <v>6213</v>
      </c>
      <c r="D358" s="7" t="s">
        <v>6212</v>
      </c>
      <c r="E358" s="7" t="s">
        <v>26</v>
      </c>
      <c r="F358" s="7" t="s">
        <v>307</v>
      </c>
      <c r="G358" s="8" t="s">
        <v>18</v>
      </c>
      <c r="H358" s="7" t="s">
        <v>19</v>
      </c>
      <c r="I358" s="7" t="s">
        <v>114</v>
      </c>
      <c r="J358" s="7" t="s">
        <v>306</v>
      </c>
      <c r="K358" s="7" t="s">
        <v>307</v>
      </c>
      <c r="L358" s="7" t="s">
        <v>121</v>
      </c>
      <c r="M358" s="7">
        <v>6.4797500000000001</v>
      </c>
      <c r="N358" s="7">
        <v>11.063917</v>
      </c>
      <c r="O358" s="7" t="s">
        <v>23</v>
      </c>
    </row>
    <row r="359" spans="1:15" hidden="1" x14ac:dyDescent="0.25">
      <c r="A359" s="2">
        <f t="shared" si="5"/>
        <v>357</v>
      </c>
      <c r="B359" s="7" t="s">
        <v>6237</v>
      </c>
      <c r="C359" s="7" t="s">
        <v>6238</v>
      </c>
      <c r="D359" s="7" t="s">
        <v>6237</v>
      </c>
      <c r="E359" s="7" t="s">
        <v>182</v>
      </c>
      <c r="F359" s="7" t="s">
        <v>6239</v>
      </c>
      <c r="G359" s="17" t="s">
        <v>7747</v>
      </c>
      <c r="H359" s="7" t="s">
        <v>28</v>
      </c>
      <c r="I359" s="7" t="s">
        <v>374</v>
      </c>
      <c r="J359" s="7" t="s">
        <v>134</v>
      </c>
      <c r="K359" s="7" t="s">
        <v>383</v>
      </c>
      <c r="L359" s="7" t="s">
        <v>121</v>
      </c>
      <c r="M359" s="7">
        <v>5.7734310000000004</v>
      </c>
      <c r="N359" s="7">
        <v>12.405530000000001</v>
      </c>
      <c r="O359" s="7" t="s">
        <v>23</v>
      </c>
    </row>
    <row r="360" spans="1:15" hidden="1" x14ac:dyDescent="0.25">
      <c r="A360" s="2">
        <f t="shared" si="5"/>
        <v>358</v>
      </c>
      <c r="B360" s="7" t="s">
        <v>6313</v>
      </c>
      <c r="C360" s="7" t="s">
        <v>6314</v>
      </c>
      <c r="D360" s="7" t="s">
        <v>6313</v>
      </c>
      <c r="E360" s="7" t="s">
        <v>42</v>
      </c>
      <c r="F360" s="7" t="s">
        <v>6315</v>
      </c>
      <c r="G360" s="17" t="s">
        <v>7747</v>
      </c>
      <c r="H360" s="7" t="s">
        <v>28</v>
      </c>
      <c r="I360" s="7" t="s">
        <v>102</v>
      </c>
      <c r="J360" s="7" t="s">
        <v>103</v>
      </c>
      <c r="K360" s="7" t="s">
        <v>103</v>
      </c>
      <c r="L360" s="7" t="s">
        <v>121</v>
      </c>
      <c r="M360" s="7">
        <v>6.1638060000000001</v>
      </c>
      <c r="N360" s="7">
        <v>12.477805999999999</v>
      </c>
      <c r="O360" s="7" t="s">
        <v>23</v>
      </c>
    </row>
    <row r="361" spans="1:15" hidden="1" x14ac:dyDescent="0.25">
      <c r="A361" s="2">
        <f t="shared" si="5"/>
        <v>359</v>
      </c>
      <c r="B361" s="7" t="s">
        <v>6325</v>
      </c>
      <c r="C361" s="7" t="s">
        <v>6326</v>
      </c>
      <c r="D361" s="7" t="s">
        <v>6325</v>
      </c>
      <c r="E361" s="7" t="s">
        <v>42</v>
      </c>
      <c r="F361" s="7" t="s">
        <v>6327</v>
      </c>
      <c r="G361" s="17" t="s">
        <v>7747</v>
      </c>
      <c r="H361" s="7" t="s">
        <v>19</v>
      </c>
      <c r="I361" s="7" t="s">
        <v>102</v>
      </c>
      <c r="J361" s="7" t="s">
        <v>103</v>
      </c>
      <c r="K361" s="7" t="s">
        <v>120</v>
      </c>
      <c r="L361" s="7" t="s">
        <v>121</v>
      </c>
      <c r="M361" s="7">
        <v>6.6143770000000002</v>
      </c>
      <c r="N361" s="7">
        <v>12.167878</v>
      </c>
      <c r="O361" s="7" t="s">
        <v>23</v>
      </c>
    </row>
    <row r="362" spans="1:15" hidden="1" x14ac:dyDescent="0.25">
      <c r="A362" s="2">
        <f t="shared" si="5"/>
        <v>360</v>
      </c>
      <c r="B362" s="7" t="s">
        <v>6328</v>
      </c>
      <c r="C362" s="7" t="s">
        <v>6329</v>
      </c>
      <c r="D362" s="7" t="s">
        <v>6328</v>
      </c>
      <c r="E362" s="7" t="s">
        <v>42</v>
      </c>
      <c r="F362" s="7" t="s">
        <v>6330</v>
      </c>
      <c r="G362" s="17" t="s">
        <v>7747</v>
      </c>
      <c r="H362" s="7" t="s">
        <v>19</v>
      </c>
      <c r="I362" s="7" t="s">
        <v>102</v>
      </c>
      <c r="J362" s="7" t="s">
        <v>103</v>
      </c>
      <c r="K362" s="7" t="s">
        <v>120</v>
      </c>
      <c r="L362" s="7" t="s">
        <v>121</v>
      </c>
      <c r="M362" s="7">
        <v>6.60182</v>
      </c>
      <c r="N362" s="7">
        <v>12.171602999999999</v>
      </c>
      <c r="O362" s="7" t="s">
        <v>23</v>
      </c>
    </row>
    <row r="363" spans="1:15" x14ac:dyDescent="0.25">
      <c r="A363" s="2">
        <f t="shared" si="5"/>
        <v>361</v>
      </c>
      <c r="B363" s="7" t="s">
        <v>6331</v>
      </c>
      <c r="C363" s="7" t="s">
        <v>6332</v>
      </c>
      <c r="D363" s="7" t="s">
        <v>6331</v>
      </c>
      <c r="E363" s="7" t="s">
        <v>131</v>
      </c>
      <c r="F363" s="7" t="s">
        <v>6333</v>
      </c>
      <c r="G363" s="17" t="s">
        <v>7747</v>
      </c>
      <c r="H363" s="7" t="s">
        <v>19</v>
      </c>
      <c r="I363" s="7" t="s">
        <v>145</v>
      </c>
      <c r="J363" s="7" t="s">
        <v>5962</v>
      </c>
      <c r="K363" s="7" t="s">
        <v>5963</v>
      </c>
      <c r="L363" s="7" t="s">
        <v>121</v>
      </c>
      <c r="M363" s="7">
        <v>6.4118060000000003</v>
      </c>
      <c r="N363" s="7">
        <v>11.579611</v>
      </c>
      <c r="O363" s="7" t="s">
        <v>23</v>
      </c>
    </row>
    <row r="364" spans="1:15" hidden="1" x14ac:dyDescent="0.25">
      <c r="A364" s="2">
        <f t="shared" si="5"/>
        <v>362</v>
      </c>
      <c r="B364" s="7" t="s">
        <v>6355</v>
      </c>
      <c r="C364" s="7" t="s">
        <v>6356</v>
      </c>
      <c r="D364" s="7" t="s">
        <v>6355</v>
      </c>
      <c r="E364" s="7" t="s">
        <v>42</v>
      </c>
      <c r="F364" s="7" t="s">
        <v>6357</v>
      </c>
      <c r="G364" s="17" t="s">
        <v>7747</v>
      </c>
      <c r="H364" s="7" t="s">
        <v>28</v>
      </c>
      <c r="I364" s="7" t="s">
        <v>102</v>
      </c>
      <c r="J364" s="7" t="s">
        <v>103</v>
      </c>
      <c r="K364" s="7" t="s">
        <v>104</v>
      </c>
      <c r="L364" s="7" t="s">
        <v>121</v>
      </c>
      <c r="M364" s="7">
        <v>6.5778299999999996</v>
      </c>
      <c r="N364" s="7">
        <v>12.740572</v>
      </c>
      <c r="O364" s="7" t="s">
        <v>23</v>
      </c>
    </row>
    <row r="365" spans="1:15" hidden="1" x14ac:dyDescent="0.25">
      <c r="A365" s="2">
        <f t="shared" si="5"/>
        <v>363</v>
      </c>
      <c r="B365" s="7" t="s">
        <v>6444</v>
      </c>
      <c r="C365" s="7" t="s">
        <v>6445</v>
      </c>
      <c r="D365" s="7" t="s">
        <v>6444</v>
      </c>
      <c r="E365" s="7" t="s">
        <v>42</v>
      </c>
      <c r="F365" s="7" t="s">
        <v>6446</v>
      </c>
      <c r="G365" s="17" t="s">
        <v>7747</v>
      </c>
      <c r="H365" s="7" t="s">
        <v>28</v>
      </c>
      <c r="I365" s="7" t="s">
        <v>102</v>
      </c>
      <c r="J365" s="7" t="s">
        <v>103</v>
      </c>
      <c r="K365" s="7" t="s">
        <v>6447</v>
      </c>
      <c r="L365" s="7" t="s">
        <v>121</v>
      </c>
      <c r="M365" s="7">
        <v>7.090992</v>
      </c>
      <c r="N365" s="7">
        <v>12.476749</v>
      </c>
      <c r="O365" s="7" t="s">
        <v>23</v>
      </c>
    </row>
    <row r="366" spans="1:15" hidden="1" x14ac:dyDescent="0.25">
      <c r="A366" s="2">
        <f t="shared" si="5"/>
        <v>364</v>
      </c>
      <c r="B366" s="12" t="s">
        <v>6649</v>
      </c>
      <c r="C366" s="7" t="s">
        <v>6650</v>
      </c>
      <c r="D366" s="7" t="s">
        <v>6649</v>
      </c>
      <c r="E366" s="7" t="s">
        <v>42</v>
      </c>
      <c r="F366" s="7" t="s">
        <v>6651</v>
      </c>
      <c r="G366" s="17" t="s">
        <v>7747</v>
      </c>
      <c r="H366" s="7" t="s">
        <v>19</v>
      </c>
      <c r="I366" s="7" t="s">
        <v>102</v>
      </c>
      <c r="J366" s="7" t="s">
        <v>103</v>
      </c>
      <c r="K366" s="7" t="s">
        <v>103</v>
      </c>
      <c r="L366" s="7" t="s">
        <v>121</v>
      </c>
      <c r="M366" s="7">
        <v>6.4654299999999996</v>
      </c>
      <c r="N366" s="7">
        <v>12.62649</v>
      </c>
      <c r="O366" s="7" t="s">
        <v>23</v>
      </c>
    </row>
    <row r="367" spans="1:15" hidden="1" x14ac:dyDescent="0.25">
      <c r="A367" s="2">
        <f t="shared" si="5"/>
        <v>365</v>
      </c>
      <c r="B367" s="7" t="s">
        <v>6841</v>
      </c>
      <c r="C367" s="7" t="s">
        <v>6842</v>
      </c>
      <c r="D367" s="7" t="s">
        <v>6841</v>
      </c>
      <c r="E367" s="7" t="s">
        <v>42</v>
      </c>
      <c r="F367" s="7" t="s">
        <v>6843</v>
      </c>
      <c r="G367" s="17" t="s">
        <v>7747</v>
      </c>
      <c r="H367" s="7" t="s">
        <v>28</v>
      </c>
      <c r="I367" s="7" t="s">
        <v>102</v>
      </c>
      <c r="J367" s="7" t="s">
        <v>103</v>
      </c>
      <c r="K367" s="7" t="s">
        <v>103</v>
      </c>
      <c r="L367" s="7" t="s">
        <v>121</v>
      </c>
      <c r="M367" s="7">
        <v>6.5131139999999998</v>
      </c>
      <c r="N367" s="7">
        <v>12.478317000000001</v>
      </c>
      <c r="O367" s="7" t="s">
        <v>23</v>
      </c>
    </row>
    <row r="368" spans="1:15" hidden="1" x14ac:dyDescent="0.25">
      <c r="A368" s="2">
        <f t="shared" si="5"/>
        <v>366</v>
      </c>
      <c r="B368" s="7" t="s">
        <v>6844</v>
      </c>
      <c r="C368" s="7" t="s">
        <v>6845</v>
      </c>
      <c r="D368" s="7" t="s">
        <v>6844</v>
      </c>
      <c r="E368" s="7" t="s">
        <v>42</v>
      </c>
      <c r="F368" s="7" t="s">
        <v>6846</v>
      </c>
      <c r="G368" s="17" t="s">
        <v>7747</v>
      </c>
      <c r="H368" s="7" t="s">
        <v>28</v>
      </c>
      <c r="I368" s="7" t="s">
        <v>102</v>
      </c>
      <c r="J368" s="7" t="s">
        <v>103</v>
      </c>
      <c r="K368" s="7" t="s">
        <v>120</v>
      </c>
      <c r="L368" s="7" t="s">
        <v>121</v>
      </c>
      <c r="M368" s="7">
        <v>7.0679689999999997</v>
      </c>
      <c r="N368" s="7">
        <v>11.980188999999999</v>
      </c>
      <c r="O368" s="7" t="s">
        <v>23</v>
      </c>
    </row>
    <row r="369" spans="1:15" hidden="1" x14ac:dyDescent="0.25">
      <c r="A369" s="2">
        <f t="shared" si="5"/>
        <v>367</v>
      </c>
      <c r="B369" s="7" t="s">
        <v>7113</v>
      </c>
      <c r="C369" s="7" t="s">
        <v>7114</v>
      </c>
      <c r="D369" s="7" t="s">
        <v>7113</v>
      </c>
      <c r="E369" s="7" t="s">
        <v>42</v>
      </c>
      <c r="F369" s="7" t="s">
        <v>7115</v>
      </c>
      <c r="G369" s="17" t="s">
        <v>7747</v>
      </c>
      <c r="H369" s="7" t="s">
        <v>28</v>
      </c>
      <c r="I369" s="7" t="s">
        <v>102</v>
      </c>
      <c r="J369" s="7" t="s">
        <v>7116</v>
      </c>
      <c r="K369" s="7" t="s">
        <v>102</v>
      </c>
      <c r="L369" s="7" t="s">
        <v>121</v>
      </c>
      <c r="M369" s="7">
        <v>6.5259140000000002</v>
      </c>
      <c r="N369" s="7">
        <v>12.614929</v>
      </c>
      <c r="O369" s="7" t="s">
        <v>23</v>
      </c>
    </row>
    <row r="370" spans="1:15" hidden="1" x14ac:dyDescent="0.25">
      <c r="A370" s="2">
        <f t="shared" si="5"/>
        <v>368</v>
      </c>
      <c r="B370" s="7" t="s">
        <v>7189</v>
      </c>
      <c r="C370" s="7" t="s">
        <v>7190</v>
      </c>
      <c r="D370" s="7" t="s">
        <v>7189</v>
      </c>
      <c r="E370" s="7" t="s">
        <v>42</v>
      </c>
      <c r="F370" s="7" t="s">
        <v>7191</v>
      </c>
      <c r="G370" s="17" t="s">
        <v>7747</v>
      </c>
      <c r="H370" s="7" t="s">
        <v>28</v>
      </c>
      <c r="I370" s="7" t="s">
        <v>102</v>
      </c>
      <c r="J370" s="7" t="s">
        <v>7116</v>
      </c>
      <c r="K370" s="7" t="s">
        <v>102</v>
      </c>
      <c r="L370" s="7" t="s">
        <v>121</v>
      </c>
      <c r="M370" s="7">
        <v>6.5528015000000002</v>
      </c>
      <c r="N370" s="7">
        <v>12.3154298</v>
      </c>
      <c r="O370" s="7" t="s">
        <v>23</v>
      </c>
    </row>
    <row r="371" spans="1:15" hidden="1" x14ac:dyDescent="0.25">
      <c r="A371" s="2">
        <f t="shared" si="5"/>
        <v>369</v>
      </c>
      <c r="B371" s="7" t="s">
        <v>7205</v>
      </c>
      <c r="C371" s="7" t="s">
        <v>7206</v>
      </c>
      <c r="D371" s="7" t="s">
        <v>7205</v>
      </c>
      <c r="E371" s="7" t="s">
        <v>42</v>
      </c>
      <c r="F371" s="7" t="s">
        <v>7207</v>
      </c>
      <c r="G371" s="17" t="s">
        <v>7747</v>
      </c>
      <c r="H371" s="7" t="s">
        <v>28</v>
      </c>
      <c r="I371" s="7" t="s">
        <v>102</v>
      </c>
      <c r="J371" s="7" t="s">
        <v>7208</v>
      </c>
      <c r="K371" s="7" t="s">
        <v>121</v>
      </c>
      <c r="L371" s="7" t="s">
        <v>121</v>
      </c>
      <c r="M371" s="7">
        <v>6.7046390000000002</v>
      </c>
      <c r="N371" s="7">
        <v>11.91661</v>
      </c>
      <c r="O371" s="7" t="s">
        <v>23</v>
      </c>
    </row>
    <row r="372" spans="1:15" hidden="1" x14ac:dyDescent="0.25">
      <c r="A372" s="2">
        <f t="shared" si="5"/>
        <v>370</v>
      </c>
      <c r="B372" s="7" t="s">
        <v>7507</v>
      </c>
      <c r="C372" s="7" t="s">
        <v>7508</v>
      </c>
      <c r="D372" s="7" t="s">
        <v>7507</v>
      </c>
      <c r="E372" s="7" t="s">
        <v>42</v>
      </c>
      <c r="F372" s="7" t="s">
        <v>7509</v>
      </c>
      <c r="G372" s="17" t="s">
        <v>7747</v>
      </c>
      <c r="H372" s="7" t="s">
        <v>28</v>
      </c>
      <c r="I372" s="7" t="s">
        <v>102</v>
      </c>
      <c r="J372" s="7" t="s">
        <v>7510</v>
      </c>
      <c r="K372" s="7" t="s">
        <v>7511</v>
      </c>
      <c r="L372" s="7" t="s">
        <v>121</v>
      </c>
      <c r="M372" s="7">
        <v>6.755776</v>
      </c>
      <c r="N372" s="7">
        <v>11.822793000000001</v>
      </c>
      <c r="O372" s="7" t="s">
        <v>23</v>
      </c>
    </row>
    <row r="373" spans="1:15" x14ac:dyDescent="0.25">
      <c r="A373" s="2">
        <f t="shared" si="5"/>
        <v>371</v>
      </c>
      <c r="B373" s="7" t="s">
        <v>7523</v>
      </c>
      <c r="C373" s="7" t="s">
        <v>7524</v>
      </c>
      <c r="D373" s="7" t="s">
        <v>7523</v>
      </c>
      <c r="E373" s="7" t="s">
        <v>131</v>
      </c>
      <c r="F373" s="7" t="s">
        <v>7525</v>
      </c>
      <c r="G373" s="17" t="s">
        <v>7747</v>
      </c>
      <c r="H373" s="7" t="s">
        <v>28</v>
      </c>
      <c r="I373" s="7" t="s">
        <v>7526</v>
      </c>
      <c r="J373" s="7" t="s">
        <v>146</v>
      </c>
      <c r="K373" s="7" t="s">
        <v>147</v>
      </c>
      <c r="L373" s="7" t="s">
        <v>121</v>
      </c>
      <c r="M373" s="7">
        <v>6.0878300000000003</v>
      </c>
      <c r="N373" s="7">
        <v>11.498201999999999</v>
      </c>
      <c r="O373" s="7" t="s">
        <v>23</v>
      </c>
    </row>
    <row r="374" spans="1:15" hidden="1" x14ac:dyDescent="0.25">
      <c r="A374" s="2">
        <f t="shared" si="5"/>
        <v>372</v>
      </c>
      <c r="B374" s="7" t="s">
        <v>7669</v>
      </c>
      <c r="C374" s="7" t="s">
        <v>7670</v>
      </c>
      <c r="D374" s="7" t="s">
        <v>7669</v>
      </c>
      <c r="E374" s="7" t="s">
        <v>42</v>
      </c>
      <c r="F374" s="7" t="s">
        <v>7671</v>
      </c>
      <c r="G374" s="17" t="s">
        <v>7747</v>
      </c>
      <c r="H374" s="7" t="s">
        <v>28</v>
      </c>
      <c r="I374" s="7" t="s">
        <v>102</v>
      </c>
      <c r="J374" s="7" t="s">
        <v>103</v>
      </c>
      <c r="K374" s="7" t="s">
        <v>103</v>
      </c>
      <c r="L374" s="7" t="s">
        <v>121</v>
      </c>
      <c r="M374" s="10">
        <v>6.4719610000000003</v>
      </c>
      <c r="N374" s="10">
        <v>12.623745</v>
      </c>
      <c r="O374" s="7" t="s">
        <v>23</v>
      </c>
    </row>
    <row r="375" spans="1:15" hidden="1" x14ac:dyDescent="0.25">
      <c r="A375" s="2">
        <f t="shared" si="5"/>
        <v>373</v>
      </c>
      <c r="B375" s="7" t="s">
        <v>7706</v>
      </c>
      <c r="C375" s="7" t="s">
        <v>7707</v>
      </c>
      <c r="D375" s="7" t="s">
        <v>7706</v>
      </c>
      <c r="E375" s="7" t="s">
        <v>42</v>
      </c>
      <c r="F375" s="11" t="s">
        <v>7708</v>
      </c>
      <c r="G375" s="17" t="s">
        <v>7747</v>
      </c>
      <c r="H375" s="7" t="s">
        <v>28</v>
      </c>
      <c r="I375" s="7"/>
      <c r="J375" s="7" t="s">
        <v>7709</v>
      </c>
      <c r="K375" s="7" t="s">
        <v>6447</v>
      </c>
      <c r="L375" s="7" t="s">
        <v>121</v>
      </c>
      <c r="M375" s="12">
        <v>7.0979530000000004</v>
      </c>
      <c r="N375" s="12">
        <v>12.473915</v>
      </c>
      <c r="O375" s="7" t="s">
        <v>23</v>
      </c>
    </row>
    <row r="376" spans="1:15" hidden="1" x14ac:dyDescent="0.25">
      <c r="A376" s="2">
        <f t="shared" si="5"/>
        <v>374</v>
      </c>
      <c r="B376" s="7" t="s">
        <v>72</v>
      </c>
      <c r="C376" s="7" t="s">
        <v>73</v>
      </c>
      <c r="D376" s="7" t="s">
        <v>72</v>
      </c>
      <c r="E376" s="7" t="s">
        <v>74</v>
      </c>
      <c r="F376" s="7" t="s">
        <v>75</v>
      </c>
      <c r="G376" s="17" t="s">
        <v>7747</v>
      </c>
      <c r="H376" s="7" t="s">
        <v>28</v>
      </c>
      <c r="I376" s="7" t="s">
        <v>76</v>
      </c>
      <c r="J376" s="7" t="s">
        <v>77</v>
      </c>
      <c r="K376" s="7" t="s">
        <v>78</v>
      </c>
      <c r="L376" s="7" t="s">
        <v>79</v>
      </c>
      <c r="M376" s="7">
        <v>5.1848270000000003</v>
      </c>
      <c r="N376" s="7">
        <v>14.000816</v>
      </c>
      <c r="O376" s="7" t="s">
        <v>23</v>
      </c>
    </row>
    <row r="377" spans="1:15" hidden="1" x14ac:dyDescent="0.25">
      <c r="A377" s="2">
        <f t="shared" si="5"/>
        <v>375</v>
      </c>
      <c r="B377" s="7" t="s">
        <v>210</v>
      </c>
      <c r="C377" s="7" t="s">
        <v>211</v>
      </c>
      <c r="D377" s="7" t="s">
        <v>210</v>
      </c>
      <c r="E377" s="7" t="s">
        <v>74</v>
      </c>
      <c r="F377" s="7" t="s">
        <v>212</v>
      </c>
      <c r="G377" s="17" t="s">
        <v>7747</v>
      </c>
      <c r="H377" s="7" t="s">
        <v>28</v>
      </c>
      <c r="I377" s="7" t="s">
        <v>213</v>
      </c>
      <c r="J377" s="7" t="s">
        <v>214</v>
      </c>
      <c r="K377" s="7" t="s">
        <v>215</v>
      </c>
      <c r="L377" s="7" t="s">
        <v>79</v>
      </c>
      <c r="M377" s="7">
        <v>3.7863699999999998</v>
      </c>
      <c r="N377" s="7">
        <v>14.993912</v>
      </c>
      <c r="O377" s="7" t="s">
        <v>23</v>
      </c>
    </row>
    <row r="378" spans="1:15" hidden="1" x14ac:dyDescent="0.25">
      <c r="A378" s="2">
        <f t="shared" si="5"/>
        <v>376</v>
      </c>
      <c r="B378" s="7" t="s">
        <v>216</v>
      </c>
      <c r="C378" s="7" t="s">
        <v>217</v>
      </c>
      <c r="D378" s="7" t="s">
        <v>216</v>
      </c>
      <c r="E378" s="7" t="s">
        <v>74</v>
      </c>
      <c r="F378" s="7" t="s">
        <v>218</v>
      </c>
      <c r="G378" s="17" t="s">
        <v>7747</v>
      </c>
      <c r="H378" s="7" t="s">
        <v>28</v>
      </c>
      <c r="I378" s="7" t="s">
        <v>213</v>
      </c>
      <c r="J378" s="7" t="s">
        <v>214</v>
      </c>
      <c r="K378" s="7" t="s">
        <v>219</v>
      </c>
      <c r="L378" s="7" t="s">
        <v>79</v>
      </c>
      <c r="M378" s="7">
        <v>2.6364169999999998</v>
      </c>
      <c r="N378" s="7">
        <v>15.368528</v>
      </c>
      <c r="O378" s="7" t="s">
        <v>23</v>
      </c>
    </row>
    <row r="379" spans="1:15" hidden="1" x14ac:dyDescent="0.25">
      <c r="A379" s="2">
        <f t="shared" si="5"/>
        <v>377</v>
      </c>
      <c r="B379" s="7" t="s">
        <v>260</v>
      </c>
      <c r="C379" s="7" t="s">
        <v>261</v>
      </c>
      <c r="D379" s="7" t="s">
        <v>260</v>
      </c>
      <c r="E379" s="7" t="s">
        <v>74</v>
      </c>
      <c r="F379" s="7" t="s">
        <v>262</v>
      </c>
      <c r="G379" s="17" t="s">
        <v>7747</v>
      </c>
      <c r="H379" s="7" t="s">
        <v>28</v>
      </c>
      <c r="I379" s="7" t="s">
        <v>263</v>
      </c>
      <c r="J379" s="7" t="s">
        <v>264</v>
      </c>
      <c r="K379" s="7" t="s">
        <v>265</v>
      </c>
      <c r="L379" s="7" t="s">
        <v>79</v>
      </c>
      <c r="M379" s="7">
        <v>5.19977</v>
      </c>
      <c r="N379" s="7">
        <v>14.555227</v>
      </c>
      <c r="O379" s="7" t="s">
        <v>23</v>
      </c>
    </row>
    <row r="380" spans="1:15" hidden="1" x14ac:dyDescent="0.25">
      <c r="A380" s="2">
        <f t="shared" si="5"/>
        <v>378</v>
      </c>
      <c r="B380" s="7" t="s">
        <v>478</v>
      </c>
      <c r="C380" s="7" t="s">
        <v>479</v>
      </c>
      <c r="D380" s="7" t="s">
        <v>478</v>
      </c>
      <c r="E380" s="7" t="s">
        <v>74</v>
      </c>
      <c r="F380" s="7" t="s">
        <v>480</v>
      </c>
      <c r="G380" s="17" t="s">
        <v>7747</v>
      </c>
      <c r="H380" s="7" t="s">
        <v>28</v>
      </c>
      <c r="I380" s="7" t="s">
        <v>481</v>
      </c>
      <c r="J380" s="7" t="s">
        <v>298</v>
      </c>
      <c r="K380" s="7" t="s">
        <v>480</v>
      </c>
      <c r="L380" s="7" t="s">
        <v>79</v>
      </c>
      <c r="M380" s="7">
        <v>4.5658950000000003</v>
      </c>
      <c r="N380" s="7">
        <v>12.831797</v>
      </c>
      <c r="O380" s="7" t="s">
        <v>23</v>
      </c>
    </row>
    <row r="381" spans="1:15" hidden="1" x14ac:dyDescent="0.25">
      <c r="A381" s="2">
        <f t="shared" si="5"/>
        <v>379</v>
      </c>
      <c r="B381" s="7" t="s">
        <v>486</v>
      </c>
      <c r="C381" s="7" t="s">
        <v>487</v>
      </c>
      <c r="D381" s="7" t="s">
        <v>486</v>
      </c>
      <c r="E381" s="7" t="s">
        <v>74</v>
      </c>
      <c r="F381" s="7" t="s">
        <v>488</v>
      </c>
      <c r="G381" s="17" t="s">
        <v>7747</v>
      </c>
      <c r="H381" s="7" t="s">
        <v>28</v>
      </c>
      <c r="I381" s="7" t="s">
        <v>263</v>
      </c>
      <c r="J381" s="7" t="s">
        <v>264</v>
      </c>
      <c r="K381" s="7" t="s">
        <v>489</v>
      </c>
      <c r="L381" s="7" t="s">
        <v>79</v>
      </c>
      <c r="M381" s="7">
        <v>4.1020000000000003</v>
      </c>
      <c r="N381" s="7">
        <v>14.574638999999999</v>
      </c>
      <c r="O381" s="7" t="s">
        <v>23</v>
      </c>
    </row>
    <row r="382" spans="1:15" hidden="1" x14ac:dyDescent="0.25">
      <c r="A382" s="2">
        <f t="shared" si="5"/>
        <v>380</v>
      </c>
      <c r="B382" s="7" t="s">
        <v>498</v>
      </c>
      <c r="C382" s="7" t="s">
        <v>499</v>
      </c>
      <c r="D382" s="7" t="s">
        <v>498</v>
      </c>
      <c r="E382" s="7" t="s">
        <v>250</v>
      </c>
      <c r="F382" s="7" t="s">
        <v>500</v>
      </c>
      <c r="G382" s="17" t="s">
        <v>7747</v>
      </c>
      <c r="H382" s="7" t="s">
        <v>28</v>
      </c>
      <c r="I382" s="7" t="s">
        <v>252</v>
      </c>
      <c r="J382" s="7" t="s">
        <v>253</v>
      </c>
      <c r="K382" s="7" t="s">
        <v>501</v>
      </c>
      <c r="L382" s="7" t="s">
        <v>79</v>
      </c>
      <c r="M382" s="7">
        <v>2.6893099999999999</v>
      </c>
      <c r="N382" s="7">
        <v>13.18544</v>
      </c>
      <c r="O382" s="7" t="s">
        <v>23</v>
      </c>
    </row>
    <row r="383" spans="1:15" hidden="1" x14ac:dyDescent="0.25">
      <c r="A383" s="2">
        <f t="shared" si="5"/>
        <v>381</v>
      </c>
      <c r="B383" s="7" t="s">
        <v>564</v>
      </c>
      <c r="C383" s="7" t="s">
        <v>565</v>
      </c>
      <c r="D383" s="7" t="s">
        <v>564</v>
      </c>
      <c r="E383" s="7" t="s">
        <v>74</v>
      </c>
      <c r="F383" s="7" t="s">
        <v>566</v>
      </c>
      <c r="G383" s="17" t="s">
        <v>7747</v>
      </c>
      <c r="H383" s="7" t="s">
        <v>28</v>
      </c>
      <c r="I383" s="7" t="s">
        <v>567</v>
      </c>
      <c r="J383" s="7" t="s">
        <v>568</v>
      </c>
      <c r="K383" s="7" t="s">
        <v>569</v>
      </c>
      <c r="L383" s="7" t="s">
        <v>79</v>
      </c>
      <c r="M383" s="7">
        <v>4.0102909999999996</v>
      </c>
      <c r="N383" s="7">
        <v>13.004276000000001</v>
      </c>
      <c r="O383" s="7" t="s">
        <v>23</v>
      </c>
    </row>
    <row r="384" spans="1:15" hidden="1" x14ac:dyDescent="0.25">
      <c r="A384" s="2">
        <f t="shared" si="5"/>
        <v>382</v>
      </c>
      <c r="B384" s="7" t="s">
        <v>636</v>
      </c>
      <c r="C384" s="7" t="s">
        <v>637</v>
      </c>
      <c r="D384" s="7" t="s">
        <v>636</v>
      </c>
      <c r="E384" s="7" t="s">
        <v>74</v>
      </c>
      <c r="F384" s="7" t="s">
        <v>638</v>
      </c>
      <c r="G384" s="17" t="s">
        <v>7747</v>
      </c>
      <c r="H384" s="7" t="s">
        <v>28</v>
      </c>
      <c r="I384" s="7" t="s">
        <v>79</v>
      </c>
      <c r="J384" s="7" t="s">
        <v>77</v>
      </c>
      <c r="K384" s="7" t="s">
        <v>639</v>
      </c>
      <c r="L384" s="7" t="s">
        <v>79</v>
      </c>
      <c r="M384" s="7">
        <v>4.4727499999999996</v>
      </c>
      <c r="N384" s="7">
        <v>13.620556000000001</v>
      </c>
      <c r="O384" s="7" t="s">
        <v>23</v>
      </c>
    </row>
    <row r="385" spans="1:15" hidden="1" x14ac:dyDescent="0.25">
      <c r="A385" s="2">
        <f t="shared" si="5"/>
        <v>383</v>
      </c>
      <c r="B385" s="7" t="s">
        <v>682</v>
      </c>
      <c r="C385" s="7" t="s">
        <v>683</v>
      </c>
      <c r="D385" s="7" t="s">
        <v>682</v>
      </c>
      <c r="E385" s="7" t="s">
        <v>74</v>
      </c>
      <c r="F385" s="7" t="s">
        <v>684</v>
      </c>
      <c r="G385" s="17" t="s">
        <v>7747</v>
      </c>
      <c r="H385" s="7" t="s">
        <v>28</v>
      </c>
      <c r="I385" s="7" t="s">
        <v>567</v>
      </c>
      <c r="J385" s="7" t="s">
        <v>568</v>
      </c>
      <c r="K385" s="7" t="s">
        <v>685</v>
      </c>
      <c r="L385" s="7" t="s">
        <v>79</v>
      </c>
      <c r="M385" s="7">
        <v>4.3124719999999996</v>
      </c>
      <c r="N385" s="7">
        <v>13.507417</v>
      </c>
      <c r="O385" s="7" t="s">
        <v>23</v>
      </c>
    </row>
    <row r="386" spans="1:15" hidden="1" x14ac:dyDescent="0.25">
      <c r="A386" s="2">
        <f t="shared" si="5"/>
        <v>384</v>
      </c>
      <c r="B386" s="7" t="s">
        <v>689</v>
      </c>
      <c r="C386" s="7" t="s">
        <v>690</v>
      </c>
      <c r="D386" s="7" t="s">
        <v>689</v>
      </c>
      <c r="E386" s="7" t="s">
        <v>74</v>
      </c>
      <c r="F386" s="7" t="s">
        <v>691</v>
      </c>
      <c r="G386" s="17" t="s">
        <v>7747</v>
      </c>
      <c r="H386" s="7" t="s">
        <v>28</v>
      </c>
      <c r="I386" s="7" t="s">
        <v>79</v>
      </c>
      <c r="J386" s="7" t="s">
        <v>77</v>
      </c>
      <c r="K386" s="7" t="s">
        <v>692</v>
      </c>
      <c r="L386" s="7" t="s">
        <v>79</v>
      </c>
      <c r="M386" s="7">
        <v>4.6361619999999997</v>
      </c>
      <c r="N386" s="7">
        <v>13.778363000000001</v>
      </c>
      <c r="O386" s="7" t="s">
        <v>23</v>
      </c>
    </row>
    <row r="387" spans="1:15" hidden="1" x14ac:dyDescent="0.25">
      <c r="A387" s="2">
        <f t="shared" si="5"/>
        <v>385</v>
      </c>
      <c r="B387" s="7" t="s">
        <v>707</v>
      </c>
      <c r="C387" s="7" t="s">
        <v>708</v>
      </c>
      <c r="D387" s="7" t="s">
        <v>707</v>
      </c>
      <c r="E387" s="7" t="s">
        <v>74</v>
      </c>
      <c r="F387" s="7" t="s">
        <v>709</v>
      </c>
      <c r="G387" s="17" t="s">
        <v>7747</v>
      </c>
      <c r="H387" s="7" t="s">
        <v>28</v>
      </c>
      <c r="I387" s="7" t="s">
        <v>213</v>
      </c>
      <c r="J387" s="7" t="s">
        <v>710</v>
      </c>
      <c r="K387" s="7" t="s">
        <v>711</v>
      </c>
      <c r="L387" s="7" t="s">
        <v>79</v>
      </c>
      <c r="M387" s="7">
        <v>2.2778999999999998</v>
      </c>
      <c r="N387" s="7">
        <v>15.34802</v>
      </c>
      <c r="O387" s="7" t="s">
        <v>23</v>
      </c>
    </row>
    <row r="388" spans="1:15" hidden="1" x14ac:dyDescent="0.25">
      <c r="A388" s="2">
        <f t="shared" si="5"/>
        <v>386</v>
      </c>
      <c r="B388" s="7" t="s">
        <v>744</v>
      </c>
      <c r="C388" s="7" t="s">
        <v>745</v>
      </c>
      <c r="D388" s="7" t="s">
        <v>744</v>
      </c>
      <c r="E388" s="7" t="s">
        <v>74</v>
      </c>
      <c r="F388" s="7" t="s">
        <v>78</v>
      </c>
      <c r="G388" s="17" t="s">
        <v>7747</v>
      </c>
      <c r="H388" s="7" t="s">
        <v>28</v>
      </c>
      <c r="I388" s="7" t="s">
        <v>76</v>
      </c>
      <c r="J388" s="7" t="s">
        <v>77</v>
      </c>
      <c r="K388" s="7" t="s">
        <v>78</v>
      </c>
      <c r="L388" s="7" t="s">
        <v>79</v>
      </c>
      <c r="M388" s="7">
        <v>4.884315</v>
      </c>
      <c r="N388" s="7">
        <v>14.241692</v>
      </c>
      <c r="O388" s="7" t="s">
        <v>23</v>
      </c>
    </row>
    <row r="389" spans="1:15" hidden="1" x14ac:dyDescent="0.25">
      <c r="A389" s="2">
        <f t="shared" ref="A389:A452" si="6">+A388+1</f>
        <v>387</v>
      </c>
      <c r="B389" s="7" t="s">
        <v>749</v>
      </c>
      <c r="C389" s="7" t="s">
        <v>750</v>
      </c>
      <c r="D389" s="7" t="s">
        <v>749</v>
      </c>
      <c r="E389" s="7" t="s">
        <v>74</v>
      </c>
      <c r="F389" s="7" t="s">
        <v>751</v>
      </c>
      <c r="G389" s="17" t="s">
        <v>7747</v>
      </c>
      <c r="H389" s="7" t="s">
        <v>28</v>
      </c>
      <c r="I389" s="7" t="s">
        <v>263</v>
      </c>
      <c r="J389" s="7" t="s">
        <v>264</v>
      </c>
      <c r="K389" s="7" t="s">
        <v>265</v>
      </c>
      <c r="L389" s="7" t="s">
        <v>79</v>
      </c>
      <c r="M389" s="7">
        <v>4.6994179999999997</v>
      </c>
      <c r="N389" s="7">
        <v>14.709052</v>
      </c>
      <c r="O389" s="7" t="s">
        <v>23</v>
      </c>
    </row>
    <row r="390" spans="1:15" hidden="1" x14ac:dyDescent="0.25">
      <c r="A390" s="2">
        <f t="shared" si="6"/>
        <v>388</v>
      </c>
      <c r="B390" s="7" t="s">
        <v>860</v>
      </c>
      <c r="C390" s="7" t="s">
        <v>861</v>
      </c>
      <c r="D390" s="7" t="s">
        <v>860</v>
      </c>
      <c r="E390" s="7" t="s">
        <v>74</v>
      </c>
      <c r="F390" s="7" t="s">
        <v>862</v>
      </c>
      <c r="G390" s="17" t="s">
        <v>7747</v>
      </c>
      <c r="H390" s="7" t="s">
        <v>28</v>
      </c>
      <c r="I390" s="7" t="s">
        <v>567</v>
      </c>
      <c r="J390" s="7" t="s">
        <v>568</v>
      </c>
      <c r="K390" s="7" t="s">
        <v>863</v>
      </c>
      <c r="L390" s="7" t="s">
        <v>79</v>
      </c>
      <c r="M390" s="7">
        <v>4.3394630000000003</v>
      </c>
      <c r="N390" s="7">
        <v>13.103797</v>
      </c>
      <c r="O390" s="7" t="s">
        <v>23</v>
      </c>
    </row>
    <row r="391" spans="1:15" hidden="1" x14ac:dyDescent="0.25">
      <c r="A391" s="2">
        <f t="shared" si="6"/>
        <v>389</v>
      </c>
      <c r="B391" s="7" t="s">
        <v>901</v>
      </c>
      <c r="C391" s="7" t="s">
        <v>902</v>
      </c>
      <c r="D391" s="7" t="s">
        <v>901</v>
      </c>
      <c r="E391" s="7" t="s">
        <v>74</v>
      </c>
      <c r="F391" s="7" t="s">
        <v>903</v>
      </c>
      <c r="G391" s="17" t="s">
        <v>7747</v>
      </c>
      <c r="H391" s="7" t="s">
        <v>28</v>
      </c>
      <c r="I391" s="7" t="s">
        <v>79</v>
      </c>
      <c r="J391" s="7" t="s">
        <v>904</v>
      </c>
      <c r="K391" s="7" t="s">
        <v>905</v>
      </c>
      <c r="L391" s="7" t="s">
        <v>79</v>
      </c>
      <c r="M391" s="7">
        <v>5.1926670000000001</v>
      </c>
      <c r="N391" s="7">
        <v>13.525722</v>
      </c>
      <c r="O391" s="7" t="s">
        <v>23</v>
      </c>
    </row>
    <row r="392" spans="1:15" hidden="1" x14ac:dyDescent="0.25">
      <c r="A392" s="2">
        <f t="shared" si="6"/>
        <v>390</v>
      </c>
      <c r="B392" s="7" t="s">
        <v>940</v>
      </c>
      <c r="C392" s="7" t="s">
        <v>941</v>
      </c>
      <c r="D392" s="7" t="s">
        <v>940</v>
      </c>
      <c r="E392" s="7" t="s">
        <v>74</v>
      </c>
      <c r="F392" s="7" t="s">
        <v>942</v>
      </c>
      <c r="G392" s="17" t="s">
        <v>7747</v>
      </c>
      <c r="H392" s="7" t="s">
        <v>28</v>
      </c>
      <c r="I392" s="7" t="s">
        <v>263</v>
      </c>
      <c r="J392" s="7" t="s">
        <v>943</v>
      </c>
      <c r="K392" s="7" t="s">
        <v>944</v>
      </c>
      <c r="L392" s="7" t="s">
        <v>79</v>
      </c>
      <c r="M392" s="7">
        <v>4.711417</v>
      </c>
      <c r="N392" s="7">
        <v>14.592556</v>
      </c>
      <c r="O392" s="7" t="s">
        <v>23</v>
      </c>
    </row>
    <row r="393" spans="1:15" hidden="1" x14ac:dyDescent="0.25">
      <c r="A393" s="2">
        <f t="shared" si="6"/>
        <v>391</v>
      </c>
      <c r="B393" s="7" t="s">
        <v>986</v>
      </c>
      <c r="C393" s="7" t="s">
        <v>987</v>
      </c>
      <c r="D393" s="7" t="s">
        <v>986</v>
      </c>
      <c r="E393" s="7" t="s">
        <v>74</v>
      </c>
      <c r="F393" s="7" t="s">
        <v>988</v>
      </c>
      <c r="G393" s="17" t="s">
        <v>7747</v>
      </c>
      <c r="H393" s="7" t="s">
        <v>28</v>
      </c>
      <c r="I393" s="7" t="s">
        <v>481</v>
      </c>
      <c r="J393" s="7" t="s">
        <v>298</v>
      </c>
      <c r="K393" s="7" t="s">
        <v>989</v>
      </c>
      <c r="L393" s="7" t="s">
        <v>79</v>
      </c>
      <c r="M393" s="7">
        <v>4.8650739999999999</v>
      </c>
      <c r="N393" s="7">
        <v>12.835894</v>
      </c>
      <c r="O393" s="7" t="s">
        <v>23</v>
      </c>
    </row>
    <row r="394" spans="1:15" hidden="1" x14ac:dyDescent="0.25">
      <c r="A394" s="2">
        <f t="shared" si="6"/>
        <v>392</v>
      </c>
      <c r="B394" s="7" t="s">
        <v>1299</v>
      </c>
      <c r="C394" s="7" t="s">
        <v>1300</v>
      </c>
      <c r="D394" s="7" t="s">
        <v>1299</v>
      </c>
      <c r="E394" s="7" t="s">
        <v>74</v>
      </c>
      <c r="F394" s="7" t="s">
        <v>1301</v>
      </c>
      <c r="G394" s="17" t="s">
        <v>7747</v>
      </c>
      <c r="H394" s="7" t="s">
        <v>28</v>
      </c>
      <c r="I394" s="7" t="s">
        <v>79</v>
      </c>
      <c r="J394" s="7" t="s">
        <v>77</v>
      </c>
      <c r="K394" s="7" t="s">
        <v>1302</v>
      </c>
      <c r="L394" s="7" t="s">
        <v>79</v>
      </c>
      <c r="M394" s="7">
        <v>4.5829120000000003</v>
      </c>
      <c r="N394" s="7">
        <v>13.681293</v>
      </c>
      <c r="O394" s="7" t="s">
        <v>23</v>
      </c>
    </row>
    <row r="395" spans="1:15" hidden="1" x14ac:dyDescent="0.25">
      <c r="A395" s="2">
        <f t="shared" si="6"/>
        <v>393</v>
      </c>
      <c r="B395" s="7" t="s">
        <v>1338</v>
      </c>
      <c r="C395" s="7" t="s">
        <v>1339</v>
      </c>
      <c r="D395" s="7" t="s">
        <v>1338</v>
      </c>
      <c r="E395" s="7" t="s">
        <v>74</v>
      </c>
      <c r="F395" s="7" t="s">
        <v>1340</v>
      </c>
      <c r="G395" s="17" t="s">
        <v>7747</v>
      </c>
      <c r="H395" s="7" t="s">
        <v>28</v>
      </c>
      <c r="I395" s="7" t="s">
        <v>79</v>
      </c>
      <c r="J395" s="7" t="s">
        <v>1341</v>
      </c>
      <c r="K395" s="7" t="s">
        <v>639</v>
      </c>
      <c r="L395" s="7" t="s">
        <v>79</v>
      </c>
      <c r="M395" s="7">
        <v>4.5831090000000003</v>
      </c>
      <c r="N395" s="7">
        <v>13.669368</v>
      </c>
      <c r="O395" s="7" t="s">
        <v>23</v>
      </c>
    </row>
    <row r="396" spans="1:15" hidden="1" x14ac:dyDescent="0.25">
      <c r="A396" s="2">
        <f t="shared" si="6"/>
        <v>394</v>
      </c>
      <c r="B396" s="7" t="s">
        <v>1412</v>
      </c>
      <c r="C396" s="7" t="s">
        <v>1413</v>
      </c>
      <c r="D396" s="7" t="s">
        <v>1412</v>
      </c>
      <c r="E396" s="7" t="s">
        <v>74</v>
      </c>
      <c r="F396" s="7" t="s">
        <v>1414</v>
      </c>
      <c r="G396" s="17" t="s">
        <v>7747</v>
      </c>
      <c r="H396" s="7" t="s">
        <v>28</v>
      </c>
      <c r="I396" s="7" t="s">
        <v>79</v>
      </c>
      <c r="J396" s="7" t="s">
        <v>77</v>
      </c>
      <c r="K396" s="7" t="s">
        <v>1415</v>
      </c>
      <c r="L396" s="7" t="s">
        <v>79</v>
      </c>
      <c r="M396" s="7">
        <v>4.5874870000000003</v>
      </c>
      <c r="N396" s="7">
        <v>13.727865</v>
      </c>
      <c r="O396" s="7" t="s">
        <v>23</v>
      </c>
    </row>
    <row r="397" spans="1:15" hidden="1" x14ac:dyDescent="0.25">
      <c r="A397" s="2">
        <f t="shared" si="6"/>
        <v>395</v>
      </c>
      <c r="B397" s="7" t="s">
        <v>1419</v>
      </c>
      <c r="C397" s="7" t="s">
        <v>1420</v>
      </c>
      <c r="D397" s="7" t="s">
        <v>1419</v>
      </c>
      <c r="E397" s="7" t="s">
        <v>74</v>
      </c>
      <c r="F397" s="7" t="s">
        <v>1421</v>
      </c>
      <c r="G397" s="17" t="s">
        <v>7747</v>
      </c>
      <c r="H397" s="7" t="s">
        <v>28</v>
      </c>
      <c r="I397" s="7" t="s">
        <v>567</v>
      </c>
      <c r="J397" s="7" t="s">
        <v>568</v>
      </c>
      <c r="K397" s="7" t="s">
        <v>569</v>
      </c>
      <c r="L397" s="7" t="s">
        <v>79</v>
      </c>
      <c r="M397" s="7">
        <v>4.0113029999999998</v>
      </c>
      <c r="N397" s="7">
        <v>13.183552000000001</v>
      </c>
      <c r="O397" s="7" t="s">
        <v>23</v>
      </c>
    </row>
    <row r="398" spans="1:15" hidden="1" x14ac:dyDescent="0.25">
      <c r="A398" s="2">
        <f t="shared" si="6"/>
        <v>396</v>
      </c>
      <c r="B398" s="7" t="s">
        <v>1442</v>
      </c>
      <c r="C398" s="7" t="s">
        <v>1443</v>
      </c>
      <c r="D398" s="7" t="s">
        <v>1442</v>
      </c>
      <c r="E398" s="7" t="s">
        <v>74</v>
      </c>
      <c r="F398" s="7" t="s">
        <v>1444</v>
      </c>
      <c r="G398" s="17" t="s">
        <v>7747</v>
      </c>
      <c r="H398" s="7" t="s">
        <v>28</v>
      </c>
      <c r="I398" s="7" t="s">
        <v>79</v>
      </c>
      <c r="J398" s="7" t="s">
        <v>77</v>
      </c>
      <c r="K398" s="7" t="s">
        <v>639</v>
      </c>
      <c r="L398" s="7" t="s">
        <v>79</v>
      </c>
      <c r="M398" s="7">
        <v>4.5628099999999998</v>
      </c>
      <c r="N398" s="7">
        <v>13.65113</v>
      </c>
      <c r="O398" s="7" t="s">
        <v>23</v>
      </c>
    </row>
    <row r="399" spans="1:15" hidden="1" x14ac:dyDescent="0.25">
      <c r="A399" s="2">
        <f t="shared" si="6"/>
        <v>397</v>
      </c>
      <c r="B399" s="7" t="s">
        <v>1665</v>
      </c>
      <c r="C399" s="7" t="s">
        <v>1666</v>
      </c>
      <c r="D399" s="7" t="s">
        <v>1665</v>
      </c>
      <c r="E399" s="7" t="s">
        <v>74</v>
      </c>
      <c r="F399" s="7" t="s">
        <v>1667</v>
      </c>
      <c r="G399" s="17" t="s">
        <v>7747</v>
      </c>
      <c r="H399" s="7" t="s">
        <v>28</v>
      </c>
      <c r="I399" s="7" t="s">
        <v>481</v>
      </c>
      <c r="J399" s="7" t="s">
        <v>298</v>
      </c>
      <c r="K399" s="7" t="s">
        <v>480</v>
      </c>
      <c r="L399" s="7" t="s">
        <v>79</v>
      </c>
      <c r="M399" s="7">
        <v>4.6094330000000001</v>
      </c>
      <c r="N399" s="7">
        <v>13.130236999999999</v>
      </c>
      <c r="O399" s="7" t="s">
        <v>23</v>
      </c>
    </row>
    <row r="400" spans="1:15" hidden="1" x14ac:dyDescent="0.25">
      <c r="A400" s="2">
        <f t="shared" si="6"/>
        <v>398</v>
      </c>
      <c r="B400" s="7" t="s">
        <v>1775</v>
      </c>
      <c r="C400" s="7" t="s">
        <v>1776</v>
      </c>
      <c r="D400" s="7" t="s">
        <v>1775</v>
      </c>
      <c r="E400" s="7" t="s">
        <v>74</v>
      </c>
      <c r="F400" s="7" t="s">
        <v>1777</v>
      </c>
      <c r="G400" s="17" t="s">
        <v>7747</v>
      </c>
      <c r="H400" s="7" t="s">
        <v>28</v>
      </c>
      <c r="I400" s="7" t="s">
        <v>213</v>
      </c>
      <c r="J400" s="7" t="s">
        <v>1778</v>
      </c>
      <c r="K400" s="7" t="s">
        <v>1779</v>
      </c>
      <c r="L400" s="7" t="s">
        <v>79</v>
      </c>
      <c r="M400" s="7">
        <v>3.5266000000000002</v>
      </c>
      <c r="N400" s="7">
        <v>15.0512</v>
      </c>
      <c r="O400" s="7" t="s">
        <v>23</v>
      </c>
    </row>
    <row r="401" spans="1:15" hidden="1" x14ac:dyDescent="0.25">
      <c r="A401" s="2">
        <f t="shared" si="6"/>
        <v>399</v>
      </c>
      <c r="B401" s="7" t="s">
        <v>1897</v>
      </c>
      <c r="C401" s="7" t="s">
        <v>1898</v>
      </c>
      <c r="D401" s="7" t="s">
        <v>1897</v>
      </c>
      <c r="E401" s="7" t="s">
        <v>74</v>
      </c>
      <c r="F401" s="7" t="s">
        <v>1899</v>
      </c>
      <c r="G401" s="17" t="s">
        <v>7747</v>
      </c>
      <c r="H401" s="7" t="s">
        <v>19</v>
      </c>
      <c r="I401" s="7" t="s">
        <v>213</v>
      </c>
      <c r="J401" s="7" t="s">
        <v>214</v>
      </c>
      <c r="K401" s="7" t="s">
        <v>219</v>
      </c>
      <c r="L401" s="7" t="s">
        <v>79</v>
      </c>
      <c r="M401" s="7">
        <v>2.6892299999999998</v>
      </c>
      <c r="N401" s="7">
        <v>15.4604</v>
      </c>
      <c r="O401" s="7" t="s">
        <v>23</v>
      </c>
    </row>
    <row r="402" spans="1:15" hidden="1" x14ac:dyDescent="0.25">
      <c r="A402" s="2">
        <f t="shared" si="6"/>
        <v>400</v>
      </c>
      <c r="B402" s="7" t="s">
        <v>1934</v>
      </c>
      <c r="C402" s="7" t="s">
        <v>1935</v>
      </c>
      <c r="D402" s="7" t="s">
        <v>1934</v>
      </c>
      <c r="E402" s="7" t="s">
        <v>74</v>
      </c>
      <c r="F402" s="7" t="s">
        <v>1936</v>
      </c>
      <c r="G402" s="17" t="s">
        <v>7747</v>
      </c>
      <c r="H402" s="7" t="s">
        <v>28</v>
      </c>
      <c r="I402" s="7" t="s">
        <v>79</v>
      </c>
      <c r="J402" s="7" t="s">
        <v>1937</v>
      </c>
      <c r="K402" s="7" t="s">
        <v>1415</v>
      </c>
      <c r="L402" s="7" t="s">
        <v>79</v>
      </c>
      <c r="M402" s="7">
        <v>4.5047819999999996</v>
      </c>
      <c r="N402" s="7">
        <v>13.977182000000001</v>
      </c>
      <c r="O402" s="7" t="s">
        <v>23</v>
      </c>
    </row>
    <row r="403" spans="1:15" hidden="1" x14ac:dyDescent="0.25">
      <c r="A403" s="2">
        <f t="shared" si="6"/>
        <v>401</v>
      </c>
      <c r="B403" s="7" t="s">
        <v>1970</v>
      </c>
      <c r="C403" s="7" t="s">
        <v>1971</v>
      </c>
      <c r="D403" s="7" t="s">
        <v>1970</v>
      </c>
      <c r="E403" s="7" t="s">
        <v>74</v>
      </c>
      <c r="F403" s="7" t="s">
        <v>1972</v>
      </c>
      <c r="G403" s="17" t="s">
        <v>7747</v>
      </c>
      <c r="H403" s="7" t="s">
        <v>28</v>
      </c>
      <c r="I403" s="7" t="s">
        <v>79</v>
      </c>
      <c r="J403" s="7" t="s">
        <v>77</v>
      </c>
      <c r="K403" s="7" t="s">
        <v>1302</v>
      </c>
      <c r="L403" s="7" t="s">
        <v>79</v>
      </c>
      <c r="M403" s="7">
        <v>4.5628820000000001</v>
      </c>
      <c r="N403" s="7">
        <v>13.696778</v>
      </c>
      <c r="O403" s="7" t="s">
        <v>23</v>
      </c>
    </row>
    <row r="404" spans="1:15" hidden="1" x14ac:dyDescent="0.25">
      <c r="A404" s="2">
        <f t="shared" si="6"/>
        <v>402</v>
      </c>
      <c r="B404" s="7" t="s">
        <v>1979</v>
      </c>
      <c r="C404" s="7" t="s">
        <v>1980</v>
      </c>
      <c r="D404" s="7" t="s">
        <v>1979</v>
      </c>
      <c r="E404" s="7" t="s">
        <v>74</v>
      </c>
      <c r="F404" s="7" t="s">
        <v>1981</v>
      </c>
      <c r="G404" s="17" t="s">
        <v>7747</v>
      </c>
      <c r="H404" s="7" t="s">
        <v>28</v>
      </c>
      <c r="I404" s="7" t="s">
        <v>567</v>
      </c>
      <c r="J404" s="7" t="s">
        <v>568</v>
      </c>
      <c r="K404" s="7" t="s">
        <v>569</v>
      </c>
      <c r="L404" s="7" t="s">
        <v>79</v>
      </c>
      <c r="M404" s="7">
        <v>4.010872</v>
      </c>
      <c r="N404" s="7">
        <v>13.063677</v>
      </c>
      <c r="O404" s="7" t="s">
        <v>23</v>
      </c>
    </row>
    <row r="405" spans="1:15" hidden="1" x14ac:dyDescent="0.25">
      <c r="A405" s="2">
        <f t="shared" si="6"/>
        <v>403</v>
      </c>
      <c r="B405" s="7" t="s">
        <v>1985</v>
      </c>
      <c r="C405" s="7" t="s">
        <v>1986</v>
      </c>
      <c r="D405" s="7" t="s">
        <v>1985</v>
      </c>
      <c r="E405" s="7" t="s">
        <v>182</v>
      </c>
      <c r="F405" s="7" t="s">
        <v>1987</v>
      </c>
      <c r="G405" s="17" t="s">
        <v>7747</v>
      </c>
      <c r="H405" s="7" t="s">
        <v>19</v>
      </c>
      <c r="I405" s="7" t="s">
        <v>817</v>
      </c>
      <c r="J405" s="7" t="s">
        <v>568</v>
      </c>
      <c r="K405" s="7" t="s">
        <v>1988</v>
      </c>
      <c r="L405" s="7" t="s">
        <v>79</v>
      </c>
      <c r="M405" s="7">
        <v>3.9936180000000001</v>
      </c>
      <c r="N405" s="7">
        <v>12.775784</v>
      </c>
      <c r="O405" s="7" t="s">
        <v>23</v>
      </c>
    </row>
    <row r="406" spans="1:15" hidden="1" x14ac:dyDescent="0.25">
      <c r="A406" s="2">
        <f t="shared" si="6"/>
        <v>404</v>
      </c>
      <c r="B406" s="7" t="s">
        <v>2017</v>
      </c>
      <c r="C406" s="7" t="s">
        <v>2018</v>
      </c>
      <c r="D406" s="7" t="s">
        <v>2017</v>
      </c>
      <c r="E406" s="7" t="s">
        <v>74</v>
      </c>
      <c r="F406" s="7" t="s">
        <v>2019</v>
      </c>
      <c r="G406" s="17" t="s">
        <v>7747</v>
      </c>
      <c r="H406" s="7" t="s">
        <v>19</v>
      </c>
      <c r="I406" s="7" t="s">
        <v>263</v>
      </c>
      <c r="J406" s="7" t="s">
        <v>1937</v>
      </c>
      <c r="K406" s="7" t="s">
        <v>2020</v>
      </c>
      <c r="L406" s="7" t="s">
        <v>79</v>
      </c>
      <c r="M406" s="7">
        <v>4.4625700000000004</v>
      </c>
      <c r="N406" s="7">
        <v>14.141220000000001</v>
      </c>
      <c r="O406" s="7" t="s">
        <v>23</v>
      </c>
    </row>
    <row r="407" spans="1:15" hidden="1" x14ac:dyDescent="0.25">
      <c r="A407" s="2">
        <f t="shared" si="6"/>
        <v>405</v>
      </c>
      <c r="B407" s="7" t="s">
        <v>2148</v>
      </c>
      <c r="C407" s="7" t="s">
        <v>2149</v>
      </c>
      <c r="D407" s="7" t="s">
        <v>2148</v>
      </c>
      <c r="E407" s="7" t="s">
        <v>74</v>
      </c>
      <c r="F407" s="7" t="s">
        <v>2150</v>
      </c>
      <c r="G407" s="17" t="s">
        <v>7747</v>
      </c>
      <c r="H407" s="7" t="s">
        <v>19</v>
      </c>
      <c r="I407" s="7" t="s">
        <v>263</v>
      </c>
      <c r="J407" s="7" t="s">
        <v>1778</v>
      </c>
      <c r="K407" s="7" t="s">
        <v>2020</v>
      </c>
      <c r="L407" s="7" t="s">
        <v>79</v>
      </c>
      <c r="M407" s="7">
        <v>4.4371400000000003</v>
      </c>
      <c r="N407" s="7">
        <v>14.36679</v>
      </c>
      <c r="O407" s="7" t="s">
        <v>23</v>
      </c>
    </row>
    <row r="408" spans="1:15" hidden="1" x14ac:dyDescent="0.25">
      <c r="A408" s="2">
        <f t="shared" si="6"/>
        <v>406</v>
      </c>
      <c r="B408" s="7" t="s">
        <v>2294</v>
      </c>
      <c r="C408" s="7" t="s">
        <v>2295</v>
      </c>
      <c r="D408" s="7" t="s">
        <v>2294</v>
      </c>
      <c r="E408" s="7" t="s">
        <v>74</v>
      </c>
      <c r="F408" s="7" t="s">
        <v>2296</v>
      </c>
      <c r="G408" s="17" t="s">
        <v>7747</v>
      </c>
      <c r="H408" s="7" t="s">
        <v>28</v>
      </c>
      <c r="I408" s="7" t="s">
        <v>79</v>
      </c>
      <c r="J408" s="7" t="s">
        <v>77</v>
      </c>
      <c r="K408" s="7" t="s">
        <v>1302</v>
      </c>
      <c r="L408" s="7" t="s">
        <v>79</v>
      </c>
      <c r="M408" s="7">
        <v>4.5953499999999998</v>
      </c>
      <c r="N408" s="7">
        <v>13.683579999999999</v>
      </c>
      <c r="O408" s="7" t="s">
        <v>23</v>
      </c>
    </row>
    <row r="409" spans="1:15" hidden="1" x14ac:dyDescent="0.25">
      <c r="A409" s="2">
        <f t="shared" si="6"/>
        <v>407</v>
      </c>
      <c r="B409" s="7" t="s">
        <v>2313</v>
      </c>
      <c r="C409" s="7" t="s">
        <v>2314</v>
      </c>
      <c r="D409" s="7" t="s">
        <v>2313</v>
      </c>
      <c r="E409" s="7" t="s">
        <v>74</v>
      </c>
      <c r="F409" s="7" t="s">
        <v>2315</v>
      </c>
      <c r="G409" s="17" t="s">
        <v>7747</v>
      </c>
      <c r="H409" s="7" t="s">
        <v>28</v>
      </c>
      <c r="I409" s="7" t="s">
        <v>567</v>
      </c>
      <c r="J409" s="7" t="s">
        <v>568</v>
      </c>
      <c r="K409" s="7" t="s">
        <v>569</v>
      </c>
      <c r="L409" s="7" t="s">
        <v>79</v>
      </c>
      <c r="M409" s="7">
        <v>4.012194</v>
      </c>
      <c r="N409" s="7">
        <v>13.102888999999999</v>
      </c>
      <c r="O409" s="7" t="s">
        <v>23</v>
      </c>
    </row>
    <row r="410" spans="1:15" hidden="1" x14ac:dyDescent="0.25">
      <c r="A410" s="2">
        <f t="shared" si="6"/>
        <v>408</v>
      </c>
      <c r="B410" s="7" t="s">
        <v>2762</v>
      </c>
      <c r="C410" s="7" t="s">
        <v>2763</v>
      </c>
      <c r="D410" s="7" t="s">
        <v>2762</v>
      </c>
      <c r="E410" s="7" t="s">
        <v>74</v>
      </c>
      <c r="F410" s="7" t="s">
        <v>2764</v>
      </c>
      <c r="G410" s="17" t="s">
        <v>7747</v>
      </c>
      <c r="H410" s="7" t="s">
        <v>28</v>
      </c>
      <c r="I410" s="7" t="s">
        <v>79</v>
      </c>
      <c r="J410" s="7" t="s">
        <v>904</v>
      </c>
      <c r="K410" s="7" t="s">
        <v>1302</v>
      </c>
      <c r="L410" s="7" t="s">
        <v>79</v>
      </c>
      <c r="M410" s="7">
        <v>4.582255</v>
      </c>
      <c r="N410" s="7">
        <v>13.742837</v>
      </c>
      <c r="O410" s="7" t="s">
        <v>23</v>
      </c>
    </row>
    <row r="411" spans="1:15" hidden="1" x14ac:dyDescent="0.25">
      <c r="A411" s="2">
        <f t="shared" si="6"/>
        <v>409</v>
      </c>
      <c r="B411" s="7" t="s">
        <v>2779</v>
      </c>
      <c r="C411" s="7" t="s">
        <v>2780</v>
      </c>
      <c r="D411" s="7" t="s">
        <v>2779</v>
      </c>
      <c r="E411" s="7" t="s">
        <v>74</v>
      </c>
      <c r="F411" s="7" t="s">
        <v>2781</v>
      </c>
      <c r="G411" s="17" t="s">
        <v>7747</v>
      </c>
      <c r="H411" s="7" t="s">
        <v>28</v>
      </c>
      <c r="I411" s="7" t="s">
        <v>567</v>
      </c>
      <c r="J411" s="7" t="s">
        <v>568</v>
      </c>
      <c r="K411" s="7" t="s">
        <v>2782</v>
      </c>
      <c r="L411" s="7" t="s">
        <v>79</v>
      </c>
      <c r="M411" s="7">
        <v>4.2061640000000002</v>
      </c>
      <c r="N411" s="7">
        <v>13.399851</v>
      </c>
      <c r="O411" s="7" t="s">
        <v>23</v>
      </c>
    </row>
    <row r="412" spans="1:15" hidden="1" x14ac:dyDescent="0.25">
      <c r="A412" s="2">
        <f t="shared" si="6"/>
        <v>410</v>
      </c>
      <c r="B412" s="7" t="s">
        <v>2811</v>
      </c>
      <c r="C412" s="7" t="s">
        <v>2812</v>
      </c>
      <c r="D412" s="7" t="s">
        <v>2811</v>
      </c>
      <c r="E412" s="7" t="s">
        <v>74</v>
      </c>
      <c r="F412" s="7" t="s">
        <v>2813</v>
      </c>
      <c r="G412" s="17" t="s">
        <v>7747</v>
      </c>
      <c r="H412" s="7" t="s">
        <v>19</v>
      </c>
      <c r="I412" s="7" t="s">
        <v>79</v>
      </c>
      <c r="J412" s="7" t="s">
        <v>77</v>
      </c>
      <c r="K412" s="7" t="s">
        <v>905</v>
      </c>
      <c r="L412" s="7" t="s">
        <v>79</v>
      </c>
      <c r="M412" s="7">
        <v>4.8370329999999999</v>
      </c>
      <c r="N412" s="7">
        <v>13.35773</v>
      </c>
      <c r="O412" s="7" t="s">
        <v>23</v>
      </c>
    </row>
    <row r="413" spans="1:15" hidden="1" x14ac:dyDescent="0.25">
      <c r="A413" s="2">
        <f t="shared" si="6"/>
        <v>411</v>
      </c>
      <c r="B413" s="7" t="s">
        <v>2814</v>
      </c>
      <c r="C413" s="7" t="s">
        <v>2815</v>
      </c>
      <c r="D413" s="7" t="s">
        <v>2814</v>
      </c>
      <c r="E413" s="7" t="s">
        <v>74</v>
      </c>
      <c r="F413" s="7" t="s">
        <v>2816</v>
      </c>
      <c r="G413" s="17" t="s">
        <v>7747</v>
      </c>
      <c r="H413" s="7" t="s">
        <v>19</v>
      </c>
      <c r="I413" s="7" t="s">
        <v>79</v>
      </c>
      <c r="J413" s="7" t="s">
        <v>77</v>
      </c>
      <c r="K413" s="7" t="s">
        <v>2817</v>
      </c>
      <c r="L413" s="7" t="s">
        <v>79</v>
      </c>
      <c r="M413" s="7">
        <v>4.5702220000000002</v>
      </c>
      <c r="N413" s="7">
        <v>13.435889</v>
      </c>
      <c r="O413" s="7" t="s">
        <v>23</v>
      </c>
    </row>
    <row r="414" spans="1:15" hidden="1" x14ac:dyDescent="0.25">
      <c r="A414" s="2">
        <f t="shared" si="6"/>
        <v>412</v>
      </c>
      <c r="B414" s="7" t="s">
        <v>2914</v>
      </c>
      <c r="C414" s="7" t="s">
        <v>2915</v>
      </c>
      <c r="D414" s="7" t="s">
        <v>2914</v>
      </c>
      <c r="E414" s="7" t="s">
        <v>74</v>
      </c>
      <c r="F414" s="7" t="s">
        <v>2916</v>
      </c>
      <c r="G414" s="17" t="s">
        <v>7747</v>
      </c>
      <c r="H414" s="7" t="s">
        <v>19</v>
      </c>
      <c r="I414" s="7" t="s">
        <v>567</v>
      </c>
      <c r="J414" s="7" t="s">
        <v>568</v>
      </c>
      <c r="K414" s="7" t="s">
        <v>2782</v>
      </c>
      <c r="L414" s="7" t="s">
        <v>79</v>
      </c>
      <c r="M414" s="7">
        <v>4.2421899999999999</v>
      </c>
      <c r="N414" s="7">
        <v>13.453965</v>
      </c>
      <c r="O414" s="7" t="s">
        <v>23</v>
      </c>
    </row>
    <row r="415" spans="1:15" hidden="1" x14ac:dyDescent="0.25">
      <c r="A415" s="2">
        <f t="shared" si="6"/>
        <v>413</v>
      </c>
      <c r="B415" s="7" t="s">
        <v>2965</v>
      </c>
      <c r="C415" s="7" t="s">
        <v>2966</v>
      </c>
      <c r="D415" s="7" t="s">
        <v>2965</v>
      </c>
      <c r="E415" s="7" t="s">
        <v>74</v>
      </c>
      <c r="F415" s="7" t="s">
        <v>2967</v>
      </c>
      <c r="G415" s="17" t="s">
        <v>7747</v>
      </c>
      <c r="H415" s="7" t="s">
        <v>28</v>
      </c>
      <c r="I415" s="7" t="s">
        <v>79</v>
      </c>
      <c r="J415" s="7" t="s">
        <v>2968</v>
      </c>
      <c r="K415" s="7" t="s">
        <v>639</v>
      </c>
      <c r="L415" s="7" t="s">
        <v>79</v>
      </c>
      <c r="M415" s="7">
        <v>4.5722699999999996</v>
      </c>
      <c r="N415" s="7">
        <v>13.6678</v>
      </c>
      <c r="O415" s="7" t="s">
        <v>23</v>
      </c>
    </row>
    <row r="416" spans="1:15" hidden="1" x14ac:dyDescent="0.25">
      <c r="A416" s="2">
        <f t="shared" si="6"/>
        <v>414</v>
      </c>
      <c r="B416" s="7" t="s">
        <v>3031</v>
      </c>
      <c r="C416" s="7" t="s">
        <v>3032</v>
      </c>
      <c r="D416" s="7" t="s">
        <v>3031</v>
      </c>
      <c r="E416" s="7" t="s">
        <v>74</v>
      </c>
      <c r="F416" s="7" t="s">
        <v>3033</v>
      </c>
      <c r="G416" s="17" t="s">
        <v>7747</v>
      </c>
      <c r="H416" s="7" t="s">
        <v>19</v>
      </c>
      <c r="I416" s="7" t="s">
        <v>79</v>
      </c>
      <c r="J416" s="7" t="s">
        <v>77</v>
      </c>
      <c r="K416" s="7" t="s">
        <v>1302</v>
      </c>
      <c r="L416" s="7" t="s">
        <v>79</v>
      </c>
      <c r="M416" s="7">
        <v>4.5804140000000002</v>
      </c>
      <c r="N416" s="7">
        <v>13.709025</v>
      </c>
      <c r="O416" s="7" t="s">
        <v>23</v>
      </c>
    </row>
    <row r="417" spans="1:15" hidden="1" x14ac:dyDescent="0.25">
      <c r="A417" s="2">
        <f t="shared" si="6"/>
        <v>415</v>
      </c>
      <c r="B417" s="7" t="s">
        <v>3081</v>
      </c>
      <c r="C417" s="7" t="s">
        <v>3082</v>
      </c>
      <c r="D417" s="7" t="s">
        <v>3081</v>
      </c>
      <c r="E417" s="7" t="s">
        <v>74</v>
      </c>
      <c r="F417" s="7" t="s">
        <v>3083</v>
      </c>
      <c r="G417" s="17" t="s">
        <v>7747</v>
      </c>
      <c r="H417" s="7" t="s">
        <v>28</v>
      </c>
      <c r="I417" s="7" t="s">
        <v>79</v>
      </c>
      <c r="J417" s="7" t="s">
        <v>77</v>
      </c>
      <c r="K417" s="7" t="s">
        <v>639</v>
      </c>
      <c r="L417" s="7" t="s">
        <v>79</v>
      </c>
      <c r="M417" s="7">
        <v>4.5667499999999999</v>
      </c>
      <c r="N417" s="7">
        <v>13.650083</v>
      </c>
      <c r="O417" s="7" t="s">
        <v>613</v>
      </c>
    </row>
    <row r="418" spans="1:15" hidden="1" x14ac:dyDescent="0.25">
      <c r="A418" s="2">
        <f t="shared" si="6"/>
        <v>416</v>
      </c>
      <c r="B418" s="7" t="s">
        <v>3242</v>
      </c>
      <c r="C418" s="7" t="s">
        <v>3243</v>
      </c>
      <c r="D418" s="7" t="s">
        <v>3242</v>
      </c>
      <c r="E418" s="7" t="s">
        <v>74</v>
      </c>
      <c r="F418" s="7" t="s">
        <v>692</v>
      </c>
      <c r="G418" s="17" t="s">
        <v>7747</v>
      </c>
      <c r="H418" s="7" t="s">
        <v>28</v>
      </c>
      <c r="I418" s="7" t="s">
        <v>79</v>
      </c>
      <c r="J418" s="7" t="s">
        <v>77</v>
      </c>
      <c r="K418" s="7" t="s">
        <v>1415</v>
      </c>
      <c r="L418" s="7" t="s">
        <v>79</v>
      </c>
      <c r="M418" s="7">
        <v>4.5951389999999996</v>
      </c>
      <c r="N418" s="7">
        <v>13.741220999999999</v>
      </c>
      <c r="O418" s="7" t="s">
        <v>23</v>
      </c>
    </row>
    <row r="419" spans="1:15" hidden="1" x14ac:dyDescent="0.25">
      <c r="A419" s="2">
        <f t="shared" si="6"/>
        <v>417</v>
      </c>
      <c r="B419" s="7" t="s">
        <v>3244</v>
      </c>
      <c r="C419" s="7" t="s">
        <v>3245</v>
      </c>
      <c r="D419" s="7" t="s">
        <v>3244</v>
      </c>
      <c r="E419" s="7" t="s">
        <v>74</v>
      </c>
      <c r="F419" s="7" t="s">
        <v>3246</v>
      </c>
      <c r="G419" s="17" t="s">
        <v>7747</v>
      </c>
      <c r="H419" s="7" t="s">
        <v>28</v>
      </c>
      <c r="I419" s="7" t="s">
        <v>79</v>
      </c>
      <c r="J419" s="7" t="s">
        <v>2968</v>
      </c>
      <c r="K419" s="7" t="s">
        <v>639</v>
      </c>
      <c r="L419" s="7" t="s">
        <v>79</v>
      </c>
      <c r="M419" s="7">
        <v>4.5940760000000003</v>
      </c>
      <c r="N419" s="7">
        <v>13.671739000000001</v>
      </c>
      <c r="O419" s="7" t="s">
        <v>23</v>
      </c>
    </row>
    <row r="420" spans="1:15" hidden="1" x14ac:dyDescent="0.25">
      <c r="A420" s="2">
        <f t="shared" si="6"/>
        <v>418</v>
      </c>
      <c r="B420" s="7" t="s">
        <v>3347</v>
      </c>
      <c r="C420" s="7" t="s">
        <v>3348</v>
      </c>
      <c r="D420" s="7" t="s">
        <v>3347</v>
      </c>
      <c r="E420" s="7" t="s">
        <v>74</v>
      </c>
      <c r="F420" s="7" t="s">
        <v>3349</v>
      </c>
      <c r="G420" s="17" t="s">
        <v>7747</v>
      </c>
      <c r="H420" s="7" t="s">
        <v>19</v>
      </c>
      <c r="I420" s="7" t="s">
        <v>79</v>
      </c>
      <c r="J420" s="7" t="s">
        <v>77</v>
      </c>
      <c r="K420" s="7" t="s">
        <v>905</v>
      </c>
      <c r="L420" s="7" t="s">
        <v>79</v>
      </c>
      <c r="M420" s="7">
        <v>4.9085299999999998</v>
      </c>
      <c r="N420" s="7">
        <v>13.298385</v>
      </c>
      <c r="O420" s="7" t="s">
        <v>23</v>
      </c>
    </row>
    <row r="421" spans="1:15" hidden="1" x14ac:dyDescent="0.25">
      <c r="A421" s="2">
        <f t="shared" si="6"/>
        <v>419</v>
      </c>
      <c r="B421" s="7" t="s">
        <v>3403</v>
      </c>
      <c r="C421" s="7" t="s">
        <v>3404</v>
      </c>
      <c r="D421" s="7" t="s">
        <v>3403</v>
      </c>
      <c r="E421" s="7" t="s">
        <v>74</v>
      </c>
      <c r="F421" s="7" t="s">
        <v>3405</v>
      </c>
      <c r="G421" s="17" t="s">
        <v>7747</v>
      </c>
      <c r="H421" s="7" t="s">
        <v>28</v>
      </c>
      <c r="I421" s="7" t="s">
        <v>79</v>
      </c>
      <c r="J421" s="7" t="s">
        <v>77</v>
      </c>
      <c r="K421" s="7" t="s">
        <v>1302</v>
      </c>
      <c r="L421" s="7" t="s">
        <v>79</v>
      </c>
      <c r="M421" s="7">
        <v>4.5694999999999997</v>
      </c>
      <c r="N421" s="7">
        <v>13.702833</v>
      </c>
      <c r="O421" s="7" t="s">
        <v>23</v>
      </c>
    </row>
    <row r="422" spans="1:15" hidden="1" x14ac:dyDescent="0.25">
      <c r="A422" s="2">
        <f t="shared" si="6"/>
        <v>420</v>
      </c>
      <c r="B422" s="7" t="s">
        <v>3468</v>
      </c>
      <c r="C422" s="7" t="s">
        <v>3469</v>
      </c>
      <c r="D422" s="7" t="s">
        <v>3468</v>
      </c>
      <c r="E422" s="7" t="s">
        <v>74</v>
      </c>
      <c r="F422" s="7" t="s">
        <v>2916</v>
      </c>
      <c r="G422" s="17" t="s">
        <v>7747</v>
      </c>
      <c r="H422" s="7" t="s">
        <v>19</v>
      </c>
      <c r="I422" s="7" t="s">
        <v>567</v>
      </c>
      <c r="J422" s="7" t="s">
        <v>568</v>
      </c>
      <c r="K422" s="7" t="s">
        <v>2782</v>
      </c>
      <c r="L422" s="7" t="s">
        <v>79</v>
      </c>
      <c r="M422" s="7">
        <v>4.2455080000000001</v>
      </c>
      <c r="N422" s="7">
        <v>13.436278</v>
      </c>
      <c r="O422" s="7" t="s">
        <v>23</v>
      </c>
    </row>
    <row r="423" spans="1:15" hidden="1" x14ac:dyDescent="0.25">
      <c r="A423" s="2">
        <f t="shared" si="6"/>
        <v>421</v>
      </c>
      <c r="B423" s="7" t="s">
        <v>3476</v>
      </c>
      <c r="C423" s="7" t="s">
        <v>3477</v>
      </c>
      <c r="D423" s="7" t="s">
        <v>3476</v>
      </c>
      <c r="E423" s="7" t="s">
        <v>74</v>
      </c>
      <c r="F423" s="7" t="s">
        <v>3478</v>
      </c>
      <c r="G423" s="17" t="s">
        <v>7747</v>
      </c>
      <c r="H423" s="7" t="s">
        <v>19</v>
      </c>
      <c r="I423" s="7" t="s">
        <v>79</v>
      </c>
      <c r="J423" s="7" t="s">
        <v>77</v>
      </c>
      <c r="K423" s="7" t="s">
        <v>1302</v>
      </c>
      <c r="L423" s="7" t="s">
        <v>79</v>
      </c>
      <c r="M423" s="7">
        <v>4.5748699999999998</v>
      </c>
      <c r="N423" s="7">
        <v>13.68188</v>
      </c>
      <c r="O423" s="7" t="s">
        <v>613</v>
      </c>
    </row>
    <row r="424" spans="1:15" hidden="1" x14ac:dyDescent="0.25">
      <c r="A424" s="2">
        <f t="shared" si="6"/>
        <v>422</v>
      </c>
      <c r="B424" s="7" t="s">
        <v>3850</v>
      </c>
      <c r="C424" s="7" t="s">
        <v>3851</v>
      </c>
      <c r="D424" s="7" t="s">
        <v>3850</v>
      </c>
      <c r="E424" s="7" t="s">
        <v>74</v>
      </c>
      <c r="F424" s="7" t="s">
        <v>3852</v>
      </c>
      <c r="G424" s="17" t="s">
        <v>7747</v>
      </c>
      <c r="H424" s="7" t="s">
        <v>28</v>
      </c>
      <c r="I424" s="7" t="s">
        <v>79</v>
      </c>
      <c r="J424" s="7" t="s">
        <v>77</v>
      </c>
      <c r="K424" s="7" t="s">
        <v>3853</v>
      </c>
      <c r="L424" s="7" t="s">
        <v>79</v>
      </c>
      <c r="M424" s="7">
        <v>4.5658269999999996</v>
      </c>
      <c r="N424" s="7">
        <v>13.681137</v>
      </c>
      <c r="O424" s="7" t="s">
        <v>23</v>
      </c>
    </row>
    <row r="425" spans="1:15" hidden="1" x14ac:dyDescent="0.25">
      <c r="A425" s="2">
        <f t="shared" si="6"/>
        <v>423</v>
      </c>
      <c r="B425" s="7" t="s">
        <v>3917</v>
      </c>
      <c r="C425" s="7" t="s">
        <v>3918</v>
      </c>
      <c r="D425" s="7" t="s">
        <v>3917</v>
      </c>
      <c r="E425" s="7" t="s">
        <v>74</v>
      </c>
      <c r="F425" s="7" t="s">
        <v>3919</v>
      </c>
      <c r="G425" s="17" t="s">
        <v>7747</v>
      </c>
      <c r="H425" s="7" t="s">
        <v>28</v>
      </c>
      <c r="I425" s="7" t="s">
        <v>79</v>
      </c>
      <c r="J425" s="7" t="s">
        <v>904</v>
      </c>
      <c r="K425" s="7" t="s">
        <v>1302</v>
      </c>
      <c r="L425" s="7" t="s">
        <v>79</v>
      </c>
      <c r="M425" s="7">
        <v>4.5842749999999999</v>
      </c>
      <c r="N425" s="7">
        <v>13.699157</v>
      </c>
      <c r="O425" s="7" t="s">
        <v>23</v>
      </c>
    </row>
    <row r="426" spans="1:15" hidden="1" x14ac:dyDescent="0.25">
      <c r="A426" s="2">
        <f t="shared" si="6"/>
        <v>424</v>
      </c>
      <c r="B426" s="7" t="s">
        <v>4049</v>
      </c>
      <c r="C426" s="7" t="s">
        <v>4050</v>
      </c>
      <c r="D426" s="7" t="s">
        <v>4049</v>
      </c>
      <c r="E426" s="7" t="s">
        <v>74</v>
      </c>
      <c r="F426" s="7" t="s">
        <v>4051</v>
      </c>
      <c r="G426" s="17" t="s">
        <v>7747</v>
      </c>
      <c r="H426" s="7" t="s">
        <v>28</v>
      </c>
      <c r="I426" s="7" t="s">
        <v>79</v>
      </c>
      <c r="J426" s="7" t="s">
        <v>77</v>
      </c>
      <c r="K426" s="7" t="s">
        <v>639</v>
      </c>
      <c r="L426" s="7" t="s">
        <v>79</v>
      </c>
      <c r="M426" s="7">
        <v>4.55091</v>
      </c>
      <c r="N426" s="7">
        <v>13.61664</v>
      </c>
      <c r="O426" s="7" t="s">
        <v>23</v>
      </c>
    </row>
    <row r="427" spans="1:15" hidden="1" x14ac:dyDescent="0.25">
      <c r="A427" s="2">
        <f t="shared" si="6"/>
        <v>425</v>
      </c>
      <c r="B427" s="7" t="s">
        <v>4076</v>
      </c>
      <c r="C427" s="7" t="s">
        <v>4077</v>
      </c>
      <c r="D427" s="7" t="s">
        <v>4076</v>
      </c>
      <c r="E427" s="7" t="s">
        <v>74</v>
      </c>
      <c r="F427" s="7" t="s">
        <v>4078</v>
      </c>
      <c r="G427" s="17" t="s">
        <v>7747</v>
      </c>
      <c r="H427" s="7" t="s">
        <v>28</v>
      </c>
      <c r="I427" s="7" t="s">
        <v>263</v>
      </c>
      <c r="J427" s="7" t="s">
        <v>264</v>
      </c>
      <c r="K427" s="7" t="s">
        <v>4079</v>
      </c>
      <c r="L427" s="7" t="s">
        <v>79</v>
      </c>
      <c r="M427" s="7">
        <v>4.4348099999999997</v>
      </c>
      <c r="N427" s="7">
        <v>14.348018</v>
      </c>
      <c r="O427" s="7" t="s">
        <v>23</v>
      </c>
    </row>
    <row r="428" spans="1:15" hidden="1" x14ac:dyDescent="0.25">
      <c r="A428" s="2">
        <f t="shared" si="6"/>
        <v>426</v>
      </c>
      <c r="B428" s="7" t="s">
        <v>4080</v>
      </c>
      <c r="C428" s="7" t="s">
        <v>4081</v>
      </c>
      <c r="D428" s="7" t="s">
        <v>4080</v>
      </c>
      <c r="E428" s="7" t="s">
        <v>74</v>
      </c>
      <c r="F428" s="7" t="s">
        <v>4082</v>
      </c>
      <c r="G428" s="17" t="s">
        <v>7747</v>
      </c>
      <c r="H428" s="7" t="s">
        <v>28</v>
      </c>
      <c r="I428" s="7" t="s">
        <v>79</v>
      </c>
      <c r="J428" s="7" t="s">
        <v>77</v>
      </c>
      <c r="K428" s="7" t="s">
        <v>1415</v>
      </c>
      <c r="L428" s="7" t="s">
        <v>79</v>
      </c>
      <c r="M428" s="7">
        <v>4.5655559999999999</v>
      </c>
      <c r="N428" s="7">
        <v>13.829333</v>
      </c>
      <c r="O428" s="7" t="s">
        <v>23</v>
      </c>
    </row>
    <row r="429" spans="1:15" hidden="1" x14ac:dyDescent="0.25">
      <c r="A429" s="2">
        <f t="shared" si="6"/>
        <v>427</v>
      </c>
      <c r="B429" s="7" t="s">
        <v>4112</v>
      </c>
      <c r="C429" s="7" t="s">
        <v>4113</v>
      </c>
      <c r="D429" s="7" t="s">
        <v>4112</v>
      </c>
      <c r="E429" s="7" t="s">
        <v>74</v>
      </c>
      <c r="F429" s="7" t="s">
        <v>4114</v>
      </c>
      <c r="G429" s="17" t="s">
        <v>7747</v>
      </c>
      <c r="H429" s="7" t="s">
        <v>19</v>
      </c>
      <c r="I429" s="7" t="s">
        <v>567</v>
      </c>
      <c r="J429" s="7" t="s">
        <v>568</v>
      </c>
      <c r="K429" s="7" t="s">
        <v>569</v>
      </c>
      <c r="L429" s="7" t="s">
        <v>79</v>
      </c>
      <c r="M429" s="7">
        <v>4.1669499999999999</v>
      </c>
      <c r="N429" s="7">
        <v>13.29461</v>
      </c>
      <c r="O429" s="7" t="s">
        <v>23</v>
      </c>
    </row>
    <row r="430" spans="1:15" hidden="1" x14ac:dyDescent="0.25">
      <c r="A430" s="2">
        <f t="shared" si="6"/>
        <v>428</v>
      </c>
      <c r="B430" s="7" t="s">
        <v>4127</v>
      </c>
      <c r="C430" s="7" t="s">
        <v>4128</v>
      </c>
      <c r="D430" s="7" t="s">
        <v>4127</v>
      </c>
      <c r="E430" s="7" t="s">
        <v>74</v>
      </c>
      <c r="F430" s="7" t="s">
        <v>4129</v>
      </c>
      <c r="G430" s="17" t="s">
        <v>7747</v>
      </c>
      <c r="H430" s="7" t="s">
        <v>28</v>
      </c>
      <c r="I430" s="7" t="s">
        <v>567</v>
      </c>
      <c r="J430" s="7" t="s">
        <v>568</v>
      </c>
      <c r="K430" s="7" t="s">
        <v>569</v>
      </c>
      <c r="L430" s="7" t="s">
        <v>79</v>
      </c>
      <c r="M430" s="7">
        <v>4.0724330000000002</v>
      </c>
      <c r="N430" s="7">
        <v>13.216856</v>
      </c>
      <c r="O430" s="7" t="s">
        <v>23</v>
      </c>
    </row>
    <row r="431" spans="1:15" hidden="1" x14ac:dyDescent="0.25">
      <c r="A431" s="2">
        <f t="shared" si="6"/>
        <v>429</v>
      </c>
      <c r="B431" s="7" t="s">
        <v>4174</v>
      </c>
      <c r="C431" s="7" t="s">
        <v>4175</v>
      </c>
      <c r="D431" s="7" t="s">
        <v>4174</v>
      </c>
      <c r="E431" s="7" t="s">
        <v>74</v>
      </c>
      <c r="F431" s="7" t="s">
        <v>4176</v>
      </c>
      <c r="G431" s="17" t="s">
        <v>7747</v>
      </c>
      <c r="H431" s="7" t="s">
        <v>19</v>
      </c>
      <c r="I431" s="7" t="s">
        <v>79</v>
      </c>
      <c r="J431" s="7" t="s">
        <v>568</v>
      </c>
      <c r="K431" s="7" t="s">
        <v>4176</v>
      </c>
      <c r="L431" s="7" t="s">
        <v>79</v>
      </c>
      <c r="M431" s="7">
        <v>4.3759639999999997</v>
      </c>
      <c r="N431" s="7">
        <v>13.586667</v>
      </c>
      <c r="O431" s="7" t="s">
        <v>23</v>
      </c>
    </row>
    <row r="432" spans="1:15" hidden="1" x14ac:dyDescent="0.25">
      <c r="A432" s="2">
        <f t="shared" si="6"/>
        <v>430</v>
      </c>
      <c r="B432" s="7" t="s">
        <v>4392</v>
      </c>
      <c r="C432" s="7" t="s">
        <v>4393</v>
      </c>
      <c r="D432" s="7" t="s">
        <v>4392</v>
      </c>
      <c r="E432" s="7" t="s">
        <v>74</v>
      </c>
      <c r="F432" s="7" t="s">
        <v>4394</v>
      </c>
      <c r="G432" s="17" t="s">
        <v>7747</v>
      </c>
      <c r="H432" s="7" t="s">
        <v>28</v>
      </c>
      <c r="I432" s="7" t="s">
        <v>567</v>
      </c>
      <c r="J432" s="7" t="s">
        <v>568</v>
      </c>
      <c r="K432" s="7" t="s">
        <v>863</v>
      </c>
      <c r="L432" s="7" t="s">
        <v>79</v>
      </c>
      <c r="M432" s="7">
        <v>4.3932799999999999</v>
      </c>
      <c r="N432" s="7">
        <v>12.926769999999999</v>
      </c>
      <c r="O432" s="7" t="s">
        <v>23</v>
      </c>
    </row>
    <row r="433" spans="1:15" hidden="1" x14ac:dyDescent="0.25">
      <c r="A433" s="2">
        <f t="shared" si="6"/>
        <v>431</v>
      </c>
      <c r="B433" s="7" t="s">
        <v>4496</v>
      </c>
      <c r="C433" s="7" t="s">
        <v>4497</v>
      </c>
      <c r="D433" s="7" t="s">
        <v>4496</v>
      </c>
      <c r="E433" s="7" t="s">
        <v>74</v>
      </c>
      <c r="F433" s="7" t="s">
        <v>4498</v>
      </c>
      <c r="G433" s="17" t="s">
        <v>7747</v>
      </c>
      <c r="H433" s="7" t="s">
        <v>19</v>
      </c>
      <c r="I433" s="7" t="s">
        <v>567</v>
      </c>
      <c r="J433" s="7" t="s">
        <v>568</v>
      </c>
      <c r="K433" s="7" t="s">
        <v>4499</v>
      </c>
      <c r="L433" s="7" t="s">
        <v>79</v>
      </c>
      <c r="M433" s="7">
        <v>3.1653470000000001</v>
      </c>
      <c r="N433" s="7">
        <v>13.620278000000001</v>
      </c>
      <c r="O433" s="7" t="s">
        <v>23</v>
      </c>
    </row>
    <row r="434" spans="1:15" hidden="1" x14ac:dyDescent="0.25">
      <c r="A434" s="2">
        <f t="shared" si="6"/>
        <v>432</v>
      </c>
      <c r="B434" s="7" t="s">
        <v>4507</v>
      </c>
      <c r="C434" s="7" t="s">
        <v>4508</v>
      </c>
      <c r="D434" s="7" t="s">
        <v>4507</v>
      </c>
      <c r="E434" s="7" t="s">
        <v>74</v>
      </c>
      <c r="F434" s="7" t="s">
        <v>4176</v>
      </c>
      <c r="G434" s="17" t="s">
        <v>7747</v>
      </c>
      <c r="H434" s="7" t="s">
        <v>19</v>
      </c>
      <c r="I434" s="7" t="s">
        <v>79</v>
      </c>
      <c r="J434" s="7" t="s">
        <v>568</v>
      </c>
      <c r="K434" s="7" t="s">
        <v>4176</v>
      </c>
      <c r="L434" s="7" t="s">
        <v>79</v>
      </c>
      <c r="M434" s="7">
        <v>4.3830559999999998</v>
      </c>
      <c r="N434" s="7">
        <v>13.581154</v>
      </c>
      <c r="O434" s="7" t="s">
        <v>23</v>
      </c>
    </row>
    <row r="435" spans="1:15" hidden="1" x14ac:dyDescent="0.25">
      <c r="A435" s="2">
        <f t="shared" si="6"/>
        <v>433</v>
      </c>
      <c r="B435" s="7" t="s">
        <v>4607</v>
      </c>
      <c r="C435" s="7" t="s">
        <v>4608</v>
      </c>
      <c r="D435" s="7" t="s">
        <v>4607</v>
      </c>
      <c r="E435" s="7" t="s">
        <v>74</v>
      </c>
      <c r="F435" s="7" t="s">
        <v>4609</v>
      </c>
      <c r="G435" s="17" t="s">
        <v>7747</v>
      </c>
      <c r="H435" s="7" t="s">
        <v>19</v>
      </c>
      <c r="I435" s="7" t="s">
        <v>567</v>
      </c>
      <c r="J435" s="7" t="s">
        <v>568</v>
      </c>
      <c r="K435" s="7" t="s">
        <v>569</v>
      </c>
      <c r="L435" s="7" t="s">
        <v>79</v>
      </c>
      <c r="M435" s="7">
        <v>3.9994529999999999</v>
      </c>
      <c r="N435" s="7">
        <v>13.180543</v>
      </c>
      <c r="O435" s="7" t="s">
        <v>23</v>
      </c>
    </row>
    <row r="436" spans="1:15" hidden="1" x14ac:dyDescent="0.25">
      <c r="A436" s="2">
        <f t="shared" si="6"/>
        <v>434</v>
      </c>
      <c r="B436" s="7" t="s">
        <v>4648</v>
      </c>
      <c r="C436" s="7" t="s">
        <v>4649</v>
      </c>
      <c r="D436" s="7" t="s">
        <v>4648</v>
      </c>
      <c r="E436" s="7" t="s">
        <v>74</v>
      </c>
      <c r="F436" s="7" t="s">
        <v>4114</v>
      </c>
      <c r="G436" s="17" t="s">
        <v>7747</v>
      </c>
      <c r="H436" s="7" t="s">
        <v>19</v>
      </c>
      <c r="I436" s="7" t="s">
        <v>567</v>
      </c>
      <c r="J436" s="7" t="s">
        <v>568</v>
      </c>
      <c r="K436" s="7" t="s">
        <v>569</v>
      </c>
      <c r="L436" s="7" t="s">
        <v>79</v>
      </c>
      <c r="M436" s="7">
        <v>4.1651790000000002</v>
      </c>
      <c r="N436" s="7">
        <v>13.292535000000001</v>
      </c>
      <c r="O436" s="7" t="s">
        <v>23</v>
      </c>
    </row>
    <row r="437" spans="1:15" hidden="1" x14ac:dyDescent="0.25">
      <c r="A437" s="2">
        <f t="shared" si="6"/>
        <v>435</v>
      </c>
      <c r="B437" s="7" t="s">
        <v>4650</v>
      </c>
      <c r="C437" s="7" t="s">
        <v>4651</v>
      </c>
      <c r="D437" s="7" t="s">
        <v>4650</v>
      </c>
      <c r="E437" s="7" t="s">
        <v>74</v>
      </c>
      <c r="F437" s="7" t="s">
        <v>4652</v>
      </c>
      <c r="G437" s="17" t="s">
        <v>7747</v>
      </c>
      <c r="H437" s="7" t="s">
        <v>28</v>
      </c>
      <c r="I437" s="7" t="s">
        <v>567</v>
      </c>
      <c r="J437" s="7" t="s">
        <v>568</v>
      </c>
      <c r="K437" s="7" t="s">
        <v>863</v>
      </c>
      <c r="L437" s="7" t="s">
        <v>79</v>
      </c>
      <c r="M437" s="7">
        <v>4.3921609999999998</v>
      </c>
      <c r="N437" s="7">
        <v>12.924780999999999</v>
      </c>
      <c r="O437" s="7" t="s">
        <v>23</v>
      </c>
    </row>
    <row r="438" spans="1:15" hidden="1" x14ac:dyDescent="0.25">
      <c r="A438" s="2">
        <f t="shared" si="6"/>
        <v>436</v>
      </c>
      <c r="B438" s="7" t="s">
        <v>4787</v>
      </c>
      <c r="C438" s="7" t="s">
        <v>4788</v>
      </c>
      <c r="D438" s="7" t="s">
        <v>4787</v>
      </c>
      <c r="E438" s="7" t="s">
        <v>182</v>
      </c>
      <c r="F438" s="7" t="s">
        <v>4789</v>
      </c>
      <c r="G438" s="17" t="s">
        <v>7747</v>
      </c>
      <c r="H438" s="7" t="s">
        <v>28</v>
      </c>
      <c r="I438" s="7" t="s">
        <v>817</v>
      </c>
      <c r="J438" s="7" t="s">
        <v>818</v>
      </c>
      <c r="K438" s="7" t="s">
        <v>4790</v>
      </c>
      <c r="L438" s="7" t="s">
        <v>79</v>
      </c>
      <c r="M438" s="7">
        <v>4.0451949999999997</v>
      </c>
      <c r="N438" s="7">
        <v>12.742241</v>
      </c>
      <c r="O438" s="7" t="s">
        <v>23</v>
      </c>
    </row>
    <row r="439" spans="1:15" hidden="1" x14ac:dyDescent="0.25">
      <c r="A439" s="2">
        <f t="shared" si="6"/>
        <v>437</v>
      </c>
      <c r="B439" s="7" t="s">
        <v>4931</v>
      </c>
      <c r="C439" s="7" t="s">
        <v>4932</v>
      </c>
      <c r="D439" s="7" t="s">
        <v>4931</v>
      </c>
      <c r="E439" s="7" t="s">
        <v>74</v>
      </c>
      <c r="F439" s="7" t="s">
        <v>2817</v>
      </c>
      <c r="G439" s="17" t="s">
        <v>7747</v>
      </c>
      <c r="H439" s="7" t="s">
        <v>28</v>
      </c>
      <c r="I439" s="7" t="s">
        <v>79</v>
      </c>
      <c r="J439" s="7" t="s">
        <v>77</v>
      </c>
      <c r="K439" s="7" t="s">
        <v>2817</v>
      </c>
      <c r="L439" s="7" t="s">
        <v>79</v>
      </c>
      <c r="M439" s="7">
        <v>4.5790800000000003</v>
      </c>
      <c r="N439" s="7">
        <v>13.348292000000001</v>
      </c>
      <c r="O439" s="7" t="s">
        <v>23</v>
      </c>
    </row>
    <row r="440" spans="1:15" hidden="1" x14ac:dyDescent="0.25">
      <c r="A440" s="2">
        <f t="shared" si="6"/>
        <v>438</v>
      </c>
      <c r="B440" s="7" t="s">
        <v>5900</v>
      </c>
      <c r="C440" s="7" t="s">
        <v>5901</v>
      </c>
      <c r="D440" s="7" t="s">
        <v>5900</v>
      </c>
      <c r="E440" s="7" t="s">
        <v>250</v>
      </c>
      <c r="F440" s="7" t="s">
        <v>5902</v>
      </c>
      <c r="G440" s="17" t="s">
        <v>7747</v>
      </c>
      <c r="H440" s="7" t="s">
        <v>28</v>
      </c>
      <c r="I440" s="7" t="s">
        <v>252</v>
      </c>
      <c r="J440" s="7" t="s">
        <v>253</v>
      </c>
      <c r="K440" s="7" t="s">
        <v>501</v>
      </c>
      <c r="L440" s="7" t="s">
        <v>79</v>
      </c>
      <c r="M440" s="7">
        <v>2.3821699999999999</v>
      </c>
      <c r="N440" s="7">
        <v>13.408300000000001</v>
      </c>
      <c r="O440" s="7" t="s">
        <v>23</v>
      </c>
    </row>
    <row r="441" spans="1:15" hidden="1" x14ac:dyDescent="0.25">
      <c r="A441" s="2">
        <f t="shared" si="6"/>
        <v>439</v>
      </c>
      <c r="B441" s="7" t="s">
        <v>5933</v>
      </c>
      <c r="C441" s="7" t="s">
        <v>5934</v>
      </c>
      <c r="D441" s="7" t="s">
        <v>5933</v>
      </c>
      <c r="E441" s="7" t="s">
        <v>250</v>
      </c>
      <c r="F441" s="7" t="s">
        <v>5935</v>
      </c>
      <c r="G441" s="17" t="s">
        <v>7747</v>
      </c>
      <c r="H441" s="7" t="s">
        <v>28</v>
      </c>
      <c r="I441" s="7" t="s">
        <v>252</v>
      </c>
      <c r="J441" s="7" t="s">
        <v>253</v>
      </c>
      <c r="K441" s="7" t="s">
        <v>501</v>
      </c>
      <c r="L441" s="7" t="s">
        <v>79</v>
      </c>
      <c r="M441" s="7">
        <v>2.22763</v>
      </c>
      <c r="N441" s="7">
        <v>13.510070000000001</v>
      </c>
      <c r="O441" s="7" t="s">
        <v>23</v>
      </c>
    </row>
    <row r="442" spans="1:15" hidden="1" x14ac:dyDescent="0.25">
      <c r="A442" s="2">
        <f t="shared" si="6"/>
        <v>440</v>
      </c>
      <c r="B442" s="7" t="s">
        <v>5973</v>
      </c>
      <c r="C442" s="7" t="s">
        <v>5974</v>
      </c>
      <c r="D442" s="7" t="s">
        <v>5973</v>
      </c>
      <c r="E442" s="7" t="s">
        <v>250</v>
      </c>
      <c r="F442" s="7" t="s">
        <v>5975</v>
      </c>
      <c r="G442" s="17" t="s">
        <v>7747</v>
      </c>
      <c r="H442" s="7" t="s">
        <v>28</v>
      </c>
      <c r="I442" s="7" t="s">
        <v>252</v>
      </c>
      <c r="J442" s="7" t="s">
        <v>5976</v>
      </c>
      <c r="K442" s="7" t="s">
        <v>5977</v>
      </c>
      <c r="L442" s="7" t="s">
        <v>79</v>
      </c>
      <c r="M442" s="7">
        <v>2.19719</v>
      </c>
      <c r="N442" s="7">
        <v>13.74174</v>
      </c>
      <c r="O442" s="7" t="s">
        <v>23</v>
      </c>
    </row>
    <row r="443" spans="1:15" hidden="1" x14ac:dyDescent="0.25">
      <c r="A443" s="2">
        <f t="shared" si="6"/>
        <v>441</v>
      </c>
      <c r="B443" s="7" t="s">
        <v>5982</v>
      </c>
      <c r="C443" s="7" t="s">
        <v>5983</v>
      </c>
      <c r="D443" s="7" t="s">
        <v>5982</v>
      </c>
      <c r="E443" s="7" t="s">
        <v>74</v>
      </c>
      <c r="F443" s="7" t="s">
        <v>5984</v>
      </c>
      <c r="G443" s="17" t="s">
        <v>7747</v>
      </c>
      <c r="H443" s="7" t="s">
        <v>28</v>
      </c>
      <c r="I443" s="7" t="s">
        <v>79</v>
      </c>
      <c r="J443" s="7" t="s">
        <v>77</v>
      </c>
      <c r="K443" s="7" t="s">
        <v>905</v>
      </c>
      <c r="L443" s="7" t="s">
        <v>79</v>
      </c>
      <c r="M443" s="7">
        <v>5.3718620000000001</v>
      </c>
      <c r="N443" s="7">
        <v>13.490098</v>
      </c>
      <c r="O443" s="7" t="s">
        <v>23</v>
      </c>
    </row>
    <row r="444" spans="1:15" hidden="1" x14ac:dyDescent="0.25">
      <c r="A444" s="2">
        <f t="shared" si="6"/>
        <v>442</v>
      </c>
      <c r="B444" s="7" t="s">
        <v>5997</v>
      </c>
      <c r="C444" s="7" t="s">
        <v>5998</v>
      </c>
      <c r="D444" s="7" t="s">
        <v>5997</v>
      </c>
      <c r="E444" s="7" t="s">
        <v>74</v>
      </c>
      <c r="F444" s="7" t="s">
        <v>5999</v>
      </c>
      <c r="G444" s="17" t="s">
        <v>7747</v>
      </c>
      <c r="H444" s="7" t="s">
        <v>28</v>
      </c>
      <c r="I444" s="7" t="s">
        <v>76</v>
      </c>
      <c r="J444" s="7" t="s">
        <v>77</v>
      </c>
      <c r="K444" s="7" t="s">
        <v>78</v>
      </c>
      <c r="L444" s="7" t="s">
        <v>79</v>
      </c>
      <c r="M444" s="7">
        <v>4.9976580000000004</v>
      </c>
      <c r="N444" s="7">
        <v>14.381155</v>
      </c>
      <c r="O444" s="7" t="s">
        <v>23</v>
      </c>
    </row>
    <row r="445" spans="1:15" hidden="1" x14ac:dyDescent="0.25">
      <c r="A445" s="2">
        <f t="shared" si="6"/>
        <v>443</v>
      </c>
      <c r="B445" s="7" t="s">
        <v>6053</v>
      </c>
      <c r="C445" s="7" t="s">
        <v>6054</v>
      </c>
      <c r="D445" s="7" t="s">
        <v>6053</v>
      </c>
      <c r="E445" s="7" t="s">
        <v>74</v>
      </c>
      <c r="F445" s="7" t="s">
        <v>6055</v>
      </c>
      <c r="G445" s="17" t="s">
        <v>7747</v>
      </c>
      <c r="H445" s="7" t="s">
        <v>28</v>
      </c>
      <c r="I445" s="7" t="s">
        <v>567</v>
      </c>
      <c r="J445" s="7" t="s">
        <v>568</v>
      </c>
      <c r="K445" s="7" t="s">
        <v>569</v>
      </c>
      <c r="L445" s="7" t="s">
        <v>79</v>
      </c>
      <c r="M445" s="7">
        <v>4.0009600000000001</v>
      </c>
      <c r="N445" s="7">
        <v>12.925414999999999</v>
      </c>
      <c r="O445" s="7" t="s">
        <v>23</v>
      </c>
    </row>
    <row r="446" spans="1:15" hidden="1" x14ac:dyDescent="0.25">
      <c r="A446" s="2">
        <f t="shared" si="6"/>
        <v>444</v>
      </c>
      <c r="B446" s="7" t="s">
        <v>6078</v>
      </c>
      <c r="C446" s="7" t="s">
        <v>6079</v>
      </c>
      <c r="D446" s="7" t="s">
        <v>6078</v>
      </c>
      <c r="E446" s="7" t="s">
        <v>74</v>
      </c>
      <c r="F446" s="7" t="s">
        <v>6080</v>
      </c>
      <c r="G446" s="17" t="s">
        <v>7747</v>
      </c>
      <c r="H446" s="7" t="s">
        <v>28</v>
      </c>
      <c r="I446" s="7" t="s">
        <v>263</v>
      </c>
      <c r="J446" s="7" t="s">
        <v>1937</v>
      </c>
      <c r="K446" s="7" t="s">
        <v>2020</v>
      </c>
      <c r="L446" s="7" t="s">
        <v>79</v>
      </c>
      <c r="M446" s="7">
        <v>4.406612</v>
      </c>
      <c r="N446" s="7">
        <v>14.229778</v>
      </c>
      <c r="O446" s="7" t="s">
        <v>23</v>
      </c>
    </row>
    <row r="447" spans="1:15" hidden="1" x14ac:dyDescent="0.25">
      <c r="A447" s="2">
        <f t="shared" si="6"/>
        <v>445</v>
      </c>
      <c r="B447" s="7" t="s">
        <v>6090</v>
      </c>
      <c r="C447" s="7" t="s">
        <v>6091</v>
      </c>
      <c r="D447" s="7" t="s">
        <v>6090</v>
      </c>
      <c r="E447" s="7" t="s">
        <v>250</v>
      </c>
      <c r="F447" s="7" t="s">
        <v>6092</v>
      </c>
      <c r="G447" s="17" t="s">
        <v>7747</v>
      </c>
      <c r="H447" s="7" t="s">
        <v>28</v>
      </c>
      <c r="I447" s="7" t="s">
        <v>252</v>
      </c>
      <c r="J447" s="7" t="s">
        <v>253</v>
      </c>
      <c r="K447" s="7" t="s">
        <v>501</v>
      </c>
      <c r="L447" s="7" t="s">
        <v>79</v>
      </c>
      <c r="M447" s="7">
        <v>2.6310289999999998</v>
      </c>
      <c r="N447" s="7">
        <v>13.312939999999999</v>
      </c>
      <c r="O447" s="7" t="s">
        <v>23</v>
      </c>
    </row>
    <row r="448" spans="1:15" hidden="1" x14ac:dyDescent="0.25">
      <c r="A448" s="2">
        <f t="shared" si="6"/>
        <v>446</v>
      </c>
      <c r="B448" s="7" t="s">
        <v>6111</v>
      </c>
      <c r="C448" s="7" t="s">
        <v>6112</v>
      </c>
      <c r="D448" s="7" t="s">
        <v>6111</v>
      </c>
      <c r="E448" s="7" t="s">
        <v>74</v>
      </c>
      <c r="F448" s="7" t="s">
        <v>6113</v>
      </c>
      <c r="G448" s="17" t="s">
        <v>7747</v>
      </c>
      <c r="H448" s="7" t="s">
        <v>28</v>
      </c>
      <c r="I448" s="7" t="s">
        <v>263</v>
      </c>
      <c r="J448" s="7" t="s">
        <v>1937</v>
      </c>
      <c r="K448" s="7" t="s">
        <v>6114</v>
      </c>
      <c r="L448" s="7" t="s">
        <v>79</v>
      </c>
      <c r="M448" s="7">
        <v>4.3303099999999999</v>
      </c>
      <c r="N448" s="7">
        <v>14.83357</v>
      </c>
      <c r="O448" s="7" t="s">
        <v>23</v>
      </c>
    </row>
    <row r="449" spans="1:15" hidden="1" x14ac:dyDescent="0.25">
      <c r="A449" s="2">
        <f t="shared" si="6"/>
        <v>447</v>
      </c>
      <c r="B449" s="7" t="s">
        <v>6126</v>
      </c>
      <c r="C449" s="7" t="s">
        <v>6127</v>
      </c>
      <c r="D449" s="7" t="s">
        <v>6126</v>
      </c>
      <c r="E449" s="7" t="s">
        <v>250</v>
      </c>
      <c r="F449" s="7" t="s">
        <v>6128</v>
      </c>
      <c r="G449" s="17" t="s">
        <v>7747</v>
      </c>
      <c r="H449" s="7" t="s">
        <v>28</v>
      </c>
      <c r="I449" s="7" t="s">
        <v>79</v>
      </c>
      <c r="J449" s="7" t="s">
        <v>77</v>
      </c>
      <c r="K449" s="7" t="s">
        <v>6129</v>
      </c>
      <c r="L449" s="7" t="s">
        <v>79</v>
      </c>
      <c r="M449" s="7">
        <v>4.5703379999999996</v>
      </c>
      <c r="N449" s="7">
        <v>13.79133</v>
      </c>
      <c r="O449" s="7" t="s">
        <v>23</v>
      </c>
    </row>
    <row r="450" spans="1:15" hidden="1" x14ac:dyDescent="0.25">
      <c r="A450" s="2">
        <f t="shared" si="6"/>
        <v>448</v>
      </c>
      <c r="B450" s="7" t="s">
        <v>6133</v>
      </c>
      <c r="C450" s="7" t="s">
        <v>6134</v>
      </c>
      <c r="D450" s="7" t="s">
        <v>6133</v>
      </c>
      <c r="E450" s="7" t="s">
        <v>74</v>
      </c>
      <c r="F450" s="7" t="s">
        <v>6135</v>
      </c>
      <c r="G450" s="17" t="s">
        <v>7747</v>
      </c>
      <c r="H450" s="7" t="s">
        <v>28</v>
      </c>
      <c r="I450" s="7" t="s">
        <v>567</v>
      </c>
      <c r="J450" s="7" t="s">
        <v>568</v>
      </c>
      <c r="K450" s="7" t="s">
        <v>6136</v>
      </c>
      <c r="L450" s="7" t="s">
        <v>79</v>
      </c>
      <c r="M450" s="7">
        <v>3.2681439999999999</v>
      </c>
      <c r="N450" s="7">
        <v>13.846781999999999</v>
      </c>
      <c r="O450" s="7" t="s">
        <v>23</v>
      </c>
    </row>
    <row r="451" spans="1:15" hidden="1" x14ac:dyDescent="0.25">
      <c r="A451" s="2">
        <f t="shared" si="6"/>
        <v>449</v>
      </c>
      <c r="B451" s="7" t="s">
        <v>6169</v>
      </c>
      <c r="C451" s="7" t="s">
        <v>6170</v>
      </c>
      <c r="D451" s="7" t="s">
        <v>6169</v>
      </c>
      <c r="E451" s="7" t="s">
        <v>74</v>
      </c>
      <c r="F451" s="7" t="s">
        <v>6171</v>
      </c>
      <c r="G451" s="17" t="s">
        <v>7747</v>
      </c>
      <c r="H451" s="7" t="s">
        <v>28</v>
      </c>
      <c r="I451" s="7" t="s">
        <v>213</v>
      </c>
      <c r="J451" s="7" t="s">
        <v>1778</v>
      </c>
      <c r="K451" s="7" t="s">
        <v>6172</v>
      </c>
      <c r="L451" s="7" t="s">
        <v>79</v>
      </c>
      <c r="M451" s="7">
        <v>4.0302699999999998</v>
      </c>
      <c r="N451" s="7">
        <v>15.02003</v>
      </c>
      <c r="O451" s="7" t="s">
        <v>23</v>
      </c>
    </row>
    <row r="452" spans="1:15" hidden="1" x14ac:dyDescent="0.25">
      <c r="A452" s="2">
        <f t="shared" si="6"/>
        <v>450</v>
      </c>
      <c r="B452" s="7" t="s">
        <v>6219</v>
      </c>
      <c r="C452" s="7" t="s">
        <v>6220</v>
      </c>
      <c r="D452" s="7" t="s">
        <v>6219</v>
      </c>
      <c r="E452" s="7" t="s">
        <v>74</v>
      </c>
      <c r="F452" s="7" t="s">
        <v>6221</v>
      </c>
      <c r="G452" s="17" t="s">
        <v>7747</v>
      </c>
      <c r="H452" s="7" t="s">
        <v>28</v>
      </c>
      <c r="I452" s="7" t="s">
        <v>481</v>
      </c>
      <c r="J452" s="7" t="s">
        <v>298</v>
      </c>
      <c r="K452" s="7" t="s">
        <v>481</v>
      </c>
      <c r="L452" s="7" t="s">
        <v>79</v>
      </c>
      <c r="M452" s="7">
        <v>4.6750319999999999</v>
      </c>
      <c r="N452" s="7">
        <v>12.551557000000001</v>
      </c>
      <c r="O452" s="7" t="s">
        <v>23</v>
      </c>
    </row>
    <row r="453" spans="1:15" hidden="1" x14ac:dyDescent="0.25">
      <c r="A453" s="2">
        <f t="shared" ref="A453:A516" si="7">+A452+1</f>
        <v>451</v>
      </c>
      <c r="B453" s="7" t="s">
        <v>6240</v>
      </c>
      <c r="C453" s="7" t="s">
        <v>6241</v>
      </c>
      <c r="D453" s="7" t="s">
        <v>6240</v>
      </c>
      <c r="E453" s="7" t="s">
        <v>74</v>
      </c>
      <c r="F453" s="7" t="s">
        <v>6242</v>
      </c>
      <c r="G453" s="17" t="s">
        <v>7747</v>
      </c>
      <c r="H453" s="7" t="s">
        <v>28</v>
      </c>
      <c r="I453" s="7" t="s">
        <v>213</v>
      </c>
      <c r="J453" s="7" t="s">
        <v>1778</v>
      </c>
      <c r="K453" s="7" t="s">
        <v>1779</v>
      </c>
      <c r="L453" s="7" t="s">
        <v>79</v>
      </c>
      <c r="M453" s="7">
        <v>3.3214899999999998</v>
      </c>
      <c r="N453" s="7">
        <v>15.31142</v>
      </c>
      <c r="O453" s="7" t="s">
        <v>23</v>
      </c>
    </row>
    <row r="454" spans="1:15" hidden="1" x14ac:dyDescent="0.25">
      <c r="A454" s="2">
        <f t="shared" si="7"/>
        <v>452</v>
      </c>
      <c r="B454" s="7" t="s">
        <v>6246</v>
      </c>
      <c r="C454" s="7" t="s">
        <v>6247</v>
      </c>
      <c r="D454" s="7" t="s">
        <v>6246</v>
      </c>
      <c r="E454" s="7" t="s">
        <v>74</v>
      </c>
      <c r="F454" s="7" t="s">
        <v>6248</v>
      </c>
      <c r="G454" s="17" t="s">
        <v>7747</v>
      </c>
      <c r="H454" s="7" t="s">
        <v>19</v>
      </c>
      <c r="I454" s="7" t="s">
        <v>76</v>
      </c>
      <c r="J454" s="7" t="s">
        <v>77</v>
      </c>
      <c r="K454" s="7" t="s">
        <v>993</v>
      </c>
      <c r="L454" s="7" t="s">
        <v>79</v>
      </c>
      <c r="M454" s="7">
        <v>5.4952030000000001</v>
      </c>
      <c r="N454" s="7">
        <v>14.151427999999999</v>
      </c>
      <c r="O454" s="7" t="s">
        <v>23</v>
      </c>
    </row>
    <row r="455" spans="1:15" hidden="1" x14ac:dyDescent="0.25">
      <c r="A455" s="2">
        <f t="shared" si="7"/>
        <v>453</v>
      </c>
      <c r="B455" s="7" t="s">
        <v>6249</v>
      </c>
      <c r="C455" s="7" t="s">
        <v>6250</v>
      </c>
      <c r="D455" s="7" t="s">
        <v>6249</v>
      </c>
      <c r="E455" s="7" t="s">
        <v>74</v>
      </c>
      <c r="F455" s="7" t="s">
        <v>6248</v>
      </c>
      <c r="G455" s="17" t="s">
        <v>7747</v>
      </c>
      <c r="H455" s="7" t="s">
        <v>19</v>
      </c>
      <c r="I455" s="7" t="s">
        <v>76</v>
      </c>
      <c r="J455" s="7" t="s">
        <v>77</v>
      </c>
      <c r="K455" s="7" t="s">
        <v>993</v>
      </c>
      <c r="L455" s="7" t="s">
        <v>79</v>
      </c>
      <c r="M455" s="7">
        <v>5.4956699999999996</v>
      </c>
      <c r="N455" s="7">
        <v>14.150840000000001</v>
      </c>
      <c r="O455" s="7" t="s">
        <v>23</v>
      </c>
    </row>
    <row r="456" spans="1:15" hidden="1" x14ac:dyDescent="0.25">
      <c r="A456" s="2">
        <f t="shared" si="7"/>
        <v>454</v>
      </c>
      <c r="B456" s="7" t="s">
        <v>6251</v>
      </c>
      <c r="C456" s="7" t="s">
        <v>6252</v>
      </c>
      <c r="D456" s="7" t="s">
        <v>6251</v>
      </c>
      <c r="E456" s="7" t="s">
        <v>74</v>
      </c>
      <c r="F456" s="7" t="s">
        <v>6253</v>
      </c>
      <c r="G456" s="17" t="s">
        <v>7747</v>
      </c>
      <c r="H456" s="7" t="s">
        <v>28</v>
      </c>
      <c r="I456" s="7" t="s">
        <v>213</v>
      </c>
      <c r="J456" s="7" t="s">
        <v>1778</v>
      </c>
      <c r="K456" s="7" t="s">
        <v>6172</v>
      </c>
      <c r="L456" s="7" t="s">
        <v>79</v>
      </c>
      <c r="M456" s="7">
        <v>4.0482129999999996</v>
      </c>
      <c r="N456" s="7">
        <v>14.918008</v>
      </c>
      <c r="O456" s="7" t="s">
        <v>23</v>
      </c>
    </row>
    <row r="457" spans="1:15" hidden="1" x14ac:dyDescent="0.25">
      <c r="A457" s="2">
        <f t="shared" si="7"/>
        <v>455</v>
      </c>
      <c r="B457" s="7" t="s">
        <v>6254</v>
      </c>
      <c r="C457" s="7" t="s">
        <v>6255</v>
      </c>
      <c r="D457" s="7" t="s">
        <v>6254</v>
      </c>
      <c r="E457" s="7" t="s">
        <v>74</v>
      </c>
      <c r="F457" s="7" t="s">
        <v>6256</v>
      </c>
      <c r="G457" s="17" t="s">
        <v>7747</v>
      </c>
      <c r="H457" s="7" t="s">
        <v>28</v>
      </c>
      <c r="I457" s="7" t="s">
        <v>481</v>
      </c>
      <c r="J457" s="7" t="s">
        <v>298</v>
      </c>
      <c r="K457" s="7" t="s">
        <v>480</v>
      </c>
      <c r="L457" s="7" t="s">
        <v>79</v>
      </c>
      <c r="M457" s="7">
        <v>4.59443</v>
      </c>
      <c r="N457" s="7">
        <v>12.697252000000001</v>
      </c>
      <c r="O457" s="7" t="s">
        <v>23</v>
      </c>
    </row>
    <row r="458" spans="1:15" hidden="1" x14ac:dyDescent="0.25">
      <c r="A458" s="2">
        <f t="shared" si="7"/>
        <v>456</v>
      </c>
      <c r="B458" s="7" t="s">
        <v>6265</v>
      </c>
      <c r="C458" s="7" t="s">
        <v>6266</v>
      </c>
      <c r="D458" s="7" t="s">
        <v>6265</v>
      </c>
      <c r="E458" s="7" t="s">
        <v>74</v>
      </c>
      <c r="F458" s="7" t="s">
        <v>6267</v>
      </c>
      <c r="G458" s="17" t="s">
        <v>7747</v>
      </c>
      <c r="H458" s="7" t="s">
        <v>19</v>
      </c>
      <c r="I458" s="7" t="s">
        <v>213</v>
      </c>
      <c r="J458" s="7" t="s">
        <v>6268</v>
      </c>
      <c r="K458" s="7" t="s">
        <v>711</v>
      </c>
      <c r="L458" s="7" t="s">
        <v>79</v>
      </c>
      <c r="M458" s="7">
        <v>2.0476079999999999</v>
      </c>
      <c r="N458" s="7">
        <v>15.225778</v>
      </c>
      <c r="O458" s="7" t="s">
        <v>23</v>
      </c>
    </row>
    <row r="459" spans="1:15" hidden="1" x14ac:dyDescent="0.25">
      <c r="A459" s="2">
        <f t="shared" si="7"/>
        <v>457</v>
      </c>
      <c r="B459" s="7" t="s">
        <v>6280</v>
      </c>
      <c r="C459" s="7" t="s">
        <v>6281</v>
      </c>
      <c r="D459" s="7" t="s">
        <v>6280</v>
      </c>
      <c r="E459" s="7" t="s">
        <v>250</v>
      </c>
      <c r="F459" s="7" t="s">
        <v>6282</v>
      </c>
      <c r="G459" s="17" t="s">
        <v>7747</v>
      </c>
      <c r="H459" s="7" t="s">
        <v>19</v>
      </c>
      <c r="I459" s="7" t="s">
        <v>252</v>
      </c>
      <c r="J459" s="7" t="s">
        <v>253</v>
      </c>
      <c r="K459" s="7" t="s">
        <v>501</v>
      </c>
      <c r="L459" s="7" t="s">
        <v>79</v>
      </c>
      <c r="M459" s="7">
        <v>2.6954530000000001</v>
      </c>
      <c r="N459" s="7">
        <v>13.288270000000001</v>
      </c>
      <c r="O459" s="7" t="s">
        <v>23</v>
      </c>
    </row>
    <row r="460" spans="1:15" hidden="1" x14ac:dyDescent="0.25">
      <c r="A460" s="2">
        <f t="shared" si="7"/>
        <v>458</v>
      </c>
      <c r="B460" s="7" t="s">
        <v>6283</v>
      </c>
      <c r="C460" s="7" t="s">
        <v>6284</v>
      </c>
      <c r="D460" s="7" t="s">
        <v>6283</v>
      </c>
      <c r="E460" s="7" t="s">
        <v>74</v>
      </c>
      <c r="F460" s="7" t="s">
        <v>6285</v>
      </c>
      <c r="G460" s="17" t="s">
        <v>7747</v>
      </c>
      <c r="H460" s="7" t="s">
        <v>19</v>
      </c>
      <c r="I460" s="7" t="s">
        <v>567</v>
      </c>
      <c r="J460" s="7" t="s">
        <v>1937</v>
      </c>
      <c r="K460" s="7" t="s">
        <v>6286</v>
      </c>
      <c r="L460" s="7" t="s">
        <v>79</v>
      </c>
      <c r="M460" s="7">
        <v>3.5718429999999999</v>
      </c>
      <c r="N460" s="7">
        <v>13.399944</v>
      </c>
      <c r="O460" s="7" t="s">
        <v>23</v>
      </c>
    </row>
    <row r="461" spans="1:15" hidden="1" x14ac:dyDescent="0.25">
      <c r="A461" s="2">
        <f t="shared" si="7"/>
        <v>459</v>
      </c>
      <c r="B461" s="7" t="s">
        <v>6293</v>
      </c>
      <c r="C461" s="7" t="s">
        <v>6294</v>
      </c>
      <c r="D461" s="7" t="s">
        <v>6293</v>
      </c>
      <c r="E461" s="7" t="s">
        <v>74</v>
      </c>
      <c r="F461" s="7" t="s">
        <v>6295</v>
      </c>
      <c r="G461" s="17" t="s">
        <v>7747</v>
      </c>
      <c r="H461" s="7" t="s">
        <v>28</v>
      </c>
      <c r="I461" s="7" t="s">
        <v>567</v>
      </c>
      <c r="J461" s="7" t="s">
        <v>568</v>
      </c>
      <c r="K461" s="7" t="s">
        <v>6296</v>
      </c>
      <c r="L461" s="7" t="s">
        <v>79</v>
      </c>
      <c r="M461" s="7">
        <v>3.7356280000000002</v>
      </c>
      <c r="N461" s="7">
        <v>12.828688</v>
      </c>
      <c r="O461" s="7" t="s">
        <v>23</v>
      </c>
    </row>
    <row r="462" spans="1:15" hidden="1" x14ac:dyDescent="0.25">
      <c r="A462" s="2">
        <f t="shared" si="7"/>
        <v>460</v>
      </c>
      <c r="B462" s="7" t="s">
        <v>6303</v>
      </c>
      <c r="C462" s="7" t="s">
        <v>6304</v>
      </c>
      <c r="D462" s="7" t="s">
        <v>6303</v>
      </c>
      <c r="E462" s="7" t="s">
        <v>74</v>
      </c>
      <c r="F462" s="7" t="s">
        <v>6305</v>
      </c>
      <c r="G462" s="17" t="s">
        <v>7747</v>
      </c>
      <c r="H462" s="7" t="s">
        <v>19</v>
      </c>
      <c r="I462" s="7" t="s">
        <v>76</v>
      </c>
      <c r="J462" s="7" t="s">
        <v>77</v>
      </c>
      <c r="K462" s="7" t="s">
        <v>78</v>
      </c>
      <c r="L462" s="7" t="s">
        <v>79</v>
      </c>
      <c r="M462" s="7">
        <v>5.0577569999999996</v>
      </c>
      <c r="N462" s="7">
        <v>14.037787</v>
      </c>
      <c r="O462" s="7" t="s">
        <v>23</v>
      </c>
    </row>
    <row r="463" spans="1:15" hidden="1" x14ac:dyDescent="0.25">
      <c r="A463" s="2">
        <f t="shared" si="7"/>
        <v>461</v>
      </c>
      <c r="B463" s="7" t="s">
        <v>6306</v>
      </c>
      <c r="C463" s="7" t="s">
        <v>6307</v>
      </c>
      <c r="D463" s="7" t="s">
        <v>6306</v>
      </c>
      <c r="E463" s="7" t="s">
        <v>74</v>
      </c>
      <c r="F463" s="7" t="s">
        <v>6308</v>
      </c>
      <c r="G463" s="17" t="s">
        <v>7747</v>
      </c>
      <c r="H463" s="7" t="s">
        <v>19</v>
      </c>
      <c r="I463" s="7" t="s">
        <v>76</v>
      </c>
      <c r="J463" s="7" t="s">
        <v>77</v>
      </c>
      <c r="K463" s="7" t="s">
        <v>78</v>
      </c>
      <c r="L463" s="7" t="s">
        <v>79</v>
      </c>
      <c r="M463" s="7">
        <v>5.0574170000000001</v>
      </c>
      <c r="N463" s="7">
        <v>14.038582999999999</v>
      </c>
      <c r="O463" s="7" t="s">
        <v>23</v>
      </c>
    </row>
    <row r="464" spans="1:15" hidden="1" x14ac:dyDescent="0.25">
      <c r="A464" s="2">
        <f t="shared" si="7"/>
        <v>462</v>
      </c>
      <c r="B464" s="7" t="s">
        <v>6316</v>
      </c>
      <c r="C464" s="7" t="s">
        <v>6317</v>
      </c>
      <c r="D464" s="7" t="s">
        <v>6316</v>
      </c>
      <c r="E464" s="7" t="s">
        <v>74</v>
      </c>
      <c r="F464" s="7" t="s">
        <v>6318</v>
      </c>
      <c r="G464" s="17" t="s">
        <v>7747</v>
      </c>
      <c r="H464" s="7" t="s">
        <v>19</v>
      </c>
      <c r="I464" s="7" t="s">
        <v>263</v>
      </c>
      <c r="J464" s="7" t="s">
        <v>1937</v>
      </c>
      <c r="K464" s="7" t="s">
        <v>6319</v>
      </c>
      <c r="L464" s="7" t="s">
        <v>79</v>
      </c>
      <c r="M464" s="7">
        <v>3.9682240000000002</v>
      </c>
      <c r="N464" s="7">
        <v>14.269698999999999</v>
      </c>
      <c r="O464" s="7" t="s">
        <v>23</v>
      </c>
    </row>
    <row r="465" spans="1:15" hidden="1" x14ac:dyDescent="0.25">
      <c r="A465" s="2">
        <f t="shared" si="7"/>
        <v>463</v>
      </c>
      <c r="B465" s="7" t="s">
        <v>6320</v>
      </c>
      <c r="C465" s="7" t="s">
        <v>6321</v>
      </c>
      <c r="D465" s="7" t="s">
        <v>6320</v>
      </c>
      <c r="E465" s="7" t="s">
        <v>250</v>
      </c>
      <c r="F465" s="7" t="s">
        <v>6322</v>
      </c>
      <c r="G465" s="17" t="s">
        <v>7747</v>
      </c>
      <c r="H465" s="7" t="s">
        <v>28</v>
      </c>
      <c r="I465" s="7" t="s">
        <v>252</v>
      </c>
      <c r="J465" s="7" t="s">
        <v>6323</v>
      </c>
      <c r="K465" s="7" t="s">
        <v>6324</v>
      </c>
      <c r="L465" s="7" t="s">
        <v>79</v>
      </c>
      <c r="M465" s="7">
        <v>2.2298100000000001</v>
      </c>
      <c r="N465" s="7">
        <v>13.86411</v>
      </c>
      <c r="O465" s="7" t="s">
        <v>23</v>
      </c>
    </row>
    <row r="466" spans="1:15" hidden="1" x14ac:dyDescent="0.25">
      <c r="A466" s="2">
        <f t="shared" si="7"/>
        <v>464</v>
      </c>
      <c r="B466" s="7" t="s">
        <v>6373</v>
      </c>
      <c r="C466" s="7" t="s">
        <v>6374</v>
      </c>
      <c r="D466" s="7" t="s">
        <v>6373</v>
      </c>
      <c r="E466" s="7" t="s">
        <v>74</v>
      </c>
      <c r="F466" s="7" t="s">
        <v>6375</v>
      </c>
      <c r="G466" s="17" t="s">
        <v>7747</v>
      </c>
      <c r="H466" s="7" t="s">
        <v>28</v>
      </c>
      <c r="I466" s="7" t="s">
        <v>79</v>
      </c>
      <c r="J466" s="7" t="s">
        <v>77</v>
      </c>
      <c r="K466" s="7" t="s">
        <v>692</v>
      </c>
      <c r="L466" s="7" t="s">
        <v>79</v>
      </c>
      <c r="M466" s="7">
        <v>4.9221069999999996</v>
      </c>
      <c r="N466" s="7">
        <v>13.838283000000001</v>
      </c>
      <c r="O466" s="7" t="s">
        <v>23</v>
      </c>
    </row>
    <row r="467" spans="1:15" hidden="1" x14ac:dyDescent="0.25">
      <c r="A467" s="2">
        <f t="shared" si="7"/>
        <v>465</v>
      </c>
      <c r="B467" s="7" t="s">
        <v>6392</v>
      </c>
      <c r="C467" s="7" t="s">
        <v>6393</v>
      </c>
      <c r="D467" s="7" t="s">
        <v>6392</v>
      </c>
      <c r="E467" s="7" t="s">
        <v>74</v>
      </c>
      <c r="F467" s="7" t="s">
        <v>944</v>
      </c>
      <c r="G467" s="17" t="s">
        <v>7747</v>
      </c>
      <c r="H467" s="7" t="s">
        <v>28</v>
      </c>
      <c r="I467" s="7" t="s">
        <v>263</v>
      </c>
      <c r="J467" s="7" t="s">
        <v>1937</v>
      </c>
      <c r="K467" s="7" t="s">
        <v>6394</v>
      </c>
      <c r="L467" s="7" t="s">
        <v>79</v>
      </c>
      <c r="M467" s="7">
        <v>4.8880559999999997</v>
      </c>
      <c r="N467" s="7">
        <v>14.544055999999999</v>
      </c>
      <c r="O467" s="7" t="s">
        <v>23</v>
      </c>
    </row>
    <row r="468" spans="1:15" hidden="1" x14ac:dyDescent="0.25">
      <c r="A468" s="2">
        <f t="shared" si="7"/>
        <v>466</v>
      </c>
      <c r="B468" s="7" t="s">
        <v>6395</v>
      </c>
      <c r="C468" s="7" t="s">
        <v>6396</v>
      </c>
      <c r="D468" s="7" t="s">
        <v>6395</v>
      </c>
      <c r="E468" s="7" t="s">
        <v>74</v>
      </c>
      <c r="F468" s="7" t="s">
        <v>6397</v>
      </c>
      <c r="G468" s="17" t="s">
        <v>7747</v>
      </c>
      <c r="H468" s="7" t="s">
        <v>19</v>
      </c>
      <c r="I468" s="7" t="s">
        <v>263</v>
      </c>
      <c r="J468" s="7" t="s">
        <v>1937</v>
      </c>
      <c r="K468" s="7" t="s">
        <v>6114</v>
      </c>
      <c r="L468" s="7" t="s">
        <v>79</v>
      </c>
      <c r="M468" s="7">
        <v>4.1767779999999997</v>
      </c>
      <c r="N468" s="7">
        <v>15.032306</v>
      </c>
      <c r="O468" s="7" t="s">
        <v>23</v>
      </c>
    </row>
    <row r="469" spans="1:15" hidden="1" x14ac:dyDescent="0.25">
      <c r="A469" s="2">
        <f t="shared" si="7"/>
        <v>467</v>
      </c>
      <c r="B469" s="7" t="s">
        <v>6398</v>
      </c>
      <c r="C469" s="7" t="s">
        <v>6399</v>
      </c>
      <c r="D469" s="7" t="s">
        <v>6398</v>
      </c>
      <c r="E469" s="7" t="s">
        <v>74</v>
      </c>
      <c r="F469" s="7" t="s">
        <v>6400</v>
      </c>
      <c r="G469" s="17" t="s">
        <v>7747</v>
      </c>
      <c r="H469" s="7" t="s">
        <v>19</v>
      </c>
      <c r="I469" s="7" t="s">
        <v>263</v>
      </c>
      <c r="J469" s="7" t="s">
        <v>1937</v>
      </c>
      <c r="K469" s="7" t="s">
        <v>6114</v>
      </c>
      <c r="L469" s="7" t="s">
        <v>79</v>
      </c>
      <c r="M469" s="7">
        <v>4.1713399999999998</v>
      </c>
      <c r="N469" s="7">
        <v>15.030373000000001</v>
      </c>
      <c r="O469" s="7" t="s">
        <v>23</v>
      </c>
    </row>
    <row r="470" spans="1:15" hidden="1" x14ac:dyDescent="0.25">
      <c r="A470" s="2">
        <f t="shared" si="7"/>
        <v>468</v>
      </c>
      <c r="B470" s="7" t="s">
        <v>6434</v>
      </c>
      <c r="C470" s="7" t="s">
        <v>6435</v>
      </c>
      <c r="D470" s="7" t="s">
        <v>6434</v>
      </c>
      <c r="E470" s="7" t="s">
        <v>74</v>
      </c>
      <c r="F470" s="7" t="s">
        <v>6436</v>
      </c>
      <c r="G470" s="17" t="s">
        <v>7747</v>
      </c>
      <c r="H470" s="7" t="s">
        <v>28</v>
      </c>
      <c r="I470" s="7" t="s">
        <v>213</v>
      </c>
      <c r="J470" s="7" t="s">
        <v>1778</v>
      </c>
      <c r="K470" s="7" t="s">
        <v>6437</v>
      </c>
      <c r="L470" s="7" t="s">
        <v>79</v>
      </c>
      <c r="M470" s="7">
        <v>3.9268209999999999</v>
      </c>
      <c r="N470" s="7">
        <v>15.114776000000001</v>
      </c>
      <c r="O470" s="7" t="s">
        <v>23</v>
      </c>
    </row>
    <row r="471" spans="1:15" hidden="1" x14ac:dyDescent="0.25">
      <c r="A471" s="2">
        <f t="shared" si="7"/>
        <v>469</v>
      </c>
      <c r="B471" s="7" t="s">
        <v>6438</v>
      </c>
      <c r="C471" s="7" t="s">
        <v>6439</v>
      </c>
      <c r="D471" s="7" t="s">
        <v>6438</v>
      </c>
      <c r="E471" s="7" t="s">
        <v>74</v>
      </c>
      <c r="F471" s="7" t="s">
        <v>6440</v>
      </c>
      <c r="G471" s="17" t="s">
        <v>7747</v>
      </c>
      <c r="H471" s="7" t="s">
        <v>28</v>
      </c>
      <c r="I471" s="7" t="s">
        <v>76</v>
      </c>
      <c r="J471" s="7" t="s">
        <v>77</v>
      </c>
      <c r="K471" s="7" t="s">
        <v>78</v>
      </c>
      <c r="L471" s="7" t="s">
        <v>79</v>
      </c>
      <c r="M471" s="7">
        <v>5.2988249999999999</v>
      </c>
      <c r="N471" s="7">
        <v>14.026668000000001</v>
      </c>
      <c r="O471" s="7" t="s">
        <v>23</v>
      </c>
    </row>
    <row r="472" spans="1:15" hidden="1" x14ac:dyDescent="0.25">
      <c r="A472" s="2">
        <f t="shared" si="7"/>
        <v>470</v>
      </c>
      <c r="B472" s="7" t="s">
        <v>6475</v>
      </c>
      <c r="C472" s="7" t="s">
        <v>6476</v>
      </c>
      <c r="D472" s="7" t="s">
        <v>6475</v>
      </c>
      <c r="E472" s="7" t="s">
        <v>74</v>
      </c>
      <c r="F472" s="7" t="s">
        <v>6477</v>
      </c>
      <c r="G472" s="17" t="s">
        <v>7747</v>
      </c>
      <c r="H472" s="7" t="s">
        <v>28</v>
      </c>
      <c r="I472" s="7" t="s">
        <v>263</v>
      </c>
      <c r="J472" s="7" t="s">
        <v>1937</v>
      </c>
      <c r="K472" s="7" t="s">
        <v>263</v>
      </c>
      <c r="L472" s="7" t="s">
        <v>79</v>
      </c>
      <c r="M472" s="7">
        <v>4.4560469999999999</v>
      </c>
      <c r="N472" s="7">
        <v>14.461987000000001</v>
      </c>
      <c r="O472" s="7" t="s">
        <v>23</v>
      </c>
    </row>
    <row r="473" spans="1:15" hidden="1" x14ac:dyDescent="0.25">
      <c r="A473" s="2">
        <f t="shared" si="7"/>
        <v>471</v>
      </c>
      <c r="B473" s="7" t="s">
        <v>6514</v>
      </c>
      <c r="C473" s="7" t="s">
        <v>6515</v>
      </c>
      <c r="D473" s="7" t="s">
        <v>6514</v>
      </c>
      <c r="E473" s="7" t="s">
        <v>74</v>
      </c>
      <c r="F473" s="7" t="s">
        <v>6516</v>
      </c>
      <c r="G473" s="17" t="s">
        <v>7747</v>
      </c>
      <c r="H473" s="7" t="s">
        <v>19</v>
      </c>
      <c r="I473" s="7" t="s">
        <v>79</v>
      </c>
      <c r="J473" s="7" t="s">
        <v>77</v>
      </c>
      <c r="K473" s="7" t="s">
        <v>1415</v>
      </c>
      <c r="L473" s="7" t="s">
        <v>79</v>
      </c>
      <c r="M473" s="7">
        <v>4.6964090000000001</v>
      </c>
      <c r="N473" s="7">
        <v>13.832781000000001</v>
      </c>
      <c r="O473" s="7" t="s">
        <v>23</v>
      </c>
    </row>
    <row r="474" spans="1:15" hidden="1" x14ac:dyDescent="0.25">
      <c r="A474" s="2">
        <f t="shared" si="7"/>
        <v>472</v>
      </c>
      <c r="B474" s="7" t="s">
        <v>6517</v>
      </c>
      <c r="C474" s="7" t="s">
        <v>6518</v>
      </c>
      <c r="D474" s="7" t="s">
        <v>6517</v>
      </c>
      <c r="E474" s="7" t="s">
        <v>74</v>
      </c>
      <c r="F474" s="7" t="s">
        <v>6516</v>
      </c>
      <c r="G474" s="17" t="s">
        <v>7747</v>
      </c>
      <c r="H474" s="7" t="s">
        <v>19</v>
      </c>
      <c r="I474" s="7" t="s">
        <v>79</v>
      </c>
      <c r="J474" s="7" t="s">
        <v>77</v>
      </c>
      <c r="K474" s="7" t="s">
        <v>692</v>
      </c>
      <c r="L474" s="7" t="s">
        <v>79</v>
      </c>
      <c r="M474" s="7">
        <v>4.6964199999999998</v>
      </c>
      <c r="N474" s="7">
        <v>13.832808999999999</v>
      </c>
      <c r="O474" s="7" t="s">
        <v>23</v>
      </c>
    </row>
    <row r="475" spans="1:15" hidden="1" x14ac:dyDescent="0.25">
      <c r="A475" s="2">
        <f t="shared" si="7"/>
        <v>473</v>
      </c>
      <c r="B475" s="7" t="s">
        <v>6523</v>
      </c>
      <c r="C475" s="7" t="s">
        <v>6524</v>
      </c>
      <c r="D475" s="7" t="s">
        <v>6523</v>
      </c>
      <c r="E475" s="7" t="s">
        <v>74</v>
      </c>
      <c r="F475" s="7" t="s">
        <v>6525</v>
      </c>
      <c r="G475" s="17" t="s">
        <v>7747</v>
      </c>
      <c r="H475" s="7" t="s">
        <v>19</v>
      </c>
      <c r="I475" s="7" t="s">
        <v>263</v>
      </c>
      <c r="J475" s="7" t="s">
        <v>1937</v>
      </c>
      <c r="K475" s="7" t="s">
        <v>263</v>
      </c>
      <c r="L475" s="7" t="s">
        <v>79</v>
      </c>
      <c r="M475" s="7">
        <v>4.3894650000000004</v>
      </c>
      <c r="N475" s="7">
        <v>14.594251999999999</v>
      </c>
      <c r="O475" s="7" t="s">
        <v>23</v>
      </c>
    </row>
    <row r="476" spans="1:15" hidden="1" x14ac:dyDescent="0.25">
      <c r="A476" s="2">
        <f t="shared" si="7"/>
        <v>474</v>
      </c>
      <c r="B476" s="7" t="s">
        <v>6583</v>
      </c>
      <c r="C476" s="7" t="s">
        <v>6584</v>
      </c>
      <c r="D476" s="7" t="s">
        <v>6583</v>
      </c>
      <c r="E476" s="7" t="s">
        <v>182</v>
      </c>
      <c r="F476" s="7" t="s">
        <v>1987</v>
      </c>
      <c r="G476" s="17" t="s">
        <v>7747</v>
      </c>
      <c r="H476" s="7" t="s">
        <v>19</v>
      </c>
      <c r="I476" s="7" t="s">
        <v>817</v>
      </c>
      <c r="J476" s="7" t="s">
        <v>568</v>
      </c>
      <c r="K476" s="7" t="s">
        <v>1988</v>
      </c>
      <c r="L476" s="7" t="s">
        <v>79</v>
      </c>
      <c r="M476" s="7">
        <v>3.9998680000000002</v>
      </c>
      <c r="N476" s="7">
        <v>12.781851</v>
      </c>
      <c r="O476" s="7" t="s">
        <v>23</v>
      </c>
    </row>
    <row r="477" spans="1:15" hidden="1" x14ac:dyDescent="0.25">
      <c r="A477" s="2">
        <f t="shared" si="7"/>
        <v>475</v>
      </c>
      <c r="B477" s="7" t="s">
        <v>6791</v>
      </c>
      <c r="C477" s="7" t="s">
        <v>6792</v>
      </c>
      <c r="D477" s="7" t="s">
        <v>6791</v>
      </c>
      <c r="E477" s="7" t="s">
        <v>74</v>
      </c>
      <c r="F477" s="7" t="s">
        <v>6793</v>
      </c>
      <c r="G477" s="17" t="s">
        <v>7747</v>
      </c>
      <c r="H477" s="7" t="s">
        <v>28</v>
      </c>
      <c r="I477" s="7" t="s">
        <v>567</v>
      </c>
      <c r="J477" s="7" t="s">
        <v>568</v>
      </c>
      <c r="K477" s="7" t="s">
        <v>6794</v>
      </c>
      <c r="L477" s="7" t="s">
        <v>79</v>
      </c>
      <c r="M477" s="7">
        <v>4.0785999999999998</v>
      </c>
      <c r="N477" s="7">
        <v>13.000400000000001</v>
      </c>
      <c r="O477" s="7" t="s">
        <v>23</v>
      </c>
    </row>
    <row r="478" spans="1:15" hidden="1" x14ac:dyDescent="0.25">
      <c r="A478" s="2">
        <f t="shared" si="7"/>
        <v>476</v>
      </c>
      <c r="B478" s="7" t="s">
        <v>6825</v>
      </c>
      <c r="C478" s="7" t="s">
        <v>6826</v>
      </c>
      <c r="D478" s="7" t="s">
        <v>6825</v>
      </c>
      <c r="E478" s="7" t="s">
        <v>74</v>
      </c>
      <c r="F478" s="7" t="s">
        <v>6827</v>
      </c>
      <c r="G478" s="17" t="s">
        <v>7747</v>
      </c>
      <c r="H478" s="7" t="s">
        <v>28</v>
      </c>
      <c r="I478" s="7" t="s">
        <v>263</v>
      </c>
      <c r="J478" s="7" t="s">
        <v>1937</v>
      </c>
      <c r="K478" s="7" t="s">
        <v>6828</v>
      </c>
      <c r="L478" s="7" t="s">
        <v>79</v>
      </c>
      <c r="M478" s="7">
        <v>4.2725280000000003</v>
      </c>
      <c r="N478" s="7">
        <v>14.050193999999999</v>
      </c>
      <c r="O478" s="7" t="s">
        <v>23</v>
      </c>
    </row>
    <row r="479" spans="1:15" hidden="1" x14ac:dyDescent="0.25">
      <c r="A479" s="2">
        <f t="shared" si="7"/>
        <v>477</v>
      </c>
      <c r="B479" s="7" t="s">
        <v>6829</v>
      </c>
      <c r="C479" s="7" t="s">
        <v>6830</v>
      </c>
      <c r="D479" s="7" t="s">
        <v>6829</v>
      </c>
      <c r="E479" s="7" t="s">
        <v>74</v>
      </c>
      <c r="F479" s="7" t="s">
        <v>6831</v>
      </c>
      <c r="G479" s="17" t="s">
        <v>7747</v>
      </c>
      <c r="H479" s="7" t="s">
        <v>28</v>
      </c>
      <c r="I479" s="7" t="s">
        <v>263</v>
      </c>
      <c r="J479" s="7" t="s">
        <v>1937</v>
      </c>
      <c r="K479" s="7" t="s">
        <v>6828</v>
      </c>
      <c r="L479" s="7" t="s">
        <v>79</v>
      </c>
      <c r="M479" s="7">
        <v>4.0692259999999996</v>
      </c>
      <c r="N479" s="7">
        <v>14.048299999999999</v>
      </c>
      <c r="O479" s="7" t="s">
        <v>23</v>
      </c>
    </row>
    <row r="480" spans="1:15" hidden="1" x14ac:dyDescent="0.25">
      <c r="A480" s="2">
        <f t="shared" si="7"/>
        <v>478</v>
      </c>
      <c r="B480" s="7" t="s">
        <v>6949</v>
      </c>
      <c r="C480" s="7" t="s">
        <v>6950</v>
      </c>
      <c r="D480" s="7" t="s">
        <v>6949</v>
      </c>
      <c r="E480" s="7" t="s">
        <v>74</v>
      </c>
      <c r="F480" s="7" t="s">
        <v>6951</v>
      </c>
      <c r="G480" s="17" t="s">
        <v>7747</v>
      </c>
      <c r="H480" s="7" t="s">
        <v>28</v>
      </c>
      <c r="I480" s="7" t="s">
        <v>263</v>
      </c>
      <c r="J480" s="7" t="s">
        <v>6952</v>
      </c>
      <c r="K480" s="7" t="s">
        <v>263</v>
      </c>
      <c r="L480" s="7" t="s">
        <v>79</v>
      </c>
      <c r="M480" s="7">
        <v>4.4509720000000002</v>
      </c>
      <c r="N480" s="7">
        <v>14.371389000000001</v>
      </c>
      <c r="O480" s="7" t="s">
        <v>23</v>
      </c>
    </row>
    <row r="481" spans="1:15" hidden="1" x14ac:dyDescent="0.25">
      <c r="A481" s="2">
        <f t="shared" si="7"/>
        <v>479</v>
      </c>
      <c r="B481" s="7" t="s">
        <v>7037</v>
      </c>
      <c r="C481" s="7" t="s">
        <v>7038</v>
      </c>
      <c r="D481" s="7" t="s">
        <v>7037</v>
      </c>
      <c r="E481" s="7" t="s">
        <v>74</v>
      </c>
      <c r="F481" s="7" t="s">
        <v>7039</v>
      </c>
      <c r="G481" s="17" t="s">
        <v>7747</v>
      </c>
      <c r="H481" s="7" t="s">
        <v>28</v>
      </c>
      <c r="I481" s="7" t="s">
        <v>79</v>
      </c>
      <c r="J481" s="7" t="s">
        <v>7040</v>
      </c>
      <c r="K481" s="7" t="s">
        <v>639</v>
      </c>
      <c r="L481" s="7" t="s">
        <v>79</v>
      </c>
      <c r="M481" s="7">
        <v>4.6088259999999996</v>
      </c>
      <c r="N481" s="7">
        <v>13.675572000000001</v>
      </c>
      <c r="O481" s="7" t="s">
        <v>23</v>
      </c>
    </row>
    <row r="482" spans="1:15" hidden="1" x14ac:dyDescent="0.25">
      <c r="A482" s="2">
        <f t="shared" si="7"/>
        <v>480</v>
      </c>
      <c r="B482" s="7" t="s">
        <v>7086</v>
      </c>
      <c r="C482" s="7" t="s">
        <v>7087</v>
      </c>
      <c r="D482" s="7" t="s">
        <v>7086</v>
      </c>
      <c r="E482" s="7" t="s">
        <v>250</v>
      </c>
      <c r="F482" s="7" t="s">
        <v>7088</v>
      </c>
      <c r="G482" s="17" t="s">
        <v>7747</v>
      </c>
      <c r="H482" s="7" t="s">
        <v>28</v>
      </c>
      <c r="I482" s="7" t="s">
        <v>252</v>
      </c>
      <c r="J482" s="7" t="s">
        <v>7089</v>
      </c>
      <c r="K482" s="7" t="s">
        <v>6282</v>
      </c>
      <c r="L482" s="7" t="s">
        <v>79</v>
      </c>
      <c r="M482" s="7">
        <v>2.3178999999999998</v>
      </c>
      <c r="N482" s="7">
        <v>13.414199999999999</v>
      </c>
      <c r="O482" s="7" t="s">
        <v>23</v>
      </c>
    </row>
    <row r="483" spans="1:15" hidden="1" x14ac:dyDescent="0.25">
      <c r="A483" s="2">
        <f t="shared" si="7"/>
        <v>481</v>
      </c>
      <c r="B483" s="7" t="s">
        <v>7090</v>
      </c>
      <c r="C483" s="7" t="s">
        <v>7091</v>
      </c>
      <c r="D483" s="7" t="s">
        <v>7090</v>
      </c>
      <c r="E483" s="7" t="s">
        <v>250</v>
      </c>
      <c r="F483" s="7" t="s">
        <v>7092</v>
      </c>
      <c r="G483" s="17" t="s">
        <v>7747</v>
      </c>
      <c r="H483" s="7" t="s">
        <v>28</v>
      </c>
      <c r="I483" s="7" t="s">
        <v>252</v>
      </c>
      <c r="J483" s="7" t="s">
        <v>7093</v>
      </c>
      <c r="K483" s="7" t="s">
        <v>6282</v>
      </c>
      <c r="L483" s="7" t="s">
        <v>79</v>
      </c>
      <c r="M483" s="7">
        <v>2.1872919999999998</v>
      </c>
      <c r="N483" s="7">
        <v>13.65634</v>
      </c>
      <c r="O483" s="7" t="s">
        <v>23</v>
      </c>
    </row>
    <row r="484" spans="1:15" hidden="1" x14ac:dyDescent="0.25">
      <c r="A484" s="2">
        <f t="shared" si="7"/>
        <v>482</v>
      </c>
      <c r="B484" s="7" t="s">
        <v>7136</v>
      </c>
      <c r="C484" s="7" t="s">
        <v>7137</v>
      </c>
      <c r="D484" s="7" t="s">
        <v>7136</v>
      </c>
      <c r="E484" s="7" t="s">
        <v>74</v>
      </c>
      <c r="F484" s="7" t="s">
        <v>7138</v>
      </c>
      <c r="G484" s="17" t="s">
        <v>7747</v>
      </c>
      <c r="H484" s="7" t="s">
        <v>28</v>
      </c>
      <c r="I484" s="7" t="s">
        <v>263</v>
      </c>
      <c r="J484" s="7" t="s">
        <v>6952</v>
      </c>
      <c r="K484" s="7" t="s">
        <v>1779</v>
      </c>
      <c r="L484" s="7" t="s">
        <v>79</v>
      </c>
      <c r="M484" s="7">
        <v>4.1816433000000002</v>
      </c>
      <c r="N484" s="7">
        <v>15.0236283</v>
      </c>
      <c r="O484" s="7" t="s">
        <v>23</v>
      </c>
    </row>
    <row r="485" spans="1:15" hidden="1" x14ac:dyDescent="0.25">
      <c r="A485" s="2">
        <f t="shared" si="7"/>
        <v>483</v>
      </c>
      <c r="B485" s="7" t="s">
        <v>7161</v>
      </c>
      <c r="C485" s="7" t="s">
        <v>7162</v>
      </c>
      <c r="D485" s="7" t="s">
        <v>7161</v>
      </c>
      <c r="E485" s="7" t="s">
        <v>74</v>
      </c>
      <c r="F485" s="7" t="s">
        <v>7163</v>
      </c>
      <c r="G485" s="17" t="s">
        <v>7747</v>
      </c>
      <c r="H485" s="7" t="s">
        <v>28</v>
      </c>
      <c r="I485" s="7" t="s">
        <v>79</v>
      </c>
      <c r="J485" s="7" t="s">
        <v>7164</v>
      </c>
      <c r="K485" s="7" t="s">
        <v>639</v>
      </c>
      <c r="L485" s="7" t="s">
        <v>79</v>
      </c>
      <c r="M485" s="7">
        <v>4.5567000000000002</v>
      </c>
      <c r="N485" s="7">
        <v>13.634600000000001</v>
      </c>
      <c r="O485" s="7" t="s">
        <v>23</v>
      </c>
    </row>
    <row r="486" spans="1:15" hidden="1" x14ac:dyDescent="0.25">
      <c r="A486" s="2">
        <f t="shared" si="7"/>
        <v>484</v>
      </c>
      <c r="B486" s="7" t="s">
        <v>7198</v>
      </c>
      <c r="C486" s="7" t="s">
        <v>7199</v>
      </c>
      <c r="D486" s="7" t="s">
        <v>7198</v>
      </c>
      <c r="E486" s="7" t="s">
        <v>74</v>
      </c>
      <c r="F486" s="7" t="s">
        <v>7200</v>
      </c>
      <c r="G486" s="17" t="s">
        <v>7747</v>
      </c>
      <c r="H486" s="7" t="s">
        <v>28</v>
      </c>
      <c r="I486" s="7" t="s">
        <v>213</v>
      </c>
      <c r="J486" s="7" t="s">
        <v>53</v>
      </c>
      <c r="K486" s="7" t="s">
        <v>54</v>
      </c>
      <c r="L486" s="7" t="s">
        <v>79</v>
      </c>
      <c r="M486" s="7">
        <v>3.513414</v>
      </c>
      <c r="N486" s="7">
        <v>15.047088</v>
      </c>
      <c r="O486" s="7" t="s">
        <v>23</v>
      </c>
    </row>
    <row r="487" spans="1:15" hidden="1" x14ac:dyDescent="0.25">
      <c r="A487" s="2">
        <f t="shared" si="7"/>
        <v>485</v>
      </c>
      <c r="B487" s="7" t="s">
        <v>7215</v>
      </c>
      <c r="C487" s="7" t="s">
        <v>7216</v>
      </c>
      <c r="D487" s="7" t="s">
        <v>7215</v>
      </c>
      <c r="E487" s="7" t="s">
        <v>250</v>
      </c>
      <c r="F487" s="7" t="s">
        <v>7217</v>
      </c>
      <c r="G487" s="17" t="s">
        <v>7747</v>
      </c>
      <c r="H487" s="7" t="s">
        <v>28</v>
      </c>
      <c r="I487" s="7" t="s">
        <v>567</v>
      </c>
      <c r="J487" s="7" t="s">
        <v>568</v>
      </c>
      <c r="K487" s="7" t="s">
        <v>569</v>
      </c>
      <c r="L487" s="7" t="s">
        <v>79</v>
      </c>
      <c r="M487" s="7">
        <v>4.0080277999999998</v>
      </c>
      <c r="N487" s="7">
        <v>12.8443889</v>
      </c>
      <c r="O487" s="7" t="s">
        <v>23</v>
      </c>
    </row>
    <row r="488" spans="1:15" hidden="1" x14ac:dyDescent="0.25">
      <c r="A488" s="2">
        <f t="shared" si="7"/>
        <v>486</v>
      </c>
      <c r="B488" s="7" t="s">
        <v>7226</v>
      </c>
      <c r="C488" s="7" t="s">
        <v>7227</v>
      </c>
      <c r="D488" s="7" t="s">
        <v>7226</v>
      </c>
      <c r="E488" s="7" t="s">
        <v>74</v>
      </c>
      <c r="F488" s="7" t="s">
        <v>7228</v>
      </c>
      <c r="G488" s="17" t="s">
        <v>7747</v>
      </c>
      <c r="H488" s="7" t="s">
        <v>28</v>
      </c>
      <c r="I488" s="7" t="s">
        <v>263</v>
      </c>
      <c r="J488" s="7" t="s">
        <v>1937</v>
      </c>
      <c r="K488" s="7" t="s">
        <v>6828</v>
      </c>
      <c r="L488" s="7" t="s">
        <v>79</v>
      </c>
      <c r="M488" s="7">
        <v>4.2588699999999999</v>
      </c>
      <c r="N488" s="7">
        <v>14.644130000000001</v>
      </c>
      <c r="O488" s="7" t="s">
        <v>23</v>
      </c>
    </row>
    <row r="489" spans="1:15" hidden="1" x14ac:dyDescent="0.25">
      <c r="A489" s="2">
        <f t="shared" si="7"/>
        <v>487</v>
      </c>
      <c r="B489" s="7" t="s">
        <v>7232</v>
      </c>
      <c r="C489" s="7" t="s">
        <v>7233</v>
      </c>
      <c r="D489" s="7" t="s">
        <v>7232</v>
      </c>
      <c r="E489" s="7" t="s">
        <v>74</v>
      </c>
      <c r="F489" s="7" t="s">
        <v>7234</v>
      </c>
      <c r="G489" s="17" t="s">
        <v>7747</v>
      </c>
      <c r="H489" s="7" t="s">
        <v>28</v>
      </c>
      <c r="I489" s="7" t="s">
        <v>213</v>
      </c>
      <c r="J489" s="7" t="s">
        <v>7235</v>
      </c>
      <c r="K489" s="7" t="s">
        <v>6172</v>
      </c>
      <c r="L489" s="7" t="s">
        <v>79</v>
      </c>
      <c r="M489" s="7">
        <v>4.1668079999999996</v>
      </c>
      <c r="N489" s="7">
        <v>14.822471</v>
      </c>
      <c r="O489" s="7" t="s">
        <v>23</v>
      </c>
    </row>
    <row r="490" spans="1:15" hidden="1" x14ac:dyDescent="0.25">
      <c r="A490" s="2">
        <f t="shared" si="7"/>
        <v>488</v>
      </c>
      <c r="B490" s="7" t="s">
        <v>7259</v>
      </c>
      <c r="C490" s="7" t="s">
        <v>7260</v>
      </c>
      <c r="D490" s="7" t="s">
        <v>7259</v>
      </c>
      <c r="E490" s="7" t="s">
        <v>74</v>
      </c>
      <c r="F490" s="7" t="s">
        <v>7261</v>
      </c>
      <c r="G490" s="17" t="s">
        <v>7747</v>
      </c>
      <c r="H490" s="7" t="s">
        <v>28</v>
      </c>
      <c r="I490" s="7" t="s">
        <v>263</v>
      </c>
      <c r="J490" s="7" t="s">
        <v>6952</v>
      </c>
      <c r="K490" s="7" t="s">
        <v>263</v>
      </c>
      <c r="L490" s="7" t="s">
        <v>79</v>
      </c>
      <c r="M490" s="7">
        <v>4.4424682999999998</v>
      </c>
      <c r="N490" s="7">
        <v>14.351566699999999</v>
      </c>
      <c r="O490" s="7" t="s">
        <v>23</v>
      </c>
    </row>
    <row r="491" spans="1:15" hidden="1" x14ac:dyDescent="0.25">
      <c r="A491" s="2">
        <f t="shared" si="7"/>
        <v>489</v>
      </c>
      <c r="B491" s="7" t="s">
        <v>7470</v>
      </c>
      <c r="C491" s="7" t="s">
        <v>7471</v>
      </c>
      <c r="D491" s="7" t="s">
        <v>7470</v>
      </c>
      <c r="E491" s="7" t="s">
        <v>74</v>
      </c>
      <c r="F491" s="7" t="s">
        <v>7472</v>
      </c>
      <c r="G491" s="17" t="s">
        <v>7747</v>
      </c>
      <c r="H491" s="7" t="s">
        <v>28</v>
      </c>
      <c r="I491" s="7" t="s">
        <v>79</v>
      </c>
      <c r="J491" s="7" t="s">
        <v>904</v>
      </c>
      <c r="K491" s="7" t="s">
        <v>1302</v>
      </c>
      <c r="L491" s="7" t="s">
        <v>79</v>
      </c>
      <c r="M491" s="7">
        <v>4.5528890000000004</v>
      </c>
      <c r="N491" s="7">
        <v>13.686737000000001</v>
      </c>
      <c r="O491" s="7" t="s">
        <v>23</v>
      </c>
    </row>
    <row r="492" spans="1:15" hidden="1" x14ac:dyDescent="0.25">
      <c r="A492" s="2">
        <f t="shared" si="7"/>
        <v>490</v>
      </c>
      <c r="B492" s="7" t="s">
        <v>7473</v>
      </c>
      <c r="C492" s="7" t="s">
        <v>7474</v>
      </c>
      <c r="D492" s="7" t="s">
        <v>7473</v>
      </c>
      <c r="E492" s="7" t="s">
        <v>74</v>
      </c>
      <c r="F492" s="7" t="s">
        <v>7475</v>
      </c>
      <c r="G492" s="17" t="s">
        <v>7747</v>
      </c>
      <c r="H492" s="7" t="s">
        <v>28</v>
      </c>
      <c r="I492" s="7" t="s">
        <v>263</v>
      </c>
      <c r="J492" s="7" t="s">
        <v>7476</v>
      </c>
      <c r="K492" s="7" t="s">
        <v>7477</v>
      </c>
      <c r="L492" s="7" t="s">
        <v>79</v>
      </c>
      <c r="M492" s="7">
        <v>4.4218000000000002</v>
      </c>
      <c r="N492" s="7">
        <v>14.355600000000001</v>
      </c>
      <c r="O492" s="7" t="s">
        <v>23</v>
      </c>
    </row>
    <row r="493" spans="1:15" hidden="1" x14ac:dyDescent="0.25">
      <c r="A493" s="2">
        <f t="shared" si="7"/>
        <v>491</v>
      </c>
      <c r="B493" s="7" t="s">
        <v>7478</v>
      </c>
      <c r="C493" s="7" t="s">
        <v>7479</v>
      </c>
      <c r="D493" s="7" t="s">
        <v>7478</v>
      </c>
      <c r="E493" s="7" t="s">
        <v>74</v>
      </c>
      <c r="F493" s="7" t="s">
        <v>7480</v>
      </c>
      <c r="G493" s="17" t="s">
        <v>7747</v>
      </c>
      <c r="H493" s="7" t="s">
        <v>28</v>
      </c>
      <c r="I493" s="7" t="s">
        <v>263</v>
      </c>
      <c r="J493" s="7" t="s">
        <v>7481</v>
      </c>
      <c r="K493" s="7" t="s">
        <v>7477</v>
      </c>
      <c r="L493" s="7" t="s">
        <v>79</v>
      </c>
      <c r="M493" s="7">
        <v>4.4485130000000002</v>
      </c>
      <c r="N493" s="7">
        <v>14.372099</v>
      </c>
      <c r="O493" s="7" t="s">
        <v>23</v>
      </c>
    </row>
    <row r="494" spans="1:15" hidden="1" x14ac:dyDescent="0.25">
      <c r="A494" s="2">
        <f t="shared" si="7"/>
        <v>492</v>
      </c>
      <c r="B494" s="7" t="s">
        <v>7488</v>
      </c>
      <c r="C494" s="7" t="s">
        <v>7489</v>
      </c>
      <c r="D494" s="7" t="s">
        <v>7488</v>
      </c>
      <c r="E494" s="7" t="s">
        <v>74</v>
      </c>
      <c r="F494" s="7" t="s">
        <v>7490</v>
      </c>
      <c r="G494" s="17" t="s">
        <v>7747</v>
      </c>
      <c r="H494" s="7" t="s">
        <v>28</v>
      </c>
      <c r="I494" s="7" t="s">
        <v>7491</v>
      </c>
      <c r="J494" s="7" t="s">
        <v>7492</v>
      </c>
      <c r="K494" s="7" t="s">
        <v>993</v>
      </c>
      <c r="L494" s="7" t="s">
        <v>79</v>
      </c>
      <c r="M494" s="7">
        <v>5.5097069999999997</v>
      </c>
      <c r="N494" s="7">
        <v>14.106161999999999</v>
      </c>
      <c r="O494" s="7" t="s">
        <v>23</v>
      </c>
    </row>
    <row r="495" spans="1:15" hidden="1" x14ac:dyDescent="0.25">
      <c r="A495" s="2">
        <f t="shared" si="7"/>
        <v>493</v>
      </c>
      <c r="B495" s="7" t="s">
        <v>7503</v>
      </c>
      <c r="C495" s="7" t="s">
        <v>7504</v>
      </c>
      <c r="D495" s="7" t="s">
        <v>7503</v>
      </c>
      <c r="E495" s="7" t="s">
        <v>74</v>
      </c>
      <c r="F495" s="7" t="s">
        <v>7505</v>
      </c>
      <c r="G495" s="17" t="s">
        <v>7747</v>
      </c>
      <c r="H495" s="7" t="s">
        <v>28</v>
      </c>
      <c r="I495" s="7" t="s">
        <v>79</v>
      </c>
      <c r="J495" s="7" t="s">
        <v>904</v>
      </c>
      <c r="K495" s="7" t="s">
        <v>7506</v>
      </c>
      <c r="L495" s="7" t="s">
        <v>79</v>
      </c>
      <c r="M495" s="7">
        <v>4.5846410000000004</v>
      </c>
      <c r="N495" s="7">
        <v>13.73644</v>
      </c>
      <c r="O495" s="7" t="s">
        <v>23</v>
      </c>
    </row>
    <row r="496" spans="1:15" hidden="1" x14ac:dyDescent="0.25">
      <c r="A496" s="2">
        <f t="shared" si="7"/>
        <v>494</v>
      </c>
      <c r="B496" s="7" t="s">
        <v>7617</v>
      </c>
      <c r="C496" s="7" t="s">
        <v>7618</v>
      </c>
      <c r="D496" s="7" t="s">
        <v>7617</v>
      </c>
      <c r="E496" s="7" t="s">
        <v>74</v>
      </c>
      <c r="F496" s="7" t="s">
        <v>7619</v>
      </c>
      <c r="G496" s="17" t="s">
        <v>7747</v>
      </c>
      <c r="H496" s="7" t="s">
        <v>28</v>
      </c>
      <c r="I496" s="10" t="s">
        <v>263</v>
      </c>
      <c r="J496" s="10" t="s">
        <v>1937</v>
      </c>
      <c r="K496" s="10" t="s">
        <v>2020</v>
      </c>
      <c r="L496" s="7" t="s">
        <v>79</v>
      </c>
      <c r="M496" s="7">
        <v>4.4388629999999996</v>
      </c>
      <c r="N496" s="7">
        <v>14.382213</v>
      </c>
      <c r="O496" s="7" t="s">
        <v>23</v>
      </c>
    </row>
    <row r="497" spans="1:15" x14ac:dyDescent="0.25">
      <c r="A497" s="2">
        <f t="shared" si="7"/>
        <v>495</v>
      </c>
      <c r="B497" s="7" t="s">
        <v>32</v>
      </c>
      <c r="C497" s="7" t="s">
        <v>33</v>
      </c>
      <c r="D497" s="7" t="s">
        <v>32</v>
      </c>
      <c r="E497" s="7" t="s">
        <v>34</v>
      </c>
      <c r="F497" s="7" t="s">
        <v>35</v>
      </c>
      <c r="G497" s="8" t="s">
        <v>36</v>
      </c>
      <c r="H497" s="7" t="s">
        <v>28</v>
      </c>
      <c r="I497" s="7" t="s">
        <v>37</v>
      </c>
      <c r="J497" s="7" t="s">
        <v>38</v>
      </c>
      <c r="K497" s="7" t="s">
        <v>39</v>
      </c>
      <c r="L497" s="7" t="s">
        <v>37</v>
      </c>
      <c r="M497" s="7">
        <v>4.3199170000000002</v>
      </c>
      <c r="N497" s="7">
        <v>9.4300280000000001</v>
      </c>
      <c r="O497" s="7" t="s">
        <v>23</v>
      </c>
    </row>
    <row r="498" spans="1:15" x14ac:dyDescent="0.25">
      <c r="A498" s="2">
        <f t="shared" si="7"/>
        <v>496</v>
      </c>
      <c r="B498" s="7" t="s">
        <v>80</v>
      </c>
      <c r="C498" s="7" t="s">
        <v>81</v>
      </c>
      <c r="D498" s="7" t="s">
        <v>80</v>
      </c>
      <c r="E498" s="7" t="s">
        <v>34</v>
      </c>
      <c r="F498" s="7" t="s">
        <v>82</v>
      </c>
      <c r="G498" s="8" t="s">
        <v>18</v>
      </c>
      <c r="H498" s="7" t="s">
        <v>28</v>
      </c>
      <c r="I498" s="7" t="s">
        <v>37</v>
      </c>
      <c r="J498" s="7" t="s">
        <v>38</v>
      </c>
      <c r="K498" s="7" t="s">
        <v>37</v>
      </c>
      <c r="L498" s="7" t="s">
        <v>37</v>
      </c>
      <c r="M498" s="7">
        <v>4.1245200000000004</v>
      </c>
      <c r="N498" s="7">
        <v>9.2476299999999991</v>
      </c>
      <c r="O498" s="7" t="s">
        <v>23</v>
      </c>
    </row>
    <row r="499" spans="1:15" x14ac:dyDescent="0.25">
      <c r="A499" s="2">
        <f t="shared" si="7"/>
        <v>497</v>
      </c>
      <c r="B499" s="7" t="s">
        <v>83</v>
      </c>
      <c r="C499" s="7" t="s">
        <v>84</v>
      </c>
      <c r="D499" s="7" t="s">
        <v>83</v>
      </c>
      <c r="E499" s="7" t="s">
        <v>34</v>
      </c>
      <c r="F499" s="7" t="s">
        <v>85</v>
      </c>
      <c r="G499" s="8" t="s">
        <v>18</v>
      </c>
      <c r="H499" s="7" t="s">
        <v>28</v>
      </c>
      <c r="I499" s="7" t="s">
        <v>37</v>
      </c>
      <c r="J499" s="7" t="s">
        <v>38</v>
      </c>
      <c r="K499" s="7" t="s">
        <v>37</v>
      </c>
      <c r="L499" s="7" t="s">
        <v>37</v>
      </c>
      <c r="M499" s="7">
        <v>4.1463429999999999</v>
      </c>
      <c r="N499" s="7">
        <v>9.2511530000000004</v>
      </c>
      <c r="O499" s="7" t="s">
        <v>23</v>
      </c>
    </row>
    <row r="500" spans="1:15" x14ac:dyDescent="0.25">
      <c r="A500" s="2">
        <f t="shared" si="7"/>
        <v>498</v>
      </c>
      <c r="B500" s="7" t="s">
        <v>438</v>
      </c>
      <c r="C500" s="7" t="s">
        <v>439</v>
      </c>
      <c r="D500" s="7" t="s">
        <v>438</v>
      </c>
      <c r="E500" s="7" t="s">
        <v>34</v>
      </c>
      <c r="F500" s="7" t="s">
        <v>440</v>
      </c>
      <c r="G500" s="8" t="s">
        <v>18</v>
      </c>
      <c r="H500" s="7" t="s">
        <v>28</v>
      </c>
      <c r="I500" s="7" t="s">
        <v>441</v>
      </c>
      <c r="J500" s="7" t="s">
        <v>38</v>
      </c>
      <c r="K500" s="7" t="s">
        <v>442</v>
      </c>
      <c r="L500" s="7" t="s">
        <v>37</v>
      </c>
      <c r="M500" s="7">
        <v>4.092657</v>
      </c>
      <c r="N500" s="7">
        <v>9.3193400000000004</v>
      </c>
      <c r="O500" s="7" t="s">
        <v>23</v>
      </c>
    </row>
    <row r="501" spans="1:15" x14ac:dyDescent="0.25">
      <c r="A501" s="2">
        <f t="shared" si="7"/>
        <v>499</v>
      </c>
      <c r="B501" s="7" t="s">
        <v>443</v>
      </c>
      <c r="C501" s="7" t="s">
        <v>444</v>
      </c>
      <c r="D501" s="7" t="s">
        <v>443</v>
      </c>
      <c r="E501" s="7" t="s">
        <v>34</v>
      </c>
      <c r="F501" s="7" t="s">
        <v>445</v>
      </c>
      <c r="G501" s="8" t="s">
        <v>18</v>
      </c>
      <c r="H501" s="7" t="s">
        <v>28</v>
      </c>
      <c r="I501" s="7" t="s">
        <v>441</v>
      </c>
      <c r="J501" s="7" t="s">
        <v>38</v>
      </c>
      <c r="K501" s="7" t="s">
        <v>442</v>
      </c>
      <c r="L501" s="7" t="s">
        <v>37</v>
      </c>
      <c r="M501" s="7">
        <v>4.0897220000000001</v>
      </c>
      <c r="N501" s="7">
        <v>9.3243329999999993</v>
      </c>
      <c r="O501" s="7" t="s">
        <v>23</v>
      </c>
    </row>
    <row r="502" spans="1:15" x14ac:dyDescent="0.25">
      <c r="A502" s="2">
        <f t="shared" si="7"/>
        <v>500</v>
      </c>
      <c r="B502" s="7" t="s">
        <v>446</v>
      </c>
      <c r="C502" s="7" t="s">
        <v>447</v>
      </c>
      <c r="D502" s="7" t="s">
        <v>446</v>
      </c>
      <c r="E502" s="7" t="s">
        <v>34</v>
      </c>
      <c r="F502" s="7" t="s">
        <v>448</v>
      </c>
      <c r="G502" s="8" t="s">
        <v>18</v>
      </c>
      <c r="H502" s="7" t="s">
        <v>28</v>
      </c>
      <c r="I502" s="7" t="s">
        <v>441</v>
      </c>
      <c r="J502" s="7" t="s">
        <v>38</v>
      </c>
      <c r="K502" s="7" t="s">
        <v>442</v>
      </c>
      <c r="L502" s="7" t="s">
        <v>37</v>
      </c>
      <c r="M502" s="7">
        <v>4.0782100000000003</v>
      </c>
      <c r="N502" s="7">
        <v>9.2765079999999998</v>
      </c>
      <c r="O502" s="7" t="s">
        <v>23</v>
      </c>
    </row>
    <row r="503" spans="1:15" x14ac:dyDescent="0.25">
      <c r="A503" s="2">
        <f t="shared" si="7"/>
        <v>501</v>
      </c>
      <c r="B503" s="7" t="s">
        <v>449</v>
      </c>
      <c r="C503" s="7" t="s">
        <v>450</v>
      </c>
      <c r="D503" s="7" t="s">
        <v>449</v>
      </c>
      <c r="E503" s="7" t="s">
        <v>34</v>
      </c>
      <c r="F503" s="7" t="s">
        <v>451</v>
      </c>
      <c r="G503" s="8" t="s">
        <v>18</v>
      </c>
      <c r="H503" s="7" t="s">
        <v>28</v>
      </c>
      <c r="I503" s="7" t="s">
        <v>37</v>
      </c>
      <c r="J503" s="7" t="s">
        <v>38</v>
      </c>
      <c r="K503" s="7" t="s">
        <v>39</v>
      </c>
      <c r="L503" s="7" t="s">
        <v>37</v>
      </c>
      <c r="M503" s="7">
        <v>4.4045833329999997</v>
      </c>
      <c r="N503" s="7">
        <v>9.1268055560000008</v>
      </c>
      <c r="O503" s="7" t="s">
        <v>23</v>
      </c>
    </row>
    <row r="504" spans="1:15" x14ac:dyDescent="0.25">
      <c r="A504" s="2">
        <f t="shared" si="7"/>
        <v>502</v>
      </c>
      <c r="B504" s="7" t="s">
        <v>452</v>
      </c>
      <c r="C504" s="7" t="s">
        <v>453</v>
      </c>
      <c r="D504" s="7" t="s">
        <v>452</v>
      </c>
      <c r="E504" s="7" t="s">
        <v>34</v>
      </c>
      <c r="F504" s="7" t="s">
        <v>454</v>
      </c>
      <c r="G504" s="8" t="s">
        <v>18</v>
      </c>
      <c r="H504" s="7" t="s">
        <v>28</v>
      </c>
      <c r="I504" s="7" t="s">
        <v>37</v>
      </c>
      <c r="J504" s="7" t="s">
        <v>38</v>
      </c>
      <c r="K504" s="7" t="s">
        <v>39</v>
      </c>
      <c r="L504" s="7" t="s">
        <v>37</v>
      </c>
      <c r="M504" s="7">
        <v>4.3542019999999999</v>
      </c>
      <c r="N504" s="7">
        <v>9.3152460000000001</v>
      </c>
      <c r="O504" s="7" t="s">
        <v>23</v>
      </c>
    </row>
    <row r="505" spans="1:15" x14ac:dyDescent="0.25">
      <c r="A505" s="2">
        <f t="shared" si="7"/>
        <v>503</v>
      </c>
      <c r="B505" s="7" t="s">
        <v>494</v>
      </c>
      <c r="C505" s="7" t="s">
        <v>495</v>
      </c>
      <c r="D505" s="7" t="s">
        <v>494</v>
      </c>
      <c r="E505" s="7" t="s">
        <v>34</v>
      </c>
      <c r="F505" s="7" t="s">
        <v>496</v>
      </c>
      <c r="G505" s="8" t="s">
        <v>18</v>
      </c>
      <c r="H505" s="7" t="s">
        <v>28</v>
      </c>
      <c r="I505" s="7" t="s">
        <v>37</v>
      </c>
      <c r="J505" s="7" t="s">
        <v>38</v>
      </c>
      <c r="K505" s="7" t="s">
        <v>497</v>
      </c>
      <c r="L505" s="7" t="s">
        <v>37</v>
      </c>
      <c r="M505" s="7">
        <v>4.1396439999999997</v>
      </c>
      <c r="N505" s="7">
        <v>9.3027750000000005</v>
      </c>
      <c r="O505" s="7" t="s">
        <v>23</v>
      </c>
    </row>
    <row r="506" spans="1:15" x14ac:dyDescent="0.25">
      <c r="A506" s="2">
        <f t="shared" si="7"/>
        <v>504</v>
      </c>
      <c r="B506" s="7" t="s">
        <v>832</v>
      </c>
      <c r="C506" s="7" t="s">
        <v>833</v>
      </c>
      <c r="D506" s="7" t="s">
        <v>832</v>
      </c>
      <c r="E506" s="7" t="s">
        <v>34</v>
      </c>
      <c r="F506" s="7" t="s">
        <v>834</v>
      </c>
      <c r="G506" s="8" t="s">
        <v>18</v>
      </c>
      <c r="H506" s="7" t="s">
        <v>28</v>
      </c>
      <c r="I506" s="7" t="s">
        <v>37</v>
      </c>
      <c r="J506" s="7" t="s">
        <v>38</v>
      </c>
      <c r="K506" s="7" t="s">
        <v>39</v>
      </c>
      <c r="L506" s="7" t="s">
        <v>37</v>
      </c>
      <c r="M506" s="7">
        <v>4.328786</v>
      </c>
      <c r="N506" s="7">
        <v>9.3554340000000007</v>
      </c>
      <c r="O506" s="7" t="s">
        <v>23</v>
      </c>
    </row>
    <row r="507" spans="1:15" x14ac:dyDescent="0.25">
      <c r="A507" s="2">
        <f t="shared" si="7"/>
        <v>505</v>
      </c>
      <c r="B507" s="7" t="s">
        <v>917</v>
      </c>
      <c r="C507" s="7" t="s">
        <v>918</v>
      </c>
      <c r="D507" s="7" t="s">
        <v>917</v>
      </c>
      <c r="E507" s="7" t="s">
        <v>34</v>
      </c>
      <c r="F507" s="7" t="s">
        <v>919</v>
      </c>
      <c r="G507" s="8" t="s">
        <v>18</v>
      </c>
      <c r="H507" s="7" t="s">
        <v>28</v>
      </c>
      <c r="I507" s="7" t="s">
        <v>37</v>
      </c>
      <c r="J507" s="7" t="s">
        <v>38</v>
      </c>
      <c r="K507" s="7" t="s">
        <v>37</v>
      </c>
      <c r="L507" s="7" t="s">
        <v>37</v>
      </c>
      <c r="M507" s="7">
        <v>4.1497539999999997</v>
      </c>
      <c r="N507" s="7">
        <v>9.2372060000000005</v>
      </c>
      <c r="O507" s="7" t="s">
        <v>23</v>
      </c>
    </row>
    <row r="508" spans="1:15" x14ac:dyDescent="0.25">
      <c r="A508" s="2">
        <f t="shared" si="7"/>
        <v>506</v>
      </c>
      <c r="B508" s="7" t="s">
        <v>920</v>
      </c>
      <c r="C508" s="7" t="s">
        <v>921</v>
      </c>
      <c r="D508" s="7" t="s">
        <v>920</v>
      </c>
      <c r="E508" s="7" t="s">
        <v>34</v>
      </c>
      <c r="F508" s="7" t="s">
        <v>922</v>
      </c>
      <c r="G508" s="8" t="s">
        <v>18</v>
      </c>
      <c r="H508" s="7" t="s">
        <v>28</v>
      </c>
      <c r="I508" s="7" t="s">
        <v>37</v>
      </c>
      <c r="J508" s="7" t="s">
        <v>38</v>
      </c>
      <c r="K508" s="7" t="s">
        <v>37</v>
      </c>
      <c r="L508" s="7" t="s">
        <v>37</v>
      </c>
      <c r="M508" s="7">
        <v>4.1886099999999997</v>
      </c>
      <c r="N508" s="7">
        <v>9.2621680000000008</v>
      </c>
      <c r="O508" s="7" t="s">
        <v>23</v>
      </c>
    </row>
    <row r="509" spans="1:15" x14ac:dyDescent="0.25">
      <c r="A509" s="2">
        <f t="shared" si="7"/>
        <v>507</v>
      </c>
      <c r="B509" s="7" t="s">
        <v>923</v>
      </c>
      <c r="C509" s="7" t="s">
        <v>924</v>
      </c>
      <c r="D509" s="7" t="s">
        <v>923</v>
      </c>
      <c r="E509" s="7" t="s">
        <v>34</v>
      </c>
      <c r="F509" s="7" t="s">
        <v>925</v>
      </c>
      <c r="G509" s="8" t="s">
        <v>18</v>
      </c>
      <c r="H509" s="7" t="s">
        <v>28</v>
      </c>
      <c r="I509" s="7" t="s">
        <v>37</v>
      </c>
      <c r="J509" s="7" t="s">
        <v>38</v>
      </c>
      <c r="K509" s="7" t="s">
        <v>39</v>
      </c>
      <c r="L509" s="7" t="s">
        <v>37</v>
      </c>
      <c r="M509" s="7">
        <v>4.4303055599999999</v>
      </c>
      <c r="N509" s="7">
        <v>9.2111111099999992</v>
      </c>
      <c r="O509" s="7" t="s">
        <v>23</v>
      </c>
    </row>
    <row r="510" spans="1:15" x14ac:dyDescent="0.25">
      <c r="A510" s="2">
        <f t="shared" si="7"/>
        <v>508</v>
      </c>
      <c r="B510" s="7" t="s">
        <v>954</v>
      </c>
      <c r="C510" s="7" t="s">
        <v>955</v>
      </c>
      <c r="D510" s="7" t="s">
        <v>954</v>
      </c>
      <c r="E510" s="7" t="s">
        <v>34</v>
      </c>
      <c r="F510" s="7" t="s">
        <v>956</v>
      </c>
      <c r="G510" s="8" t="s">
        <v>18</v>
      </c>
      <c r="H510" s="7" t="s">
        <v>28</v>
      </c>
      <c r="I510" s="7" t="s">
        <v>37</v>
      </c>
      <c r="J510" s="7" t="s">
        <v>38</v>
      </c>
      <c r="K510" s="7" t="s">
        <v>37</v>
      </c>
      <c r="L510" s="7" t="s">
        <v>37</v>
      </c>
      <c r="M510" s="7">
        <v>4.2024020000000002</v>
      </c>
      <c r="N510" s="7">
        <v>9.2718579999999999</v>
      </c>
      <c r="O510" s="7" t="s">
        <v>23</v>
      </c>
    </row>
    <row r="511" spans="1:15" x14ac:dyDescent="0.25">
      <c r="A511" s="2">
        <f t="shared" si="7"/>
        <v>509</v>
      </c>
      <c r="B511" s="7" t="s">
        <v>1123</v>
      </c>
      <c r="C511" s="7" t="s">
        <v>1124</v>
      </c>
      <c r="D511" s="7" t="s">
        <v>1123</v>
      </c>
      <c r="E511" s="7" t="s">
        <v>34</v>
      </c>
      <c r="F511" s="7" t="s">
        <v>1125</v>
      </c>
      <c r="G511" s="8" t="s">
        <v>18</v>
      </c>
      <c r="H511" s="7" t="s">
        <v>28</v>
      </c>
      <c r="I511" s="7" t="s">
        <v>458</v>
      </c>
      <c r="J511" s="7" t="s">
        <v>38</v>
      </c>
      <c r="K511" s="7" t="s">
        <v>190</v>
      </c>
      <c r="L511" s="7" t="s">
        <v>37</v>
      </c>
      <c r="M511" s="7">
        <v>4.4568830000000004</v>
      </c>
      <c r="N511" s="7">
        <v>9.1439869999999992</v>
      </c>
      <c r="O511" s="7" t="s">
        <v>23</v>
      </c>
    </row>
    <row r="512" spans="1:15" x14ac:dyDescent="0.25">
      <c r="A512" s="2">
        <f t="shared" si="7"/>
        <v>510</v>
      </c>
      <c r="B512" s="7" t="s">
        <v>1330</v>
      </c>
      <c r="C512" s="7" t="s">
        <v>1331</v>
      </c>
      <c r="D512" s="7" t="s">
        <v>1330</v>
      </c>
      <c r="E512" s="7" t="s">
        <v>34</v>
      </c>
      <c r="F512" s="7" t="s">
        <v>1332</v>
      </c>
      <c r="G512" s="8" t="s">
        <v>36</v>
      </c>
      <c r="H512" s="7" t="s">
        <v>28</v>
      </c>
      <c r="I512" s="7" t="s">
        <v>37</v>
      </c>
      <c r="J512" s="7"/>
      <c r="K512" s="7" t="s">
        <v>1333</v>
      </c>
      <c r="L512" s="7" t="s">
        <v>37</v>
      </c>
      <c r="M512" s="7">
        <v>4.2299439999999997</v>
      </c>
      <c r="N512" s="7">
        <v>9.3305279999999993</v>
      </c>
      <c r="O512" s="7" t="s">
        <v>613</v>
      </c>
    </row>
    <row r="513" spans="1:15" x14ac:dyDescent="0.25">
      <c r="A513" s="2">
        <f t="shared" si="7"/>
        <v>511</v>
      </c>
      <c r="B513" s="7" t="s">
        <v>1345</v>
      </c>
      <c r="C513" s="7" t="s">
        <v>1346</v>
      </c>
      <c r="D513" s="7" t="s">
        <v>1345</v>
      </c>
      <c r="E513" s="7" t="s">
        <v>34</v>
      </c>
      <c r="F513" s="7" t="s">
        <v>1347</v>
      </c>
      <c r="G513" s="8" t="s">
        <v>18</v>
      </c>
      <c r="H513" s="7" t="s">
        <v>28</v>
      </c>
      <c r="I513" s="7" t="s">
        <v>37</v>
      </c>
      <c r="J513" s="7" t="s">
        <v>38</v>
      </c>
      <c r="K513" s="7" t="s">
        <v>497</v>
      </c>
      <c r="L513" s="7" t="s">
        <v>37</v>
      </c>
      <c r="M513" s="7">
        <v>4.1398060000000001</v>
      </c>
      <c r="N513" s="7">
        <v>9.3119169999999993</v>
      </c>
      <c r="O513" s="7" t="s">
        <v>23</v>
      </c>
    </row>
    <row r="514" spans="1:15" x14ac:dyDescent="0.25">
      <c r="A514" s="2">
        <f t="shared" si="7"/>
        <v>512</v>
      </c>
      <c r="B514" s="7" t="s">
        <v>1482</v>
      </c>
      <c r="C514" s="7" t="s">
        <v>1483</v>
      </c>
      <c r="D514" s="7" t="s">
        <v>1482</v>
      </c>
      <c r="E514" s="7" t="s">
        <v>34</v>
      </c>
      <c r="F514" s="7" t="s">
        <v>1484</v>
      </c>
      <c r="G514" s="8" t="s">
        <v>18</v>
      </c>
      <c r="H514" s="7" t="s">
        <v>28</v>
      </c>
      <c r="I514" s="7" t="s">
        <v>37</v>
      </c>
      <c r="J514" s="7" t="s">
        <v>38</v>
      </c>
      <c r="K514" s="7" t="s">
        <v>39</v>
      </c>
      <c r="L514" s="7" t="s">
        <v>37</v>
      </c>
      <c r="M514" s="7">
        <v>4.3433060000000001</v>
      </c>
      <c r="N514" s="7">
        <v>9.4309440000000002</v>
      </c>
      <c r="O514" s="7" t="s">
        <v>23</v>
      </c>
    </row>
    <row r="515" spans="1:15" x14ac:dyDescent="0.25">
      <c r="A515" s="2">
        <f t="shared" si="7"/>
        <v>513</v>
      </c>
      <c r="B515" s="7" t="s">
        <v>1656</v>
      </c>
      <c r="C515" s="7" t="s">
        <v>1657</v>
      </c>
      <c r="D515" s="7" t="s">
        <v>1656</v>
      </c>
      <c r="E515" s="7" t="s">
        <v>34</v>
      </c>
      <c r="F515" s="7" t="s">
        <v>1658</v>
      </c>
      <c r="G515" s="8" t="s">
        <v>18</v>
      </c>
      <c r="H515" s="7" t="s">
        <v>19</v>
      </c>
      <c r="I515" s="7" t="s">
        <v>37</v>
      </c>
      <c r="J515" s="7" t="s">
        <v>38</v>
      </c>
      <c r="K515" s="7" t="s">
        <v>37</v>
      </c>
      <c r="L515" s="7" t="s">
        <v>37</v>
      </c>
      <c r="M515" s="7">
        <v>4.1518350000000002</v>
      </c>
      <c r="N515" s="7">
        <v>9.2998419999999999</v>
      </c>
      <c r="O515" s="7" t="s">
        <v>23</v>
      </c>
    </row>
    <row r="516" spans="1:15" x14ac:dyDescent="0.25">
      <c r="A516" s="2">
        <f t="shared" si="7"/>
        <v>514</v>
      </c>
      <c r="B516" s="7" t="s">
        <v>1725</v>
      </c>
      <c r="C516" s="7" t="s">
        <v>1726</v>
      </c>
      <c r="D516" s="7" t="s">
        <v>1725</v>
      </c>
      <c r="E516" s="7" t="s">
        <v>34</v>
      </c>
      <c r="F516" s="7" t="s">
        <v>1727</v>
      </c>
      <c r="G516" s="8" t="s">
        <v>18</v>
      </c>
      <c r="H516" s="7" t="s">
        <v>19</v>
      </c>
      <c r="I516" s="7" t="s">
        <v>37</v>
      </c>
      <c r="J516" s="7" t="s">
        <v>38</v>
      </c>
      <c r="K516" s="7" t="s">
        <v>37</v>
      </c>
      <c r="L516" s="7" t="s">
        <v>37</v>
      </c>
      <c r="M516" s="7">
        <v>4.1581320000000002</v>
      </c>
      <c r="N516" s="7">
        <v>9.2700840000000007</v>
      </c>
      <c r="O516" s="7" t="s">
        <v>613</v>
      </c>
    </row>
    <row r="517" spans="1:15" x14ac:dyDescent="0.25">
      <c r="A517" s="2">
        <f t="shared" ref="A517:A580" si="8">+A516+1</f>
        <v>515</v>
      </c>
      <c r="B517" s="7" t="s">
        <v>1767</v>
      </c>
      <c r="C517" s="7" t="s">
        <v>1768</v>
      </c>
      <c r="D517" s="7" t="s">
        <v>1767</v>
      </c>
      <c r="E517" s="7" t="s">
        <v>34</v>
      </c>
      <c r="F517" s="7" t="s">
        <v>1333</v>
      </c>
      <c r="G517" s="8" t="s">
        <v>18</v>
      </c>
      <c r="H517" s="7" t="s">
        <v>28</v>
      </c>
      <c r="I517" s="7" t="s">
        <v>37</v>
      </c>
      <c r="J517" s="7" t="s">
        <v>38</v>
      </c>
      <c r="K517" s="7" t="s">
        <v>1333</v>
      </c>
      <c r="L517" s="7" t="s">
        <v>37</v>
      </c>
      <c r="M517" s="7">
        <v>4.2267900000000003</v>
      </c>
      <c r="N517" s="7">
        <v>9.3391400000000004</v>
      </c>
      <c r="O517" s="7" t="s">
        <v>23</v>
      </c>
    </row>
    <row r="518" spans="1:15" x14ac:dyDescent="0.25">
      <c r="A518" s="2">
        <f t="shared" si="8"/>
        <v>516</v>
      </c>
      <c r="B518" s="7" t="s">
        <v>2069</v>
      </c>
      <c r="C518" s="7" t="s">
        <v>2070</v>
      </c>
      <c r="D518" s="7" t="s">
        <v>2069</v>
      </c>
      <c r="E518" s="7" t="s">
        <v>34</v>
      </c>
      <c r="F518" s="7" t="s">
        <v>2071</v>
      </c>
      <c r="G518" s="8" t="s">
        <v>18</v>
      </c>
      <c r="H518" s="7" t="s">
        <v>28</v>
      </c>
      <c r="I518" s="7" t="s">
        <v>37</v>
      </c>
      <c r="J518" s="7" t="s">
        <v>38</v>
      </c>
      <c r="K518" s="7" t="s">
        <v>37</v>
      </c>
      <c r="L518" s="7" t="s">
        <v>37</v>
      </c>
      <c r="M518" s="7">
        <v>4.1232090000000001</v>
      </c>
      <c r="N518" s="7">
        <v>9.3093489999999992</v>
      </c>
      <c r="O518" s="7" t="s">
        <v>23</v>
      </c>
    </row>
    <row r="519" spans="1:15" x14ac:dyDescent="0.25">
      <c r="A519" s="2">
        <f t="shared" si="8"/>
        <v>517</v>
      </c>
      <c r="B519" s="7" t="s">
        <v>2269</v>
      </c>
      <c r="C519" s="7" t="s">
        <v>2270</v>
      </c>
      <c r="D519" s="7" t="s">
        <v>2269</v>
      </c>
      <c r="E519" s="7" t="s">
        <v>34</v>
      </c>
      <c r="F519" s="7" t="s">
        <v>2271</v>
      </c>
      <c r="G519" s="8" t="s">
        <v>18</v>
      </c>
      <c r="H519" s="7" t="s">
        <v>19</v>
      </c>
      <c r="I519" s="7" t="s">
        <v>441</v>
      </c>
      <c r="J519" s="7" t="s">
        <v>38</v>
      </c>
      <c r="K519" s="7" t="s">
        <v>442</v>
      </c>
      <c r="L519" s="7" t="s">
        <v>37</v>
      </c>
      <c r="M519" s="7">
        <v>4.0751869999999997</v>
      </c>
      <c r="N519" s="7">
        <v>9.3678310000000007</v>
      </c>
      <c r="O519" s="7" t="s">
        <v>23</v>
      </c>
    </row>
    <row r="520" spans="1:15" x14ac:dyDescent="0.25">
      <c r="A520" s="2">
        <f t="shared" si="8"/>
        <v>518</v>
      </c>
      <c r="B520" s="7" t="s">
        <v>2331</v>
      </c>
      <c r="C520" s="7" t="s">
        <v>2332</v>
      </c>
      <c r="D520" s="7" t="s">
        <v>2331</v>
      </c>
      <c r="E520" s="7" t="s">
        <v>34</v>
      </c>
      <c r="F520" s="7" t="s">
        <v>2333</v>
      </c>
      <c r="G520" s="8" t="s">
        <v>18</v>
      </c>
      <c r="H520" s="7" t="s">
        <v>28</v>
      </c>
      <c r="I520" s="7" t="s">
        <v>37</v>
      </c>
      <c r="J520" s="7" t="s">
        <v>38</v>
      </c>
      <c r="K520" s="7" t="s">
        <v>37</v>
      </c>
      <c r="L520" s="7" t="s">
        <v>37</v>
      </c>
      <c r="M520" s="7">
        <v>4.1372150000000003</v>
      </c>
      <c r="N520" s="7">
        <v>9.2298880000000008</v>
      </c>
      <c r="O520" s="7" t="s">
        <v>23</v>
      </c>
    </row>
    <row r="521" spans="1:15" x14ac:dyDescent="0.25">
      <c r="A521" s="2">
        <f t="shared" si="8"/>
        <v>519</v>
      </c>
      <c r="B521" s="7" t="s">
        <v>2343</v>
      </c>
      <c r="C521" s="7" t="s">
        <v>2344</v>
      </c>
      <c r="D521" s="7" t="s">
        <v>2343</v>
      </c>
      <c r="E521" s="7" t="s">
        <v>34</v>
      </c>
      <c r="F521" s="7" t="s">
        <v>2345</v>
      </c>
      <c r="G521" s="8" t="s">
        <v>18</v>
      </c>
      <c r="H521" s="7" t="s">
        <v>19</v>
      </c>
      <c r="I521" s="7" t="s">
        <v>37</v>
      </c>
      <c r="J521" s="7" t="s">
        <v>38</v>
      </c>
      <c r="K521" s="7" t="s">
        <v>37</v>
      </c>
      <c r="L521" s="7" t="s">
        <v>37</v>
      </c>
      <c r="M521" s="7">
        <v>4.1579959999999998</v>
      </c>
      <c r="N521" s="7">
        <v>9.2541790000000006</v>
      </c>
      <c r="O521" s="7" t="s">
        <v>23</v>
      </c>
    </row>
    <row r="522" spans="1:15" x14ac:dyDescent="0.25">
      <c r="A522" s="2">
        <f t="shared" si="8"/>
        <v>520</v>
      </c>
      <c r="B522" s="7" t="s">
        <v>2358</v>
      </c>
      <c r="C522" s="7" t="s">
        <v>2359</v>
      </c>
      <c r="D522" s="7" t="s">
        <v>2358</v>
      </c>
      <c r="E522" s="7" t="s">
        <v>34</v>
      </c>
      <c r="F522" s="7" t="s">
        <v>2360</v>
      </c>
      <c r="G522" s="8" t="s">
        <v>18</v>
      </c>
      <c r="H522" s="7" t="s">
        <v>19</v>
      </c>
      <c r="I522" s="7" t="s">
        <v>37</v>
      </c>
      <c r="J522" s="7" t="s">
        <v>38</v>
      </c>
      <c r="K522" s="7" t="s">
        <v>37</v>
      </c>
      <c r="L522" s="7" t="s">
        <v>37</v>
      </c>
      <c r="M522" s="7">
        <v>4.1595610000000001</v>
      </c>
      <c r="N522" s="7">
        <v>9.2694109999999998</v>
      </c>
      <c r="O522" s="7" t="s">
        <v>23</v>
      </c>
    </row>
    <row r="523" spans="1:15" x14ac:dyDescent="0.25">
      <c r="A523" s="2">
        <f t="shared" si="8"/>
        <v>521</v>
      </c>
      <c r="B523" s="7" t="s">
        <v>2542</v>
      </c>
      <c r="C523" s="7" t="s">
        <v>2543</v>
      </c>
      <c r="D523" s="7" t="s">
        <v>2542</v>
      </c>
      <c r="E523" s="7" t="s">
        <v>34</v>
      </c>
      <c r="F523" s="7" t="s">
        <v>2544</v>
      </c>
      <c r="G523" s="8" t="s">
        <v>18</v>
      </c>
      <c r="H523" s="7" t="s">
        <v>28</v>
      </c>
      <c r="I523" s="7" t="s">
        <v>37</v>
      </c>
      <c r="J523" s="7" t="s">
        <v>38</v>
      </c>
      <c r="K523" s="7" t="s">
        <v>37</v>
      </c>
      <c r="L523" s="7" t="s">
        <v>37</v>
      </c>
      <c r="M523" s="7">
        <v>4.1676390000000003</v>
      </c>
      <c r="N523" s="7">
        <v>9.3018330000000002</v>
      </c>
      <c r="O523" s="7" t="s">
        <v>613</v>
      </c>
    </row>
    <row r="524" spans="1:15" x14ac:dyDescent="0.25">
      <c r="A524" s="2">
        <f t="shared" si="8"/>
        <v>522</v>
      </c>
      <c r="B524" s="7" t="s">
        <v>2548</v>
      </c>
      <c r="C524" s="7" t="s">
        <v>2549</v>
      </c>
      <c r="D524" s="7" t="s">
        <v>2548</v>
      </c>
      <c r="E524" s="7" t="s">
        <v>34</v>
      </c>
      <c r="F524" s="7" t="s">
        <v>2550</v>
      </c>
      <c r="G524" s="8" t="s">
        <v>18</v>
      </c>
      <c r="H524" s="7" t="s">
        <v>28</v>
      </c>
      <c r="I524" s="7" t="s">
        <v>37</v>
      </c>
      <c r="J524" s="7" t="s">
        <v>38</v>
      </c>
      <c r="K524" s="7" t="s">
        <v>37</v>
      </c>
      <c r="L524" s="7" t="s">
        <v>37</v>
      </c>
      <c r="M524" s="7">
        <v>4.1551669999999996</v>
      </c>
      <c r="N524" s="7">
        <v>9.2875829999999997</v>
      </c>
      <c r="O524" s="7" t="s">
        <v>23</v>
      </c>
    </row>
    <row r="525" spans="1:15" x14ac:dyDescent="0.25">
      <c r="A525" s="2">
        <f t="shared" si="8"/>
        <v>523</v>
      </c>
      <c r="B525" s="7" t="s">
        <v>2554</v>
      </c>
      <c r="C525" s="7" t="s">
        <v>2555</v>
      </c>
      <c r="D525" s="7" t="s">
        <v>2554</v>
      </c>
      <c r="E525" s="7" t="s">
        <v>34</v>
      </c>
      <c r="F525" s="7" t="s">
        <v>2556</v>
      </c>
      <c r="G525" s="8" t="s">
        <v>18</v>
      </c>
      <c r="H525" s="7" t="s">
        <v>28</v>
      </c>
      <c r="I525" s="7" t="s">
        <v>37</v>
      </c>
      <c r="J525" s="7" t="s">
        <v>38</v>
      </c>
      <c r="K525" s="7" t="s">
        <v>37</v>
      </c>
      <c r="L525" s="7" t="s">
        <v>37</v>
      </c>
      <c r="M525" s="7">
        <v>4.1539440000000001</v>
      </c>
      <c r="N525" s="7">
        <v>9.2433610000000002</v>
      </c>
      <c r="O525" s="7" t="s">
        <v>23</v>
      </c>
    </row>
    <row r="526" spans="1:15" x14ac:dyDescent="0.25">
      <c r="A526" s="2">
        <f t="shared" si="8"/>
        <v>524</v>
      </c>
      <c r="B526" s="7" t="s">
        <v>2570</v>
      </c>
      <c r="C526" s="7" t="s">
        <v>2571</v>
      </c>
      <c r="D526" s="7" t="s">
        <v>2570</v>
      </c>
      <c r="E526" s="7" t="s">
        <v>34</v>
      </c>
      <c r="F526" s="7" t="s">
        <v>2572</v>
      </c>
      <c r="G526" s="8" t="s">
        <v>18</v>
      </c>
      <c r="H526" s="7" t="s">
        <v>28</v>
      </c>
      <c r="I526" s="7" t="s">
        <v>37</v>
      </c>
      <c r="J526" s="7" t="s">
        <v>38</v>
      </c>
      <c r="K526" s="7" t="s">
        <v>37</v>
      </c>
      <c r="L526" s="7" t="s">
        <v>37</v>
      </c>
      <c r="M526" s="7">
        <v>4.1509169999999997</v>
      </c>
      <c r="N526" s="7">
        <v>9.2831670000000006</v>
      </c>
      <c r="O526" s="7" t="s">
        <v>23</v>
      </c>
    </row>
    <row r="527" spans="1:15" x14ac:dyDescent="0.25">
      <c r="A527" s="2">
        <f t="shared" si="8"/>
        <v>525</v>
      </c>
      <c r="B527" s="7" t="s">
        <v>2705</v>
      </c>
      <c r="C527" s="7" t="s">
        <v>2706</v>
      </c>
      <c r="D527" s="7" t="s">
        <v>2705</v>
      </c>
      <c r="E527" s="7" t="s">
        <v>34</v>
      </c>
      <c r="F527" s="7" t="s">
        <v>39</v>
      </c>
      <c r="G527" s="8" t="s">
        <v>18</v>
      </c>
      <c r="H527" s="7" t="s">
        <v>28</v>
      </c>
      <c r="I527" s="7" t="s">
        <v>37</v>
      </c>
      <c r="J527" s="7" t="s">
        <v>38</v>
      </c>
      <c r="K527" s="7" t="s">
        <v>39</v>
      </c>
      <c r="L527" s="7" t="s">
        <v>37</v>
      </c>
      <c r="M527" s="7">
        <v>4.2823609999999999</v>
      </c>
      <c r="N527" s="7">
        <v>9.3962219999999999</v>
      </c>
      <c r="O527" s="7" t="s">
        <v>23</v>
      </c>
    </row>
    <row r="528" spans="1:15" x14ac:dyDescent="0.25">
      <c r="A528" s="2">
        <f t="shared" si="8"/>
        <v>526</v>
      </c>
      <c r="B528" s="7" t="s">
        <v>2754</v>
      </c>
      <c r="C528" s="7" t="s">
        <v>2755</v>
      </c>
      <c r="D528" s="7" t="s">
        <v>2754</v>
      </c>
      <c r="E528" s="7" t="s">
        <v>34</v>
      </c>
      <c r="F528" s="7" t="s">
        <v>2756</v>
      </c>
      <c r="G528" s="8" t="s">
        <v>18</v>
      </c>
      <c r="H528" s="7" t="s">
        <v>28</v>
      </c>
      <c r="I528" s="7" t="s">
        <v>37</v>
      </c>
      <c r="J528" s="7" t="s">
        <v>38</v>
      </c>
      <c r="K528" s="7" t="s">
        <v>37</v>
      </c>
      <c r="L528" s="7" t="s">
        <v>37</v>
      </c>
      <c r="M528" s="7">
        <v>4.1685910000000002</v>
      </c>
      <c r="N528" s="7">
        <v>9.2498249999999995</v>
      </c>
      <c r="O528" s="7" t="s">
        <v>23</v>
      </c>
    </row>
    <row r="529" spans="1:15" x14ac:dyDescent="0.25">
      <c r="A529" s="2">
        <f t="shared" si="8"/>
        <v>527</v>
      </c>
      <c r="B529" s="7" t="s">
        <v>2874</v>
      </c>
      <c r="C529" s="7" t="s">
        <v>2875</v>
      </c>
      <c r="D529" s="7" t="s">
        <v>2874</v>
      </c>
      <c r="E529" s="7" t="s">
        <v>34</v>
      </c>
      <c r="F529" s="7" t="s">
        <v>2876</v>
      </c>
      <c r="G529" s="8" t="s">
        <v>18</v>
      </c>
      <c r="H529" s="7" t="s">
        <v>19</v>
      </c>
      <c r="I529" s="7" t="s">
        <v>441</v>
      </c>
      <c r="J529" s="7" t="s">
        <v>38</v>
      </c>
      <c r="K529" s="7" t="s">
        <v>442</v>
      </c>
      <c r="L529" s="7" t="s">
        <v>37</v>
      </c>
      <c r="M529" s="7">
        <v>4.0697799999999997</v>
      </c>
      <c r="N529" s="7">
        <v>9.3678159999999995</v>
      </c>
      <c r="O529" s="7" t="s">
        <v>23</v>
      </c>
    </row>
    <row r="530" spans="1:15" x14ac:dyDescent="0.25">
      <c r="A530" s="2">
        <f t="shared" si="8"/>
        <v>528</v>
      </c>
      <c r="B530" s="7" t="s">
        <v>2932</v>
      </c>
      <c r="C530" s="7" t="s">
        <v>2933</v>
      </c>
      <c r="D530" s="7" t="s">
        <v>2932</v>
      </c>
      <c r="E530" s="7" t="s">
        <v>34</v>
      </c>
      <c r="F530" s="7" t="s">
        <v>2934</v>
      </c>
      <c r="G530" s="8" t="s">
        <v>18</v>
      </c>
      <c r="H530" s="7" t="s">
        <v>28</v>
      </c>
      <c r="I530" s="7" t="s">
        <v>441</v>
      </c>
      <c r="J530" s="7" t="s">
        <v>38</v>
      </c>
      <c r="K530" s="7" t="s">
        <v>442</v>
      </c>
      <c r="L530" s="7" t="s">
        <v>37</v>
      </c>
      <c r="M530" s="7">
        <v>4.0749750000000002</v>
      </c>
      <c r="N530" s="7">
        <v>9.3614099999999993</v>
      </c>
      <c r="O530" s="7" t="s">
        <v>23</v>
      </c>
    </row>
    <row r="531" spans="1:15" x14ac:dyDescent="0.25">
      <c r="A531" s="2">
        <f t="shared" si="8"/>
        <v>529</v>
      </c>
      <c r="B531" s="7" t="s">
        <v>2990</v>
      </c>
      <c r="C531" s="7" t="s">
        <v>2991</v>
      </c>
      <c r="D531" s="7" t="s">
        <v>2990</v>
      </c>
      <c r="E531" s="7" t="s">
        <v>34</v>
      </c>
      <c r="F531" s="7" t="s">
        <v>2992</v>
      </c>
      <c r="G531" s="8" t="s">
        <v>18</v>
      </c>
      <c r="H531" s="7" t="s">
        <v>28</v>
      </c>
      <c r="I531" s="7" t="s">
        <v>37</v>
      </c>
      <c r="J531" s="7" t="s">
        <v>38</v>
      </c>
      <c r="K531" s="7" t="s">
        <v>37</v>
      </c>
      <c r="L531" s="7" t="s">
        <v>37</v>
      </c>
      <c r="M531" s="7">
        <v>4.1577989999999998</v>
      </c>
      <c r="N531" s="7">
        <v>9.2640589999999996</v>
      </c>
      <c r="O531" s="7" t="s">
        <v>613</v>
      </c>
    </row>
    <row r="532" spans="1:15" x14ac:dyDescent="0.25">
      <c r="A532" s="2">
        <f t="shared" si="8"/>
        <v>530</v>
      </c>
      <c r="B532" s="7" t="s">
        <v>3019</v>
      </c>
      <c r="C532" s="7" t="s">
        <v>3020</v>
      </c>
      <c r="D532" s="7" t="s">
        <v>3019</v>
      </c>
      <c r="E532" s="7" t="s">
        <v>34</v>
      </c>
      <c r="F532" s="7" t="s">
        <v>3021</v>
      </c>
      <c r="G532" s="8" t="s">
        <v>18</v>
      </c>
      <c r="H532" s="7" t="s">
        <v>28</v>
      </c>
      <c r="I532" s="7" t="s">
        <v>37</v>
      </c>
      <c r="J532" s="7" t="s">
        <v>38</v>
      </c>
      <c r="K532" s="7" t="s">
        <v>37</v>
      </c>
      <c r="L532" s="7" t="s">
        <v>37</v>
      </c>
      <c r="M532" s="7">
        <v>4.1584000000000003</v>
      </c>
      <c r="N532" s="7">
        <v>9.2934599999999996</v>
      </c>
      <c r="O532" s="7" t="s">
        <v>23</v>
      </c>
    </row>
    <row r="533" spans="1:15" x14ac:dyDescent="0.25">
      <c r="A533" s="2">
        <f t="shared" si="8"/>
        <v>531</v>
      </c>
      <c r="B533" s="7" t="s">
        <v>3138</v>
      </c>
      <c r="C533" s="7" t="s">
        <v>3139</v>
      </c>
      <c r="D533" s="7" t="s">
        <v>3138</v>
      </c>
      <c r="E533" s="7" t="s">
        <v>34</v>
      </c>
      <c r="F533" s="7" t="s">
        <v>3140</v>
      </c>
      <c r="G533" s="8" t="s">
        <v>18</v>
      </c>
      <c r="H533" s="7" t="s">
        <v>28</v>
      </c>
      <c r="I533" s="7" t="s">
        <v>37</v>
      </c>
      <c r="J533" s="7" t="s">
        <v>38</v>
      </c>
      <c r="K533" s="7" t="s">
        <v>37</v>
      </c>
      <c r="L533" s="7" t="s">
        <v>37</v>
      </c>
      <c r="M533" s="7">
        <v>4.1705560000000004</v>
      </c>
      <c r="N533" s="7">
        <v>9.2731110000000001</v>
      </c>
      <c r="O533" s="7" t="s">
        <v>23</v>
      </c>
    </row>
    <row r="534" spans="1:15" x14ac:dyDescent="0.25">
      <c r="A534" s="2">
        <f t="shared" si="8"/>
        <v>532</v>
      </c>
      <c r="B534" s="7" t="s">
        <v>3141</v>
      </c>
      <c r="C534" s="7" t="s">
        <v>3142</v>
      </c>
      <c r="D534" s="7" t="s">
        <v>3141</v>
      </c>
      <c r="E534" s="7" t="s">
        <v>34</v>
      </c>
      <c r="F534" s="7" t="s">
        <v>3143</v>
      </c>
      <c r="G534" s="8" t="s">
        <v>18</v>
      </c>
      <c r="H534" s="7" t="s">
        <v>28</v>
      </c>
      <c r="I534" s="7" t="s">
        <v>37</v>
      </c>
      <c r="J534" s="7" t="s">
        <v>38</v>
      </c>
      <c r="K534" s="7" t="s">
        <v>37</v>
      </c>
      <c r="L534" s="7" t="s">
        <v>37</v>
      </c>
      <c r="M534" s="7">
        <v>4.1496389999999996</v>
      </c>
      <c r="N534" s="7">
        <v>9.2246389999999998</v>
      </c>
      <c r="O534" s="7" t="s">
        <v>23</v>
      </c>
    </row>
    <row r="535" spans="1:15" x14ac:dyDescent="0.25">
      <c r="A535" s="2">
        <f t="shared" si="8"/>
        <v>533</v>
      </c>
      <c r="B535" s="7" t="s">
        <v>3191</v>
      </c>
      <c r="C535" s="7" t="s">
        <v>3192</v>
      </c>
      <c r="D535" s="7" t="s">
        <v>3191</v>
      </c>
      <c r="E535" s="7" t="s">
        <v>34</v>
      </c>
      <c r="F535" s="7" t="s">
        <v>3193</v>
      </c>
      <c r="G535" s="8" t="s">
        <v>18</v>
      </c>
      <c r="H535" s="7" t="s">
        <v>28</v>
      </c>
      <c r="I535" s="7" t="s">
        <v>356</v>
      </c>
      <c r="J535" s="7" t="s">
        <v>152</v>
      </c>
      <c r="K535" s="7" t="s">
        <v>2475</v>
      </c>
      <c r="L535" s="7" t="s">
        <v>37</v>
      </c>
      <c r="M535" s="7">
        <v>4.2704370000000003</v>
      </c>
      <c r="N535" s="7">
        <v>9.4467580000000009</v>
      </c>
      <c r="O535" s="7" t="s">
        <v>23</v>
      </c>
    </row>
    <row r="536" spans="1:15" x14ac:dyDescent="0.25">
      <c r="A536" s="2">
        <f t="shared" si="8"/>
        <v>534</v>
      </c>
      <c r="B536" s="7" t="s">
        <v>3353</v>
      </c>
      <c r="C536" s="7" t="s">
        <v>3354</v>
      </c>
      <c r="D536" s="7" t="s">
        <v>3353</v>
      </c>
      <c r="E536" s="7" t="s">
        <v>34</v>
      </c>
      <c r="F536" s="7" t="s">
        <v>3355</v>
      </c>
      <c r="G536" s="8" t="s">
        <v>18</v>
      </c>
      <c r="H536" s="7" t="s">
        <v>28</v>
      </c>
      <c r="I536" s="7" t="s">
        <v>441</v>
      </c>
      <c r="J536" s="7" t="s">
        <v>38</v>
      </c>
      <c r="K536" s="7" t="s">
        <v>442</v>
      </c>
      <c r="L536" s="7" t="s">
        <v>37</v>
      </c>
      <c r="M536" s="7">
        <v>4.0908300000000004</v>
      </c>
      <c r="N536" s="7">
        <v>9.3461499999999997</v>
      </c>
      <c r="O536" s="7" t="s">
        <v>23</v>
      </c>
    </row>
    <row r="537" spans="1:15" x14ac:dyDescent="0.25">
      <c r="A537" s="2">
        <f t="shared" si="8"/>
        <v>535</v>
      </c>
      <c r="B537" s="7" t="s">
        <v>3433</v>
      </c>
      <c r="C537" s="7" t="s">
        <v>3434</v>
      </c>
      <c r="D537" s="7" t="s">
        <v>3433</v>
      </c>
      <c r="E537" s="7" t="s">
        <v>34</v>
      </c>
      <c r="F537" s="7" t="s">
        <v>3435</v>
      </c>
      <c r="G537" s="8" t="s">
        <v>18</v>
      </c>
      <c r="H537" s="7" t="s">
        <v>28</v>
      </c>
      <c r="I537" s="7" t="s">
        <v>441</v>
      </c>
      <c r="J537" s="7" t="s">
        <v>38</v>
      </c>
      <c r="K537" s="7" t="s">
        <v>442</v>
      </c>
      <c r="L537" s="7" t="s">
        <v>37</v>
      </c>
      <c r="M537" s="7">
        <v>4.0935740000000003</v>
      </c>
      <c r="N537" s="7">
        <v>9.3141990000000003</v>
      </c>
      <c r="O537" s="7" t="s">
        <v>23</v>
      </c>
    </row>
    <row r="538" spans="1:15" x14ac:dyDescent="0.25">
      <c r="A538" s="2">
        <f t="shared" si="8"/>
        <v>536</v>
      </c>
      <c r="B538" s="7" t="s">
        <v>3447</v>
      </c>
      <c r="C538" s="7" t="s">
        <v>3448</v>
      </c>
      <c r="D538" s="7" t="s">
        <v>3447</v>
      </c>
      <c r="E538" s="7" t="s">
        <v>34</v>
      </c>
      <c r="F538" s="7" t="s">
        <v>3449</v>
      </c>
      <c r="G538" s="8" t="s">
        <v>18</v>
      </c>
      <c r="H538" s="7" t="s">
        <v>28</v>
      </c>
      <c r="I538" s="7" t="s">
        <v>37</v>
      </c>
      <c r="J538" s="7" t="s">
        <v>38</v>
      </c>
      <c r="K538" s="7" t="s">
        <v>37</v>
      </c>
      <c r="L538" s="7" t="s">
        <v>37</v>
      </c>
      <c r="M538" s="7">
        <v>4.1586970000000001</v>
      </c>
      <c r="N538" s="7">
        <v>9.2819149999999997</v>
      </c>
      <c r="O538" s="7" t="s">
        <v>613</v>
      </c>
    </row>
    <row r="539" spans="1:15" x14ac:dyDescent="0.25">
      <c r="A539" s="2">
        <f t="shared" si="8"/>
        <v>537</v>
      </c>
      <c r="B539" s="7" t="s">
        <v>3482</v>
      </c>
      <c r="C539" s="7" t="s">
        <v>3483</v>
      </c>
      <c r="D539" s="7" t="s">
        <v>3482</v>
      </c>
      <c r="E539" s="7" t="s">
        <v>34</v>
      </c>
      <c r="F539" s="7" t="s">
        <v>3484</v>
      </c>
      <c r="G539" s="8" t="s">
        <v>18</v>
      </c>
      <c r="H539" s="7" t="s">
        <v>28</v>
      </c>
      <c r="I539" s="7" t="s">
        <v>37</v>
      </c>
      <c r="J539" s="7" t="s">
        <v>38</v>
      </c>
      <c r="K539" s="7" t="s">
        <v>37</v>
      </c>
      <c r="L539" s="7" t="s">
        <v>37</v>
      </c>
      <c r="M539" s="7">
        <v>4.192361</v>
      </c>
      <c r="N539" s="7">
        <v>9.2783890000000007</v>
      </c>
      <c r="O539" s="7" t="s">
        <v>23</v>
      </c>
    </row>
    <row r="540" spans="1:15" x14ac:dyDescent="0.25">
      <c r="A540" s="2">
        <f t="shared" si="8"/>
        <v>538</v>
      </c>
      <c r="B540" s="7" t="s">
        <v>3515</v>
      </c>
      <c r="C540" s="7" t="s">
        <v>3516</v>
      </c>
      <c r="D540" s="7" t="s">
        <v>3515</v>
      </c>
      <c r="E540" s="7" t="s">
        <v>34</v>
      </c>
      <c r="F540" s="7" t="s">
        <v>2133</v>
      </c>
      <c r="G540" s="8" t="s">
        <v>18</v>
      </c>
      <c r="H540" s="7" t="s">
        <v>28</v>
      </c>
      <c r="I540" s="7" t="s">
        <v>37</v>
      </c>
      <c r="J540" s="7" t="s">
        <v>38</v>
      </c>
      <c r="K540" s="7" t="s">
        <v>37</v>
      </c>
      <c r="L540" s="7" t="s">
        <v>37</v>
      </c>
      <c r="M540" s="7">
        <v>4.1538069999999996</v>
      </c>
      <c r="N540" s="7">
        <v>9.3040870000000009</v>
      </c>
      <c r="O540" s="7" t="s">
        <v>23</v>
      </c>
    </row>
    <row r="541" spans="1:15" x14ac:dyDescent="0.25">
      <c r="A541" s="2">
        <f t="shared" si="8"/>
        <v>539</v>
      </c>
      <c r="B541" s="7" t="s">
        <v>3529</v>
      </c>
      <c r="C541" s="7" t="s">
        <v>3530</v>
      </c>
      <c r="D541" s="7" t="s">
        <v>3529</v>
      </c>
      <c r="E541" s="7" t="s">
        <v>34</v>
      </c>
      <c r="F541" s="7" t="s">
        <v>3531</v>
      </c>
      <c r="G541" s="8" t="s">
        <v>18</v>
      </c>
      <c r="H541" s="7" t="s">
        <v>28</v>
      </c>
      <c r="I541" s="7" t="s">
        <v>37</v>
      </c>
      <c r="J541" s="7" t="s">
        <v>38</v>
      </c>
      <c r="K541" s="7" t="s">
        <v>37</v>
      </c>
      <c r="L541" s="7" t="s">
        <v>37</v>
      </c>
      <c r="M541" s="7">
        <v>4.1537319999999998</v>
      </c>
      <c r="N541" s="7">
        <v>9.2917400000000008</v>
      </c>
      <c r="O541" s="7" t="s">
        <v>23</v>
      </c>
    </row>
    <row r="542" spans="1:15" x14ac:dyDescent="0.25">
      <c r="A542" s="2">
        <f t="shared" si="8"/>
        <v>540</v>
      </c>
      <c r="B542" s="7" t="s">
        <v>3535</v>
      </c>
      <c r="C542" s="7" t="s">
        <v>3536</v>
      </c>
      <c r="D542" s="7" t="s">
        <v>3535</v>
      </c>
      <c r="E542" s="7" t="s">
        <v>34</v>
      </c>
      <c r="F542" s="7" t="s">
        <v>3537</v>
      </c>
      <c r="G542" s="8" t="s">
        <v>18</v>
      </c>
      <c r="H542" s="7" t="s">
        <v>28</v>
      </c>
      <c r="I542" s="7" t="s">
        <v>37</v>
      </c>
      <c r="J542" s="7" t="s">
        <v>38</v>
      </c>
      <c r="K542" s="7" t="s">
        <v>37</v>
      </c>
      <c r="L542" s="7" t="s">
        <v>37</v>
      </c>
      <c r="M542" s="7">
        <v>4.1604789999999996</v>
      </c>
      <c r="N542" s="7">
        <v>9.237641</v>
      </c>
      <c r="O542" s="7" t="s">
        <v>23</v>
      </c>
    </row>
    <row r="543" spans="1:15" x14ac:dyDescent="0.25">
      <c r="A543" s="2">
        <f t="shared" si="8"/>
        <v>541</v>
      </c>
      <c r="B543" s="7" t="s">
        <v>3611</v>
      </c>
      <c r="C543" s="7" t="s">
        <v>3612</v>
      </c>
      <c r="D543" s="7" t="s">
        <v>3611</v>
      </c>
      <c r="E543" s="7" t="s">
        <v>34</v>
      </c>
      <c r="F543" s="7" t="s">
        <v>3613</v>
      </c>
      <c r="G543" s="8" t="s">
        <v>18</v>
      </c>
      <c r="H543" s="7" t="s">
        <v>28</v>
      </c>
      <c r="I543" s="7" t="s">
        <v>441</v>
      </c>
      <c r="J543" s="7" t="s">
        <v>38</v>
      </c>
      <c r="K543" s="7" t="s">
        <v>442</v>
      </c>
      <c r="L543" s="7" t="s">
        <v>37</v>
      </c>
      <c r="M543" s="7">
        <v>4.0841390000000004</v>
      </c>
      <c r="N543" s="7">
        <v>9.3573330000000006</v>
      </c>
      <c r="O543" s="7" t="s">
        <v>23</v>
      </c>
    </row>
    <row r="544" spans="1:15" x14ac:dyDescent="0.25">
      <c r="A544" s="2">
        <f t="shared" si="8"/>
        <v>542</v>
      </c>
      <c r="B544" s="7" t="s">
        <v>3624</v>
      </c>
      <c r="C544" s="7" t="s">
        <v>3625</v>
      </c>
      <c r="D544" s="7" t="s">
        <v>3624</v>
      </c>
      <c r="E544" s="7" t="s">
        <v>34</v>
      </c>
      <c r="F544" s="7" t="s">
        <v>3626</v>
      </c>
      <c r="G544" s="8" t="s">
        <v>18</v>
      </c>
      <c r="H544" s="7" t="s">
        <v>28</v>
      </c>
      <c r="I544" s="7" t="s">
        <v>37</v>
      </c>
      <c r="J544" s="7" t="s">
        <v>38</v>
      </c>
      <c r="K544" s="7" t="s">
        <v>39</v>
      </c>
      <c r="L544" s="7" t="s">
        <v>37</v>
      </c>
      <c r="M544" s="7">
        <v>4.2892780000000004</v>
      </c>
      <c r="N544" s="7">
        <v>9.4137219999999999</v>
      </c>
      <c r="O544" s="7" t="s">
        <v>23</v>
      </c>
    </row>
    <row r="545" spans="1:15" x14ac:dyDescent="0.25">
      <c r="A545" s="2">
        <f t="shared" si="8"/>
        <v>543</v>
      </c>
      <c r="B545" s="7" t="s">
        <v>3645</v>
      </c>
      <c r="C545" s="7" t="s">
        <v>3646</v>
      </c>
      <c r="D545" s="7" t="s">
        <v>3645</v>
      </c>
      <c r="E545" s="7" t="s">
        <v>34</v>
      </c>
      <c r="F545" s="7" t="s">
        <v>3647</v>
      </c>
      <c r="G545" s="8" t="s">
        <v>18</v>
      </c>
      <c r="H545" s="7" t="s">
        <v>28</v>
      </c>
      <c r="I545" s="7" t="s">
        <v>37</v>
      </c>
      <c r="J545" s="7" t="s">
        <v>38</v>
      </c>
      <c r="K545" s="7" t="s">
        <v>37</v>
      </c>
      <c r="L545" s="7" t="s">
        <v>37</v>
      </c>
      <c r="M545" s="7">
        <v>4.1488339999999999</v>
      </c>
      <c r="N545" s="7">
        <v>9.2602679999999999</v>
      </c>
      <c r="O545" s="7" t="s">
        <v>23</v>
      </c>
    </row>
    <row r="546" spans="1:15" x14ac:dyDescent="0.25">
      <c r="A546" s="2">
        <f t="shared" si="8"/>
        <v>544</v>
      </c>
      <c r="B546" s="7" t="s">
        <v>3651</v>
      </c>
      <c r="C546" s="7" t="s">
        <v>3652</v>
      </c>
      <c r="D546" s="7" t="s">
        <v>3651</v>
      </c>
      <c r="E546" s="7" t="s">
        <v>34</v>
      </c>
      <c r="F546" s="7" t="s">
        <v>3653</v>
      </c>
      <c r="G546" s="8" t="s">
        <v>18</v>
      </c>
      <c r="H546" s="7" t="s">
        <v>28</v>
      </c>
      <c r="I546" s="7" t="s">
        <v>441</v>
      </c>
      <c r="J546" s="7" t="s">
        <v>38</v>
      </c>
      <c r="K546" s="7" t="s">
        <v>442</v>
      </c>
      <c r="L546" s="7" t="s">
        <v>37</v>
      </c>
      <c r="M546" s="7">
        <v>4.0655089999999996</v>
      </c>
      <c r="N546" s="7">
        <v>9.3717740000000003</v>
      </c>
      <c r="O546" s="7" t="s">
        <v>23</v>
      </c>
    </row>
    <row r="547" spans="1:15" x14ac:dyDescent="0.25">
      <c r="A547" s="2">
        <f t="shared" si="8"/>
        <v>545</v>
      </c>
      <c r="B547" s="7" t="s">
        <v>3695</v>
      </c>
      <c r="C547" s="7" t="s">
        <v>3696</v>
      </c>
      <c r="D547" s="7" t="s">
        <v>3695</v>
      </c>
      <c r="E547" s="7" t="s">
        <v>34</v>
      </c>
      <c r="F547" s="7" t="s">
        <v>3697</v>
      </c>
      <c r="G547" s="8" t="s">
        <v>36</v>
      </c>
      <c r="H547" s="7" t="s">
        <v>28</v>
      </c>
      <c r="I547" s="7" t="s">
        <v>37</v>
      </c>
      <c r="J547" s="7" t="s">
        <v>38</v>
      </c>
      <c r="K547" s="7" t="s">
        <v>39</v>
      </c>
      <c r="L547" s="7" t="s">
        <v>37</v>
      </c>
      <c r="M547" s="7">
        <v>4.3024170000000002</v>
      </c>
      <c r="N547" s="7">
        <v>9.4290000000000003</v>
      </c>
      <c r="O547" s="7" t="s">
        <v>23</v>
      </c>
    </row>
    <row r="548" spans="1:15" x14ac:dyDescent="0.25">
      <c r="A548" s="2">
        <f t="shared" si="8"/>
        <v>546</v>
      </c>
      <c r="B548" s="7" t="s">
        <v>3722</v>
      </c>
      <c r="C548" s="7" t="s">
        <v>3723</v>
      </c>
      <c r="D548" s="7" t="s">
        <v>3722</v>
      </c>
      <c r="E548" s="7" t="s">
        <v>34</v>
      </c>
      <c r="F548" s="7" t="s">
        <v>441</v>
      </c>
      <c r="G548" s="8" t="s">
        <v>18</v>
      </c>
      <c r="H548" s="7" t="s">
        <v>19</v>
      </c>
      <c r="I548" s="7" t="s">
        <v>441</v>
      </c>
      <c r="J548" s="7" t="s">
        <v>38</v>
      </c>
      <c r="K548" s="7" t="s">
        <v>442</v>
      </c>
      <c r="L548" s="7" t="s">
        <v>37</v>
      </c>
      <c r="M548" s="7">
        <v>4.0899039999999998</v>
      </c>
      <c r="N548" s="7">
        <v>9.3190059999999999</v>
      </c>
      <c r="O548" s="7" t="s">
        <v>23</v>
      </c>
    </row>
    <row r="549" spans="1:15" x14ac:dyDescent="0.25">
      <c r="A549" s="2">
        <f t="shared" si="8"/>
        <v>547</v>
      </c>
      <c r="B549" s="7" t="s">
        <v>3754</v>
      </c>
      <c r="C549" s="7" t="s">
        <v>3755</v>
      </c>
      <c r="D549" s="7" t="s">
        <v>3754</v>
      </c>
      <c r="E549" s="7" t="s">
        <v>34</v>
      </c>
      <c r="F549" s="7" t="s">
        <v>3756</v>
      </c>
      <c r="G549" s="8" t="s">
        <v>18</v>
      </c>
      <c r="H549" s="7" t="s">
        <v>28</v>
      </c>
      <c r="I549" s="7" t="s">
        <v>37</v>
      </c>
      <c r="J549" s="7" t="s">
        <v>38</v>
      </c>
      <c r="K549" s="7" t="s">
        <v>37</v>
      </c>
      <c r="L549" s="7" t="s">
        <v>37</v>
      </c>
      <c r="M549" s="7">
        <v>4.134639</v>
      </c>
      <c r="N549" s="7">
        <v>9.2190560000000001</v>
      </c>
      <c r="O549" s="7" t="s">
        <v>23</v>
      </c>
    </row>
    <row r="550" spans="1:15" x14ac:dyDescent="0.25">
      <c r="A550" s="2">
        <f t="shared" si="8"/>
        <v>548</v>
      </c>
      <c r="B550" s="7" t="s">
        <v>3826</v>
      </c>
      <c r="C550" s="7" t="s">
        <v>3827</v>
      </c>
      <c r="D550" s="7" t="s">
        <v>3826</v>
      </c>
      <c r="E550" s="7" t="s">
        <v>34</v>
      </c>
      <c r="F550" s="7" t="s">
        <v>3828</v>
      </c>
      <c r="G550" s="8" t="s">
        <v>18</v>
      </c>
      <c r="H550" s="7" t="s">
        <v>28</v>
      </c>
      <c r="I550" s="7" t="s">
        <v>37</v>
      </c>
      <c r="J550" s="7" t="s">
        <v>38</v>
      </c>
      <c r="K550" s="7" t="s">
        <v>37</v>
      </c>
      <c r="L550" s="7" t="s">
        <v>37</v>
      </c>
      <c r="M550" s="7">
        <v>4.1433330000000002</v>
      </c>
      <c r="N550" s="7">
        <v>9.2432499999999997</v>
      </c>
      <c r="O550" s="7" t="s">
        <v>23</v>
      </c>
    </row>
    <row r="551" spans="1:15" x14ac:dyDescent="0.25">
      <c r="A551" s="2">
        <f t="shared" si="8"/>
        <v>549</v>
      </c>
      <c r="B551" s="7" t="s">
        <v>4029</v>
      </c>
      <c r="C551" s="7" t="s">
        <v>4030</v>
      </c>
      <c r="D551" s="7" t="s">
        <v>4029</v>
      </c>
      <c r="E551" s="7" t="s">
        <v>34</v>
      </c>
      <c r="F551" s="7" t="s">
        <v>4031</v>
      </c>
      <c r="G551" s="8" t="s">
        <v>18</v>
      </c>
      <c r="H551" s="7" t="s">
        <v>19</v>
      </c>
      <c r="I551" s="7" t="s">
        <v>65</v>
      </c>
      <c r="J551" s="7" t="s">
        <v>38</v>
      </c>
      <c r="K551" s="7" t="s">
        <v>649</v>
      </c>
      <c r="L551" s="7" t="s">
        <v>37</v>
      </c>
      <c r="M551" s="7">
        <v>4.211652</v>
      </c>
      <c r="N551" s="7">
        <v>8.9892730000000007</v>
      </c>
      <c r="O551" s="7" t="s">
        <v>23</v>
      </c>
    </row>
    <row r="552" spans="1:15" x14ac:dyDescent="0.25">
      <c r="A552" s="2">
        <f t="shared" si="8"/>
        <v>550</v>
      </c>
      <c r="B552" s="7" t="s">
        <v>4046</v>
      </c>
      <c r="C552" s="7" t="s">
        <v>4047</v>
      </c>
      <c r="D552" s="7" t="s">
        <v>4046</v>
      </c>
      <c r="E552" s="7" t="s">
        <v>34</v>
      </c>
      <c r="F552" s="7" t="s">
        <v>4048</v>
      </c>
      <c r="G552" s="8" t="s">
        <v>18</v>
      </c>
      <c r="H552" s="7" t="s">
        <v>28</v>
      </c>
      <c r="I552" s="7" t="s">
        <v>37</v>
      </c>
      <c r="J552" s="7" t="s">
        <v>38</v>
      </c>
      <c r="K552" s="7" t="s">
        <v>37</v>
      </c>
      <c r="L552" s="7" t="s">
        <v>37</v>
      </c>
      <c r="M552" s="7">
        <v>4.1704679999999996</v>
      </c>
      <c r="N552" s="7">
        <v>9.3013899999999996</v>
      </c>
      <c r="O552" s="7" t="s">
        <v>613</v>
      </c>
    </row>
    <row r="553" spans="1:15" x14ac:dyDescent="0.25">
      <c r="A553" s="2">
        <f t="shared" si="8"/>
        <v>551</v>
      </c>
      <c r="B553" s="7" t="s">
        <v>4115</v>
      </c>
      <c r="C553" s="7" t="s">
        <v>4116</v>
      </c>
      <c r="D553" s="7" t="s">
        <v>4115</v>
      </c>
      <c r="E553" s="7" t="s">
        <v>34</v>
      </c>
      <c r="F553" s="7" t="s">
        <v>4117</v>
      </c>
      <c r="G553" s="8" t="s">
        <v>18</v>
      </c>
      <c r="H553" s="7" t="s">
        <v>28</v>
      </c>
      <c r="I553" s="7" t="s">
        <v>441</v>
      </c>
      <c r="J553" s="7" t="s">
        <v>38</v>
      </c>
      <c r="K553" s="7" t="s">
        <v>442</v>
      </c>
      <c r="L553" s="7" t="s">
        <v>37</v>
      </c>
      <c r="M553" s="7">
        <v>4.1880480000000002</v>
      </c>
      <c r="N553" s="7">
        <v>9.4106070000000006</v>
      </c>
      <c r="O553" s="7" t="s">
        <v>23</v>
      </c>
    </row>
    <row r="554" spans="1:15" x14ac:dyDescent="0.25">
      <c r="A554" s="2">
        <f t="shared" si="8"/>
        <v>552</v>
      </c>
      <c r="B554" s="7" t="s">
        <v>4118</v>
      </c>
      <c r="C554" s="7" t="s">
        <v>4119</v>
      </c>
      <c r="D554" s="7" t="s">
        <v>4118</v>
      </c>
      <c r="E554" s="7" t="s">
        <v>34</v>
      </c>
      <c r="F554" s="7" t="s">
        <v>4120</v>
      </c>
      <c r="G554" s="8" t="s">
        <v>18</v>
      </c>
      <c r="H554" s="7" t="s">
        <v>28</v>
      </c>
      <c r="I554" s="7" t="s">
        <v>441</v>
      </c>
      <c r="J554" s="7" t="s">
        <v>38</v>
      </c>
      <c r="K554" s="7" t="s">
        <v>442</v>
      </c>
      <c r="L554" s="7" t="s">
        <v>37</v>
      </c>
      <c r="M554" s="7">
        <v>4.1328060000000004</v>
      </c>
      <c r="N554" s="7">
        <v>9.4430829999999997</v>
      </c>
      <c r="O554" s="7" t="s">
        <v>23</v>
      </c>
    </row>
    <row r="555" spans="1:15" x14ac:dyDescent="0.25">
      <c r="A555" s="2">
        <f t="shared" si="8"/>
        <v>553</v>
      </c>
      <c r="B555" s="7" t="s">
        <v>4135</v>
      </c>
      <c r="C555" s="7" t="s">
        <v>4136</v>
      </c>
      <c r="D555" s="7" t="s">
        <v>4135</v>
      </c>
      <c r="E555" s="7" t="s">
        <v>34</v>
      </c>
      <c r="F555" s="7" t="s">
        <v>4048</v>
      </c>
      <c r="G555" s="8" t="s">
        <v>18</v>
      </c>
      <c r="H555" s="7" t="s">
        <v>28</v>
      </c>
      <c r="I555" s="7" t="s">
        <v>37</v>
      </c>
      <c r="J555" s="7" t="s">
        <v>38</v>
      </c>
      <c r="K555" s="7" t="s">
        <v>37</v>
      </c>
      <c r="L555" s="7" t="s">
        <v>37</v>
      </c>
      <c r="M555" s="7">
        <v>4.1790250000000002</v>
      </c>
      <c r="N555" s="7">
        <v>9.3054659999999991</v>
      </c>
      <c r="O555" s="7" t="s">
        <v>23</v>
      </c>
    </row>
    <row r="556" spans="1:15" x14ac:dyDescent="0.25">
      <c r="A556" s="2">
        <f t="shared" si="8"/>
        <v>554</v>
      </c>
      <c r="B556" s="7" t="s">
        <v>4137</v>
      </c>
      <c r="C556" s="7" t="s">
        <v>4138</v>
      </c>
      <c r="D556" s="7" t="s">
        <v>4137</v>
      </c>
      <c r="E556" s="7" t="s">
        <v>34</v>
      </c>
      <c r="F556" s="7" t="s">
        <v>4139</v>
      </c>
      <c r="G556" s="8" t="s">
        <v>18</v>
      </c>
      <c r="H556" s="7" t="s">
        <v>19</v>
      </c>
      <c r="I556" s="7" t="s">
        <v>37</v>
      </c>
      <c r="J556" s="7" t="s">
        <v>38</v>
      </c>
      <c r="K556" s="7" t="s">
        <v>39</v>
      </c>
      <c r="L556" s="7" t="s">
        <v>37</v>
      </c>
      <c r="M556" s="7">
        <v>4.2992780000000002</v>
      </c>
      <c r="N556" s="7">
        <v>9.4153889999999993</v>
      </c>
      <c r="O556" s="7" t="s">
        <v>23</v>
      </c>
    </row>
    <row r="557" spans="1:15" x14ac:dyDescent="0.25">
      <c r="A557" s="2">
        <f t="shared" si="8"/>
        <v>555</v>
      </c>
      <c r="B557" s="7" t="s">
        <v>4168</v>
      </c>
      <c r="C557" s="7" t="s">
        <v>4169</v>
      </c>
      <c r="D557" s="7" t="s">
        <v>4168</v>
      </c>
      <c r="E557" s="7" t="s">
        <v>34</v>
      </c>
      <c r="F557" s="7" t="s">
        <v>4170</v>
      </c>
      <c r="G557" s="8" t="s">
        <v>18</v>
      </c>
      <c r="H557" s="7" t="s">
        <v>28</v>
      </c>
      <c r="I557" s="7" t="s">
        <v>37</v>
      </c>
      <c r="J557" s="7" t="s">
        <v>38</v>
      </c>
      <c r="K557" s="7" t="s">
        <v>37</v>
      </c>
      <c r="L557" s="7" t="s">
        <v>37</v>
      </c>
      <c r="M557" s="7">
        <v>4.1587180000000004</v>
      </c>
      <c r="N557" s="7">
        <v>9.3043560000000003</v>
      </c>
      <c r="O557" s="7" t="s">
        <v>23</v>
      </c>
    </row>
    <row r="558" spans="1:15" x14ac:dyDescent="0.25">
      <c r="A558" s="2">
        <f t="shared" si="8"/>
        <v>556</v>
      </c>
      <c r="B558" s="7" t="s">
        <v>4235</v>
      </c>
      <c r="C558" s="7" t="s">
        <v>4236</v>
      </c>
      <c r="D558" s="7" t="s">
        <v>4235</v>
      </c>
      <c r="E558" s="7" t="s">
        <v>34</v>
      </c>
      <c r="F558" s="7" t="s">
        <v>4237</v>
      </c>
      <c r="G558" s="8" t="s">
        <v>18</v>
      </c>
      <c r="H558" s="7" t="s">
        <v>28</v>
      </c>
      <c r="I558" s="7" t="s">
        <v>37</v>
      </c>
      <c r="J558" s="7" t="s">
        <v>38</v>
      </c>
      <c r="K558" s="7" t="s">
        <v>37</v>
      </c>
      <c r="L558" s="7" t="s">
        <v>37</v>
      </c>
      <c r="M558" s="7">
        <v>4.1523890000000003</v>
      </c>
      <c r="N558" s="7">
        <v>9.3001310000000004</v>
      </c>
      <c r="O558" s="7" t="s">
        <v>23</v>
      </c>
    </row>
    <row r="559" spans="1:15" x14ac:dyDescent="0.25">
      <c r="A559" s="2">
        <f t="shared" si="8"/>
        <v>557</v>
      </c>
      <c r="B559" s="7" t="s">
        <v>4400</v>
      </c>
      <c r="C559" s="7" t="s">
        <v>4401</v>
      </c>
      <c r="D559" s="7" t="s">
        <v>4400</v>
      </c>
      <c r="E559" s="7" t="s">
        <v>34</v>
      </c>
      <c r="F559" s="7" t="s">
        <v>4402</v>
      </c>
      <c r="G559" s="8" t="s">
        <v>18</v>
      </c>
      <c r="H559" s="7" t="s">
        <v>19</v>
      </c>
      <c r="I559" s="7" t="s">
        <v>441</v>
      </c>
      <c r="J559" s="7" t="s">
        <v>38</v>
      </c>
      <c r="K559" s="7" t="s">
        <v>442</v>
      </c>
      <c r="L559" s="7" t="s">
        <v>37</v>
      </c>
      <c r="M559" s="7">
        <v>4.0906190000000002</v>
      </c>
      <c r="N559" s="7">
        <v>9.3171689999999998</v>
      </c>
      <c r="O559" s="7" t="s">
        <v>23</v>
      </c>
    </row>
    <row r="560" spans="1:15" x14ac:dyDescent="0.25">
      <c r="A560" s="2">
        <f t="shared" si="8"/>
        <v>558</v>
      </c>
      <c r="B560" s="7" t="s">
        <v>5496</v>
      </c>
      <c r="C560" s="7" t="s">
        <v>5497</v>
      </c>
      <c r="D560" s="7" t="s">
        <v>5496</v>
      </c>
      <c r="E560" s="7" t="s">
        <v>34</v>
      </c>
      <c r="F560" s="7" t="s">
        <v>5498</v>
      </c>
      <c r="G560" s="8" t="s">
        <v>18</v>
      </c>
      <c r="H560" s="7" t="s">
        <v>28</v>
      </c>
      <c r="I560" s="7" t="s">
        <v>441</v>
      </c>
      <c r="J560" s="7" t="s">
        <v>38</v>
      </c>
      <c r="K560" s="7" t="s">
        <v>442</v>
      </c>
      <c r="L560" s="7" t="s">
        <v>37</v>
      </c>
      <c r="M560" s="7">
        <v>4.0880429999999999</v>
      </c>
      <c r="N560" s="7">
        <v>9.3507379999999998</v>
      </c>
      <c r="O560" s="7" t="s">
        <v>613</v>
      </c>
    </row>
    <row r="561" spans="1:15" x14ac:dyDescent="0.25">
      <c r="A561" s="2">
        <f t="shared" si="8"/>
        <v>559</v>
      </c>
      <c r="B561" s="7" t="s">
        <v>5924</v>
      </c>
      <c r="C561" s="7" t="s">
        <v>5925</v>
      </c>
      <c r="D561" s="7" t="s">
        <v>5924</v>
      </c>
      <c r="E561" s="7" t="s">
        <v>34</v>
      </c>
      <c r="F561" s="7" t="s">
        <v>5926</v>
      </c>
      <c r="G561" s="8" t="s">
        <v>18</v>
      </c>
      <c r="H561" s="7" t="s">
        <v>28</v>
      </c>
      <c r="I561" s="7" t="s">
        <v>37</v>
      </c>
      <c r="J561" s="7" t="s">
        <v>38</v>
      </c>
      <c r="K561" s="7" t="s">
        <v>39</v>
      </c>
      <c r="L561" s="7" t="s">
        <v>37</v>
      </c>
      <c r="M561" s="7">
        <v>4.4011500000000003</v>
      </c>
      <c r="N561" s="7">
        <v>9.2701700000000002</v>
      </c>
      <c r="O561" s="7" t="s">
        <v>23</v>
      </c>
    </row>
    <row r="562" spans="1:15" x14ac:dyDescent="0.25">
      <c r="A562" s="2">
        <f t="shared" si="8"/>
        <v>560</v>
      </c>
      <c r="B562" s="7" t="s">
        <v>6003</v>
      </c>
      <c r="C562" s="7" t="s">
        <v>6004</v>
      </c>
      <c r="D562" s="7" t="s">
        <v>6003</v>
      </c>
      <c r="E562" s="7" t="s">
        <v>34</v>
      </c>
      <c r="F562" s="7" t="s">
        <v>6005</v>
      </c>
      <c r="G562" s="8" t="s">
        <v>18</v>
      </c>
      <c r="H562" s="7" t="s">
        <v>28</v>
      </c>
      <c r="I562" s="7" t="s">
        <v>441</v>
      </c>
      <c r="J562" s="7" t="s">
        <v>38</v>
      </c>
      <c r="K562" s="7" t="s">
        <v>442</v>
      </c>
      <c r="L562" s="7" t="s">
        <v>37</v>
      </c>
      <c r="M562" s="7">
        <v>4.1330200000000001</v>
      </c>
      <c r="N562" s="7">
        <v>9.4644879999999993</v>
      </c>
      <c r="O562" s="7" t="s">
        <v>23</v>
      </c>
    </row>
    <row r="563" spans="1:15" x14ac:dyDescent="0.25">
      <c r="A563" s="2">
        <f t="shared" si="8"/>
        <v>561</v>
      </c>
      <c r="B563" s="7" t="s">
        <v>6006</v>
      </c>
      <c r="C563" s="7" t="s">
        <v>6007</v>
      </c>
      <c r="D563" s="7" t="s">
        <v>6006</v>
      </c>
      <c r="E563" s="7" t="s">
        <v>34</v>
      </c>
      <c r="F563" s="7" t="s">
        <v>6008</v>
      </c>
      <c r="G563" s="8" t="s">
        <v>18</v>
      </c>
      <c r="H563" s="7" t="s">
        <v>28</v>
      </c>
      <c r="I563" s="7" t="s">
        <v>458</v>
      </c>
      <c r="J563" s="7" t="s">
        <v>459</v>
      </c>
      <c r="K563" s="7" t="s">
        <v>190</v>
      </c>
      <c r="L563" s="7" t="s">
        <v>37</v>
      </c>
      <c r="M563" s="7">
        <v>4.5040833300000003</v>
      </c>
      <c r="N563" s="7">
        <v>9.0225277800000008</v>
      </c>
      <c r="O563" s="7" t="s">
        <v>23</v>
      </c>
    </row>
    <row r="564" spans="1:15" x14ac:dyDescent="0.25">
      <c r="A564" s="2">
        <f t="shared" si="8"/>
        <v>562</v>
      </c>
      <c r="B564" s="7" t="s">
        <v>6037</v>
      </c>
      <c r="C564" s="7" t="s">
        <v>6038</v>
      </c>
      <c r="D564" s="7" t="s">
        <v>6037</v>
      </c>
      <c r="E564" s="7" t="s">
        <v>34</v>
      </c>
      <c r="F564" s="7" t="s">
        <v>6039</v>
      </c>
      <c r="G564" s="8" t="s">
        <v>18</v>
      </c>
      <c r="H564" s="7" t="s">
        <v>28</v>
      </c>
      <c r="I564" s="7" t="s">
        <v>441</v>
      </c>
      <c r="J564" s="7" t="s">
        <v>38</v>
      </c>
      <c r="K564" s="7" t="s">
        <v>442</v>
      </c>
      <c r="L564" s="7" t="s">
        <v>37</v>
      </c>
      <c r="M564" s="7">
        <v>4.1253859999999998</v>
      </c>
      <c r="N564" s="7">
        <v>9.4067679999999996</v>
      </c>
      <c r="O564" s="7" t="s">
        <v>23</v>
      </c>
    </row>
    <row r="565" spans="1:15" x14ac:dyDescent="0.25">
      <c r="A565" s="2">
        <f t="shared" si="8"/>
        <v>563</v>
      </c>
      <c r="B565" s="7" t="s">
        <v>6043</v>
      </c>
      <c r="C565" s="7" t="s">
        <v>6044</v>
      </c>
      <c r="D565" s="7" t="s">
        <v>6043</v>
      </c>
      <c r="E565" s="7" t="s">
        <v>34</v>
      </c>
      <c r="F565" s="7" t="s">
        <v>6045</v>
      </c>
      <c r="G565" s="8" t="s">
        <v>18</v>
      </c>
      <c r="H565" s="7" t="s">
        <v>28</v>
      </c>
      <c r="I565" s="7" t="s">
        <v>65</v>
      </c>
      <c r="J565" s="7" t="s">
        <v>38</v>
      </c>
      <c r="K565" s="7" t="s">
        <v>649</v>
      </c>
      <c r="L565" s="7" t="s">
        <v>37</v>
      </c>
      <c r="M565" s="7">
        <v>4.3010555559999997</v>
      </c>
      <c r="N565" s="7">
        <v>9.0648888890000006</v>
      </c>
      <c r="O565" s="7" t="s">
        <v>23</v>
      </c>
    </row>
    <row r="566" spans="1:15" x14ac:dyDescent="0.25">
      <c r="A566" s="2">
        <f t="shared" si="8"/>
        <v>564</v>
      </c>
      <c r="B566" s="7" t="s">
        <v>6529</v>
      </c>
      <c r="C566" s="7" t="s">
        <v>6530</v>
      </c>
      <c r="D566" s="7" t="s">
        <v>6529</v>
      </c>
      <c r="E566" s="7" t="s">
        <v>34</v>
      </c>
      <c r="F566" s="7" t="s">
        <v>6531</v>
      </c>
      <c r="G566" s="8" t="s">
        <v>18</v>
      </c>
      <c r="H566" s="7" t="s">
        <v>28</v>
      </c>
      <c r="I566" s="7" t="s">
        <v>458</v>
      </c>
      <c r="J566" s="7" t="s">
        <v>459</v>
      </c>
      <c r="K566" s="7" t="s">
        <v>190</v>
      </c>
      <c r="L566" s="7" t="s">
        <v>37</v>
      </c>
      <c r="M566" s="7">
        <v>4.438722222</v>
      </c>
      <c r="N566" s="7">
        <v>8.9601944440000008</v>
      </c>
      <c r="O566" s="7" t="s">
        <v>23</v>
      </c>
    </row>
    <row r="567" spans="1:15" x14ac:dyDescent="0.25">
      <c r="A567" s="2">
        <f t="shared" si="8"/>
        <v>565</v>
      </c>
      <c r="B567" s="7" t="s">
        <v>6631</v>
      </c>
      <c r="C567" s="7" t="s">
        <v>6632</v>
      </c>
      <c r="D567" s="7" t="s">
        <v>6631</v>
      </c>
      <c r="E567" s="7" t="s">
        <v>34</v>
      </c>
      <c r="F567" s="7" t="s">
        <v>6633</v>
      </c>
      <c r="G567" s="8" t="s">
        <v>18</v>
      </c>
      <c r="H567" s="7" t="s">
        <v>28</v>
      </c>
      <c r="I567" s="7" t="s">
        <v>37</v>
      </c>
      <c r="J567" s="7" t="s">
        <v>38</v>
      </c>
      <c r="K567" s="7" t="s">
        <v>1333</v>
      </c>
      <c r="L567" s="7" t="s">
        <v>37</v>
      </c>
      <c r="M567" s="7">
        <v>4.2237609999999997</v>
      </c>
      <c r="N567" s="7">
        <v>9.3354060000000008</v>
      </c>
      <c r="O567" s="7" t="s">
        <v>23</v>
      </c>
    </row>
    <row r="568" spans="1:15" x14ac:dyDescent="0.25">
      <c r="A568" s="2">
        <f t="shared" si="8"/>
        <v>566</v>
      </c>
      <c r="B568" s="7" t="s">
        <v>6643</v>
      </c>
      <c r="C568" s="7" t="s">
        <v>6644</v>
      </c>
      <c r="D568" s="7" t="s">
        <v>6643</v>
      </c>
      <c r="E568" s="7" t="s">
        <v>34</v>
      </c>
      <c r="F568" s="7" t="s">
        <v>6645</v>
      </c>
      <c r="G568" s="8" t="s">
        <v>18</v>
      </c>
      <c r="H568" s="7" t="s">
        <v>28</v>
      </c>
      <c r="I568" s="7" t="s">
        <v>37</v>
      </c>
      <c r="J568" s="7" t="s">
        <v>38</v>
      </c>
      <c r="K568" s="7" t="s">
        <v>37</v>
      </c>
      <c r="L568" s="7" t="s">
        <v>37</v>
      </c>
      <c r="M568" s="7">
        <v>4.1500500000000002</v>
      </c>
      <c r="N568" s="7">
        <v>9.2297600000000006</v>
      </c>
      <c r="O568" s="7" t="s">
        <v>613</v>
      </c>
    </row>
    <row r="569" spans="1:15" x14ac:dyDescent="0.25">
      <c r="A569" s="2">
        <f t="shared" si="8"/>
        <v>567</v>
      </c>
      <c r="B569" s="7" t="s">
        <v>6702</v>
      </c>
      <c r="C569" s="7" t="s">
        <v>6703</v>
      </c>
      <c r="D569" s="7" t="s">
        <v>6702</v>
      </c>
      <c r="E569" s="7" t="s">
        <v>34</v>
      </c>
      <c r="F569" s="7" t="s">
        <v>6704</v>
      </c>
      <c r="G569" s="8" t="s">
        <v>18</v>
      </c>
      <c r="H569" s="7" t="s">
        <v>28</v>
      </c>
      <c r="I569" s="7" t="s">
        <v>37</v>
      </c>
      <c r="J569" s="7" t="s">
        <v>38</v>
      </c>
      <c r="K569" s="7" t="s">
        <v>37</v>
      </c>
      <c r="L569" s="7" t="s">
        <v>37</v>
      </c>
      <c r="M569" s="7">
        <v>4.1595599999999999</v>
      </c>
      <c r="N569" s="7">
        <v>9.2867219999999993</v>
      </c>
      <c r="O569" s="7" t="s">
        <v>23</v>
      </c>
    </row>
    <row r="570" spans="1:15" x14ac:dyDescent="0.25">
      <c r="A570" s="2">
        <f t="shared" si="8"/>
        <v>568</v>
      </c>
      <c r="B570" s="7" t="s">
        <v>6755</v>
      </c>
      <c r="C570" s="7" t="s">
        <v>6756</v>
      </c>
      <c r="D570" s="7" t="s">
        <v>6755</v>
      </c>
      <c r="E570" s="7" t="s">
        <v>34</v>
      </c>
      <c r="F570" s="7" t="s">
        <v>6757</v>
      </c>
      <c r="G570" s="8" t="s">
        <v>18</v>
      </c>
      <c r="H570" s="7" t="s">
        <v>28</v>
      </c>
      <c r="I570" s="7" t="s">
        <v>37</v>
      </c>
      <c r="J570" s="7" t="s">
        <v>38</v>
      </c>
      <c r="K570" s="7" t="s">
        <v>37</v>
      </c>
      <c r="L570" s="7" t="s">
        <v>37</v>
      </c>
      <c r="M570" s="7">
        <v>4.1471099999999996</v>
      </c>
      <c r="N570" s="7">
        <v>9.2881800000000005</v>
      </c>
      <c r="O570" s="7" t="s">
        <v>23</v>
      </c>
    </row>
    <row r="571" spans="1:15" x14ac:dyDescent="0.25">
      <c r="A571" s="2">
        <f t="shared" si="8"/>
        <v>569</v>
      </c>
      <c r="B571" s="7" t="s">
        <v>6764</v>
      </c>
      <c r="C571" s="7" t="s">
        <v>6765</v>
      </c>
      <c r="D571" s="7" t="s">
        <v>6764</v>
      </c>
      <c r="E571" s="7" t="s">
        <v>34</v>
      </c>
      <c r="F571" s="7" t="s">
        <v>6766</v>
      </c>
      <c r="G571" s="8" t="s">
        <v>18</v>
      </c>
      <c r="H571" s="7" t="s">
        <v>28</v>
      </c>
      <c r="I571" s="7" t="s">
        <v>37</v>
      </c>
      <c r="J571" s="7" t="s">
        <v>38</v>
      </c>
      <c r="K571" s="7" t="s">
        <v>37</v>
      </c>
      <c r="L571" s="7" t="s">
        <v>37</v>
      </c>
      <c r="M571" s="7">
        <v>4.154083</v>
      </c>
      <c r="N571" s="7">
        <v>9.2770279999999996</v>
      </c>
      <c r="O571" s="7" t="s">
        <v>613</v>
      </c>
    </row>
    <row r="572" spans="1:15" x14ac:dyDescent="0.25">
      <c r="A572" s="2">
        <f t="shared" si="8"/>
        <v>570</v>
      </c>
      <c r="B572" s="7" t="s">
        <v>7133</v>
      </c>
      <c r="C572" s="7" t="s">
        <v>7134</v>
      </c>
      <c r="D572" s="7" t="s">
        <v>7133</v>
      </c>
      <c r="E572" s="7" t="s">
        <v>34</v>
      </c>
      <c r="F572" s="7" t="s">
        <v>7135</v>
      </c>
      <c r="G572" s="8" t="s">
        <v>18</v>
      </c>
      <c r="H572" s="7" t="s">
        <v>28</v>
      </c>
      <c r="I572" s="7" t="s">
        <v>37</v>
      </c>
      <c r="J572" s="7" t="s">
        <v>7063</v>
      </c>
      <c r="K572" s="7" t="s">
        <v>37</v>
      </c>
      <c r="L572" s="7" t="s">
        <v>37</v>
      </c>
      <c r="M572" s="7">
        <v>4.1482700000000001</v>
      </c>
      <c r="N572" s="7">
        <v>9.2940699999999996</v>
      </c>
      <c r="O572" s="7" t="s">
        <v>613</v>
      </c>
    </row>
    <row r="573" spans="1:15" x14ac:dyDescent="0.25">
      <c r="A573" s="2">
        <f t="shared" si="8"/>
        <v>571</v>
      </c>
      <c r="B573" s="7" t="s">
        <v>7145</v>
      </c>
      <c r="C573" s="7" t="s">
        <v>7146</v>
      </c>
      <c r="D573" s="7" t="s">
        <v>7145</v>
      </c>
      <c r="E573" s="7" t="s">
        <v>34</v>
      </c>
      <c r="F573" s="7" t="s">
        <v>7147</v>
      </c>
      <c r="G573" s="17" t="s">
        <v>7747</v>
      </c>
      <c r="H573" s="7" t="s">
        <v>28</v>
      </c>
      <c r="I573" s="7" t="s">
        <v>37</v>
      </c>
      <c r="J573" s="7" t="s">
        <v>7063</v>
      </c>
      <c r="K573" s="7" t="s">
        <v>37</v>
      </c>
      <c r="L573" s="7" t="s">
        <v>37</v>
      </c>
      <c r="M573" s="7">
        <v>4.1541180000000004</v>
      </c>
      <c r="N573" s="7">
        <v>9.2605310000000003</v>
      </c>
      <c r="O573" s="7" t="s">
        <v>613</v>
      </c>
    </row>
    <row r="574" spans="1:15" x14ac:dyDescent="0.25">
      <c r="A574" s="2">
        <f t="shared" si="8"/>
        <v>572</v>
      </c>
      <c r="B574" s="7" t="s">
        <v>7165</v>
      </c>
      <c r="C574" s="7" t="s">
        <v>7166</v>
      </c>
      <c r="D574" s="7" t="s">
        <v>7165</v>
      </c>
      <c r="E574" s="7" t="s">
        <v>34</v>
      </c>
      <c r="F574" s="7" t="s">
        <v>7167</v>
      </c>
      <c r="G574" s="8" t="s">
        <v>18</v>
      </c>
      <c r="H574" s="7" t="s">
        <v>28</v>
      </c>
      <c r="I574" s="7" t="s">
        <v>37</v>
      </c>
      <c r="J574" s="7" t="s">
        <v>7063</v>
      </c>
      <c r="K574" s="7" t="s">
        <v>37</v>
      </c>
      <c r="L574" s="7" t="s">
        <v>37</v>
      </c>
      <c r="M574" s="7">
        <v>4.1570549999999997</v>
      </c>
      <c r="N574" s="7">
        <v>9.2855469999999993</v>
      </c>
      <c r="O574" s="7" t="s">
        <v>613</v>
      </c>
    </row>
    <row r="575" spans="1:15" x14ac:dyDescent="0.25">
      <c r="A575" s="2">
        <f t="shared" si="8"/>
        <v>573</v>
      </c>
      <c r="B575" s="7" t="s">
        <v>7339</v>
      </c>
      <c r="C575" s="7" t="s">
        <v>7340</v>
      </c>
      <c r="D575" s="7" t="s">
        <v>7339</v>
      </c>
      <c r="E575" s="7" t="s">
        <v>34</v>
      </c>
      <c r="F575" s="7" t="s">
        <v>7341</v>
      </c>
      <c r="G575" s="8" t="s">
        <v>18</v>
      </c>
      <c r="H575" s="7" t="s">
        <v>28</v>
      </c>
      <c r="I575" s="7" t="s">
        <v>441</v>
      </c>
      <c r="J575" s="7" t="s">
        <v>7063</v>
      </c>
      <c r="K575" s="7" t="s">
        <v>2271</v>
      </c>
      <c r="L575" s="7" t="s">
        <v>37</v>
      </c>
      <c r="M575" s="7">
        <v>4.1849400000000001</v>
      </c>
      <c r="N575" s="7">
        <v>9.4735899999999997</v>
      </c>
      <c r="O575" s="7" t="s">
        <v>23</v>
      </c>
    </row>
    <row r="576" spans="1:15" x14ac:dyDescent="0.25">
      <c r="A576" s="2">
        <f t="shared" si="8"/>
        <v>574</v>
      </c>
      <c r="B576" s="7" t="s">
        <v>7358</v>
      </c>
      <c r="C576" s="7" t="s">
        <v>7359</v>
      </c>
      <c r="D576" s="7" t="s">
        <v>7358</v>
      </c>
      <c r="E576" s="7" t="s">
        <v>34</v>
      </c>
      <c r="F576" s="7" t="s">
        <v>7360</v>
      </c>
      <c r="G576" s="17" t="s">
        <v>7747</v>
      </c>
      <c r="H576" s="7" t="s">
        <v>28</v>
      </c>
      <c r="I576" s="7" t="s">
        <v>37</v>
      </c>
      <c r="J576" s="7" t="s">
        <v>38</v>
      </c>
      <c r="K576" s="7" t="s">
        <v>497</v>
      </c>
      <c r="L576" s="7" t="s">
        <v>37</v>
      </c>
      <c r="M576" s="7">
        <v>4.1614909999999998</v>
      </c>
      <c r="N576" s="7">
        <v>9.2459641999999995</v>
      </c>
      <c r="O576" s="7" t="s">
        <v>613</v>
      </c>
    </row>
    <row r="577" spans="1:15" x14ac:dyDescent="0.25">
      <c r="A577" s="2">
        <f t="shared" si="8"/>
        <v>575</v>
      </c>
      <c r="B577" s="7" t="s">
        <v>7367</v>
      </c>
      <c r="C577" s="7" t="s">
        <v>7368</v>
      </c>
      <c r="D577" s="7" t="s">
        <v>7367</v>
      </c>
      <c r="E577" s="7" t="s">
        <v>34</v>
      </c>
      <c r="F577" s="7" t="s">
        <v>7369</v>
      </c>
      <c r="G577" s="17" t="s">
        <v>7747</v>
      </c>
      <c r="H577" s="7" t="s">
        <v>28</v>
      </c>
      <c r="I577" s="7" t="s">
        <v>441</v>
      </c>
      <c r="J577" s="7" t="s">
        <v>38</v>
      </c>
      <c r="K577" s="7" t="s">
        <v>7370</v>
      </c>
      <c r="L577" s="7" t="s">
        <v>37</v>
      </c>
      <c r="M577" s="7">
        <v>4.0831150000000003</v>
      </c>
      <c r="N577" s="7">
        <v>9.3143539999999998</v>
      </c>
      <c r="O577" s="7" t="s">
        <v>23</v>
      </c>
    </row>
    <row r="578" spans="1:15" x14ac:dyDescent="0.25">
      <c r="A578" s="2">
        <f t="shared" si="8"/>
        <v>576</v>
      </c>
      <c r="B578" s="7" t="s">
        <v>7402</v>
      </c>
      <c r="C578" s="7" t="s">
        <v>7403</v>
      </c>
      <c r="D578" s="7" t="s">
        <v>7402</v>
      </c>
      <c r="E578" s="7" t="s">
        <v>34</v>
      </c>
      <c r="F578" s="7" t="s">
        <v>7404</v>
      </c>
      <c r="G578" s="17" t="s">
        <v>7747</v>
      </c>
      <c r="H578" s="7" t="s">
        <v>28</v>
      </c>
      <c r="I578" s="7" t="s">
        <v>441</v>
      </c>
      <c r="J578" s="7" t="s">
        <v>38</v>
      </c>
      <c r="K578" s="7" t="s">
        <v>442</v>
      </c>
      <c r="L578" s="7" t="s">
        <v>37</v>
      </c>
      <c r="M578" s="7">
        <v>4.0627849999999999</v>
      </c>
      <c r="N578" s="7">
        <v>9.3635699999999993</v>
      </c>
      <c r="O578" s="7" t="s">
        <v>23</v>
      </c>
    </row>
    <row r="579" spans="1:15" x14ac:dyDescent="0.25">
      <c r="A579" s="2">
        <f t="shared" si="8"/>
        <v>577</v>
      </c>
      <c r="B579" s="7" t="s">
        <v>7596</v>
      </c>
      <c r="C579" s="7" t="s">
        <v>7597</v>
      </c>
      <c r="D579" s="7" t="s">
        <v>7596</v>
      </c>
      <c r="E579" s="7" t="s">
        <v>34</v>
      </c>
      <c r="F579" s="7" t="s">
        <v>7598</v>
      </c>
      <c r="G579" s="17" t="s">
        <v>7747</v>
      </c>
      <c r="H579" s="7" t="s">
        <v>28</v>
      </c>
      <c r="I579" s="7" t="s">
        <v>37</v>
      </c>
      <c r="J579" s="7" t="s">
        <v>7063</v>
      </c>
      <c r="K579" s="7" t="s">
        <v>37</v>
      </c>
      <c r="L579" s="7" t="s">
        <v>37</v>
      </c>
      <c r="M579" s="7">
        <v>4.1682090000000001</v>
      </c>
      <c r="N579" s="7">
        <v>9.2784820000000003</v>
      </c>
      <c r="O579" s="7" t="s">
        <v>23</v>
      </c>
    </row>
    <row r="580" spans="1:15" x14ac:dyDescent="0.25">
      <c r="A580" s="2">
        <f t="shared" si="8"/>
        <v>578</v>
      </c>
      <c r="B580" s="7" t="s">
        <v>7685</v>
      </c>
      <c r="C580" s="7" t="s">
        <v>7686</v>
      </c>
      <c r="D580" s="7" t="s">
        <v>7685</v>
      </c>
      <c r="E580" s="7" t="s">
        <v>34</v>
      </c>
      <c r="F580" s="11" t="s">
        <v>7687</v>
      </c>
      <c r="G580" s="17" t="s">
        <v>7747</v>
      </c>
      <c r="H580" s="7" t="s">
        <v>28</v>
      </c>
      <c r="I580" s="7" t="s">
        <v>441</v>
      </c>
      <c r="J580" s="7" t="e">
        <f>VLOOKUP(C580,#REF!,5,0)</f>
        <v>#REF!</v>
      </c>
      <c r="K580" s="7" t="s">
        <v>2271</v>
      </c>
      <c r="L580" s="7" t="s">
        <v>37</v>
      </c>
      <c r="M580" s="12">
        <v>4.0680529999999999</v>
      </c>
      <c r="N580" s="12">
        <v>9.3588470000000008</v>
      </c>
      <c r="O580" s="7" t="s">
        <v>23</v>
      </c>
    </row>
    <row r="581" spans="1:15" x14ac:dyDescent="0.25">
      <c r="A581" s="2">
        <f t="shared" ref="A581:A644" si="9">+A580+1</f>
        <v>579</v>
      </c>
      <c r="B581" s="7" t="s">
        <v>7717</v>
      </c>
      <c r="C581" s="7" t="s">
        <v>7718</v>
      </c>
      <c r="D581" s="7" t="s">
        <v>7717</v>
      </c>
      <c r="E581" s="7" t="s">
        <v>34</v>
      </c>
      <c r="F581" s="7" t="s">
        <v>7719</v>
      </c>
      <c r="G581" s="17" t="s">
        <v>7747</v>
      </c>
      <c r="H581" s="7" t="s">
        <v>28</v>
      </c>
      <c r="I581" s="7" t="s">
        <v>37</v>
      </c>
      <c r="J581" s="7" t="s">
        <v>7063</v>
      </c>
      <c r="K581" s="7" t="s">
        <v>37</v>
      </c>
      <c r="L581" s="7" t="s">
        <v>37</v>
      </c>
      <c r="M581" s="7">
        <v>4.1776299999999997</v>
      </c>
      <c r="N581" s="7">
        <v>9.2801939999999998</v>
      </c>
      <c r="O581" s="7" t="s">
        <v>23</v>
      </c>
    </row>
    <row r="582" spans="1:15" x14ac:dyDescent="0.25">
      <c r="A582" s="2">
        <f t="shared" si="9"/>
        <v>580</v>
      </c>
      <c r="B582" s="7" t="s">
        <v>48</v>
      </c>
      <c r="C582" s="7" t="s">
        <v>49</v>
      </c>
      <c r="D582" s="7" t="s">
        <v>48</v>
      </c>
      <c r="E582" s="7" t="s">
        <v>50</v>
      </c>
      <c r="F582" s="7" t="s">
        <v>51</v>
      </c>
      <c r="G582" s="17" t="s">
        <v>7747</v>
      </c>
      <c r="H582" s="7" t="s">
        <v>28</v>
      </c>
      <c r="I582" s="7" t="s">
        <v>52</v>
      </c>
      <c r="J582" s="7" t="s">
        <v>53</v>
      </c>
      <c r="K582" s="7" t="s">
        <v>54</v>
      </c>
      <c r="L582" s="7" t="s">
        <v>55</v>
      </c>
      <c r="M582" s="7">
        <v>3.9766650000000001</v>
      </c>
      <c r="N582" s="7">
        <v>9.7918050000000001</v>
      </c>
      <c r="O582" s="7" t="s">
        <v>23</v>
      </c>
    </row>
    <row r="583" spans="1:15" x14ac:dyDescent="0.25">
      <c r="A583" s="2">
        <f t="shared" si="9"/>
        <v>581</v>
      </c>
      <c r="B583" s="7" t="s">
        <v>421</v>
      </c>
      <c r="C583" s="7" t="s">
        <v>422</v>
      </c>
      <c r="D583" s="7" t="s">
        <v>421</v>
      </c>
      <c r="E583" s="7" t="s">
        <v>34</v>
      </c>
      <c r="F583" s="7" t="s">
        <v>423</v>
      </c>
      <c r="G583" s="17" t="s">
        <v>7747</v>
      </c>
      <c r="H583" s="7" t="s">
        <v>28</v>
      </c>
      <c r="I583" s="7" t="s">
        <v>356</v>
      </c>
      <c r="J583" s="7" t="s">
        <v>152</v>
      </c>
      <c r="K583" s="7" t="s">
        <v>424</v>
      </c>
      <c r="L583" s="7" t="s">
        <v>55</v>
      </c>
      <c r="M583" s="7">
        <v>4.293838</v>
      </c>
      <c r="N583" s="7">
        <v>9.6697369999999996</v>
      </c>
      <c r="O583" s="7" t="s">
        <v>23</v>
      </c>
    </row>
    <row r="584" spans="1:15" x14ac:dyDescent="0.25">
      <c r="A584" s="2">
        <f t="shared" si="9"/>
        <v>582</v>
      </c>
      <c r="B584" s="7" t="s">
        <v>475</v>
      </c>
      <c r="C584" s="7" t="s">
        <v>476</v>
      </c>
      <c r="D584" s="7" t="s">
        <v>475</v>
      </c>
      <c r="E584" s="7" t="s">
        <v>50</v>
      </c>
      <c r="F584" s="7" t="s">
        <v>477</v>
      </c>
      <c r="G584" s="17" t="s">
        <v>7747</v>
      </c>
      <c r="H584" s="7" t="s">
        <v>28</v>
      </c>
      <c r="I584" s="7" t="s">
        <v>161</v>
      </c>
      <c r="J584" s="7" t="s">
        <v>159</v>
      </c>
      <c r="K584" s="7" t="s">
        <v>200</v>
      </c>
      <c r="L584" s="7" t="s">
        <v>55</v>
      </c>
      <c r="M584" s="7">
        <v>3.971635</v>
      </c>
      <c r="N584" s="7">
        <v>9.9267920000000007</v>
      </c>
      <c r="O584" s="7" t="s">
        <v>23</v>
      </c>
    </row>
    <row r="585" spans="1:15" x14ac:dyDescent="0.25">
      <c r="A585" s="2">
        <f t="shared" si="9"/>
        <v>583</v>
      </c>
      <c r="B585" s="7" t="s">
        <v>558</v>
      </c>
      <c r="C585" s="7" t="s">
        <v>559</v>
      </c>
      <c r="D585" s="7" t="s">
        <v>558</v>
      </c>
      <c r="E585" s="7" t="s">
        <v>50</v>
      </c>
      <c r="F585" s="7" t="s">
        <v>560</v>
      </c>
      <c r="G585" s="17" t="s">
        <v>7747</v>
      </c>
      <c r="H585" s="7" t="s">
        <v>28</v>
      </c>
      <c r="I585" s="7" t="s">
        <v>52</v>
      </c>
      <c r="J585" s="7" t="s">
        <v>53</v>
      </c>
      <c r="K585" s="7" t="s">
        <v>54</v>
      </c>
      <c r="L585" s="7" t="s">
        <v>55</v>
      </c>
      <c r="M585" s="7">
        <v>3.9698310000000001</v>
      </c>
      <c r="N585" s="7">
        <v>9.7450810000000008</v>
      </c>
      <c r="O585" s="7" t="s">
        <v>23</v>
      </c>
    </row>
    <row r="586" spans="1:15" x14ac:dyDescent="0.25">
      <c r="A586" s="2">
        <f t="shared" si="9"/>
        <v>584</v>
      </c>
      <c r="B586" s="7" t="s">
        <v>608</v>
      </c>
      <c r="C586" s="7" t="s">
        <v>609</v>
      </c>
      <c r="D586" s="7" t="s">
        <v>608</v>
      </c>
      <c r="E586" s="7" t="s">
        <v>50</v>
      </c>
      <c r="F586" s="7" t="s">
        <v>610</v>
      </c>
      <c r="G586" s="17" t="s">
        <v>7747</v>
      </c>
      <c r="H586" s="7" t="s">
        <v>28</v>
      </c>
      <c r="I586" s="7" t="s">
        <v>611</v>
      </c>
      <c r="J586" s="7" t="s">
        <v>53</v>
      </c>
      <c r="K586" s="7" t="s">
        <v>612</v>
      </c>
      <c r="L586" s="7" t="s">
        <v>55</v>
      </c>
      <c r="M586" s="7">
        <v>4.0826390000000004</v>
      </c>
      <c r="N586" s="7">
        <v>9.7485560000000007</v>
      </c>
      <c r="O586" s="7" t="s">
        <v>613</v>
      </c>
    </row>
    <row r="587" spans="1:15" x14ac:dyDescent="0.25">
      <c r="A587" s="2">
        <f t="shared" si="9"/>
        <v>585</v>
      </c>
      <c r="B587" s="7" t="s">
        <v>614</v>
      </c>
      <c r="C587" s="7" t="s">
        <v>615</v>
      </c>
      <c r="D587" s="7" t="s">
        <v>614</v>
      </c>
      <c r="E587" s="7" t="s">
        <v>50</v>
      </c>
      <c r="F587" s="7" t="s">
        <v>616</v>
      </c>
      <c r="G587" s="17" t="s">
        <v>7747</v>
      </c>
      <c r="H587" s="7" t="s">
        <v>28</v>
      </c>
      <c r="I587" s="7" t="s">
        <v>611</v>
      </c>
      <c r="J587" s="7" t="s">
        <v>53</v>
      </c>
      <c r="K587" s="7" t="s">
        <v>612</v>
      </c>
      <c r="L587" s="7" t="s">
        <v>55</v>
      </c>
      <c r="M587" s="7">
        <v>4.0749000000000004</v>
      </c>
      <c r="N587" s="7">
        <v>9.7532689999999995</v>
      </c>
      <c r="O587" s="7" t="s">
        <v>613</v>
      </c>
    </row>
    <row r="588" spans="1:15" x14ac:dyDescent="0.25">
      <c r="A588" s="2">
        <f t="shared" si="9"/>
        <v>586</v>
      </c>
      <c r="B588" s="7" t="s">
        <v>624</v>
      </c>
      <c r="C588" s="7" t="s">
        <v>625</v>
      </c>
      <c r="D588" s="7" t="s">
        <v>624</v>
      </c>
      <c r="E588" s="7" t="s">
        <v>50</v>
      </c>
      <c r="F588" s="7" t="s">
        <v>626</v>
      </c>
      <c r="G588" s="17" t="s">
        <v>7747</v>
      </c>
      <c r="H588" s="7" t="s">
        <v>28</v>
      </c>
      <c r="I588" s="7" t="s">
        <v>627</v>
      </c>
      <c r="J588" s="7" t="s">
        <v>53</v>
      </c>
      <c r="K588" s="7" t="s">
        <v>628</v>
      </c>
      <c r="L588" s="7" t="s">
        <v>55</v>
      </c>
      <c r="M588" s="7">
        <v>4.0620279999999998</v>
      </c>
      <c r="N588" s="7">
        <v>9.6610829999999996</v>
      </c>
      <c r="O588" s="7" t="s">
        <v>23</v>
      </c>
    </row>
    <row r="589" spans="1:15" x14ac:dyDescent="0.25">
      <c r="A589" s="2">
        <f t="shared" si="9"/>
        <v>587</v>
      </c>
      <c r="B589" s="7" t="s">
        <v>951</v>
      </c>
      <c r="C589" s="7" t="s">
        <v>952</v>
      </c>
      <c r="D589" s="7" t="s">
        <v>951</v>
      </c>
      <c r="E589" s="7" t="s">
        <v>34</v>
      </c>
      <c r="F589" s="7" t="s">
        <v>953</v>
      </c>
      <c r="G589" s="8" t="s">
        <v>18</v>
      </c>
      <c r="H589" s="7" t="s">
        <v>28</v>
      </c>
      <c r="I589" s="7" t="s">
        <v>441</v>
      </c>
      <c r="J589" s="7" t="s">
        <v>38</v>
      </c>
      <c r="K589" s="7" t="s">
        <v>442</v>
      </c>
      <c r="L589" s="7" t="s">
        <v>55</v>
      </c>
      <c r="M589" s="7">
        <v>4.1451529999999996</v>
      </c>
      <c r="N589" s="7">
        <v>9.5065469999999994</v>
      </c>
      <c r="O589" s="7" t="s">
        <v>23</v>
      </c>
    </row>
    <row r="590" spans="1:15" x14ac:dyDescent="0.25">
      <c r="A590" s="2">
        <f t="shared" si="9"/>
        <v>588</v>
      </c>
      <c r="B590" s="7" t="s">
        <v>957</v>
      </c>
      <c r="C590" s="7" t="s">
        <v>958</v>
      </c>
      <c r="D590" s="7" t="s">
        <v>957</v>
      </c>
      <c r="E590" s="7" t="s">
        <v>50</v>
      </c>
      <c r="F590" s="7" t="s">
        <v>959</v>
      </c>
      <c r="G590" s="17" t="s">
        <v>7747</v>
      </c>
      <c r="H590" s="7" t="s">
        <v>28</v>
      </c>
      <c r="I590" s="7" t="s">
        <v>960</v>
      </c>
      <c r="J590" s="7" t="s">
        <v>53</v>
      </c>
      <c r="K590" s="7" t="s">
        <v>628</v>
      </c>
      <c r="L590" s="7" t="s">
        <v>55</v>
      </c>
      <c r="M590" s="7">
        <v>4.1094869999999997</v>
      </c>
      <c r="N590" s="7">
        <v>9.6173140000000004</v>
      </c>
      <c r="O590" s="7" t="s">
        <v>23</v>
      </c>
    </row>
    <row r="591" spans="1:15" x14ac:dyDescent="0.25">
      <c r="A591" s="2">
        <f t="shared" si="9"/>
        <v>589</v>
      </c>
      <c r="B591" s="7" t="s">
        <v>1326</v>
      </c>
      <c r="C591" s="7" t="s">
        <v>1327</v>
      </c>
      <c r="D591" s="7" t="s">
        <v>1326</v>
      </c>
      <c r="E591" s="7" t="s">
        <v>50</v>
      </c>
      <c r="F591" s="7" t="s">
        <v>1328</v>
      </c>
      <c r="G591" s="17" t="s">
        <v>7747</v>
      </c>
      <c r="H591" s="7" t="s">
        <v>28</v>
      </c>
      <c r="I591" s="7" t="s">
        <v>1329</v>
      </c>
      <c r="J591" s="7" t="s">
        <v>53</v>
      </c>
      <c r="K591" s="7" t="s">
        <v>54</v>
      </c>
      <c r="L591" s="7" t="s">
        <v>55</v>
      </c>
      <c r="M591" s="7">
        <v>4.0495700000000001</v>
      </c>
      <c r="N591" s="7">
        <v>9.7297399999999996</v>
      </c>
      <c r="O591" s="7" t="s">
        <v>613</v>
      </c>
    </row>
    <row r="592" spans="1:15" x14ac:dyDescent="0.25">
      <c r="A592" s="2">
        <f t="shared" si="9"/>
        <v>590</v>
      </c>
      <c r="B592" s="7" t="s">
        <v>1400</v>
      </c>
      <c r="C592" s="7" t="s">
        <v>1401</v>
      </c>
      <c r="D592" s="7" t="s">
        <v>1400</v>
      </c>
      <c r="E592" s="7" t="s">
        <v>50</v>
      </c>
      <c r="F592" s="7" t="s">
        <v>1402</v>
      </c>
      <c r="G592" s="17" t="s">
        <v>7747</v>
      </c>
      <c r="H592" s="7" t="s">
        <v>28</v>
      </c>
      <c r="I592" s="7" t="s">
        <v>1403</v>
      </c>
      <c r="J592" s="7" t="s">
        <v>53</v>
      </c>
      <c r="K592" s="7" t="s">
        <v>1404</v>
      </c>
      <c r="L592" s="7" t="s">
        <v>55</v>
      </c>
      <c r="M592" s="7">
        <v>4.0247580000000003</v>
      </c>
      <c r="N592" s="7">
        <v>9.7015499999999992</v>
      </c>
      <c r="O592" s="7" t="s">
        <v>613</v>
      </c>
    </row>
    <row r="593" spans="1:15" x14ac:dyDescent="0.25">
      <c r="A593" s="2">
        <f t="shared" si="9"/>
        <v>591</v>
      </c>
      <c r="B593" s="7" t="s">
        <v>1436</v>
      </c>
      <c r="C593" s="7" t="s">
        <v>1437</v>
      </c>
      <c r="D593" s="7" t="s">
        <v>1436</v>
      </c>
      <c r="E593" s="7" t="s">
        <v>50</v>
      </c>
      <c r="F593" s="7" t="s">
        <v>1438</v>
      </c>
      <c r="G593" s="17" t="s">
        <v>7747</v>
      </c>
      <c r="H593" s="7" t="s">
        <v>28</v>
      </c>
      <c r="I593" s="7" t="s">
        <v>627</v>
      </c>
      <c r="J593" s="7" t="s">
        <v>53</v>
      </c>
      <c r="K593" s="7" t="s">
        <v>628</v>
      </c>
      <c r="L593" s="7" t="s">
        <v>55</v>
      </c>
      <c r="M593" s="7">
        <v>4.0705830000000001</v>
      </c>
      <c r="N593" s="7">
        <v>9.6499159999999993</v>
      </c>
      <c r="O593" s="7" t="s">
        <v>23</v>
      </c>
    </row>
    <row r="594" spans="1:15" x14ac:dyDescent="0.25">
      <c r="A594" s="2">
        <f t="shared" si="9"/>
        <v>592</v>
      </c>
      <c r="B594" s="7" t="s">
        <v>1465</v>
      </c>
      <c r="C594" s="7" t="s">
        <v>1466</v>
      </c>
      <c r="D594" s="7" t="s">
        <v>1465</v>
      </c>
      <c r="E594" s="7" t="s">
        <v>50</v>
      </c>
      <c r="F594" s="7" t="s">
        <v>1467</v>
      </c>
      <c r="G594" s="17" t="s">
        <v>7747</v>
      </c>
      <c r="H594" s="7" t="s">
        <v>28</v>
      </c>
      <c r="I594" s="7" t="s">
        <v>1329</v>
      </c>
      <c r="J594" s="7" t="s">
        <v>53</v>
      </c>
      <c r="K594" s="7" t="s">
        <v>54</v>
      </c>
      <c r="L594" s="7" t="s">
        <v>55</v>
      </c>
      <c r="M594" s="7">
        <v>4.0266700000000002</v>
      </c>
      <c r="N594" s="7">
        <v>9.7850269999999995</v>
      </c>
      <c r="O594" s="7" t="s">
        <v>613</v>
      </c>
    </row>
    <row r="595" spans="1:15" x14ac:dyDescent="0.25">
      <c r="A595" s="2">
        <f t="shared" si="9"/>
        <v>593</v>
      </c>
      <c r="B595" s="7" t="s">
        <v>1468</v>
      </c>
      <c r="C595" s="7" t="s">
        <v>1469</v>
      </c>
      <c r="D595" s="7" t="s">
        <v>1468</v>
      </c>
      <c r="E595" s="7" t="s">
        <v>50</v>
      </c>
      <c r="F595" s="7" t="s">
        <v>1470</v>
      </c>
      <c r="G595" s="17" t="s">
        <v>7747</v>
      </c>
      <c r="H595" s="7" t="s">
        <v>28</v>
      </c>
      <c r="I595" s="7" t="s">
        <v>1471</v>
      </c>
      <c r="J595" s="7" t="s">
        <v>53</v>
      </c>
      <c r="K595" s="7" t="s">
        <v>612</v>
      </c>
      <c r="L595" s="7" t="s">
        <v>55</v>
      </c>
      <c r="M595" s="7">
        <v>4.0723060000000002</v>
      </c>
      <c r="N595" s="7">
        <v>9.7335829999999994</v>
      </c>
      <c r="O595" s="7" t="s">
        <v>23</v>
      </c>
    </row>
    <row r="596" spans="1:15" x14ac:dyDescent="0.25">
      <c r="A596" s="2">
        <f t="shared" si="9"/>
        <v>594</v>
      </c>
      <c r="B596" s="7" t="s">
        <v>1475</v>
      </c>
      <c r="C596" s="7" t="s">
        <v>1476</v>
      </c>
      <c r="D596" s="7" t="s">
        <v>1475</v>
      </c>
      <c r="E596" s="7" t="s">
        <v>50</v>
      </c>
      <c r="F596" s="7" t="s">
        <v>1477</v>
      </c>
      <c r="G596" s="17" t="s">
        <v>7747</v>
      </c>
      <c r="H596" s="7" t="s">
        <v>28</v>
      </c>
      <c r="I596" s="7" t="s">
        <v>1478</v>
      </c>
      <c r="J596" s="7" t="s">
        <v>53</v>
      </c>
      <c r="K596" s="7" t="s">
        <v>612</v>
      </c>
      <c r="L596" s="7" t="s">
        <v>55</v>
      </c>
      <c r="M596" s="7">
        <v>4.0908329999999999</v>
      </c>
      <c r="N596" s="7">
        <v>9.7586110000000001</v>
      </c>
      <c r="O596" s="7" t="s">
        <v>613</v>
      </c>
    </row>
    <row r="597" spans="1:15" x14ac:dyDescent="0.25">
      <c r="A597" s="2">
        <f t="shared" si="9"/>
        <v>595</v>
      </c>
      <c r="B597" s="7" t="s">
        <v>1513</v>
      </c>
      <c r="C597" s="7" t="s">
        <v>1514</v>
      </c>
      <c r="D597" s="7" t="s">
        <v>1513</v>
      </c>
      <c r="E597" s="7" t="s">
        <v>50</v>
      </c>
      <c r="F597" s="7" t="s">
        <v>1515</v>
      </c>
      <c r="G597" s="17" t="s">
        <v>7747</v>
      </c>
      <c r="H597" s="7" t="s">
        <v>28</v>
      </c>
      <c r="I597" s="7" t="s">
        <v>1516</v>
      </c>
      <c r="J597" s="7" t="s">
        <v>53</v>
      </c>
      <c r="K597" s="7" t="s">
        <v>54</v>
      </c>
      <c r="L597" s="7" t="s">
        <v>55</v>
      </c>
      <c r="M597" s="7">
        <v>4.04277</v>
      </c>
      <c r="N597" s="7">
        <v>9.7795199999999998</v>
      </c>
      <c r="O597" s="7" t="s">
        <v>613</v>
      </c>
    </row>
    <row r="598" spans="1:15" x14ac:dyDescent="0.25">
      <c r="A598" s="2">
        <f t="shared" si="9"/>
        <v>596</v>
      </c>
      <c r="B598" s="7" t="s">
        <v>1541</v>
      </c>
      <c r="C598" s="7" t="s">
        <v>1542</v>
      </c>
      <c r="D598" s="7" t="s">
        <v>1541</v>
      </c>
      <c r="E598" s="7" t="s">
        <v>50</v>
      </c>
      <c r="F598" s="7" t="s">
        <v>1543</v>
      </c>
      <c r="G598" s="17" t="s">
        <v>7747</v>
      </c>
      <c r="H598" s="7" t="s">
        <v>28</v>
      </c>
      <c r="I598" s="7" t="s">
        <v>1516</v>
      </c>
      <c r="J598" s="7" t="s">
        <v>53</v>
      </c>
      <c r="K598" s="7" t="s">
        <v>54</v>
      </c>
      <c r="L598" s="7" t="s">
        <v>55</v>
      </c>
      <c r="M598" s="7">
        <v>4.0913750000000002</v>
      </c>
      <c r="N598" s="7">
        <v>9.8086929999999999</v>
      </c>
      <c r="O598" s="7" t="s">
        <v>23</v>
      </c>
    </row>
    <row r="599" spans="1:15" x14ac:dyDescent="0.25">
      <c r="A599" s="2">
        <f t="shared" si="9"/>
        <v>597</v>
      </c>
      <c r="B599" s="7" t="s">
        <v>1547</v>
      </c>
      <c r="C599" s="7" t="s">
        <v>1548</v>
      </c>
      <c r="D599" s="7" t="s">
        <v>1547</v>
      </c>
      <c r="E599" s="7" t="s">
        <v>50</v>
      </c>
      <c r="F599" s="7" t="s">
        <v>1549</v>
      </c>
      <c r="G599" s="17" t="s">
        <v>7747</v>
      </c>
      <c r="H599" s="7" t="s">
        <v>19</v>
      </c>
      <c r="I599" s="7" t="s">
        <v>1516</v>
      </c>
      <c r="J599" s="7" t="s">
        <v>53</v>
      </c>
      <c r="K599" s="7" t="s">
        <v>54</v>
      </c>
      <c r="L599" s="7" t="s">
        <v>55</v>
      </c>
      <c r="M599" s="7">
        <v>4.0534999999999997</v>
      </c>
      <c r="N599" s="7">
        <v>9.7788299999999992</v>
      </c>
      <c r="O599" s="7" t="s">
        <v>23</v>
      </c>
    </row>
    <row r="600" spans="1:15" x14ac:dyDescent="0.25">
      <c r="A600" s="2">
        <f t="shared" si="9"/>
        <v>598</v>
      </c>
      <c r="B600" s="7" t="s">
        <v>1554</v>
      </c>
      <c r="C600" s="7" t="s">
        <v>1555</v>
      </c>
      <c r="D600" s="7" t="s">
        <v>1554</v>
      </c>
      <c r="E600" s="7" t="s">
        <v>50</v>
      </c>
      <c r="F600" s="7" t="s">
        <v>1556</v>
      </c>
      <c r="G600" s="17" t="s">
        <v>7747</v>
      </c>
      <c r="H600" s="7" t="s">
        <v>28</v>
      </c>
      <c r="I600" s="7" t="s">
        <v>1516</v>
      </c>
      <c r="J600" s="7" t="s">
        <v>53</v>
      </c>
      <c r="K600" s="7" t="s">
        <v>612</v>
      </c>
      <c r="L600" s="7" t="s">
        <v>55</v>
      </c>
      <c r="M600" s="7">
        <v>4.0803700000000003</v>
      </c>
      <c r="N600" s="7">
        <v>9.7886900000000008</v>
      </c>
      <c r="O600" s="7" t="s">
        <v>613</v>
      </c>
    </row>
    <row r="601" spans="1:15" x14ac:dyDescent="0.25">
      <c r="A601" s="2">
        <f t="shared" si="9"/>
        <v>599</v>
      </c>
      <c r="B601" s="7" t="s">
        <v>1572</v>
      </c>
      <c r="C601" s="7" t="s">
        <v>1573</v>
      </c>
      <c r="D601" s="7" t="s">
        <v>1572</v>
      </c>
      <c r="E601" s="7" t="s">
        <v>50</v>
      </c>
      <c r="F601" s="7" t="s">
        <v>1574</v>
      </c>
      <c r="G601" s="17" t="s">
        <v>7747</v>
      </c>
      <c r="H601" s="7" t="s">
        <v>19</v>
      </c>
      <c r="I601" s="7" t="s">
        <v>1575</v>
      </c>
      <c r="J601" s="7" t="s">
        <v>53</v>
      </c>
      <c r="K601" s="7" t="s">
        <v>54</v>
      </c>
      <c r="L601" s="7" t="s">
        <v>55</v>
      </c>
      <c r="M601" s="7">
        <v>4.0232950000000001</v>
      </c>
      <c r="N601" s="7">
        <v>9.74831</v>
      </c>
      <c r="O601" s="7" t="s">
        <v>23</v>
      </c>
    </row>
    <row r="602" spans="1:15" x14ac:dyDescent="0.25">
      <c r="A602" s="2">
        <f t="shared" si="9"/>
        <v>600</v>
      </c>
      <c r="B602" s="7" t="s">
        <v>1576</v>
      </c>
      <c r="C602" s="7" t="s">
        <v>1577</v>
      </c>
      <c r="D602" s="7" t="s">
        <v>1576</v>
      </c>
      <c r="E602" s="7" t="s">
        <v>50</v>
      </c>
      <c r="F602" s="7" t="s">
        <v>1578</v>
      </c>
      <c r="G602" s="17" t="s">
        <v>7747</v>
      </c>
      <c r="H602" s="7" t="s">
        <v>19</v>
      </c>
      <c r="I602" s="7" t="s">
        <v>1575</v>
      </c>
      <c r="J602" s="7" t="s">
        <v>53</v>
      </c>
      <c r="K602" s="7" t="s">
        <v>54</v>
      </c>
      <c r="L602" s="7" t="s">
        <v>55</v>
      </c>
      <c r="M602" s="7">
        <v>4.0175099999999997</v>
      </c>
      <c r="N602" s="7">
        <v>9.7346520000000005</v>
      </c>
      <c r="O602" s="7" t="s">
        <v>613</v>
      </c>
    </row>
    <row r="603" spans="1:15" x14ac:dyDescent="0.25">
      <c r="A603" s="2">
        <f t="shared" si="9"/>
        <v>601</v>
      </c>
      <c r="B603" s="7" t="s">
        <v>1585</v>
      </c>
      <c r="C603" s="7" t="s">
        <v>1586</v>
      </c>
      <c r="D603" s="7" t="s">
        <v>1585</v>
      </c>
      <c r="E603" s="7" t="s">
        <v>50</v>
      </c>
      <c r="F603" s="7" t="s">
        <v>1587</v>
      </c>
      <c r="G603" s="17" t="s">
        <v>7747</v>
      </c>
      <c r="H603" s="7" t="s">
        <v>19</v>
      </c>
      <c r="I603" s="7" t="s">
        <v>1516</v>
      </c>
      <c r="J603" s="7" t="s">
        <v>53</v>
      </c>
      <c r="K603" s="7" t="s">
        <v>54</v>
      </c>
      <c r="L603" s="7" t="s">
        <v>55</v>
      </c>
      <c r="M603" s="7">
        <v>4.0658500000000002</v>
      </c>
      <c r="N603" s="7">
        <v>9.7916600000000003</v>
      </c>
      <c r="O603" s="7" t="s">
        <v>23</v>
      </c>
    </row>
    <row r="604" spans="1:15" x14ac:dyDescent="0.25">
      <c r="A604" s="2">
        <f t="shared" si="9"/>
        <v>602</v>
      </c>
      <c r="B604" s="7" t="s">
        <v>1588</v>
      </c>
      <c r="C604" s="7" t="s">
        <v>1589</v>
      </c>
      <c r="D604" s="7" t="s">
        <v>1588</v>
      </c>
      <c r="E604" s="7" t="s">
        <v>50</v>
      </c>
      <c r="F604" s="7" t="s">
        <v>1590</v>
      </c>
      <c r="G604" s="17" t="s">
        <v>7747</v>
      </c>
      <c r="H604" s="7" t="s">
        <v>28</v>
      </c>
      <c r="I604" s="7" t="s">
        <v>1516</v>
      </c>
      <c r="J604" s="7" t="s">
        <v>53</v>
      </c>
      <c r="K604" s="7" t="s">
        <v>612</v>
      </c>
      <c r="L604" s="7" t="s">
        <v>55</v>
      </c>
      <c r="M604" s="7">
        <v>4.0822000000000003</v>
      </c>
      <c r="N604" s="7">
        <v>9.7861999999999991</v>
      </c>
      <c r="O604" s="7" t="s">
        <v>23</v>
      </c>
    </row>
    <row r="605" spans="1:15" x14ac:dyDescent="0.25">
      <c r="A605" s="2">
        <f t="shared" si="9"/>
        <v>603</v>
      </c>
      <c r="B605" s="7" t="s">
        <v>1591</v>
      </c>
      <c r="C605" s="7" t="s">
        <v>1592</v>
      </c>
      <c r="D605" s="7" t="s">
        <v>1591</v>
      </c>
      <c r="E605" s="7" t="s">
        <v>50</v>
      </c>
      <c r="F605" s="7" t="s">
        <v>1593</v>
      </c>
      <c r="G605" s="17" t="s">
        <v>7747</v>
      </c>
      <c r="H605" s="7" t="s">
        <v>19</v>
      </c>
      <c r="I605" s="7" t="s">
        <v>1329</v>
      </c>
      <c r="J605" s="7" t="s">
        <v>53</v>
      </c>
      <c r="K605" s="7" t="s">
        <v>628</v>
      </c>
      <c r="L605" s="7" t="s">
        <v>55</v>
      </c>
      <c r="M605" s="7">
        <v>4.026141</v>
      </c>
      <c r="N605" s="7">
        <v>9.7454809999999998</v>
      </c>
      <c r="O605" s="7" t="s">
        <v>23</v>
      </c>
    </row>
    <row r="606" spans="1:15" x14ac:dyDescent="0.25">
      <c r="A606" s="2">
        <f t="shared" si="9"/>
        <v>604</v>
      </c>
      <c r="B606" s="7" t="s">
        <v>1616</v>
      </c>
      <c r="C606" s="7" t="s">
        <v>1617</v>
      </c>
      <c r="D606" s="7" t="s">
        <v>1616</v>
      </c>
      <c r="E606" s="7" t="s">
        <v>50</v>
      </c>
      <c r="F606" s="7" t="s">
        <v>1618</v>
      </c>
      <c r="G606" s="17" t="s">
        <v>7747</v>
      </c>
      <c r="H606" s="7" t="s">
        <v>28</v>
      </c>
      <c r="I606" s="7" t="s">
        <v>52</v>
      </c>
      <c r="J606" s="7" t="s">
        <v>53</v>
      </c>
      <c r="K606" s="7" t="s">
        <v>54</v>
      </c>
      <c r="L606" s="7" t="s">
        <v>55</v>
      </c>
      <c r="M606" s="7">
        <v>3.9801639999999998</v>
      </c>
      <c r="N606" s="7">
        <v>9.7644059999999993</v>
      </c>
      <c r="O606" s="7" t="s">
        <v>23</v>
      </c>
    </row>
    <row r="607" spans="1:15" x14ac:dyDescent="0.25">
      <c r="A607" s="2">
        <f t="shared" si="9"/>
        <v>605</v>
      </c>
      <c r="B607" s="7" t="s">
        <v>1659</v>
      </c>
      <c r="C607" s="7" t="s">
        <v>1660</v>
      </c>
      <c r="D607" s="7" t="s">
        <v>1659</v>
      </c>
      <c r="E607" s="7" t="s">
        <v>50</v>
      </c>
      <c r="F607" s="7" t="s">
        <v>1661</v>
      </c>
      <c r="G607" s="17" t="s">
        <v>7747</v>
      </c>
      <c r="H607" s="7" t="s">
        <v>19</v>
      </c>
      <c r="I607" s="7" t="s">
        <v>1471</v>
      </c>
      <c r="J607" s="7" t="s">
        <v>53</v>
      </c>
      <c r="K607" s="7" t="s">
        <v>612</v>
      </c>
      <c r="L607" s="7" t="s">
        <v>55</v>
      </c>
      <c r="M607" s="7">
        <v>4.0824689999999997</v>
      </c>
      <c r="N607" s="7">
        <v>9.7199720000000003</v>
      </c>
      <c r="O607" s="7" t="s">
        <v>613</v>
      </c>
    </row>
    <row r="608" spans="1:15" x14ac:dyDescent="0.25">
      <c r="A608" s="2">
        <f t="shared" si="9"/>
        <v>606</v>
      </c>
      <c r="B608" s="7" t="s">
        <v>1662</v>
      </c>
      <c r="C608" s="7" t="s">
        <v>1663</v>
      </c>
      <c r="D608" s="7" t="s">
        <v>1662</v>
      </c>
      <c r="E608" s="7" t="s">
        <v>50</v>
      </c>
      <c r="F608" s="7" t="s">
        <v>1664</v>
      </c>
      <c r="G608" s="17" t="s">
        <v>7747</v>
      </c>
      <c r="H608" s="7" t="s">
        <v>28</v>
      </c>
      <c r="I608" s="7" t="s">
        <v>1471</v>
      </c>
      <c r="J608" s="7" t="s">
        <v>53</v>
      </c>
      <c r="K608" s="7" t="s">
        <v>612</v>
      </c>
      <c r="L608" s="7" t="s">
        <v>55</v>
      </c>
      <c r="M608" s="7">
        <v>4.0657899999999998</v>
      </c>
      <c r="N608" s="7">
        <v>9.7326099999999993</v>
      </c>
      <c r="O608" s="7" t="s">
        <v>613</v>
      </c>
    </row>
    <row r="609" spans="1:15" x14ac:dyDescent="0.25">
      <c r="A609" s="2">
        <f t="shared" si="9"/>
        <v>607</v>
      </c>
      <c r="B609" s="7" t="s">
        <v>1689</v>
      </c>
      <c r="C609" s="7" t="s">
        <v>1690</v>
      </c>
      <c r="D609" s="7" t="s">
        <v>1689</v>
      </c>
      <c r="E609" s="7" t="s">
        <v>50</v>
      </c>
      <c r="F609" s="7" t="s">
        <v>1691</v>
      </c>
      <c r="G609" s="17" t="s">
        <v>7747</v>
      </c>
      <c r="H609" s="7" t="s">
        <v>28</v>
      </c>
      <c r="I609" s="7" t="s">
        <v>1403</v>
      </c>
      <c r="J609" s="7" t="s">
        <v>53</v>
      </c>
      <c r="K609" s="7" t="s">
        <v>1404</v>
      </c>
      <c r="L609" s="7" t="s">
        <v>55</v>
      </c>
      <c r="M609" s="7">
        <v>4.0268969999999999</v>
      </c>
      <c r="N609" s="7">
        <v>9.7017299999999995</v>
      </c>
      <c r="O609" s="7" t="s">
        <v>613</v>
      </c>
    </row>
    <row r="610" spans="1:15" x14ac:dyDescent="0.25">
      <c r="A610" s="2">
        <f t="shared" si="9"/>
        <v>608</v>
      </c>
      <c r="B610" s="7" t="s">
        <v>1718</v>
      </c>
      <c r="C610" s="7" t="s">
        <v>1719</v>
      </c>
      <c r="D610" s="7" t="s">
        <v>1718</v>
      </c>
      <c r="E610" s="7" t="s">
        <v>34</v>
      </c>
      <c r="F610" s="7" t="s">
        <v>1720</v>
      </c>
      <c r="G610" s="17" t="s">
        <v>7747</v>
      </c>
      <c r="H610" s="7" t="s">
        <v>28</v>
      </c>
      <c r="I610" s="7" t="s">
        <v>356</v>
      </c>
      <c r="J610" s="7" t="s">
        <v>152</v>
      </c>
      <c r="K610" s="7" t="s">
        <v>1721</v>
      </c>
      <c r="L610" s="7" t="s">
        <v>55</v>
      </c>
      <c r="M610" s="7">
        <v>4.1792220000000002</v>
      </c>
      <c r="N610" s="7">
        <v>9.6555560000000007</v>
      </c>
      <c r="O610" s="7" t="s">
        <v>23</v>
      </c>
    </row>
    <row r="611" spans="1:15" x14ac:dyDescent="0.25">
      <c r="A611" s="2">
        <f t="shared" si="9"/>
        <v>609</v>
      </c>
      <c r="B611" s="7" t="s">
        <v>1731</v>
      </c>
      <c r="C611" s="7" t="s">
        <v>1732</v>
      </c>
      <c r="D611" s="7" t="s">
        <v>1731</v>
      </c>
      <c r="E611" s="7" t="s">
        <v>50</v>
      </c>
      <c r="F611" s="7" t="s">
        <v>1733</v>
      </c>
      <c r="G611" s="17" t="s">
        <v>7747</v>
      </c>
      <c r="H611" s="7" t="s">
        <v>19</v>
      </c>
      <c r="I611" s="7" t="s">
        <v>1403</v>
      </c>
      <c r="J611" s="7" t="s">
        <v>53</v>
      </c>
      <c r="K611" s="7" t="s">
        <v>1404</v>
      </c>
      <c r="L611" s="7" t="s">
        <v>55</v>
      </c>
      <c r="M611" s="7">
        <v>4.0363920000000002</v>
      </c>
      <c r="N611" s="7">
        <v>9.6801779999999997</v>
      </c>
      <c r="O611" s="7" t="s">
        <v>613</v>
      </c>
    </row>
    <row r="612" spans="1:15" x14ac:dyDescent="0.25">
      <c r="A612" s="2">
        <f t="shared" si="9"/>
        <v>610</v>
      </c>
      <c r="B612" s="7" t="s">
        <v>1734</v>
      </c>
      <c r="C612" s="7" t="s">
        <v>1735</v>
      </c>
      <c r="D612" s="7" t="s">
        <v>1734</v>
      </c>
      <c r="E612" s="7" t="s">
        <v>50</v>
      </c>
      <c r="F612" s="7" t="s">
        <v>1736</v>
      </c>
      <c r="G612" s="17" t="s">
        <v>7747</v>
      </c>
      <c r="H612" s="7" t="s">
        <v>28</v>
      </c>
      <c r="I612" s="7" t="s">
        <v>52</v>
      </c>
      <c r="J612" s="7" t="s">
        <v>53</v>
      </c>
      <c r="K612" s="7" t="s">
        <v>54</v>
      </c>
      <c r="L612" s="7" t="s">
        <v>55</v>
      </c>
      <c r="M612" s="7">
        <v>4.0052779999999997</v>
      </c>
      <c r="N612" s="7">
        <v>9.7941109999999991</v>
      </c>
      <c r="O612" s="7" t="s">
        <v>23</v>
      </c>
    </row>
    <row r="613" spans="1:15" x14ac:dyDescent="0.25">
      <c r="A613" s="2">
        <f t="shared" si="9"/>
        <v>611</v>
      </c>
      <c r="B613" s="7" t="s">
        <v>1849</v>
      </c>
      <c r="C613" s="7" t="s">
        <v>1850</v>
      </c>
      <c r="D613" s="7" t="s">
        <v>1849</v>
      </c>
      <c r="E613" s="7" t="s">
        <v>50</v>
      </c>
      <c r="F613" s="7" t="s">
        <v>1851</v>
      </c>
      <c r="G613" s="17" t="s">
        <v>7747</v>
      </c>
      <c r="H613" s="7" t="s">
        <v>28</v>
      </c>
      <c r="I613" s="7" t="s">
        <v>1329</v>
      </c>
      <c r="J613" s="7" t="s">
        <v>53</v>
      </c>
      <c r="K613" s="7" t="s">
        <v>54</v>
      </c>
      <c r="L613" s="7" t="s">
        <v>55</v>
      </c>
      <c r="M613" s="7">
        <v>4.0437779999999997</v>
      </c>
      <c r="N613" s="7">
        <v>9.7476389999999995</v>
      </c>
      <c r="O613" s="7" t="s">
        <v>613</v>
      </c>
    </row>
    <row r="614" spans="1:15" x14ac:dyDescent="0.25">
      <c r="A614" s="2">
        <f t="shared" si="9"/>
        <v>612</v>
      </c>
      <c r="B614" s="7" t="s">
        <v>1852</v>
      </c>
      <c r="C614" s="7" t="s">
        <v>1853</v>
      </c>
      <c r="D614" s="7" t="s">
        <v>1852</v>
      </c>
      <c r="E614" s="7" t="s">
        <v>50</v>
      </c>
      <c r="F614" s="7" t="s">
        <v>1854</v>
      </c>
      <c r="G614" s="17" t="s">
        <v>7747</v>
      </c>
      <c r="H614" s="7" t="s">
        <v>19</v>
      </c>
      <c r="I614" s="7" t="s">
        <v>1329</v>
      </c>
      <c r="J614" s="7" t="s">
        <v>53</v>
      </c>
      <c r="K614" s="7" t="s">
        <v>628</v>
      </c>
      <c r="L614" s="7" t="s">
        <v>55</v>
      </c>
      <c r="M614" s="7">
        <v>4.0427989999999996</v>
      </c>
      <c r="N614" s="7">
        <v>9.7397200000000002</v>
      </c>
      <c r="O614" s="7" t="s">
        <v>613</v>
      </c>
    </row>
    <row r="615" spans="1:15" x14ac:dyDescent="0.25">
      <c r="A615" s="2">
        <f t="shared" si="9"/>
        <v>613</v>
      </c>
      <c r="B615" s="7" t="s">
        <v>1955</v>
      </c>
      <c r="C615" s="7" t="s">
        <v>1956</v>
      </c>
      <c r="D615" s="7" t="s">
        <v>1955</v>
      </c>
      <c r="E615" s="7" t="s">
        <v>50</v>
      </c>
      <c r="F615" s="7" t="s">
        <v>1957</v>
      </c>
      <c r="G615" s="17" t="s">
        <v>7747</v>
      </c>
      <c r="H615" s="7" t="s">
        <v>28</v>
      </c>
      <c r="I615" s="7" t="s">
        <v>1958</v>
      </c>
      <c r="J615" s="7" t="s">
        <v>53</v>
      </c>
      <c r="K615" s="7" t="s">
        <v>1404</v>
      </c>
      <c r="L615" s="7" t="s">
        <v>55</v>
      </c>
      <c r="M615" s="7">
        <v>4.0680500000000004</v>
      </c>
      <c r="N615" s="7">
        <v>9.7100200000000001</v>
      </c>
      <c r="O615" s="7" t="s">
        <v>613</v>
      </c>
    </row>
    <row r="616" spans="1:15" x14ac:dyDescent="0.25">
      <c r="A616" s="2">
        <f t="shared" si="9"/>
        <v>614</v>
      </c>
      <c r="B616" s="7" t="s">
        <v>1973</v>
      </c>
      <c r="C616" s="7" t="s">
        <v>1974</v>
      </c>
      <c r="D616" s="7" t="s">
        <v>1973</v>
      </c>
      <c r="E616" s="7" t="s">
        <v>50</v>
      </c>
      <c r="F616" s="7" t="s">
        <v>1975</v>
      </c>
      <c r="G616" s="17" t="s">
        <v>7747</v>
      </c>
      <c r="H616" s="7" t="s">
        <v>28</v>
      </c>
      <c r="I616" s="7" t="s">
        <v>627</v>
      </c>
      <c r="J616" s="7" t="s">
        <v>53</v>
      </c>
      <c r="K616" s="7" t="s">
        <v>1404</v>
      </c>
      <c r="L616" s="7" t="s">
        <v>55</v>
      </c>
      <c r="M616" s="7">
        <v>4.0716390000000002</v>
      </c>
      <c r="N616" s="7">
        <v>9.6979170000000003</v>
      </c>
      <c r="O616" s="7" t="s">
        <v>23</v>
      </c>
    </row>
    <row r="617" spans="1:15" x14ac:dyDescent="0.25">
      <c r="A617" s="2">
        <f t="shared" si="9"/>
        <v>615</v>
      </c>
      <c r="B617" s="7" t="s">
        <v>2006</v>
      </c>
      <c r="C617" s="7" t="s">
        <v>2007</v>
      </c>
      <c r="D617" s="7" t="s">
        <v>2006</v>
      </c>
      <c r="E617" s="7" t="s">
        <v>50</v>
      </c>
      <c r="F617" s="7" t="s">
        <v>2008</v>
      </c>
      <c r="G617" s="17" t="s">
        <v>7747</v>
      </c>
      <c r="H617" s="7" t="s">
        <v>28</v>
      </c>
      <c r="I617" s="7" t="s">
        <v>52</v>
      </c>
      <c r="J617" s="7" t="s">
        <v>53</v>
      </c>
      <c r="K617" s="7" t="s">
        <v>54</v>
      </c>
      <c r="L617" s="7" t="s">
        <v>55</v>
      </c>
      <c r="M617" s="7">
        <v>4.019889</v>
      </c>
      <c r="N617" s="7">
        <v>9.8055830000000004</v>
      </c>
      <c r="O617" s="7" t="s">
        <v>23</v>
      </c>
    </row>
    <row r="618" spans="1:15" x14ac:dyDescent="0.25">
      <c r="A618" s="2">
        <f t="shared" si="9"/>
        <v>616</v>
      </c>
      <c r="B618" s="7" t="s">
        <v>2021</v>
      </c>
      <c r="C618" s="7" t="s">
        <v>2022</v>
      </c>
      <c r="D618" s="7" t="s">
        <v>2021</v>
      </c>
      <c r="E618" s="7" t="s">
        <v>50</v>
      </c>
      <c r="F618" s="7" t="s">
        <v>2023</v>
      </c>
      <c r="G618" s="17" t="s">
        <v>7747</v>
      </c>
      <c r="H618" s="7" t="s">
        <v>19</v>
      </c>
      <c r="I618" s="7" t="s">
        <v>2024</v>
      </c>
      <c r="J618" s="7" t="s">
        <v>53</v>
      </c>
      <c r="K618" s="7" t="s">
        <v>54</v>
      </c>
      <c r="L618" s="7" t="s">
        <v>55</v>
      </c>
      <c r="M618" s="7">
        <v>4.0328390000000001</v>
      </c>
      <c r="N618" s="7">
        <v>9.7344069999999991</v>
      </c>
      <c r="O618" s="7" t="s">
        <v>23</v>
      </c>
    </row>
    <row r="619" spans="1:15" x14ac:dyDescent="0.25">
      <c r="A619" s="2">
        <f t="shared" si="9"/>
        <v>617</v>
      </c>
      <c r="B619" s="7" t="s">
        <v>2167</v>
      </c>
      <c r="C619" s="7" t="s">
        <v>2168</v>
      </c>
      <c r="D619" s="7" t="s">
        <v>2167</v>
      </c>
      <c r="E619" s="7" t="s">
        <v>34</v>
      </c>
      <c r="F619" s="7" t="s">
        <v>2169</v>
      </c>
      <c r="G619" s="17" t="s">
        <v>7747</v>
      </c>
      <c r="H619" s="7" t="s">
        <v>19</v>
      </c>
      <c r="I619" s="7" t="s">
        <v>356</v>
      </c>
      <c r="J619" s="7" t="s">
        <v>152</v>
      </c>
      <c r="K619" s="7" t="s">
        <v>1721</v>
      </c>
      <c r="L619" s="7" t="s">
        <v>55</v>
      </c>
      <c r="M619" s="7">
        <v>4.1094949999999999</v>
      </c>
      <c r="N619" s="7">
        <v>9.5713849999999994</v>
      </c>
      <c r="O619" s="7" t="s">
        <v>23</v>
      </c>
    </row>
    <row r="620" spans="1:15" x14ac:dyDescent="0.25">
      <c r="A620" s="2">
        <f t="shared" si="9"/>
        <v>618</v>
      </c>
      <c r="B620" s="7" t="s">
        <v>2197</v>
      </c>
      <c r="C620" s="7" t="s">
        <v>2198</v>
      </c>
      <c r="D620" s="7" t="s">
        <v>2197</v>
      </c>
      <c r="E620" s="7" t="s">
        <v>50</v>
      </c>
      <c r="F620" s="7" t="s">
        <v>2199</v>
      </c>
      <c r="G620" s="17" t="s">
        <v>7747</v>
      </c>
      <c r="H620" s="7" t="s">
        <v>19</v>
      </c>
      <c r="I620" s="7" t="s">
        <v>960</v>
      </c>
      <c r="J620" s="7" t="s">
        <v>53</v>
      </c>
      <c r="K620" s="7" t="s">
        <v>628</v>
      </c>
      <c r="L620" s="7" t="s">
        <v>55</v>
      </c>
      <c r="M620" s="7">
        <v>4.1037929999999996</v>
      </c>
      <c r="N620" s="7">
        <v>9.6256769999999996</v>
      </c>
      <c r="O620" s="7" t="s">
        <v>23</v>
      </c>
    </row>
    <row r="621" spans="1:15" x14ac:dyDescent="0.25">
      <c r="A621" s="2">
        <f t="shared" si="9"/>
        <v>619</v>
      </c>
      <c r="B621" s="7" t="s">
        <v>2200</v>
      </c>
      <c r="C621" s="7" t="s">
        <v>2201</v>
      </c>
      <c r="D621" s="7" t="s">
        <v>2200</v>
      </c>
      <c r="E621" s="7" t="s">
        <v>50</v>
      </c>
      <c r="F621" s="7" t="s">
        <v>2202</v>
      </c>
      <c r="G621" s="17" t="s">
        <v>7747</v>
      </c>
      <c r="H621" s="7" t="s">
        <v>19</v>
      </c>
      <c r="I621" s="7" t="s">
        <v>960</v>
      </c>
      <c r="J621" s="7" t="s">
        <v>53</v>
      </c>
      <c r="K621" s="7" t="s">
        <v>628</v>
      </c>
      <c r="L621" s="7" t="s">
        <v>55</v>
      </c>
      <c r="M621" s="7">
        <v>4.0961109999999996</v>
      </c>
      <c r="N621" s="7">
        <v>9.6540280000000003</v>
      </c>
      <c r="O621" s="7" t="s">
        <v>613</v>
      </c>
    </row>
    <row r="622" spans="1:15" x14ac:dyDescent="0.25">
      <c r="A622" s="2">
        <f t="shared" si="9"/>
        <v>620</v>
      </c>
      <c r="B622" s="7" t="s">
        <v>2210</v>
      </c>
      <c r="C622" s="7" t="s">
        <v>2211</v>
      </c>
      <c r="D622" s="7" t="s">
        <v>2210</v>
      </c>
      <c r="E622" s="7" t="s">
        <v>50</v>
      </c>
      <c r="F622" s="7" t="s">
        <v>2212</v>
      </c>
      <c r="G622" s="17" t="s">
        <v>7747</v>
      </c>
      <c r="H622" s="7" t="s">
        <v>19</v>
      </c>
      <c r="I622" s="7" t="s">
        <v>1958</v>
      </c>
      <c r="J622" s="7" t="s">
        <v>53</v>
      </c>
      <c r="K622" s="7" t="s">
        <v>2213</v>
      </c>
      <c r="L622" s="7" t="s">
        <v>55</v>
      </c>
      <c r="M622" s="7">
        <v>4.0485629999999997</v>
      </c>
      <c r="N622" s="7">
        <v>9.7009229999999995</v>
      </c>
      <c r="O622" s="7" t="s">
        <v>613</v>
      </c>
    </row>
    <row r="623" spans="1:15" x14ac:dyDescent="0.25">
      <c r="A623" s="2">
        <f t="shared" si="9"/>
        <v>621</v>
      </c>
      <c r="B623" s="7" t="s">
        <v>2218</v>
      </c>
      <c r="C623" s="7" t="s">
        <v>2219</v>
      </c>
      <c r="D623" s="7" t="s">
        <v>2218</v>
      </c>
      <c r="E623" s="7" t="s">
        <v>50</v>
      </c>
      <c r="F623" s="7" t="s">
        <v>2220</v>
      </c>
      <c r="G623" s="17" t="s">
        <v>7747</v>
      </c>
      <c r="H623" s="7" t="s">
        <v>19</v>
      </c>
      <c r="I623" s="7" t="s">
        <v>1403</v>
      </c>
      <c r="J623" s="7" t="s">
        <v>53</v>
      </c>
      <c r="K623" s="7" t="s">
        <v>1404</v>
      </c>
      <c r="L623" s="7" t="s">
        <v>55</v>
      </c>
      <c r="M623" s="7">
        <v>4.0398750000000003</v>
      </c>
      <c r="N623" s="7">
        <v>9.6822820000000007</v>
      </c>
      <c r="O623" s="7" t="s">
        <v>23</v>
      </c>
    </row>
    <row r="624" spans="1:15" x14ac:dyDescent="0.25">
      <c r="A624" s="2">
        <f t="shared" si="9"/>
        <v>622</v>
      </c>
      <c r="B624" s="7" t="s">
        <v>2221</v>
      </c>
      <c r="C624" s="7" t="s">
        <v>2222</v>
      </c>
      <c r="D624" s="7" t="s">
        <v>2221</v>
      </c>
      <c r="E624" s="7" t="s">
        <v>50</v>
      </c>
      <c r="F624" s="7" t="s">
        <v>2223</v>
      </c>
      <c r="G624" s="17" t="s">
        <v>7747</v>
      </c>
      <c r="H624" s="7" t="s">
        <v>19</v>
      </c>
      <c r="I624" s="7" t="s">
        <v>52</v>
      </c>
      <c r="J624" s="7" t="s">
        <v>53</v>
      </c>
      <c r="K624" s="7" t="s">
        <v>54</v>
      </c>
      <c r="L624" s="7" t="s">
        <v>55</v>
      </c>
      <c r="M624" s="7">
        <v>4.0105000000000004</v>
      </c>
      <c r="N624" s="7">
        <v>9.7677189999999996</v>
      </c>
      <c r="O624" s="7" t="s">
        <v>23</v>
      </c>
    </row>
    <row r="625" spans="1:15" x14ac:dyDescent="0.25">
      <c r="A625" s="2">
        <f t="shared" si="9"/>
        <v>623</v>
      </c>
      <c r="B625" s="7" t="s">
        <v>2224</v>
      </c>
      <c r="C625" s="7" t="s">
        <v>2225</v>
      </c>
      <c r="D625" s="7" t="s">
        <v>2224</v>
      </c>
      <c r="E625" s="7" t="s">
        <v>50</v>
      </c>
      <c r="F625" s="7" t="s">
        <v>2226</v>
      </c>
      <c r="G625" s="17" t="s">
        <v>7747</v>
      </c>
      <c r="H625" s="7" t="s">
        <v>19</v>
      </c>
      <c r="I625" s="7" t="s">
        <v>52</v>
      </c>
      <c r="J625" s="7" t="s">
        <v>53</v>
      </c>
      <c r="K625" s="7" t="s">
        <v>54</v>
      </c>
      <c r="L625" s="7" t="s">
        <v>55</v>
      </c>
      <c r="M625" s="7">
        <v>4.0021000000000004</v>
      </c>
      <c r="N625" s="7">
        <v>9.7674099999999999</v>
      </c>
      <c r="O625" s="7" t="s">
        <v>23</v>
      </c>
    </row>
    <row r="626" spans="1:15" x14ac:dyDescent="0.25">
      <c r="A626" s="2">
        <f t="shared" si="9"/>
        <v>624</v>
      </c>
      <c r="B626" s="7" t="s">
        <v>2263</v>
      </c>
      <c r="C626" s="7" t="s">
        <v>2264</v>
      </c>
      <c r="D626" s="7" t="s">
        <v>2263</v>
      </c>
      <c r="E626" s="7" t="s">
        <v>50</v>
      </c>
      <c r="F626" s="7" t="s">
        <v>2265</v>
      </c>
      <c r="G626" s="17" t="s">
        <v>7747</v>
      </c>
      <c r="H626" s="7" t="s">
        <v>28</v>
      </c>
      <c r="I626" s="7" t="s">
        <v>960</v>
      </c>
      <c r="J626" s="7" t="s">
        <v>53</v>
      </c>
      <c r="K626" s="7" t="s">
        <v>628</v>
      </c>
      <c r="L626" s="7" t="s">
        <v>55</v>
      </c>
      <c r="M626" s="7">
        <v>4.0863719999999999</v>
      </c>
      <c r="N626" s="7">
        <v>9.6548499999999997</v>
      </c>
      <c r="O626" s="7" t="s">
        <v>613</v>
      </c>
    </row>
    <row r="627" spans="1:15" x14ac:dyDescent="0.25">
      <c r="A627" s="2">
        <f t="shared" si="9"/>
        <v>625</v>
      </c>
      <c r="B627" s="7" t="s">
        <v>2303</v>
      </c>
      <c r="C627" s="7" t="s">
        <v>2304</v>
      </c>
      <c r="D627" s="7" t="s">
        <v>2303</v>
      </c>
      <c r="E627" s="7" t="s">
        <v>50</v>
      </c>
      <c r="F627" s="7" t="s">
        <v>2305</v>
      </c>
      <c r="G627" s="17" t="s">
        <v>7747</v>
      </c>
      <c r="H627" s="7" t="s">
        <v>19</v>
      </c>
      <c r="I627" s="7" t="s">
        <v>1403</v>
      </c>
      <c r="J627" s="7" t="s">
        <v>53</v>
      </c>
      <c r="K627" s="7" t="s">
        <v>2213</v>
      </c>
      <c r="L627" s="7" t="s">
        <v>55</v>
      </c>
      <c r="M627" s="7">
        <v>4.0290160000000004</v>
      </c>
      <c r="N627" s="7">
        <v>9.7019990000000007</v>
      </c>
      <c r="O627" s="7" t="s">
        <v>613</v>
      </c>
    </row>
    <row r="628" spans="1:15" x14ac:dyDescent="0.25">
      <c r="A628" s="2">
        <f t="shared" si="9"/>
        <v>626</v>
      </c>
      <c r="B628" s="7" t="s">
        <v>2306</v>
      </c>
      <c r="C628" s="7" t="s">
        <v>2307</v>
      </c>
      <c r="D628" s="7" t="s">
        <v>2306</v>
      </c>
      <c r="E628" s="7" t="s">
        <v>50</v>
      </c>
      <c r="F628" s="7" t="s">
        <v>2308</v>
      </c>
      <c r="G628" s="17" t="s">
        <v>7747</v>
      </c>
      <c r="H628" s="7" t="s">
        <v>28</v>
      </c>
      <c r="I628" s="7" t="s">
        <v>1471</v>
      </c>
      <c r="J628" s="7" t="s">
        <v>53</v>
      </c>
      <c r="K628" s="7" t="s">
        <v>54</v>
      </c>
      <c r="L628" s="7" t="s">
        <v>55</v>
      </c>
      <c r="M628" s="7">
        <v>4.052028</v>
      </c>
      <c r="N628" s="7">
        <v>9.7413059999999998</v>
      </c>
      <c r="O628" s="7" t="s">
        <v>613</v>
      </c>
    </row>
    <row r="629" spans="1:15" x14ac:dyDescent="0.25">
      <c r="A629" s="2">
        <f t="shared" si="9"/>
        <v>627</v>
      </c>
      <c r="B629" s="7" t="s">
        <v>2316</v>
      </c>
      <c r="C629" s="7" t="s">
        <v>2317</v>
      </c>
      <c r="D629" s="7" t="s">
        <v>2316</v>
      </c>
      <c r="E629" s="7" t="s">
        <v>50</v>
      </c>
      <c r="F629" s="7" t="s">
        <v>2318</v>
      </c>
      <c r="G629" s="17" t="s">
        <v>7747</v>
      </c>
      <c r="H629" s="7" t="s">
        <v>19</v>
      </c>
      <c r="I629" s="7" t="s">
        <v>1403</v>
      </c>
      <c r="J629" s="7" t="s">
        <v>53</v>
      </c>
      <c r="K629" s="7" t="s">
        <v>1404</v>
      </c>
      <c r="L629" s="7" t="s">
        <v>55</v>
      </c>
      <c r="M629" s="7">
        <v>4.0414250000000003</v>
      </c>
      <c r="N629" s="7">
        <v>9.6864129999999999</v>
      </c>
      <c r="O629" s="7" t="s">
        <v>613</v>
      </c>
    </row>
    <row r="630" spans="1:15" x14ac:dyDescent="0.25">
      <c r="A630" s="2">
        <f t="shared" si="9"/>
        <v>628</v>
      </c>
      <c r="B630" s="7" t="s">
        <v>2334</v>
      </c>
      <c r="C630" s="7" t="s">
        <v>2335</v>
      </c>
      <c r="D630" s="7" t="s">
        <v>2334</v>
      </c>
      <c r="E630" s="7" t="s">
        <v>50</v>
      </c>
      <c r="F630" s="7" t="s">
        <v>2336</v>
      </c>
      <c r="G630" s="17" t="s">
        <v>7747</v>
      </c>
      <c r="H630" s="7" t="s">
        <v>19</v>
      </c>
      <c r="I630" s="7" t="s">
        <v>627</v>
      </c>
      <c r="J630" s="7" t="s">
        <v>53</v>
      </c>
      <c r="K630" s="7" t="s">
        <v>628</v>
      </c>
      <c r="L630" s="7" t="s">
        <v>55</v>
      </c>
      <c r="M630" s="7">
        <v>4.0920829999999997</v>
      </c>
      <c r="N630" s="7">
        <v>9.6622219999999999</v>
      </c>
      <c r="O630" s="7" t="s">
        <v>23</v>
      </c>
    </row>
    <row r="631" spans="1:15" x14ac:dyDescent="0.25">
      <c r="A631" s="2">
        <f t="shared" si="9"/>
        <v>629</v>
      </c>
      <c r="B631" s="7" t="s">
        <v>2346</v>
      </c>
      <c r="C631" s="7" t="s">
        <v>2347</v>
      </c>
      <c r="D631" s="7" t="s">
        <v>2346</v>
      </c>
      <c r="E631" s="7" t="s">
        <v>50</v>
      </c>
      <c r="F631" s="7" t="s">
        <v>2348</v>
      </c>
      <c r="G631" s="17" t="s">
        <v>7747</v>
      </c>
      <c r="H631" s="7" t="s">
        <v>19</v>
      </c>
      <c r="I631" s="7" t="s">
        <v>1329</v>
      </c>
      <c r="J631" s="7" t="s">
        <v>53</v>
      </c>
      <c r="K631" s="7" t="s">
        <v>54</v>
      </c>
      <c r="L631" s="7" t="s">
        <v>55</v>
      </c>
      <c r="M631" s="7">
        <v>4.0472780000000004</v>
      </c>
      <c r="N631" s="7">
        <v>9.7314439999999998</v>
      </c>
      <c r="O631" s="7" t="s">
        <v>23</v>
      </c>
    </row>
    <row r="632" spans="1:15" x14ac:dyDescent="0.25">
      <c r="A632" s="2">
        <f t="shared" si="9"/>
        <v>630</v>
      </c>
      <c r="B632" s="7" t="s">
        <v>2374</v>
      </c>
      <c r="C632" s="7" t="s">
        <v>2375</v>
      </c>
      <c r="D632" s="7" t="s">
        <v>2374</v>
      </c>
      <c r="E632" s="7" t="s">
        <v>50</v>
      </c>
      <c r="F632" s="7" t="s">
        <v>2376</v>
      </c>
      <c r="G632" s="17" t="s">
        <v>7747</v>
      </c>
      <c r="H632" s="7" t="s">
        <v>28</v>
      </c>
      <c r="I632" s="7" t="s">
        <v>2024</v>
      </c>
      <c r="J632" s="7" t="s">
        <v>53</v>
      </c>
      <c r="K632" s="7" t="s">
        <v>2213</v>
      </c>
      <c r="L632" s="7" t="s">
        <v>55</v>
      </c>
      <c r="M632" s="7">
        <v>4.0285700000000002</v>
      </c>
      <c r="N632" s="7">
        <v>9.7150300000000005</v>
      </c>
      <c r="O632" s="7" t="s">
        <v>613</v>
      </c>
    </row>
    <row r="633" spans="1:15" x14ac:dyDescent="0.25">
      <c r="A633" s="2">
        <f t="shared" si="9"/>
        <v>631</v>
      </c>
      <c r="B633" s="7" t="s">
        <v>2381</v>
      </c>
      <c r="C633" s="7" t="s">
        <v>2382</v>
      </c>
      <c r="D633" s="7" t="s">
        <v>2381</v>
      </c>
      <c r="E633" s="7" t="s">
        <v>50</v>
      </c>
      <c r="F633" s="7" t="s">
        <v>2383</v>
      </c>
      <c r="G633" s="17" t="s">
        <v>7747</v>
      </c>
      <c r="H633" s="7" t="s">
        <v>19</v>
      </c>
      <c r="I633" s="7" t="s">
        <v>2024</v>
      </c>
      <c r="J633" s="7" t="s">
        <v>53</v>
      </c>
      <c r="K633" s="7" t="s">
        <v>54</v>
      </c>
      <c r="L633" s="7" t="s">
        <v>55</v>
      </c>
      <c r="M633" s="7">
        <v>4.0264899999999999</v>
      </c>
      <c r="N633" s="7">
        <v>9.7335499999999993</v>
      </c>
      <c r="O633" s="7" t="s">
        <v>613</v>
      </c>
    </row>
    <row r="634" spans="1:15" x14ac:dyDescent="0.25">
      <c r="A634" s="2">
        <f t="shared" si="9"/>
        <v>632</v>
      </c>
      <c r="B634" s="7" t="s">
        <v>2385</v>
      </c>
      <c r="C634" s="7" t="s">
        <v>2386</v>
      </c>
      <c r="D634" s="7" t="s">
        <v>2385</v>
      </c>
      <c r="E634" s="7" t="s">
        <v>50</v>
      </c>
      <c r="F634" s="7" t="s">
        <v>2387</v>
      </c>
      <c r="G634" s="17" t="s">
        <v>7747</v>
      </c>
      <c r="H634" s="7" t="s">
        <v>19</v>
      </c>
      <c r="I634" s="7" t="s">
        <v>611</v>
      </c>
      <c r="J634" s="7" t="s">
        <v>53</v>
      </c>
      <c r="K634" s="7" t="s">
        <v>612</v>
      </c>
      <c r="L634" s="7" t="s">
        <v>55</v>
      </c>
      <c r="M634" s="7">
        <v>4.0665399999999998</v>
      </c>
      <c r="N634" s="7">
        <v>9.7397500000000008</v>
      </c>
      <c r="O634" s="7" t="s">
        <v>23</v>
      </c>
    </row>
    <row r="635" spans="1:15" x14ac:dyDescent="0.25">
      <c r="A635" s="2">
        <f t="shared" si="9"/>
        <v>633</v>
      </c>
      <c r="B635" s="7" t="s">
        <v>2391</v>
      </c>
      <c r="C635" s="7" t="s">
        <v>2392</v>
      </c>
      <c r="D635" s="7" t="s">
        <v>2391</v>
      </c>
      <c r="E635" s="7" t="s">
        <v>50</v>
      </c>
      <c r="F635" s="7" t="s">
        <v>2393</v>
      </c>
      <c r="G635" s="17" t="s">
        <v>7747</v>
      </c>
      <c r="H635" s="7" t="s">
        <v>28</v>
      </c>
      <c r="I635" s="7" t="s">
        <v>1958</v>
      </c>
      <c r="J635" s="7" t="s">
        <v>53</v>
      </c>
      <c r="K635" s="7" t="s">
        <v>1404</v>
      </c>
      <c r="L635" s="7" t="s">
        <v>55</v>
      </c>
      <c r="M635" s="7">
        <v>4.0630559999999996</v>
      </c>
      <c r="N635" s="7">
        <v>9.7130829999999992</v>
      </c>
      <c r="O635" s="7" t="s">
        <v>613</v>
      </c>
    </row>
    <row r="636" spans="1:15" x14ac:dyDescent="0.25">
      <c r="A636" s="2">
        <f t="shared" si="9"/>
        <v>634</v>
      </c>
      <c r="B636" s="7" t="s">
        <v>2394</v>
      </c>
      <c r="C636" s="7" t="s">
        <v>2395</v>
      </c>
      <c r="D636" s="7" t="s">
        <v>2394</v>
      </c>
      <c r="E636" s="7" t="s">
        <v>50</v>
      </c>
      <c r="F636" s="7" t="s">
        <v>2396</v>
      </c>
      <c r="G636" s="17" t="s">
        <v>7747</v>
      </c>
      <c r="H636" s="7" t="s">
        <v>28</v>
      </c>
      <c r="I636" s="7" t="s">
        <v>52</v>
      </c>
      <c r="J636" s="7" t="s">
        <v>53</v>
      </c>
      <c r="K636" s="7" t="s">
        <v>54</v>
      </c>
      <c r="L636" s="7" t="s">
        <v>55</v>
      </c>
      <c r="M636" s="7">
        <v>3.9928889999999999</v>
      </c>
      <c r="N636" s="7">
        <v>9.7678329999999995</v>
      </c>
      <c r="O636" s="7" t="s">
        <v>613</v>
      </c>
    </row>
    <row r="637" spans="1:15" x14ac:dyDescent="0.25">
      <c r="A637" s="2">
        <f t="shared" si="9"/>
        <v>635</v>
      </c>
      <c r="B637" s="7" t="s">
        <v>2397</v>
      </c>
      <c r="C637" s="7" t="s">
        <v>2398</v>
      </c>
      <c r="D637" s="7" t="s">
        <v>2397</v>
      </c>
      <c r="E637" s="7" t="s">
        <v>50</v>
      </c>
      <c r="F637" s="7" t="s">
        <v>2383</v>
      </c>
      <c r="G637" s="17" t="s">
        <v>7747</v>
      </c>
      <c r="H637" s="7" t="s">
        <v>28</v>
      </c>
      <c r="I637" s="7" t="s">
        <v>2024</v>
      </c>
      <c r="J637" s="7" t="s">
        <v>53</v>
      </c>
      <c r="K637" s="7" t="s">
        <v>54</v>
      </c>
      <c r="L637" s="7" t="s">
        <v>55</v>
      </c>
      <c r="M637" s="7">
        <v>4.025722</v>
      </c>
      <c r="N637" s="7">
        <v>9.7320949999999993</v>
      </c>
      <c r="O637" s="7" t="s">
        <v>613</v>
      </c>
    </row>
    <row r="638" spans="1:15" x14ac:dyDescent="0.25">
      <c r="A638" s="2">
        <f t="shared" si="9"/>
        <v>636</v>
      </c>
      <c r="B638" s="7" t="s">
        <v>2402</v>
      </c>
      <c r="C638" s="7" t="s">
        <v>2403</v>
      </c>
      <c r="D638" s="7" t="s">
        <v>2402</v>
      </c>
      <c r="E638" s="7" t="s">
        <v>50</v>
      </c>
      <c r="F638" s="7" t="s">
        <v>2404</v>
      </c>
      <c r="G638" s="17" t="s">
        <v>7747</v>
      </c>
      <c r="H638" s="7" t="s">
        <v>28</v>
      </c>
      <c r="I638" s="7" t="s">
        <v>1471</v>
      </c>
      <c r="J638" s="7" t="s">
        <v>53</v>
      </c>
      <c r="K638" s="7" t="s">
        <v>54</v>
      </c>
      <c r="L638" s="7" t="s">
        <v>55</v>
      </c>
      <c r="M638" s="7">
        <v>4.0476700000000001</v>
      </c>
      <c r="N638" s="7">
        <v>9.74864</v>
      </c>
      <c r="O638" s="7" t="s">
        <v>613</v>
      </c>
    </row>
    <row r="639" spans="1:15" x14ac:dyDescent="0.25">
      <c r="A639" s="2">
        <f t="shared" si="9"/>
        <v>637</v>
      </c>
      <c r="B639" s="7" t="s">
        <v>2405</v>
      </c>
      <c r="C639" s="7" t="s">
        <v>2406</v>
      </c>
      <c r="D639" s="7" t="s">
        <v>2405</v>
      </c>
      <c r="E639" s="7" t="s">
        <v>50</v>
      </c>
      <c r="F639" s="7" t="s">
        <v>2407</v>
      </c>
      <c r="G639" s="17" t="s">
        <v>7747</v>
      </c>
      <c r="H639" s="7" t="s">
        <v>28</v>
      </c>
      <c r="I639" s="7" t="s">
        <v>2024</v>
      </c>
      <c r="J639" s="7" t="s">
        <v>53</v>
      </c>
      <c r="K639" s="7" t="s">
        <v>1404</v>
      </c>
      <c r="L639" s="7" t="s">
        <v>55</v>
      </c>
      <c r="M639" s="7">
        <v>4.04955</v>
      </c>
      <c r="N639" s="7">
        <v>9.7194800000000008</v>
      </c>
      <c r="O639" s="7" t="s">
        <v>613</v>
      </c>
    </row>
    <row r="640" spans="1:15" x14ac:dyDescent="0.25">
      <c r="A640" s="2">
        <f t="shared" si="9"/>
        <v>638</v>
      </c>
      <c r="B640" s="7" t="s">
        <v>2408</v>
      </c>
      <c r="C640" s="7" t="s">
        <v>2409</v>
      </c>
      <c r="D640" s="7" t="s">
        <v>2408</v>
      </c>
      <c r="E640" s="7" t="s">
        <v>50</v>
      </c>
      <c r="F640" s="7" t="s">
        <v>2410</v>
      </c>
      <c r="G640" s="17" t="s">
        <v>7747</v>
      </c>
      <c r="H640" s="7" t="s">
        <v>28</v>
      </c>
      <c r="I640" s="7" t="s">
        <v>1471</v>
      </c>
      <c r="J640" s="7" t="s">
        <v>53</v>
      </c>
      <c r="K640" s="7" t="s">
        <v>54</v>
      </c>
      <c r="L640" s="7" t="s">
        <v>55</v>
      </c>
      <c r="M640" s="7">
        <v>4.0542999999999996</v>
      </c>
      <c r="N640" s="7">
        <v>9.7373999999999992</v>
      </c>
      <c r="O640" s="7" t="s">
        <v>613</v>
      </c>
    </row>
    <row r="641" spans="1:15" x14ac:dyDescent="0.25">
      <c r="A641" s="2">
        <f t="shared" si="9"/>
        <v>639</v>
      </c>
      <c r="B641" s="7" t="s">
        <v>2417</v>
      </c>
      <c r="C641" s="7" t="s">
        <v>2418</v>
      </c>
      <c r="D641" s="7" t="s">
        <v>2417</v>
      </c>
      <c r="E641" s="7" t="s">
        <v>50</v>
      </c>
      <c r="F641" s="7" t="s">
        <v>2419</v>
      </c>
      <c r="G641" s="17" t="s">
        <v>7747</v>
      </c>
      <c r="H641" s="7" t="s">
        <v>28</v>
      </c>
      <c r="I641" s="7" t="s">
        <v>960</v>
      </c>
      <c r="J641" s="7" t="s">
        <v>53</v>
      </c>
      <c r="K641" s="7" t="s">
        <v>628</v>
      </c>
      <c r="L641" s="7" t="s">
        <v>55</v>
      </c>
      <c r="M641" s="7">
        <v>4.0953840000000001</v>
      </c>
      <c r="N641" s="7">
        <v>9.6490650000000002</v>
      </c>
      <c r="O641" s="7" t="s">
        <v>613</v>
      </c>
    </row>
    <row r="642" spans="1:15" x14ac:dyDescent="0.25">
      <c r="A642" s="2">
        <f t="shared" si="9"/>
        <v>640</v>
      </c>
      <c r="B642" s="7" t="s">
        <v>2420</v>
      </c>
      <c r="C642" s="7" t="s">
        <v>2421</v>
      </c>
      <c r="D642" s="7" t="s">
        <v>2420</v>
      </c>
      <c r="E642" s="7" t="s">
        <v>50</v>
      </c>
      <c r="F642" s="7" t="s">
        <v>2422</v>
      </c>
      <c r="G642" s="17" t="s">
        <v>7747</v>
      </c>
      <c r="H642" s="7" t="s">
        <v>28</v>
      </c>
      <c r="I642" s="7" t="s">
        <v>627</v>
      </c>
      <c r="J642" s="7" t="s">
        <v>53</v>
      </c>
      <c r="K642" s="7" t="s">
        <v>628</v>
      </c>
      <c r="L642" s="7" t="s">
        <v>55</v>
      </c>
      <c r="M642" s="7">
        <v>4.0709439999999999</v>
      </c>
      <c r="N642" s="7">
        <v>9.6656940000000002</v>
      </c>
      <c r="O642" s="7" t="s">
        <v>613</v>
      </c>
    </row>
    <row r="643" spans="1:15" x14ac:dyDescent="0.25">
      <c r="A643" s="2">
        <f t="shared" si="9"/>
        <v>641</v>
      </c>
      <c r="B643" s="7" t="s">
        <v>2432</v>
      </c>
      <c r="C643" s="7" t="s">
        <v>2433</v>
      </c>
      <c r="D643" s="7" t="s">
        <v>2432</v>
      </c>
      <c r="E643" s="7" t="s">
        <v>50</v>
      </c>
      <c r="F643" s="7" t="s">
        <v>2434</v>
      </c>
      <c r="G643" s="17" t="s">
        <v>7747</v>
      </c>
      <c r="H643" s="7" t="s">
        <v>19</v>
      </c>
      <c r="I643" s="7" t="s">
        <v>1471</v>
      </c>
      <c r="J643" s="7" t="s">
        <v>53</v>
      </c>
      <c r="K643" s="7" t="s">
        <v>612</v>
      </c>
      <c r="L643" s="7" t="s">
        <v>55</v>
      </c>
      <c r="M643" s="7">
        <v>4.0697599999999996</v>
      </c>
      <c r="N643" s="7">
        <v>9.7254000000000005</v>
      </c>
      <c r="O643" s="7" t="s">
        <v>613</v>
      </c>
    </row>
    <row r="644" spans="1:15" x14ac:dyDescent="0.25">
      <c r="A644" s="2">
        <f t="shared" si="9"/>
        <v>642</v>
      </c>
      <c r="B644" s="7" t="s">
        <v>2444</v>
      </c>
      <c r="C644" s="7" t="s">
        <v>2445</v>
      </c>
      <c r="D644" s="7" t="s">
        <v>2444</v>
      </c>
      <c r="E644" s="7" t="s">
        <v>50</v>
      </c>
      <c r="F644" s="7" t="s">
        <v>2422</v>
      </c>
      <c r="G644" s="17" t="s">
        <v>7747</v>
      </c>
      <c r="H644" s="7" t="s">
        <v>19</v>
      </c>
      <c r="I644" s="7" t="s">
        <v>627</v>
      </c>
      <c r="J644" s="7" t="s">
        <v>53</v>
      </c>
      <c r="K644" s="7" t="s">
        <v>628</v>
      </c>
      <c r="L644" s="7" t="s">
        <v>55</v>
      </c>
      <c r="M644" s="7">
        <v>4.0690799999999996</v>
      </c>
      <c r="N644" s="7">
        <v>9.6567600000000002</v>
      </c>
      <c r="O644" s="7" t="s">
        <v>23</v>
      </c>
    </row>
    <row r="645" spans="1:15" x14ac:dyDescent="0.25">
      <c r="A645" s="2">
        <f t="shared" ref="A645:A708" si="10">+A644+1</f>
        <v>643</v>
      </c>
      <c r="B645" s="7" t="s">
        <v>2487</v>
      </c>
      <c r="C645" s="7" t="s">
        <v>2488</v>
      </c>
      <c r="D645" s="7" t="s">
        <v>2487</v>
      </c>
      <c r="E645" s="7" t="s">
        <v>50</v>
      </c>
      <c r="F645" s="7" t="s">
        <v>2489</v>
      </c>
      <c r="G645" s="17" t="s">
        <v>7747</v>
      </c>
      <c r="H645" s="7" t="s">
        <v>28</v>
      </c>
      <c r="I645" s="7" t="s">
        <v>1958</v>
      </c>
      <c r="J645" s="7" t="s">
        <v>53</v>
      </c>
      <c r="K645" s="7" t="s">
        <v>2213</v>
      </c>
      <c r="L645" s="7" t="s">
        <v>55</v>
      </c>
      <c r="M645" s="7">
        <v>4.0512980000000001</v>
      </c>
      <c r="N645" s="7">
        <v>9.7068390000000004</v>
      </c>
      <c r="O645" s="7" t="s">
        <v>613</v>
      </c>
    </row>
    <row r="646" spans="1:15" x14ac:dyDescent="0.25">
      <c r="A646" s="2">
        <f t="shared" si="10"/>
        <v>644</v>
      </c>
      <c r="B646" s="7" t="s">
        <v>2490</v>
      </c>
      <c r="C646" s="7" t="s">
        <v>2491</v>
      </c>
      <c r="D646" s="7" t="s">
        <v>2490</v>
      </c>
      <c r="E646" s="7" t="s">
        <v>50</v>
      </c>
      <c r="F646" s="7" t="s">
        <v>2492</v>
      </c>
      <c r="G646" s="17" t="s">
        <v>7747</v>
      </c>
      <c r="H646" s="7" t="s">
        <v>28</v>
      </c>
      <c r="I646" s="7" t="s">
        <v>2024</v>
      </c>
      <c r="J646" s="7" t="s">
        <v>53</v>
      </c>
      <c r="K646" s="7" t="s">
        <v>2213</v>
      </c>
      <c r="L646" s="7" t="s">
        <v>55</v>
      </c>
      <c r="M646" s="7">
        <v>4.0329499999999996</v>
      </c>
      <c r="N646" s="7">
        <v>9.7189499999999995</v>
      </c>
      <c r="O646" s="7" t="s">
        <v>613</v>
      </c>
    </row>
    <row r="647" spans="1:15" x14ac:dyDescent="0.25">
      <c r="A647" s="2">
        <f t="shared" si="10"/>
        <v>645</v>
      </c>
      <c r="B647" s="7" t="s">
        <v>2500</v>
      </c>
      <c r="C647" s="7" t="s">
        <v>2501</v>
      </c>
      <c r="D647" s="7" t="s">
        <v>2500</v>
      </c>
      <c r="E647" s="7" t="s">
        <v>50</v>
      </c>
      <c r="F647" s="7" t="s">
        <v>2502</v>
      </c>
      <c r="G647" s="17" t="s">
        <v>7747</v>
      </c>
      <c r="H647" s="7" t="s">
        <v>28</v>
      </c>
      <c r="I647" s="7" t="s">
        <v>1471</v>
      </c>
      <c r="J647" s="7" t="s">
        <v>53</v>
      </c>
      <c r="K647" s="7" t="s">
        <v>612</v>
      </c>
      <c r="L647" s="7" t="s">
        <v>55</v>
      </c>
      <c r="M647" s="7">
        <v>4.0601099999999999</v>
      </c>
      <c r="N647" s="7">
        <v>9.7784499999999994</v>
      </c>
      <c r="O647" s="7" t="s">
        <v>23</v>
      </c>
    </row>
    <row r="648" spans="1:15" x14ac:dyDescent="0.25">
      <c r="A648" s="2">
        <f t="shared" si="10"/>
        <v>646</v>
      </c>
      <c r="B648" s="7" t="s">
        <v>2516</v>
      </c>
      <c r="C648" s="7" t="s">
        <v>2517</v>
      </c>
      <c r="D648" s="7" t="s">
        <v>2516</v>
      </c>
      <c r="E648" s="7" t="s">
        <v>50</v>
      </c>
      <c r="F648" s="7" t="s">
        <v>2518</v>
      </c>
      <c r="G648" s="17" t="s">
        <v>7747</v>
      </c>
      <c r="H648" s="7" t="s">
        <v>28</v>
      </c>
      <c r="I648" s="7" t="s">
        <v>1516</v>
      </c>
      <c r="J648" s="7" t="s">
        <v>53</v>
      </c>
      <c r="K648" s="7" t="s">
        <v>54</v>
      </c>
      <c r="L648" s="7" t="s">
        <v>55</v>
      </c>
      <c r="M648" s="7">
        <v>4.05525</v>
      </c>
      <c r="N648" s="7">
        <v>9.7758889999999994</v>
      </c>
      <c r="O648" s="7" t="s">
        <v>23</v>
      </c>
    </row>
    <row r="649" spans="1:15" x14ac:dyDescent="0.25">
      <c r="A649" s="2">
        <f t="shared" si="10"/>
        <v>647</v>
      </c>
      <c r="B649" s="7" t="s">
        <v>2522</v>
      </c>
      <c r="C649" s="7" t="s">
        <v>2523</v>
      </c>
      <c r="D649" s="7" t="s">
        <v>2522</v>
      </c>
      <c r="E649" s="7" t="s">
        <v>50</v>
      </c>
      <c r="F649" s="7" t="s">
        <v>2524</v>
      </c>
      <c r="G649" s="17" t="s">
        <v>7747</v>
      </c>
      <c r="H649" s="7" t="s">
        <v>28</v>
      </c>
      <c r="I649" s="7" t="s">
        <v>2024</v>
      </c>
      <c r="J649" s="7" t="s">
        <v>53</v>
      </c>
      <c r="K649" s="7" t="s">
        <v>1404</v>
      </c>
      <c r="L649" s="7" t="s">
        <v>55</v>
      </c>
      <c r="M649" s="7">
        <v>4.0199429999999996</v>
      </c>
      <c r="N649" s="7">
        <v>9.7043300000000006</v>
      </c>
      <c r="O649" s="7" t="s">
        <v>613</v>
      </c>
    </row>
    <row r="650" spans="1:15" x14ac:dyDescent="0.25">
      <c r="A650" s="2">
        <f t="shared" si="10"/>
        <v>648</v>
      </c>
      <c r="B650" s="7" t="s">
        <v>2527</v>
      </c>
      <c r="C650" s="7" t="s">
        <v>2528</v>
      </c>
      <c r="D650" s="7" t="s">
        <v>2527</v>
      </c>
      <c r="E650" s="7" t="s">
        <v>50</v>
      </c>
      <c r="F650" s="7" t="s">
        <v>2529</v>
      </c>
      <c r="G650" s="17" t="s">
        <v>7747</v>
      </c>
      <c r="H650" s="7" t="s">
        <v>28</v>
      </c>
      <c r="I650" s="7" t="s">
        <v>627</v>
      </c>
      <c r="J650" s="7" t="s">
        <v>53</v>
      </c>
      <c r="K650" s="7" t="s">
        <v>628</v>
      </c>
      <c r="L650" s="7" t="s">
        <v>55</v>
      </c>
      <c r="M650" s="7">
        <v>4.0802240000000003</v>
      </c>
      <c r="N650" s="7">
        <v>9.6829560000000008</v>
      </c>
      <c r="O650" s="7" t="s">
        <v>613</v>
      </c>
    </row>
    <row r="651" spans="1:15" x14ac:dyDescent="0.25">
      <c r="A651" s="2">
        <f t="shared" si="10"/>
        <v>649</v>
      </c>
      <c r="B651" s="7" t="s">
        <v>2545</v>
      </c>
      <c r="C651" s="7" t="s">
        <v>2546</v>
      </c>
      <c r="D651" s="7" t="s">
        <v>2545</v>
      </c>
      <c r="E651" s="7" t="s">
        <v>50</v>
      </c>
      <c r="F651" s="7" t="s">
        <v>2547</v>
      </c>
      <c r="G651" s="17" t="s">
        <v>7747</v>
      </c>
      <c r="H651" s="7" t="s">
        <v>28</v>
      </c>
      <c r="I651" s="7" t="s">
        <v>1478</v>
      </c>
      <c r="J651" s="7" t="s">
        <v>53</v>
      </c>
      <c r="K651" s="7" t="s">
        <v>612</v>
      </c>
      <c r="L651" s="7" t="s">
        <v>55</v>
      </c>
      <c r="M651" s="7">
        <v>4.0866939999999996</v>
      </c>
      <c r="N651" s="7">
        <v>9.7450829999999993</v>
      </c>
      <c r="O651" s="7" t="s">
        <v>613</v>
      </c>
    </row>
    <row r="652" spans="1:15" x14ac:dyDescent="0.25">
      <c r="A652" s="2">
        <f t="shared" si="10"/>
        <v>650</v>
      </c>
      <c r="B652" s="7" t="s">
        <v>2588</v>
      </c>
      <c r="C652" s="7" t="s">
        <v>2589</v>
      </c>
      <c r="D652" s="7" t="s">
        <v>2588</v>
      </c>
      <c r="E652" s="7" t="s">
        <v>50</v>
      </c>
      <c r="F652" s="7" t="s">
        <v>2590</v>
      </c>
      <c r="G652" s="17" t="s">
        <v>7747</v>
      </c>
      <c r="H652" s="7" t="s">
        <v>28</v>
      </c>
      <c r="I652" s="7" t="s">
        <v>1478</v>
      </c>
      <c r="J652" s="7" t="s">
        <v>53</v>
      </c>
      <c r="K652" s="7" t="s">
        <v>612</v>
      </c>
      <c r="L652" s="7" t="s">
        <v>55</v>
      </c>
      <c r="M652" s="7">
        <v>4.0827220000000004</v>
      </c>
      <c r="N652" s="7">
        <v>9.7272499999999997</v>
      </c>
      <c r="O652" s="7" t="s">
        <v>613</v>
      </c>
    </row>
    <row r="653" spans="1:15" x14ac:dyDescent="0.25">
      <c r="A653" s="2">
        <f t="shared" si="10"/>
        <v>651</v>
      </c>
      <c r="B653" s="7" t="s">
        <v>2601</v>
      </c>
      <c r="C653" s="7" t="s">
        <v>2602</v>
      </c>
      <c r="D653" s="7" t="s">
        <v>2601</v>
      </c>
      <c r="E653" s="7" t="s">
        <v>50</v>
      </c>
      <c r="F653" s="7" t="s">
        <v>2603</v>
      </c>
      <c r="G653" s="17" t="s">
        <v>7747</v>
      </c>
      <c r="H653" s="7" t="s">
        <v>28</v>
      </c>
      <c r="I653" s="7" t="s">
        <v>960</v>
      </c>
      <c r="J653" s="7" t="s">
        <v>53</v>
      </c>
      <c r="K653" s="7" t="s">
        <v>628</v>
      </c>
      <c r="L653" s="7" t="s">
        <v>55</v>
      </c>
      <c r="M653" s="7">
        <v>4.1081859999999999</v>
      </c>
      <c r="N653" s="7">
        <v>9.6449689999999997</v>
      </c>
      <c r="O653" s="7" t="s">
        <v>23</v>
      </c>
    </row>
    <row r="654" spans="1:15" x14ac:dyDescent="0.25">
      <c r="A654" s="2">
        <f t="shared" si="10"/>
        <v>652</v>
      </c>
      <c r="B654" s="7" t="s">
        <v>2604</v>
      </c>
      <c r="C654" s="7" t="s">
        <v>2605</v>
      </c>
      <c r="D654" s="7" t="s">
        <v>2604</v>
      </c>
      <c r="E654" s="7" t="s">
        <v>50</v>
      </c>
      <c r="F654" s="7" t="s">
        <v>2606</v>
      </c>
      <c r="G654" s="17" t="s">
        <v>7747</v>
      </c>
      <c r="H654" s="7" t="s">
        <v>28</v>
      </c>
      <c r="I654" s="7" t="s">
        <v>1478</v>
      </c>
      <c r="J654" s="7" t="s">
        <v>53</v>
      </c>
      <c r="K654" s="7" t="s">
        <v>612</v>
      </c>
      <c r="L654" s="7" t="s">
        <v>55</v>
      </c>
      <c r="M654" s="7">
        <v>4.1047700000000003</v>
      </c>
      <c r="N654" s="7">
        <v>9.7439549999999997</v>
      </c>
      <c r="O654" s="7" t="s">
        <v>23</v>
      </c>
    </row>
    <row r="655" spans="1:15" x14ac:dyDescent="0.25">
      <c r="A655" s="2">
        <f t="shared" si="10"/>
        <v>653</v>
      </c>
      <c r="B655" s="7" t="s">
        <v>2613</v>
      </c>
      <c r="C655" s="7" t="s">
        <v>2614</v>
      </c>
      <c r="D655" s="7" t="s">
        <v>2613</v>
      </c>
      <c r="E655" s="7" t="s">
        <v>50</v>
      </c>
      <c r="F655" s="7" t="s">
        <v>2615</v>
      </c>
      <c r="G655" s="17" t="s">
        <v>7747</v>
      </c>
      <c r="H655" s="7" t="s">
        <v>28</v>
      </c>
      <c r="I655" s="7" t="s">
        <v>1478</v>
      </c>
      <c r="J655" s="7" t="s">
        <v>53</v>
      </c>
      <c r="K655" s="7" t="s">
        <v>612</v>
      </c>
      <c r="L655" s="7" t="s">
        <v>55</v>
      </c>
      <c r="M655" s="7">
        <v>4.0768599999999999</v>
      </c>
      <c r="N655" s="7">
        <v>9.7631300000000003</v>
      </c>
      <c r="O655" s="7" t="s">
        <v>23</v>
      </c>
    </row>
    <row r="656" spans="1:15" x14ac:dyDescent="0.25">
      <c r="A656" s="2">
        <f t="shared" si="10"/>
        <v>654</v>
      </c>
      <c r="B656" s="7" t="s">
        <v>2641</v>
      </c>
      <c r="C656" s="7" t="s">
        <v>2642</v>
      </c>
      <c r="D656" s="7" t="s">
        <v>2641</v>
      </c>
      <c r="E656" s="7" t="s">
        <v>50</v>
      </c>
      <c r="F656" s="7" t="s">
        <v>2643</v>
      </c>
      <c r="G656" s="17" t="s">
        <v>7747</v>
      </c>
      <c r="H656" s="7" t="s">
        <v>28</v>
      </c>
      <c r="I656" s="7" t="s">
        <v>1329</v>
      </c>
      <c r="J656" s="7" t="s">
        <v>53</v>
      </c>
      <c r="K656" s="7" t="s">
        <v>612</v>
      </c>
      <c r="L656" s="7" t="s">
        <v>55</v>
      </c>
      <c r="M656" s="7">
        <v>4.058611</v>
      </c>
      <c r="N656" s="7">
        <v>9.734</v>
      </c>
      <c r="O656" s="7" t="s">
        <v>613</v>
      </c>
    </row>
    <row r="657" spans="1:15" x14ac:dyDescent="0.25">
      <c r="A657" s="2">
        <f t="shared" si="10"/>
        <v>655</v>
      </c>
      <c r="B657" s="7" t="s">
        <v>2644</v>
      </c>
      <c r="C657" s="7" t="s">
        <v>2645</v>
      </c>
      <c r="D657" s="7" t="s">
        <v>2644</v>
      </c>
      <c r="E657" s="7" t="s">
        <v>50</v>
      </c>
      <c r="F657" s="7" t="s">
        <v>2646</v>
      </c>
      <c r="G657" s="17" t="s">
        <v>7747</v>
      </c>
      <c r="H657" s="7" t="s">
        <v>28</v>
      </c>
      <c r="I657" s="7" t="s">
        <v>1516</v>
      </c>
      <c r="J657" s="7" t="s">
        <v>53</v>
      </c>
      <c r="K657" s="7" t="s">
        <v>54</v>
      </c>
      <c r="L657" s="7" t="s">
        <v>55</v>
      </c>
      <c r="M657" s="7">
        <v>4.0467779999999998</v>
      </c>
      <c r="N657" s="7">
        <v>9.7680559999999996</v>
      </c>
      <c r="O657" s="7" t="s">
        <v>613</v>
      </c>
    </row>
    <row r="658" spans="1:15" x14ac:dyDescent="0.25">
      <c r="A658" s="2">
        <f t="shared" si="10"/>
        <v>656</v>
      </c>
      <c r="B658" s="7" t="s">
        <v>2650</v>
      </c>
      <c r="C658" s="7" t="s">
        <v>2651</v>
      </c>
      <c r="D658" s="7" t="s">
        <v>2650</v>
      </c>
      <c r="E658" s="7" t="s">
        <v>50</v>
      </c>
      <c r="F658" s="7" t="s">
        <v>2652</v>
      </c>
      <c r="G658" s="17" t="s">
        <v>7747</v>
      </c>
      <c r="H658" s="7" t="s">
        <v>28</v>
      </c>
      <c r="I658" s="7" t="s">
        <v>1958</v>
      </c>
      <c r="J658" s="7" t="s">
        <v>53</v>
      </c>
      <c r="K658" s="7" t="s">
        <v>1404</v>
      </c>
      <c r="L658" s="7" t="s">
        <v>55</v>
      </c>
      <c r="M658" s="7">
        <v>4.0586330000000004</v>
      </c>
      <c r="N658" s="7">
        <v>9.7152499999999993</v>
      </c>
      <c r="O658" s="7" t="s">
        <v>613</v>
      </c>
    </row>
    <row r="659" spans="1:15" x14ac:dyDescent="0.25">
      <c r="A659" s="2">
        <f t="shared" si="10"/>
        <v>657</v>
      </c>
      <c r="B659" s="7" t="s">
        <v>2653</v>
      </c>
      <c r="C659" s="7" t="s">
        <v>2654</v>
      </c>
      <c r="D659" s="7" t="s">
        <v>2653</v>
      </c>
      <c r="E659" s="7" t="s">
        <v>50</v>
      </c>
      <c r="F659" s="7" t="s">
        <v>2655</v>
      </c>
      <c r="G659" s="17" t="s">
        <v>7747</v>
      </c>
      <c r="H659" s="7" t="s">
        <v>28</v>
      </c>
      <c r="I659" s="7" t="s">
        <v>960</v>
      </c>
      <c r="J659" s="7" t="s">
        <v>53</v>
      </c>
      <c r="K659" s="7" t="s">
        <v>628</v>
      </c>
      <c r="L659" s="7" t="s">
        <v>55</v>
      </c>
      <c r="M659" s="7">
        <v>4.0845779999999996</v>
      </c>
      <c r="N659" s="7">
        <v>9.646528</v>
      </c>
      <c r="O659" s="7" t="s">
        <v>613</v>
      </c>
    </row>
    <row r="660" spans="1:15" x14ac:dyDescent="0.25">
      <c r="A660" s="2">
        <f t="shared" si="10"/>
        <v>658</v>
      </c>
      <c r="B660" s="7" t="s">
        <v>2656</v>
      </c>
      <c r="C660" s="7" t="s">
        <v>2657</v>
      </c>
      <c r="D660" s="7" t="s">
        <v>2656</v>
      </c>
      <c r="E660" s="7" t="s">
        <v>50</v>
      </c>
      <c r="F660" s="7" t="s">
        <v>2658</v>
      </c>
      <c r="G660" s="17" t="s">
        <v>7747</v>
      </c>
      <c r="H660" s="7" t="s">
        <v>28</v>
      </c>
      <c r="I660" s="7" t="s">
        <v>1575</v>
      </c>
      <c r="J660" s="7" t="s">
        <v>53</v>
      </c>
      <c r="K660" s="7" t="s">
        <v>54</v>
      </c>
      <c r="L660" s="7" t="s">
        <v>55</v>
      </c>
      <c r="M660" s="7">
        <v>4.0284079999999998</v>
      </c>
      <c r="N660" s="7">
        <v>9.7302459999999993</v>
      </c>
      <c r="O660" s="7" t="s">
        <v>23</v>
      </c>
    </row>
    <row r="661" spans="1:15" x14ac:dyDescent="0.25">
      <c r="A661" s="2">
        <f t="shared" si="10"/>
        <v>659</v>
      </c>
      <c r="B661" s="7" t="s">
        <v>2659</v>
      </c>
      <c r="C661" s="7" t="s">
        <v>2660</v>
      </c>
      <c r="D661" s="7" t="s">
        <v>2659</v>
      </c>
      <c r="E661" s="7" t="s">
        <v>50</v>
      </c>
      <c r="F661" s="7" t="s">
        <v>2661</v>
      </c>
      <c r="G661" s="17" t="s">
        <v>7747</v>
      </c>
      <c r="H661" s="7" t="s">
        <v>28</v>
      </c>
      <c r="I661" s="7" t="s">
        <v>960</v>
      </c>
      <c r="J661" s="7" t="s">
        <v>53</v>
      </c>
      <c r="K661" s="7" t="s">
        <v>628</v>
      </c>
      <c r="L661" s="7" t="s">
        <v>55</v>
      </c>
      <c r="M661" s="7">
        <v>4.0790829999999998</v>
      </c>
      <c r="N661" s="7">
        <v>9.6495280000000001</v>
      </c>
      <c r="O661" s="7" t="s">
        <v>23</v>
      </c>
    </row>
    <row r="662" spans="1:15" x14ac:dyDescent="0.25">
      <c r="A662" s="2">
        <f t="shared" si="10"/>
        <v>660</v>
      </c>
      <c r="B662" s="7" t="s">
        <v>2707</v>
      </c>
      <c r="C662" s="7" t="s">
        <v>2708</v>
      </c>
      <c r="D662" s="7" t="s">
        <v>2707</v>
      </c>
      <c r="E662" s="7" t="s">
        <v>50</v>
      </c>
      <c r="F662" s="7" t="s">
        <v>2709</v>
      </c>
      <c r="G662" s="17" t="s">
        <v>7747</v>
      </c>
      <c r="H662" s="7" t="s">
        <v>28</v>
      </c>
      <c r="I662" s="7" t="s">
        <v>1516</v>
      </c>
      <c r="J662" s="7" t="s">
        <v>53</v>
      </c>
      <c r="K662" s="7" t="s">
        <v>54</v>
      </c>
      <c r="L662" s="7" t="s">
        <v>55</v>
      </c>
      <c r="M662" s="7">
        <v>4.0888900000000001</v>
      </c>
      <c r="N662" s="7">
        <v>9.7992100000000004</v>
      </c>
      <c r="O662" s="7" t="s">
        <v>23</v>
      </c>
    </row>
    <row r="663" spans="1:15" x14ac:dyDescent="0.25">
      <c r="A663" s="2">
        <f t="shared" si="10"/>
        <v>661</v>
      </c>
      <c r="B663" s="7" t="s">
        <v>2836</v>
      </c>
      <c r="C663" s="7" t="s">
        <v>2837</v>
      </c>
      <c r="D663" s="7" t="s">
        <v>2836</v>
      </c>
      <c r="E663" s="7" t="s">
        <v>50</v>
      </c>
      <c r="F663" s="7" t="s">
        <v>2838</v>
      </c>
      <c r="G663" s="17" t="s">
        <v>7747</v>
      </c>
      <c r="H663" s="7" t="s">
        <v>28</v>
      </c>
      <c r="I663" s="7" t="s">
        <v>1516</v>
      </c>
      <c r="J663" s="7" t="s">
        <v>53</v>
      </c>
      <c r="K663" s="7" t="s">
        <v>54</v>
      </c>
      <c r="L663" s="7" t="s">
        <v>55</v>
      </c>
      <c r="M663" s="7">
        <v>4.0768599999999999</v>
      </c>
      <c r="N663" s="7">
        <v>9.80166</v>
      </c>
      <c r="O663" s="7" t="s">
        <v>23</v>
      </c>
    </row>
    <row r="664" spans="1:15" x14ac:dyDescent="0.25">
      <c r="A664" s="2">
        <f t="shared" si="10"/>
        <v>662</v>
      </c>
      <c r="B664" s="7" t="s">
        <v>2839</v>
      </c>
      <c r="C664" s="7" t="s">
        <v>2840</v>
      </c>
      <c r="D664" s="7" t="s">
        <v>2839</v>
      </c>
      <c r="E664" s="7" t="s">
        <v>50</v>
      </c>
      <c r="F664" s="7" t="s">
        <v>2841</v>
      </c>
      <c r="G664" s="17" t="s">
        <v>7747</v>
      </c>
      <c r="H664" s="7" t="s">
        <v>28</v>
      </c>
      <c r="I664" s="7" t="s">
        <v>1471</v>
      </c>
      <c r="J664" s="7" t="s">
        <v>53</v>
      </c>
      <c r="K664" s="7" t="s">
        <v>612</v>
      </c>
      <c r="L664" s="7" t="s">
        <v>55</v>
      </c>
      <c r="M664" s="7">
        <v>4.0945</v>
      </c>
      <c r="N664" s="7">
        <v>9.764367</v>
      </c>
      <c r="O664" s="7" t="s">
        <v>23</v>
      </c>
    </row>
    <row r="665" spans="1:15" x14ac:dyDescent="0.25">
      <c r="A665" s="2">
        <f t="shared" si="10"/>
        <v>663</v>
      </c>
      <c r="B665" s="7" t="s">
        <v>2851</v>
      </c>
      <c r="C665" s="7" t="s">
        <v>2852</v>
      </c>
      <c r="D665" s="7" t="s">
        <v>2851</v>
      </c>
      <c r="E665" s="7" t="s">
        <v>50</v>
      </c>
      <c r="F665" s="7" t="s">
        <v>2853</v>
      </c>
      <c r="G665" s="17" t="s">
        <v>7747</v>
      </c>
      <c r="H665" s="7" t="s">
        <v>19</v>
      </c>
      <c r="I665" s="7" t="s">
        <v>1403</v>
      </c>
      <c r="J665" s="7" t="s">
        <v>53</v>
      </c>
      <c r="K665" s="7" t="s">
        <v>1404</v>
      </c>
      <c r="L665" s="7" t="s">
        <v>55</v>
      </c>
      <c r="M665" s="7">
        <v>4.0449999999999999</v>
      </c>
      <c r="N665" s="7">
        <v>9.6935000000000002</v>
      </c>
      <c r="O665" s="7" t="s">
        <v>613</v>
      </c>
    </row>
    <row r="666" spans="1:15" x14ac:dyDescent="0.25">
      <c r="A666" s="2">
        <f t="shared" si="10"/>
        <v>664</v>
      </c>
      <c r="B666" s="7" t="s">
        <v>2868</v>
      </c>
      <c r="C666" s="7" t="s">
        <v>2869</v>
      </c>
      <c r="D666" s="7" t="s">
        <v>2868</v>
      </c>
      <c r="E666" s="7" t="s">
        <v>34</v>
      </c>
      <c r="F666" s="7" t="s">
        <v>2870</v>
      </c>
      <c r="G666" s="17" t="s">
        <v>7747</v>
      </c>
      <c r="H666" s="7" t="s">
        <v>19</v>
      </c>
      <c r="I666" s="7" t="s">
        <v>356</v>
      </c>
      <c r="J666" s="7" t="s">
        <v>152</v>
      </c>
      <c r="K666" s="7" t="s">
        <v>1721</v>
      </c>
      <c r="L666" s="7" t="s">
        <v>55</v>
      </c>
      <c r="M666" s="7">
        <v>4.1734</v>
      </c>
      <c r="N666" s="7">
        <v>9.5930420000000005</v>
      </c>
      <c r="O666" s="7" t="s">
        <v>23</v>
      </c>
    </row>
    <row r="667" spans="1:15" x14ac:dyDescent="0.25">
      <c r="A667" s="2">
        <f t="shared" si="10"/>
        <v>665</v>
      </c>
      <c r="B667" s="7" t="s">
        <v>2877</v>
      </c>
      <c r="C667" s="7" t="s">
        <v>2878</v>
      </c>
      <c r="D667" s="7" t="s">
        <v>2877</v>
      </c>
      <c r="E667" s="7" t="s">
        <v>50</v>
      </c>
      <c r="F667" s="7" t="s">
        <v>2879</v>
      </c>
      <c r="G667" s="17" t="s">
        <v>7747</v>
      </c>
      <c r="H667" s="7" t="s">
        <v>19</v>
      </c>
      <c r="I667" s="7" t="s">
        <v>1958</v>
      </c>
      <c r="J667" s="7" t="s">
        <v>53</v>
      </c>
      <c r="K667" s="7" t="s">
        <v>1404</v>
      </c>
      <c r="L667" s="7" t="s">
        <v>55</v>
      </c>
      <c r="M667" s="7">
        <v>4.0424499999999997</v>
      </c>
      <c r="N667" s="7">
        <v>9.7041629999999994</v>
      </c>
      <c r="O667" s="7" t="s">
        <v>613</v>
      </c>
    </row>
    <row r="668" spans="1:15" x14ac:dyDescent="0.25">
      <c r="A668" s="2">
        <f t="shared" si="10"/>
        <v>666</v>
      </c>
      <c r="B668" s="7" t="s">
        <v>2888</v>
      </c>
      <c r="C668" s="7" t="s">
        <v>2889</v>
      </c>
      <c r="D668" s="7" t="s">
        <v>2888</v>
      </c>
      <c r="E668" s="7" t="s">
        <v>50</v>
      </c>
      <c r="F668" s="7" t="s">
        <v>2890</v>
      </c>
      <c r="G668" s="17" t="s">
        <v>7747</v>
      </c>
      <c r="H668" s="7" t="s">
        <v>19</v>
      </c>
      <c r="I668" s="7" t="s">
        <v>1958</v>
      </c>
      <c r="J668" s="7" t="s">
        <v>53</v>
      </c>
      <c r="K668" s="7" t="s">
        <v>1404</v>
      </c>
      <c r="L668" s="7" t="s">
        <v>55</v>
      </c>
      <c r="M668" s="7">
        <v>4.0615560000000004</v>
      </c>
      <c r="N668" s="7">
        <v>9.7193889999999996</v>
      </c>
      <c r="O668" s="7" t="s">
        <v>613</v>
      </c>
    </row>
    <row r="669" spans="1:15" x14ac:dyDescent="0.25">
      <c r="A669" s="2">
        <f t="shared" si="10"/>
        <v>667</v>
      </c>
      <c r="B669" s="7" t="s">
        <v>2891</v>
      </c>
      <c r="C669" s="7" t="s">
        <v>2892</v>
      </c>
      <c r="D669" s="7" t="s">
        <v>2891</v>
      </c>
      <c r="E669" s="7" t="s">
        <v>50</v>
      </c>
      <c r="F669" s="7" t="s">
        <v>2893</v>
      </c>
      <c r="G669" s="17" t="s">
        <v>7747</v>
      </c>
      <c r="H669" s="7" t="s">
        <v>19</v>
      </c>
      <c r="I669" s="7" t="s">
        <v>1403</v>
      </c>
      <c r="J669" s="7" t="s">
        <v>53</v>
      </c>
      <c r="K669" s="7" t="s">
        <v>2213</v>
      </c>
      <c r="L669" s="7" t="s">
        <v>55</v>
      </c>
      <c r="M669" s="7">
        <v>4.0229169999999996</v>
      </c>
      <c r="N669" s="7">
        <v>9.6945560000000004</v>
      </c>
      <c r="O669" s="7" t="s">
        <v>613</v>
      </c>
    </row>
    <row r="670" spans="1:15" x14ac:dyDescent="0.25">
      <c r="A670" s="2">
        <f t="shared" si="10"/>
        <v>668</v>
      </c>
      <c r="B670" s="7" t="s">
        <v>2894</v>
      </c>
      <c r="C670" s="7" t="s">
        <v>2895</v>
      </c>
      <c r="D670" s="7" t="s">
        <v>2894</v>
      </c>
      <c r="E670" s="7" t="s">
        <v>50</v>
      </c>
      <c r="F670" s="7" t="s">
        <v>2896</v>
      </c>
      <c r="G670" s="17" t="s">
        <v>7747</v>
      </c>
      <c r="H670" s="7" t="s">
        <v>19</v>
      </c>
      <c r="I670" s="7" t="s">
        <v>1958</v>
      </c>
      <c r="J670" s="7" t="s">
        <v>53</v>
      </c>
      <c r="K670" s="7" t="s">
        <v>1404</v>
      </c>
      <c r="L670" s="7" t="s">
        <v>55</v>
      </c>
      <c r="M670" s="7">
        <v>4.060333</v>
      </c>
      <c r="N670" s="7">
        <v>9.7084440000000001</v>
      </c>
      <c r="O670" s="7" t="s">
        <v>23</v>
      </c>
    </row>
    <row r="671" spans="1:15" x14ac:dyDescent="0.25">
      <c r="A671" s="2">
        <f t="shared" si="10"/>
        <v>669</v>
      </c>
      <c r="B671" s="7" t="s">
        <v>2897</v>
      </c>
      <c r="C671" s="7" t="s">
        <v>2898</v>
      </c>
      <c r="D671" s="7" t="s">
        <v>2897</v>
      </c>
      <c r="E671" s="7" t="s">
        <v>50</v>
      </c>
      <c r="F671" s="7" t="s">
        <v>2899</v>
      </c>
      <c r="G671" s="17" t="s">
        <v>7747</v>
      </c>
      <c r="H671" s="7" t="s">
        <v>28</v>
      </c>
      <c r="I671" s="7" t="s">
        <v>52</v>
      </c>
      <c r="J671" s="7" t="s">
        <v>53</v>
      </c>
      <c r="K671" s="7" t="s">
        <v>54</v>
      </c>
      <c r="L671" s="7" t="s">
        <v>55</v>
      </c>
      <c r="M671" s="7">
        <v>4.0227300000000001</v>
      </c>
      <c r="N671" s="7">
        <v>9.7881800000000005</v>
      </c>
      <c r="O671" s="7" t="s">
        <v>23</v>
      </c>
    </row>
    <row r="672" spans="1:15" x14ac:dyDescent="0.25">
      <c r="A672" s="2">
        <f t="shared" si="10"/>
        <v>670</v>
      </c>
      <c r="B672" s="7" t="s">
        <v>2919</v>
      </c>
      <c r="C672" s="7" t="s">
        <v>2920</v>
      </c>
      <c r="D672" s="7" t="s">
        <v>2919</v>
      </c>
      <c r="E672" s="7" t="s">
        <v>50</v>
      </c>
      <c r="F672" s="7" t="s">
        <v>2921</v>
      </c>
      <c r="G672" s="17" t="s">
        <v>7747</v>
      </c>
      <c r="H672" s="7" t="s">
        <v>19</v>
      </c>
      <c r="I672" s="7" t="s">
        <v>1403</v>
      </c>
      <c r="J672" s="7" t="s">
        <v>53</v>
      </c>
      <c r="K672" s="7" t="s">
        <v>1404</v>
      </c>
      <c r="L672" s="7" t="s">
        <v>55</v>
      </c>
      <c r="M672" s="7">
        <v>4.0490560000000002</v>
      </c>
      <c r="N672" s="7">
        <v>9.6936110000000006</v>
      </c>
      <c r="O672" s="7" t="s">
        <v>613</v>
      </c>
    </row>
    <row r="673" spans="1:15" x14ac:dyDescent="0.25">
      <c r="A673" s="2">
        <f t="shared" si="10"/>
        <v>671</v>
      </c>
      <c r="B673" s="7" t="s">
        <v>2941</v>
      </c>
      <c r="C673" s="7" t="s">
        <v>2942</v>
      </c>
      <c r="D673" s="7" t="s">
        <v>2941</v>
      </c>
      <c r="E673" s="7" t="s">
        <v>50</v>
      </c>
      <c r="F673" s="7" t="s">
        <v>2943</v>
      </c>
      <c r="G673" s="17" t="s">
        <v>7747</v>
      </c>
      <c r="H673" s="7" t="s">
        <v>28</v>
      </c>
      <c r="I673" s="7" t="s">
        <v>627</v>
      </c>
      <c r="J673" s="7" t="s">
        <v>53</v>
      </c>
      <c r="K673" s="7" t="s">
        <v>628</v>
      </c>
      <c r="L673" s="7" t="s">
        <v>55</v>
      </c>
      <c r="M673" s="7">
        <v>4.0809439999999997</v>
      </c>
      <c r="N673" s="7">
        <v>9.6593889999999991</v>
      </c>
      <c r="O673" s="7" t="s">
        <v>23</v>
      </c>
    </row>
    <row r="674" spans="1:15" x14ac:dyDescent="0.25">
      <c r="A674" s="2">
        <f t="shared" si="10"/>
        <v>672</v>
      </c>
      <c r="B674" s="7" t="s">
        <v>2944</v>
      </c>
      <c r="C674" s="7" t="s">
        <v>2945</v>
      </c>
      <c r="D674" s="7" t="s">
        <v>2944</v>
      </c>
      <c r="E674" s="7" t="s">
        <v>50</v>
      </c>
      <c r="F674" s="7" t="s">
        <v>2946</v>
      </c>
      <c r="G674" s="17" t="s">
        <v>7747</v>
      </c>
      <c r="H674" s="7" t="s">
        <v>28</v>
      </c>
      <c r="I674" s="7" t="s">
        <v>1575</v>
      </c>
      <c r="J674" s="7" t="s">
        <v>53</v>
      </c>
      <c r="K674" s="7" t="s">
        <v>54</v>
      </c>
      <c r="L674" s="7" t="s">
        <v>55</v>
      </c>
      <c r="M674" s="7">
        <v>4.0104889999999997</v>
      </c>
      <c r="N674" s="7">
        <v>9.7263359999999999</v>
      </c>
      <c r="O674" s="7" t="s">
        <v>23</v>
      </c>
    </row>
    <row r="675" spans="1:15" x14ac:dyDescent="0.25">
      <c r="A675" s="2">
        <f t="shared" si="10"/>
        <v>673</v>
      </c>
      <c r="B675" s="7" t="s">
        <v>2959</v>
      </c>
      <c r="C675" s="7" t="s">
        <v>2960</v>
      </c>
      <c r="D675" s="7" t="s">
        <v>2959</v>
      </c>
      <c r="E675" s="7" t="s">
        <v>50</v>
      </c>
      <c r="F675" s="7" t="s">
        <v>2961</v>
      </c>
      <c r="G675" s="17" t="s">
        <v>7747</v>
      </c>
      <c r="H675" s="7" t="s">
        <v>28</v>
      </c>
      <c r="I675" s="7" t="s">
        <v>52</v>
      </c>
      <c r="J675" s="7" t="s">
        <v>53</v>
      </c>
      <c r="K675" s="7" t="s">
        <v>2213</v>
      </c>
      <c r="L675" s="7" t="s">
        <v>55</v>
      </c>
      <c r="M675" s="7">
        <v>3.9966300000000001</v>
      </c>
      <c r="N675" s="7">
        <v>9.7588500000000007</v>
      </c>
      <c r="O675" s="7" t="s">
        <v>23</v>
      </c>
    </row>
    <row r="676" spans="1:15" x14ac:dyDescent="0.25">
      <c r="A676" s="2">
        <f t="shared" si="10"/>
        <v>674</v>
      </c>
      <c r="B676" s="7" t="s">
        <v>2962</v>
      </c>
      <c r="C676" s="7" t="s">
        <v>2963</v>
      </c>
      <c r="D676" s="7" t="s">
        <v>2962</v>
      </c>
      <c r="E676" s="7" t="s">
        <v>50</v>
      </c>
      <c r="F676" s="7" t="s">
        <v>2964</v>
      </c>
      <c r="G676" s="17" t="s">
        <v>7747</v>
      </c>
      <c r="H676" s="7" t="s">
        <v>28</v>
      </c>
      <c r="I676" s="7" t="s">
        <v>1403</v>
      </c>
      <c r="J676" s="7" t="s">
        <v>53</v>
      </c>
      <c r="K676" s="7" t="s">
        <v>1404</v>
      </c>
      <c r="L676" s="7" t="s">
        <v>55</v>
      </c>
      <c r="M676" s="7">
        <v>4.0334009999999996</v>
      </c>
      <c r="N676" s="7">
        <v>9.7017439999999997</v>
      </c>
      <c r="O676" s="7" t="s">
        <v>613</v>
      </c>
    </row>
    <row r="677" spans="1:15" x14ac:dyDescent="0.25">
      <c r="A677" s="2">
        <f t="shared" si="10"/>
        <v>675</v>
      </c>
      <c r="B677" s="7" t="s">
        <v>2969</v>
      </c>
      <c r="C677" s="7" t="s">
        <v>2970</v>
      </c>
      <c r="D677" s="7" t="s">
        <v>2969</v>
      </c>
      <c r="E677" s="7" t="s">
        <v>50</v>
      </c>
      <c r="F677" s="7" t="s">
        <v>2971</v>
      </c>
      <c r="G677" s="17" t="s">
        <v>7747</v>
      </c>
      <c r="H677" s="7" t="s">
        <v>28</v>
      </c>
      <c r="I677" s="7" t="s">
        <v>611</v>
      </c>
      <c r="J677" s="7" t="s">
        <v>53</v>
      </c>
      <c r="K677" s="7" t="s">
        <v>612</v>
      </c>
      <c r="L677" s="7" t="s">
        <v>55</v>
      </c>
      <c r="M677" s="7">
        <v>4.0733670000000002</v>
      </c>
      <c r="N677" s="7">
        <v>9.7739999999999991</v>
      </c>
      <c r="O677" s="7" t="s">
        <v>23</v>
      </c>
    </row>
    <row r="678" spans="1:15" x14ac:dyDescent="0.25">
      <c r="A678" s="2">
        <f t="shared" si="10"/>
        <v>676</v>
      </c>
      <c r="B678" s="7" t="s">
        <v>2975</v>
      </c>
      <c r="C678" s="7" t="s">
        <v>2976</v>
      </c>
      <c r="D678" s="7" t="s">
        <v>2975</v>
      </c>
      <c r="E678" s="7" t="s">
        <v>50</v>
      </c>
      <c r="F678" s="7" t="s">
        <v>2977</v>
      </c>
      <c r="G678" s="17" t="s">
        <v>7747</v>
      </c>
      <c r="H678" s="7" t="s">
        <v>28</v>
      </c>
      <c r="I678" s="7" t="s">
        <v>1575</v>
      </c>
      <c r="J678" s="7" t="s">
        <v>53</v>
      </c>
      <c r="K678" s="7" t="s">
        <v>54</v>
      </c>
      <c r="L678" s="7" t="s">
        <v>55</v>
      </c>
      <c r="M678" s="7">
        <v>4.0177870000000002</v>
      </c>
      <c r="N678" s="7">
        <v>9.768103</v>
      </c>
      <c r="O678" s="7" t="s">
        <v>23</v>
      </c>
    </row>
    <row r="679" spans="1:15" x14ac:dyDescent="0.25">
      <c r="A679" s="2">
        <f t="shared" si="10"/>
        <v>677</v>
      </c>
      <c r="B679" s="7" t="s">
        <v>2981</v>
      </c>
      <c r="C679" s="7" t="s">
        <v>2982</v>
      </c>
      <c r="D679" s="7" t="s">
        <v>2981</v>
      </c>
      <c r="E679" s="7" t="s">
        <v>50</v>
      </c>
      <c r="F679" s="7" t="s">
        <v>2983</v>
      </c>
      <c r="G679" s="17" t="s">
        <v>7747</v>
      </c>
      <c r="H679" s="7" t="s">
        <v>28</v>
      </c>
      <c r="I679" s="7" t="s">
        <v>1575</v>
      </c>
      <c r="J679" s="7" t="s">
        <v>53</v>
      </c>
      <c r="K679" s="7" t="s">
        <v>54</v>
      </c>
      <c r="L679" s="7" t="s">
        <v>55</v>
      </c>
      <c r="M679" s="7">
        <v>4.0224849999999996</v>
      </c>
      <c r="N679" s="7">
        <v>9.7390450000000008</v>
      </c>
      <c r="O679" s="7" t="s">
        <v>23</v>
      </c>
    </row>
    <row r="680" spans="1:15" x14ac:dyDescent="0.25">
      <c r="A680" s="2">
        <f t="shared" si="10"/>
        <v>678</v>
      </c>
      <c r="B680" s="7" t="s">
        <v>2987</v>
      </c>
      <c r="C680" s="7" t="s">
        <v>2988</v>
      </c>
      <c r="D680" s="7" t="s">
        <v>2987</v>
      </c>
      <c r="E680" s="7" t="s">
        <v>50</v>
      </c>
      <c r="F680" s="7" t="s">
        <v>2989</v>
      </c>
      <c r="G680" s="17" t="s">
        <v>7747</v>
      </c>
      <c r="H680" s="7" t="s">
        <v>28</v>
      </c>
      <c r="I680" s="7" t="s">
        <v>1958</v>
      </c>
      <c r="J680" s="7" t="s">
        <v>53</v>
      </c>
      <c r="K680" s="7" t="s">
        <v>1404</v>
      </c>
      <c r="L680" s="7" t="s">
        <v>55</v>
      </c>
      <c r="M680" s="7">
        <v>4.0409600000000001</v>
      </c>
      <c r="N680" s="7">
        <v>9.7013700000000007</v>
      </c>
      <c r="O680" s="7" t="s">
        <v>613</v>
      </c>
    </row>
    <row r="681" spans="1:15" x14ac:dyDescent="0.25">
      <c r="A681" s="2">
        <f t="shared" si="10"/>
        <v>679</v>
      </c>
      <c r="B681" s="7" t="s">
        <v>3002</v>
      </c>
      <c r="C681" s="7" t="s">
        <v>3003</v>
      </c>
      <c r="D681" s="7" t="s">
        <v>3002</v>
      </c>
      <c r="E681" s="7" t="s">
        <v>50</v>
      </c>
      <c r="F681" s="7" t="s">
        <v>3004</v>
      </c>
      <c r="G681" s="17" t="s">
        <v>7747</v>
      </c>
      <c r="H681" s="7" t="s">
        <v>28</v>
      </c>
      <c r="I681" s="7" t="s">
        <v>627</v>
      </c>
      <c r="J681" s="7" t="s">
        <v>53</v>
      </c>
      <c r="K681" s="7" t="s">
        <v>628</v>
      </c>
      <c r="L681" s="7" t="s">
        <v>55</v>
      </c>
      <c r="M681" s="7">
        <v>4.06616</v>
      </c>
      <c r="N681" s="7">
        <v>9.6668000000000003</v>
      </c>
      <c r="O681" s="7" t="s">
        <v>23</v>
      </c>
    </row>
    <row r="682" spans="1:15" x14ac:dyDescent="0.25">
      <c r="A682" s="2">
        <f t="shared" si="10"/>
        <v>680</v>
      </c>
      <c r="B682" s="7" t="s">
        <v>3005</v>
      </c>
      <c r="C682" s="7" t="s">
        <v>3006</v>
      </c>
      <c r="D682" s="7" t="s">
        <v>3005</v>
      </c>
      <c r="E682" s="7" t="s">
        <v>50</v>
      </c>
      <c r="F682" s="7" t="s">
        <v>3007</v>
      </c>
      <c r="G682" s="17" t="s">
        <v>7747</v>
      </c>
      <c r="H682" s="7" t="s">
        <v>28</v>
      </c>
      <c r="I682" s="7" t="s">
        <v>1516</v>
      </c>
      <c r="J682" s="7" t="s">
        <v>53</v>
      </c>
      <c r="K682" s="7" t="s">
        <v>54</v>
      </c>
      <c r="L682" s="7" t="s">
        <v>55</v>
      </c>
      <c r="M682" s="7">
        <v>4.0465559999999998</v>
      </c>
      <c r="N682" s="7">
        <v>9.7662220000000008</v>
      </c>
      <c r="O682" s="7" t="s">
        <v>613</v>
      </c>
    </row>
    <row r="683" spans="1:15" x14ac:dyDescent="0.25">
      <c r="A683" s="2">
        <f t="shared" si="10"/>
        <v>681</v>
      </c>
      <c r="B683" s="7" t="s">
        <v>3034</v>
      </c>
      <c r="C683" s="7" t="s">
        <v>3035</v>
      </c>
      <c r="D683" s="7" t="s">
        <v>3034</v>
      </c>
      <c r="E683" s="7" t="s">
        <v>50</v>
      </c>
      <c r="F683" s="7" t="s">
        <v>3036</v>
      </c>
      <c r="G683" s="17" t="s">
        <v>7747</v>
      </c>
      <c r="H683" s="7" t="s">
        <v>28</v>
      </c>
      <c r="I683" s="7" t="s">
        <v>1403</v>
      </c>
      <c r="J683" s="7" t="s">
        <v>53</v>
      </c>
      <c r="K683" s="7" t="s">
        <v>2213</v>
      </c>
      <c r="L683" s="7" t="s">
        <v>55</v>
      </c>
      <c r="M683" s="7">
        <v>4.0219889999999996</v>
      </c>
      <c r="N683" s="7">
        <v>9.6700420000000005</v>
      </c>
      <c r="O683" s="7" t="s">
        <v>23</v>
      </c>
    </row>
    <row r="684" spans="1:15" x14ac:dyDescent="0.25">
      <c r="A684" s="2">
        <f t="shared" si="10"/>
        <v>682</v>
      </c>
      <c r="B684" s="7" t="s">
        <v>3037</v>
      </c>
      <c r="C684" s="7" t="s">
        <v>3038</v>
      </c>
      <c r="D684" s="7" t="s">
        <v>3037</v>
      </c>
      <c r="E684" s="7" t="s">
        <v>50</v>
      </c>
      <c r="F684" s="7" t="s">
        <v>3039</v>
      </c>
      <c r="G684" s="17" t="s">
        <v>7747</v>
      </c>
      <c r="H684" s="7" t="s">
        <v>28</v>
      </c>
      <c r="I684" s="7" t="s">
        <v>960</v>
      </c>
      <c r="J684" s="7" t="s">
        <v>53</v>
      </c>
      <c r="K684" s="7" t="s">
        <v>628</v>
      </c>
      <c r="L684" s="7" t="s">
        <v>55</v>
      </c>
      <c r="M684" s="7">
        <v>4.1054529999999998</v>
      </c>
      <c r="N684" s="7">
        <v>9.5960479999999997</v>
      </c>
      <c r="O684" s="7" t="s">
        <v>23</v>
      </c>
    </row>
    <row r="685" spans="1:15" x14ac:dyDescent="0.25">
      <c r="A685" s="2">
        <f t="shared" si="10"/>
        <v>683</v>
      </c>
      <c r="B685" s="7" t="s">
        <v>3043</v>
      </c>
      <c r="C685" s="7" t="s">
        <v>3044</v>
      </c>
      <c r="D685" s="7" t="s">
        <v>3043</v>
      </c>
      <c r="E685" s="7" t="s">
        <v>50</v>
      </c>
      <c r="F685" s="7" t="s">
        <v>3045</v>
      </c>
      <c r="G685" s="17" t="s">
        <v>7747</v>
      </c>
      <c r="H685" s="7" t="s">
        <v>28</v>
      </c>
      <c r="I685" s="7" t="s">
        <v>1478</v>
      </c>
      <c r="J685" s="7" t="s">
        <v>53</v>
      </c>
      <c r="K685" s="7" t="s">
        <v>612</v>
      </c>
      <c r="L685" s="7" t="s">
        <v>55</v>
      </c>
      <c r="M685" s="7">
        <v>4.1101679999999998</v>
      </c>
      <c r="N685" s="7">
        <v>9.7705610000000007</v>
      </c>
      <c r="O685" s="7" t="s">
        <v>23</v>
      </c>
    </row>
    <row r="686" spans="1:15" x14ac:dyDescent="0.25">
      <c r="A686" s="2">
        <f t="shared" si="10"/>
        <v>684</v>
      </c>
      <c r="B686" s="7" t="s">
        <v>3064</v>
      </c>
      <c r="C686" s="7" t="s">
        <v>3065</v>
      </c>
      <c r="D686" s="7" t="s">
        <v>3064</v>
      </c>
      <c r="E686" s="7" t="s">
        <v>50</v>
      </c>
      <c r="F686" s="7" t="s">
        <v>3066</v>
      </c>
      <c r="G686" s="17" t="s">
        <v>7747</v>
      </c>
      <c r="H686" s="7" t="s">
        <v>28</v>
      </c>
      <c r="I686" s="7" t="s">
        <v>1575</v>
      </c>
      <c r="J686" s="7" t="s">
        <v>53</v>
      </c>
      <c r="K686" s="7" t="s">
        <v>54</v>
      </c>
      <c r="L686" s="7" t="s">
        <v>55</v>
      </c>
      <c r="M686" s="7">
        <v>4.01119</v>
      </c>
      <c r="N686" s="7">
        <v>9.7503320000000002</v>
      </c>
      <c r="O686" s="7" t="s">
        <v>23</v>
      </c>
    </row>
    <row r="687" spans="1:15" x14ac:dyDescent="0.25">
      <c r="A687" s="2">
        <f t="shared" si="10"/>
        <v>685</v>
      </c>
      <c r="B687" s="7" t="s">
        <v>3084</v>
      </c>
      <c r="C687" s="7" t="s">
        <v>3085</v>
      </c>
      <c r="D687" s="7" t="s">
        <v>3084</v>
      </c>
      <c r="E687" s="7" t="s">
        <v>50</v>
      </c>
      <c r="F687" s="7" t="s">
        <v>3086</v>
      </c>
      <c r="G687" s="17" t="s">
        <v>7747</v>
      </c>
      <c r="H687" s="7" t="s">
        <v>19</v>
      </c>
      <c r="I687" s="7" t="s">
        <v>611</v>
      </c>
      <c r="J687" s="7" t="s">
        <v>53</v>
      </c>
      <c r="K687" s="7" t="s">
        <v>612</v>
      </c>
      <c r="L687" s="7" t="s">
        <v>55</v>
      </c>
      <c r="M687" s="7">
        <v>4.1009890000000002</v>
      </c>
      <c r="N687" s="7">
        <v>9.7501920000000002</v>
      </c>
      <c r="O687" s="7" t="s">
        <v>23</v>
      </c>
    </row>
    <row r="688" spans="1:15" x14ac:dyDescent="0.25">
      <c r="A688" s="2">
        <f t="shared" si="10"/>
        <v>686</v>
      </c>
      <c r="B688" s="7" t="s">
        <v>3087</v>
      </c>
      <c r="C688" s="7" t="s">
        <v>3088</v>
      </c>
      <c r="D688" s="7" t="s">
        <v>3087</v>
      </c>
      <c r="E688" s="7" t="s">
        <v>50</v>
      </c>
      <c r="F688" s="7" t="s">
        <v>3089</v>
      </c>
      <c r="G688" s="17" t="s">
        <v>7747</v>
      </c>
      <c r="H688" s="7" t="s">
        <v>28</v>
      </c>
      <c r="I688" s="7" t="s">
        <v>611</v>
      </c>
      <c r="J688" s="7" t="s">
        <v>53</v>
      </c>
      <c r="K688" s="7" t="s">
        <v>612</v>
      </c>
      <c r="L688" s="7" t="s">
        <v>55</v>
      </c>
      <c r="M688" s="7">
        <v>4.065194</v>
      </c>
      <c r="N688" s="7">
        <v>9.7612500000000004</v>
      </c>
      <c r="O688" s="7" t="s">
        <v>613</v>
      </c>
    </row>
    <row r="689" spans="1:15" x14ac:dyDescent="0.25">
      <c r="A689" s="2">
        <f t="shared" si="10"/>
        <v>687</v>
      </c>
      <c r="B689" s="7" t="s">
        <v>3111</v>
      </c>
      <c r="C689" s="7" t="s">
        <v>3112</v>
      </c>
      <c r="D689" s="7" t="s">
        <v>3111</v>
      </c>
      <c r="E689" s="7" t="s">
        <v>34</v>
      </c>
      <c r="F689" s="7" t="s">
        <v>3113</v>
      </c>
      <c r="G689" s="17" t="s">
        <v>7747</v>
      </c>
      <c r="H689" s="7" t="s">
        <v>28</v>
      </c>
      <c r="I689" s="7" t="s">
        <v>356</v>
      </c>
      <c r="J689" s="7" t="s">
        <v>152</v>
      </c>
      <c r="K689" s="7" t="s">
        <v>1721</v>
      </c>
      <c r="L689" s="7" t="s">
        <v>55</v>
      </c>
      <c r="M689" s="7">
        <v>4.1267170000000002</v>
      </c>
      <c r="N689" s="7">
        <v>9.5877490000000005</v>
      </c>
      <c r="O689" s="7" t="s">
        <v>23</v>
      </c>
    </row>
    <row r="690" spans="1:15" x14ac:dyDescent="0.25">
      <c r="A690" s="2">
        <f t="shared" si="10"/>
        <v>688</v>
      </c>
      <c r="B690" s="7" t="s">
        <v>3129</v>
      </c>
      <c r="C690" s="7" t="s">
        <v>3130</v>
      </c>
      <c r="D690" s="7" t="s">
        <v>3129</v>
      </c>
      <c r="E690" s="7" t="s">
        <v>50</v>
      </c>
      <c r="F690" s="7" t="s">
        <v>3131</v>
      </c>
      <c r="G690" s="17" t="s">
        <v>7747</v>
      </c>
      <c r="H690" s="7" t="s">
        <v>28</v>
      </c>
      <c r="I690" s="7" t="s">
        <v>1575</v>
      </c>
      <c r="J690" s="7" t="s">
        <v>53</v>
      </c>
      <c r="K690" s="7" t="s">
        <v>54</v>
      </c>
      <c r="L690" s="7" t="s">
        <v>55</v>
      </c>
      <c r="M690" s="7">
        <v>4.0283720000000001</v>
      </c>
      <c r="N690" s="7">
        <v>9.7420770000000001</v>
      </c>
      <c r="O690" s="7" t="s">
        <v>23</v>
      </c>
    </row>
    <row r="691" spans="1:15" x14ac:dyDescent="0.25">
      <c r="A691" s="2">
        <f t="shared" si="10"/>
        <v>689</v>
      </c>
      <c r="B691" s="7" t="s">
        <v>3148</v>
      </c>
      <c r="C691" s="7" t="s">
        <v>3149</v>
      </c>
      <c r="D691" s="7" t="s">
        <v>3148</v>
      </c>
      <c r="E691" s="7" t="s">
        <v>50</v>
      </c>
      <c r="F691" s="7" t="s">
        <v>3150</v>
      </c>
      <c r="G691" s="17" t="s">
        <v>7747</v>
      </c>
      <c r="H691" s="7" t="s">
        <v>28</v>
      </c>
      <c r="I691" s="7" t="s">
        <v>1403</v>
      </c>
      <c r="J691" s="7" t="s">
        <v>53</v>
      </c>
      <c r="K691" s="7" t="s">
        <v>1404</v>
      </c>
      <c r="L691" s="7" t="s">
        <v>55</v>
      </c>
      <c r="M691" s="7">
        <v>4.0231250000000003</v>
      </c>
      <c r="N691" s="7">
        <v>9.6696930000000005</v>
      </c>
      <c r="O691" s="7" t="s">
        <v>23</v>
      </c>
    </row>
    <row r="692" spans="1:15" x14ac:dyDescent="0.25">
      <c r="A692" s="2">
        <f t="shared" si="10"/>
        <v>690</v>
      </c>
      <c r="B692" s="7" t="s">
        <v>3166</v>
      </c>
      <c r="C692" s="7" t="s">
        <v>3167</v>
      </c>
      <c r="D692" s="7" t="s">
        <v>3166</v>
      </c>
      <c r="E692" s="7" t="s">
        <v>50</v>
      </c>
      <c r="F692" s="7" t="s">
        <v>3168</v>
      </c>
      <c r="G692" s="17" t="s">
        <v>7747</v>
      </c>
      <c r="H692" s="7" t="s">
        <v>28</v>
      </c>
      <c r="I692" s="7" t="s">
        <v>611</v>
      </c>
      <c r="J692" s="7" t="s">
        <v>53</v>
      </c>
      <c r="K692" s="7" t="s">
        <v>54</v>
      </c>
      <c r="L692" s="7" t="s">
        <v>55</v>
      </c>
      <c r="M692" s="7">
        <v>4.0380500000000001</v>
      </c>
      <c r="N692" s="7">
        <v>9.7605299999999993</v>
      </c>
      <c r="O692" s="7" t="s">
        <v>613</v>
      </c>
    </row>
    <row r="693" spans="1:15" x14ac:dyDescent="0.25">
      <c r="A693" s="2">
        <f t="shared" si="10"/>
        <v>691</v>
      </c>
      <c r="B693" s="7" t="s">
        <v>3176</v>
      </c>
      <c r="C693" s="7" t="s">
        <v>3177</v>
      </c>
      <c r="D693" s="7" t="s">
        <v>3176</v>
      </c>
      <c r="E693" s="7" t="s">
        <v>50</v>
      </c>
      <c r="F693" s="7" t="s">
        <v>3178</v>
      </c>
      <c r="G693" s="17" t="s">
        <v>7747</v>
      </c>
      <c r="H693" s="7" t="s">
        <v>28</v>
      </c>
      <c r="I693" s="7" t="s">
        <v>1478</v>
      </c>
      <c r="J693" s="7" t="s">
        <v>53</v>
      </c>
      <c r="K693" s="7" t="s">
        <v>612</v>
      </c>
      <c r="L693" s="7" t="s">
        <v>55</v>
      </c>
      <c r="M693" s="7">
        <v>4.0984569999999998</v>
      </c>
      <c r="N693" s="7">
        <v>9.7313410000000005</v>
      </c>
      <c r="O693" s="7" t="s">
        <v>613</v>
      </c>
    </row>
    <row r="694" spans="1:15" x14ac:dyDescent="0.25">
      <c r="A694" s="2">
        <f t="shared" si="10"/>
        <v>692</v>
      </c>
      <c r="B694" s="7" t="s">
        <v>3212</v>
      </c>
      <c r="C694" s="7" t="s">
        <v>3213</v>
      </c>
      <c r="D694" s="7" t="s">
        <v>3212</v>
      </c>
      <c r="E694" s="7" t="s">
        <v>50</v>
      </c>
      <c r="F694" s="7" t="s">
        <v>3214</v>
      </c>
      <c r="G694" s="17" t="s">
        <v>7747</v>
      </c>
      <c r="H694" s="7" t="s">
        <v>28</v>
      </c>
      <c r="I694" s="7" t="s">
        <v>1516</v>
      </c>
      <c r="J694" s="7" t="s">
        <v>53</v>
      </c>
      <c r="K694" s="7" t="s">
        <v>612</v>
      </c>
      <c r="L694" s="7" t="s">
        <v>55</v>
      </c>
      <c r="M694" s="7">
        <v>4.0703300000000002</v>
      </c>
      <c r="N694" s="7">
        <v>9.7823600000000006</v>
      </c>
      <c r="O694" s="7" t="s">
        <v>23</v>
      </c>
    </row>
    <row r="695" spans="1:15" x14ac:dyDescent="0.25">
      <c r="A695" s="2">
        <f t="shared" si="10"/>
        <v>693</v>
      </c>
      <c r="B695" s="7" t="s">
        <v>3247</v>
      </c>
      <c r="C695" s="7" t="s">
        <v>3248</v>
      </c>
      <c r="D695" s="7" t="s">
        <v>3247</v>
      </c>
      <c r="E695" s="7" t="s">
        <v>50</v>
      </c>
      <c r="F695" s="7" t="s">
        <v>3249</v>
      </c>
      <c r="G695" s="17" t="s">
        <v>7747</v>
      </c>
      <c r="H695" s="7" t="s">
        <v>28</v>
      </c>
      <c r="I695" s="7" t="s">
        <v>1403</v>
      </c>
      <c r="J695" s="7" t="s">
        <v>53</v>
      </c>
      <c r="K695" s="7" t="s">
        <v>1404</v>
      </c>
      <c r="L695" s="7" t="s">
        <v>55</v>
      </c>
      <c r="M695" s="7">
        <v>4.027228</v>
      </c>
      <c r="N695" s="7">
        <v>9.6660140000000006</v>
      </c>
      <c r="O695" s="7" t="s">
        <v>23</v>
      </c>
    </row>
    <row r="696" spans="1:15" x14ac:dyDescent="0.25">
      <c r="A696" s="2">
        <f t="shared" si="10"/>
        <v>694</v>
      </c>
      <c r="B696" s="7" t="s">
        <v>3256</v>
      </c>
      <c r="C696" s="7" t="s">
        <v>3257</v>
      </c>
      <c r="D696" s="7" t="s">
        <v>3256</v>
      </c>
      <c r="E696" s="7" t="s">
        <v>50</v>
      </c>
      <c r="F696" s="7" t="s">
        <v>3258</v>
      </c>
      <c r="G696" s="17" t="s">
        <v>7747</v>
      </c>
      <c r="H696" s="7" t="s">
        <v>28</v>
      </c>
      <c r="I696" s="7" t="s">
        <v>960</v>
      </c>
      <c r="J696" s="7" t="s">
        <v>53</v>
      </c>
      <c r="K696" s="7" t="s">
        <v>628</v>
      </c>
      <c r="L696" s="7" t="s">
        <v>55</v>
      </c>
      <c r="M696" s="7">
        <v>4.0962899999999998</v>
      </c>
      <c r="N696" s="7">
        <v>9.6590279999999993</v>
      </c>
      <c r="O696" s="7" t="s">
        <v>23</v>
      </c>
    </row>
    <row r="697" spans="1:15" x14ac:dyDescent="0.25">
      <c r="A697" s="2">
        <f t="shared" si="10"/>
        <v>695</v>
      </c>
      <c r="B697" s="7" t="s">
        <v>3296</v>
      </c>
      <c r="C697" s="7" t="s">
        <v>3297</v>
      </c>
      <c r="D697" s="7" t="s">
        <v>3296</v>
      </c>
      <c r="E697" s="7" t="s">
        <v>50</v>
      </c>
      <c r="F697" s="7" t="s">
        <v>3298</v>
      </c>
      <c r="G697" s="17" t="s">
        <v>7747</v>
      </c>
      <c r="H697" s="7" t="s">
        <v>28</v>
      </c>
      <c r="I697" s="7" t="s">
        <v>627</v>
      </c>
      <c r="J697" s="7" t="s">
        <v>53</v>
      </c>
      <c r="K697" s="7" t="s">
        <v>628</v>
      </c>
      <c r="L697" s="7" t="s">
        <v>55</v>
      </c>
      <c r="M697" s="7">
        <v>4.0979970000000003</v>
      </c>
      <c r="N697" s="7">
        <v>9.6608420000000006</v>
      </c>
      <c r="O697" s="7" t="s">
        <v>613</v>
      </c>
    </row>
    <row r="698" spans="1:15" x14ac:dyDescent="0.25">
      <c r="A698" s="2">
        <f t="shared" si="10"/>
        <v>696</v>
      </c>
      <c r="B698" s="7" t="s">
        <v>3310</v>
      </c>
      <c r="C698" s="7" t="s">
        <v>3311</v>
      </c>
      <c r="D698" s="7" t="s">
        <v>3310</v>
      </c>
      <c r="E698" s="7" t="s">
        <v>50</v>
      </c>
      <c r="F698" s="7" t="s">
        <v>3312</v>
      </c>
      <c r="G698" s="17" t="s">
        <v>7747</v>
      </c>
      <c r="H698" s="7" t="s">
        <v>28</v>
      </c>
      <c r="I698" s="7" t="s">
        <v>1516</v>
      </c>
      <c r="J698" s="7" t="s">
        <v>53</v>
      </c>
      <c r="K698" s="7" t="s">
        <v>54</v>
      </c>
      <c r="L698" s="7" t="s">
        <v>55</v>
      </c>
      <c r="M698" s="7">
        <v>4.0629020000000002</v>
      </c>
      <c r="N698" s="7">
        <v>9.7869729999999997</v>
      </c>
      <c r="O698" s="7" t="s">
        <v>23</v>
      </c>
    </row>
    <row r="699" spans="1:15" x14ac:dyDescent="0.25">
      <c r="A699" s="2">
        <f t="shared" si="10"/>
        <v>697</v>
      </c>
      <c r="B699" s="7" t="s">
        <v>3332</v>
      </c>
      <c r="C699" s="7" t="s">
        <v>3333</v>
      </c>
      <c r="D699" s="7" t="s">
        <v>3332</v>
      </c>
      <c r="E699" s="7" t="s">
        <v>50</v>
      </c>
      <c r="F699" s="7" t="s">
        <v>3334</v>
      </c>
      <c r="G699" s="17" t="s">
        <v>7747</v>
      </c>
      <c r="H699" s="7" t="s">
        <v>28</v>
      </c>
      <c r="I699" s="7" t="s">
        <v>627</v>
      </c>
      <c r="J699" s="7" t="s">
        <v>53</v>
      </c>
      <c r="K699" s="7" t="s">
        <v>628</v>
      </c>
      <c r="L699" s="7" t="s">
        <v>55</v>
      </c>
      <c r="M699" s="7">
        <v>4.0763579999999999</v>
      </c>
      <c r="N699" s="7">
        <v>9.6563689999999998</v>
      </c>
      <c r="O699" s="7" t="s">
        <v>23</v>
      </c>
    </row>
    <row r="700" spans="1:15" x14ac:dyDescent="0.25">
      <c r="A700" s="2">
        <f t="shared" si="10"/>
        <v>698</v>
      </c>
      <c r="B700" s="7" t="s">
        <v>3389</v>
      </c>
      <c r="C700" s="7" t="s">
        <v>3390</v>
      </c>
      <c r="D700" s="7" t="s">
        <v>3389</v>
      </c>
      <c r="E700" s="7" t="s">
        <v>50</v>
      </c>
      <c r="F700" s="7" t="s">
        <v>3391</v>
      </c>
      <c r="G700" s="17" t="s">
        <v>7747</v>
      </c>
      <c r="H700" s="7" t="s">
        <v>28</v>
      </c>
      <c r="I700" s="7" t="s">
        <v>627</v>
      </c>
      <c r="J700" s="7" t="s">
        <v>53</v>
      </c>
      <c r="K700" s="7" t="s">
        <v>628</v>
      </c>
      <c r="L700" s="7" t="s">
        <v>55</v>
      </c>
      <c r="M700" s="7">
        <v>4.0754900000000003</v>
      </c>
      <c r="N700" s="7">
        <v>9.6631599999999995</v>
      </c>
      <c r="O700" s="7" t="s">
        <v>23</v>
      </c>
    </row>
    <row r="701" spans="1:15" x14ac:dyDescent="0.25">
      <c r="A701" s="2">
        <f t="shared" si="10"/>
        <v>699</v>
      </c>
      <c r="B701" s="7" t="s">
        <v>3424</v>
      </c>
      <c r="C701" s="7" t="s">
        <v>3425</v>
      </c>
      <c r="D701" s="7" t="s">
        <v>3424</v>
      </c>
      <c r="E701" s="7" t="s">
        <v>50</v>
      </c>
      <c r="F701" s="7" t="s">
        <v>3426</v>
      </c>
      <c r="G701" s="17" t="s">
        <v>7747</v>
      </c>
      <c r="H701" s="7" t="s">
        <v>28</v>
      </c>
      <c r="I701" s="7" t="s">
        <v>1958</v>
      </c>
      <c r="J701" s="7" t="s">
        <v>53</v>
      </c>
      <c r="K701" s="7" t="s">
        <v>1404</v>
      </c>
      <c r="L701" s="7" t="s">
        <v>55</v>
      </c>
      <c r="M701" s="7">
        <v>4.0453000000000001</v>
      </c>
      <c r="N701" s="7">
        <v>9.7067499999999995</v>
      </c>
      <c r="O701" s="7" t="s">
        <v>613</v>
      </c>
    </row>
    <row r="702" spans="1:15" x14ac:dyDescent="0.25">
      <c r="A702" s="2">
        <f t="shared" si="10"/>
        <v>700</v>
      </c>
      <c r="B702" s="7" t="s">
        <v>3436</v>
      </c>
      <c r="C702" s="7" t="s">
        <v>3437</v>
      </c>
      <c r="D702" s="7" t="s">
        <v>3436</v>
      </c>
      <c r="E702" s="7" t="s">
        <v>50</v>
      </c>
      <c r="F702" s="7" t="s">
        <v>3438</v>
      </c>
      <c r="G702" s="17" t="s">
        <v>7747</v>
      </c>
      <c r="H702" s="7" t="s">
        <v>28</v>
      </c>
      <c r="I702" s="7" t="s">
        <v>52</v>
      </c>
      <c r="J702" s="7" t="s">
        <v>53</v>
      </c>
      <c r="K702" s="7" t="s">
        <v>54</v>
      </c>
      <c r="L702" s="7" t="s">
        <v>55</v>
      </c>
      <c r="M702" s="7">
        <v>4.0044719999999998</v>
      </c>
      <c r="N702" s="7">
        <v>9.7620559999999994</v>
      </c>
      <c r="O702" s="7" t="s">
        <v>613</v>
      </c>
    </row>
    <row r="703" spans="1:15" x14ac:dyDescent="0.25">
      <c r="A703" s="2">
        <f t="shared" si="10"/>
        <v>701</v>
      </c>
      <c r="B703" s="7" t="s">
        <v>3442</v>
      </c>
      <c r="C703" s="7" t="s">
        <v>3443</v>
      </c>
      <c r="D703" s="7" t="s">
        <v>3442</v>
      </c>
      <c r="E703" s="7" t="s">
        <v>50</v>
      </c>
      <c r="F703" s="7" t="s">
        <v>3444</v>
      </c>
      <c r="G703" s="17" t="s">
        <v>7747</v>
      </c>
      <c r="H703" s="7" t="s">
        <v>28</v>
      </c>
      <c r="I703" s="7" t="s">
        <v>1516</v>
      </c>
      <c r="J703" s="7" t="s">
        <v>53</v>
      </c>
      <c r="K703" s="7" t="s">
        <v>54</v>
      </c>
      <c r="L703" s="7" t="s">
        <v>55</v>
      </c>
      <c r="M703" s="7">
        <v>4.050465</v>
      </c>
      <c r="N703" s="7">
        <v>9.7978400000000008</v>
      </c>
      <c r="O703" s="7" t="s">
        <v>613</v>
      </c>
    </row>
    <row r="704" spans="1:15" x14ac:dyDescent="0.25">
      <c r="A704" s="2">
        <f t="shared" si="10"/>
        <v>702</v>
      </c>
      <c r="B704" s="7" t="s">
        <v>3450</v>
      </c>
      <c r="C704" s="7" t="s">
        <v>3451</v>
      </c>
      <c r="D704" s="7" t="s">
        <v>3450</v>
      </c>
      <c r="E704" s="7" t="s">
        <v>50</v>
      </c>
      <c r="F704" s="7" t="s">
        <v>3452</v>
      </c>
      <c r="G704" s="17" t="s">
        <v>7747</v>
      </c>
      <c r="H704" s="7" t="s">
        <v>28</v>
      </c>
      <c r="I704" s="7" t="s">
        <v>1575</v>
      </c>
      <c r="J704" s="7" t="s">
        <v>53</v>
      </c>
      <c r="K704" s="7" t="s">
        <v>54</v>
      </c>
      <c r="L704" s="7" t="s">
        <v>55</v>
      </c>
      <c r="M704" s="7">
        <v>4.0075700000000003</v>
      </c>
      <c r="N704" s="7">
        <v>9.7437699999999996</v>
      </c>
      <c r="O704" s="7" t="s">
        <v>613</v>
      </c>
    </row>
    <row r="705" spans="1:15" x14ac:dyDescent="0.25">
      <c r="A705" s="2">
        <f t="shared" si="10"/>
        <v>703</v>
      </c>
      <c r="B705" s="7" t="s">
        <v>3465</v>
      </c>
      <c r="C705" s="7" t="s">
        <v>3466</v>
      </c>
      <c r="D705" s="7" t="s">
        <v>3465</v>
      </c>
      <c r="E705" s="7" t="s">
        <v>50</v>
      </c>
      <c r="F705" s="7" t="s">
        <v>3467</v>
      </c>
      <c r="G705" s="17" t="s">
        <v>7747</v>
      </c>
      <c r="H705" s="7" t="s">
        <v>28</v>
      </c>
      <c r="I705" s="7" t="s">
        <v>1329</v>
      </c>
      <c r="J705" s="7" t="s">
        <v>53</v>
      </c>
      <c r="K705" s="7" t="s">
        <v>612</v>
      </c>
      <c r="L705" s="7" t="s">
        <v>55</v>
      </c>
      <c r="M705" s="7">
        <v>4.058605</v>
      </c>
      <c r="N705" s="7">
        <v>9.734</v>
      </c>
      <c r="O705" s="7" t="s">
        <v>613</v>
      </c>
    </row>
    <row r="706" spans="1:15" x14ac:dyDescent="0.25">
      <c r="A706" s="2">
        <f t="shared" si="10"/>
        <v>704</v>
      </c>
      <c r="B706" s="7" t="s">
        <v>3470</v>
      </c>
      <c r="C706" s="7" t="s">
        <v>3471</v>
      </c>
      <c r="D706" s="7" t="s">
        <v>3470</v>
      </c>
      <c r="E706" s="7" t="s">
        <v>50</v>
      </c>
      <c r="F706" s="7" t="s">
        <v>3472</v>
      </c>
      <c r="G706" s="17" t="s">
        <v>7747</v>
      </c>
      <c r="H706" s="7" t="s">
        <v>28</v>
      </c>
      <c r="I706" s="7" t="s">
        <v>1575</v>
      </c>
      <c r="J706" s="7" t="s">
        <v>53</v>
      </c>
      <c r="K706" s="7" t="s">
        <v>54</v>
      </c>
      <c r="L706" s="7" t="s">
        <v>55</v>
      </c>
      <c r="M706" s="7">
        <v>4.0084999999999997</v>
      </c>
      <c r="N706" s="7">
        <v>9.7371189999999999</v>
      </c>
      <c r="O706" s="7" t="s">
        <v>23</v>
      </c>
    </row>
    <row r="707" spans="1:15" x14ac:dyDescent="0.25">
      <c r="A707" s="2">
        <f t="shared" si="10"/>
        <v>705</v>
      </c>
      <c r="B707" s="7" t="s">
        <v>3479</v>
      </c>
      <c r="C707" s="7" t="s">
        <v>3480</v>
      </c>
      <c r="D707" s="7" t="s">
        <v>3479</v>
      </c>
      <c r="E707" s="7" t="s">
        <v>50</v>
      </c>
      <c r="F707" s="7" t="s">
        <v>3481</v>
      </c>
      <c r="G707" s="17" t="s">
        <v>7747</v>
      </c>
      <c r="H707" s="7" t="s">
        <v>28</v>
      </c>
      <c r="I707" s="7" t="s">
        <v>960</v>
      </c>
      <c r="J707" s="7" t="s">
        <v>53</v>
      </c>
      <c r="K707" s="7" t="s">
        <v>628</v>
      </c>
      <c r="L707" s="7" t="s">
        <v>55</v>
      </c>
      <c r="M707" s="7">
        <v>4.1124229999999997</v>
      </c>
      <c r="N707" s="7">
        <v>9.6449420000000003</v>
      </c>
      <c r="O707" s="7" t="s">
        <v>23</v>
      </c>
    </row>
    <row r="708" spans="1:15" x14ac:dyDescent="0.25">
      <c r="A708" s="2">
        <f t="shared" si="10"/>
        <v>706</v>
      </c>
      <c r="B708" s="7" t="s">
        <v>3488</v>
      </c>
      <c r="C708" s="7" t="s">
        <v>3489</v>
      </c>
      <c r="D708" s="7" t="s">
        <v>3488</v>
      </c>
      <c r="E708" s="7" t="s">
        <v>50</v>
      </c>
      <c r="F708" s="7" t="s">
        <v>3490</v>
      </c>
      <c r="G708" s="17" t="s">
        <v>7747</v>
      </c>
      <c r="H708" s="7" t="s">
        <v>28</v>
      </c>
      <c r="I708" s="7" t="s">
        <v>1575</v>
      </c>
      <c r="J708" s="7" t="s">
        <v>53</v>
      </c>
      <c r="K708" s="7" t="s">
        <v>54</v>
      </c>
      <c r="L708" s="7" t="s">
        <v>55</v>
      </c>
      <c r="M708" s="7">
        <v>4.0201099999999999</v>
      </c>
      <c r="N708" s="7">
        <v>9.7235700000000005</v>
      </c>
      <c r="O708" s="7" t="s">
        <v>613</v>
      </c>
    </row>
    <row r="709" spans="1:15" x14ac:dyDescent="0.25">
      <c r="A709" s="2">
        <f t="shared" ref="A709:A772" si="11">+A708+1</f>
        <v>707</v>
      </c>
      <c r="B709" s="7" t="s">
        <v>3500</v>
      </c>
      <c r="C709" s="7" t="s">
        <v>3501</v>
      </c>
      <c r="D709" s="7" t="s">
        <v>3500</v>
      </c>
      <c r="E709" s="7" t="s">
        <v>50</v>
      </c>
      <c r="F709" s="7" t="s">
        <v>3502</v>
      </c>
      <c r="G709" s="17" t="s">
        <v>7747</v>
      </c>
      <c r="H709" s="7" t="s">
        <v>19</v>
      </c>
      <c r="I709" s="7" t="s">
        <v>960</v>
      </c>
      <c r="J709" s="7" t="s">
        <v>53</v>
      </c>
      <c r="K709" s="7" t="s">
        <v>628</v>
      </c>
      <c r="L709" s="7" t="s">
        <v>55</v>
      </c>
      <c r="M709" s="7">
        <v>4.1020560000000001</v>
      </c>
      <c r="N709" s="7">
        <v>9.6314139999999995</v>
      </c>
      <c r="O709" s="7" t="s">
        <v>23</v>
      </c>
    </row>
    <row r="710" spans="1:15" x14ac:dyDescent="0.25">
      <c r="A710" s="2">
        <f t="shared" si="11"/>
        <v>708</v>
      </c>
      <c r="B710" s="7" t="s">
        <v>3523</v>
      </c>
      <c r="C710" s="7" t="s">
        <v>3524</v>
      </c>
      <c r="D710" s="7" t="s">
        <v>3523</v>
      </c>
      <c r="E710" s="7" t="s">
        <v>50</v>
      </c>
      <c r="F710" s="7" t="s">
        <v>3525</v>
      </c>
      <c r="G710" s="17" t="s">
        <v>7747</v>
      </c>
      <c r="H710" s="7" t="s">
        <v>28</v>
      </c>
      <c r="I710" s="7" t="s">
        <v>2024</v>
      </c>
      <c r="J710" s="7" t="s">
        <v>53</v>
      </c>
      <c r="K710" s="7" t="s">
        <v>2213</v>
      </c>
      <c r="L710" s="7" t="s">
        <v>55</v>
      </c>
      <c r="M710" s="7">
        <v>4.0369849999999996</v>
      </c>
      <c r="N710" s="7">
        <v>9.7167080000000006</v>
      </c>
      <c r="O710" s="7" t="s">
        <v>613</v>
      </c>
    </row>
    <row r="711" spans="1:15" x14ac:dyDescent="0.25">
      <c r="A711" s="2">
        <f t="shared" si="11"/>
        <v>709</v>
      </c>
      <c r="B711" s="7" t="s">
        <v>3538</v>
      </c>
      <c r="C711" s="7" t="s">
        <v>3539</v>
      </c>
      <c r="D711" s="7" t="s">
        <v>3538</v>
      </c>
      <c r="E711" s="7" t="s">
        <v>50</v>
      </c>
      <c r="F711" s="7" t="s">
        <v>3540</v>
      </c>
      <c r="G711" s="17" t="s">
        <v>7747</v>
      </c>
      <c r="H711" s="7" t="s">
        <v>28</v>
      </c>
      <c r="I711" s="7" t="s">
        <v>1575</v>
      </c>
      <c r="J711" s="7" t="s">
        <v>53</v>
      </c>
      <c r="K711" s="7" t="s">
        <v>54</v>
      </c>
      <c r="L711" s="7" t="s">
        <v>55</v>
      </c>
      <c r="M711" s="7">
        <v>4.0144330000000004</v>
      </c>
      <c r="N711" s="7">
        <v>9.7447169999999996</v>
      </c>
      <c r="O711" s="7" t="s">
        <v>613</v>
      </c>
    </row>
    <row r="712" spans="1:15" x14ac:dyDescent="0.25">
      <c r="A712" s="2">
        <f t="shared" si="11"/>
        <v>710</v>
      </c>
      <c r="B712" s="7" t="s">
        <v>3544</v>
      </c>
      <c r="C712" s="7" t="s">
        <v>3545</v>
      </c>
      <c r="D712" s="7" t="s">
        <v>3544</v>
      </c>
      <c r="E712" s="7" t="s">
        <v>50</v>
      </c>
      <c r="F712" s="7" t="s">
        <v>3546</v>
      </c>
      <c r="G712" s="17" t="s">
        <v>7747</v>
      </c>
      <c r="H712" s="7" t="s">
        <v>28</v>
      </c>
      <c r="I712" s="7" t="s">
        <v>2024</v>
      </c>
      <c r="J712" s="7" t="s">
        <v>53</v>
      </c>
      <c r="K712" s="7" t="s">
        <v>2213</v>
      </c>
      <c r="L712" s="7" t="s">
        <v>55</v>
      </c>
      <c r="M712" s="7">
        <v>4.0419229999999997</v>
      </c>
      <c r="N712" s="7">
        <v>9.7205870000000001</v>
      </c>
      <c r="O712" s="7" t="s">
        <v>613</v>
      </c>
    </row>
    <row r="713" spans="1:15" x14ac:dyDescent="0.25">
      <c r="A713" s="2">
        <f t="shared" si="11"/>
        <v>711</v>
      </c>
      <c r="B713" s="7" t="s">
        <v>3547</v>
      </c>
      <c r="C713" s="7" t="s">
        <v>3548</v>
      </c>
      <c r="D713" s="7" t="s">
        <v>3547</v>
      </c>
      <c r="E713" s="7" t="s">
        <v>50</v>
      </c>
      <c r="F713" s="7" t="s">
        <v>3549</v>
      </c>
      <c r="G713" s="17" t="s">
        <v>7747</v>
      </c>
      <c r="H713" s="7" t="s">
        <v>19</v>
      </c>
      <c r="I713" s="7" t="s">
        <v>1575</v>
      </c>
      <c r="J713" s="7" t="s">
        <v>53</v>
      </c>
      <c r="K713" s="7" t="s">
        <v>54</v>
      </c>
      <c r="L713" s="7" t="s">
        <v>55</v>
      </c>
      <c r="M713" s="7">
        <v>4.0193830000000004</v>
      </c>
      <c r="N713" s="7">
        <v>9.7576210000000003</v>
      </c>
      <c r="O713" s="7" t="s">
        <v>23</v>
      </c>
    </row>
    <row r="714" spans="1:15" x14ac:dyDescent="0.25">
      <c r="A714" s="2">
        <f t="shared" si="11"/>
        <v>712</v>
      </c>
      <c r="B714" s="7" t="s">
        <v>3568</v>
      </c>
      <c r="C714" s="7" t="s">
        <v>3569</v>
      </c>
      <c r="D714" s="7" t="s">
        <v>3568</v>
      </c>
      <c r="E714" s="7" t="s">
        <v>50</v>
      </c>
      <c r="F714" s="7" t="s">
        <v>3570</v>
      </c>
      <c r="G714" s="17" t="s">
        <v>7747</v>
      </c>
      <c r="H714" s="7" t="s">
        <v>28</v>
      </c>
      <c r="I714" s="7" t="s">
        <v>611</v>
      </c>
      <c r="J714" s="7" t="s">
        <v>53</v>
      </c>
      <c r="K714" s="7" t="s">
        <v>612</v>
      </c>
      <c r="L714" s="7" t="s">
        <v>55</v>
      </c>
      <c r="M714" s="7">
        <v>4.062538</v>
      </c>
      <c r="N714" s="7">
        <v>9.7630239999999997</v>
      </c>
      <c r="O714" s="7" t="s">
        <v>613</v>
      </c>
    </row>
    <row r="715" spans="1:15" x14ac:dyDescent="0.25">
      <c r="A715" s="2">
        <f t="shared" si="11"/>
        <v>713</v>
      </c>
      <c r="B715" s="7" t="s">
        <v>3574</v>
      </c>
      <c r="C715" s="7" t="s">
        <v>3575</v>
      </c>
      <c r="D715" s="7" t="s">
        <v>3574</v>
      </c>
      <c r="E715" s="7" t="s">
        <v>50</v>
      </c>
      <c r="F715" s="7" t="s">
        <v>3576</v>
      </c>
      <c r="G715" s="17" t="s">
        <v>7747</v>
      </c>
      <c r="H715" s="7" t="s">
        <v>28</v>
      </c>
      <c r="I715" s="7" t="s">
        <v>611</v>
      </c>
      <c r="J715" s="7" t="s">
        <v>53</v>
      </c>
      <c r="K715" s="7" t="s">
        <v>612</v>
      </c>
      <c r="L715" s="7" t="s">
        <v>55</v>
      </c>
      <c r="M715" s="7">
        <v>4.0845840000000004</v>
      </c>
      <c r="N715" s="7">
        <v>9.7783510000000007</v>
      </c>
      <c r="O715" s="7" t="s">
        <v>613</v>
      </c>
    </row>
    <row r="716" spans="1:15" x14ac:dyDescent="0.25">
      <c r="A716" s="2">
        <f t="shared" si="11"/>
        <v>714</v>
      </c>
      <c r="B716" s="7" t="s">
        <v>3605</v>
      </c>
      <c r="C716" s="7" t="s">
        <v>3606</v>
      </c>
      <c r="D716" s="7" t="s">
        <v>3605</v>
      </c>
      <c r="E716" s="7" t="s">
        <v>50</v>
      </c>
      <c r="F716" s="7" t="s">
        <v>3607</v>
      </c>
      <c r="G716" s="17" t="s">
        <v>7747</v>
      </c>
      <c r="H716" s="7" t="s">
        <v>28</v>
      </c>
      <c r="I716" s="7" t="s">
        <v>1516</v>
      </c>
      <c r="J716" s="7" t="s">
        <v>53</v>
      </c>
      <c r="K716" s="7" t="s">
        <v>612</v>
      </c>
      <c r="L716" s="7" t="s">
        <v>55</v>
      </c>
      <c r="M716" s="7">
        <v>4.0898500000000002</v>
      </c>
      <c r="N716" s="7">
        <v>9.7834800000000008</v>
      </c>
      <c r="O716" s="7" t="s">
        <v>23</v>
      </c>
    </row>
    <row r="717" spans="1:15" x14ac:dyDescent="0.25">
      <c r="A717" s="2">
        <f t="shared" si="11"/>
        <v>715</v>
      </c>
      <c r="B717" s="7" t="s">
        <v>3608</v>
      </c>
      <c r="C717" s="7" t="s">
        <v>3609</v>
      </c>
      <c r="D717" s="7" t="s">
        <v>3608</v>
      </c>
      <c r="E717" s="7" t="s">
        <v>50</v>
      </c>
      <c r="F717" s="7" t="s">
        <v>3610</v>
      </c>
      <c r="G717" s="17" t="s">
        <v>7747</v>
      </c>
      <c r="H717" s="7" t="s">
        <v>19</v>
      </c>
      <c r="I717" s="7" t="s">
        <v>1329</v>
      </c>
      <c r="J717" s="7" t="s">
        <v>53</v>
      </c>
      <c r="K717" s="7" t="s">
        <v>54</v>
      </c>
      <c r="L717" s="7" t="s">
        <v>55</v>
      </c>
      <c r="M717" s="7">
        <v>4.0339169999999998</v>
      </c>
      <c r="N717" s="7">
        <v>9.7826939999999993</v>
      </c>
      <c r="O717" s="7" t="s">
        <v>613</v>
      </c>
    </row>
    <row r="718" spans="1:15" x14ac:dyDescent="0.25">
      <c r="A718" s="2">
        <f t="shared" si="11"/>
        <v>716</v>
      </c>
      <c r="B718" s="7" t="s">
        <v>3665</v>
      </c>
      <c r="C718" s="7" t="s">
        <v>3666</v>
      </c>
      <c r="D718" s="7" t="s">
        <v>3665</v>
      </c>
      <c r="E718" s="7" t="s">
        <v>50</v>
      </c>
      <c r="F718" s="7" t="s">
        <v>3667</v>
      </c>
      <c r="G718" s="17" t="s">
        <v>7747</v>
      </c>
      <c r="H718" s="7" t="s">
        <v>28</v>
      </c>
      <c r="I718" s="7" t="s">
        <v>1471</v>
      </c>
      <c r="J718" s="7" t="s">
        <v>53</v>
      </c>
      <c r="K718" s="7" t="s">
        <v>612</v>
      </c>
      <c r="L718" s="7" t="s">
        <v>55</v>
      </c>
      <c r="M718" s="7">
        <v>4.0635560000000002</v>
      </c>
      <c r="N718" s="7">
        <v>9.7456940000000003</v>
      </c>
      <c r="O718" s="7" t="s">
        <v>23</v>
      </c>
    </row>
    <row r="719" spans="1:15" x14ac:dyDescent="0.25">
      <c r="A719" s="2">
        <f t="shared" si="11"/>
        <v>717</v>
      </c>
      <c r="B719" s="7" t="s">
        <v>3673</v>
      </c>
      <c r="C719" s="7" t="s">
        <v>3674</v>
      </c>
      <c r="D719" s="7" t="s">
        <v>3673</v>
      </c>
      <c r="E719" s="7" t="s">
        <v>50</v>
      </c>
      <c r="F719" s="7" t="s">
        <v>3675</v>
      </c>
      <c r="G719" s="17" t="s">
        <v>7747</v>
      </c>
      <c r="H719" s="7" t="s">
        <v>28</v>
      </c>
      <c r="I719" s="7" t="s">
        <v>1471</v>
      </c>
      <c r="J719" s="7" t="s">
        <v>53</v>
      </c>
      <c r="K719" s="7" t="s">
        <v>612</v>
      </c>
      <c r="L719" s="7" t="s">
        <v>55</v>
      </c>
      <c r="M719" s="7">
        <v>4.0693890000000001</v>
      </c>
      <c r="N719" s="7">
        <v>9.7299439999999997</v>
      </c>
      <c r="O719" s="7" t="s">
        <v>613</v>
      </c>
    </row>
    <row r="720" spans="1:15" x14ac:dyDescent="0.25">
      <c r="A720" s="2">
        <f t="shared" si="11"/>
        <v>718</v>
      </c>
      <c r="B720" s="7" t="s">
        <v>3686</v>
      </c>
      <c r="C720" s="7" t="s">
        <v>3687</v>
      </c>
      <c r="D720" s="7" t="s">
        <v>3686</v>
      </c>
      <c r="E720" s="7" t="s">
        <v>50</v>
      </c>
      <c r="F720" s="7" t="s">
        <v>3688</v>
      </c>
      <c r="G720" s="17" t="s">
        <v>7747</v>
      </c>
      <c r="H720" s="7" t="s">
        <v>28</v>
      </c>
      <c r="I720" s="7" t="s">
        <v>52</v>
      </c>
      <c r="J720" s="7" t="s">
        <v>53</v>
      </c>
      <c r="K720" s="7" t="s">
        <v>54</v>
      </c>
      <c r="L720" s="7" t="s">
        <v>55</v>
      </c>
      <c r="M720" s="7">
        <v>4.0212500000000002</v>
      </c>
      <c r="N720" s="7">
        <v>9.7739899999999995</v>
      </c>
      <c r="O720" s="7" t="s">
        <v>23</v>
      </c>
    </row>
    <row r="721" spans="1:15" x14ac:dyDescent="0.25">
      <c r="A721" s="2">
        <f t="shared" si="11"/>
        <v>719</v>
      </c>
      <c r="B721" s="7" t="s">
        <v>3689</v>
      </c>
      <c r="C721" s="7" t="s">
        <v>3690</v>
      </c>
      <c r="D721" s="7" t="s">
        <v>3689</v>
      </c>
      <c r="E721" s="7" t="s">
        <v>50</v>
      </c>
      <c r="F721" s="7" t="s">
        <v>3691</v>
      </c>
      <c r="G721" s="17" t="s">
        <v>7747</v>
      </c>
      <c r="H721" s="7" t="s">
        <v>19</v>
      </c>
      <c r="I721" s="7" t="s">
        <v>1575</v>
      </c>
      <c r="J721" s="7" t="s">
        <v>53</v>
      </c>
      <c r="K721" s="7" t="s">
        <v>54</v>
      </c>
      <c r="L721" s="7" t="s">
        <v>55</v>
      </c>
      <c r="M721" s="7">
        <v>4.0233499999999998</v>
      </c>
      <c r="N721" s="7">
        <v>9.7637900000000002</v>
      </c>
      <c r="O721" s="7" t="s">
        <v>23</v>
      </c>
    </row>
    <row r="722" spans="1:15" x14ac:dyDescent="0.25">
      <c r="A722" s="2">
        <f t="shared" si="11"/>
        <v>720</v>
      </c>
      <c r="B722" s="7" t="s">
        <v>3710</v>
      </c>
      <c r="C722" s="7" t="s">
        <v>3711</v>
      </c>
      <c r="D722" s="7" t="s">
        <v>3710</v>
      </c>
      <c r="E722" s="7" t="s">
        <v>34</v>
      </c>
      <c r="F722" s="7" t="s">
        <v>3712</v>
      </c>
      <c r="G722" s="8" t="s">
        <v>18</v>
      </c>
      <c r="H722" s="7" t="s">
        <v>28</v>
      </c>
      <c r="I722" s="7" t="s">
        <v>356</v>
      </c>
      <c r="J722" s="7" t="s">
        <v>152</v>
      </c>
      <c r="K722" s="7" t="s">
        <v>424</v>
      </c>
      <c r="L722" s="7" t="s">
        <v>55</v>
      </c>
      <c r="M722" s="7">
        <v>4.2341449999999998</v>
      </c>
      <c r="N722" s="7">
        <v>9.6163720000000001</v>
      </c>
      <c r="O722" s="7" t="s">
        <v>23</v>
      </c>
    </row>
    <row r="723" spans="1:15" x14ac:dyDescent="0.25">
      <c r="A723" s="2">
        <f t="shared" si="11"/>
        <v>721</v>
      </c>
      <c r="B723" s="7" t="s">
        <v>3733</v>
      </c>
      <c r="C723" s="7" t="s">
        <v>3734</v>
      </c>
      <c r="D723" s="7" t="s">
        <v>3733</v>
      </c>
      <c r="E723" s="7" t="s">
        <v>50</v>
      </c>
      <c r="F723" s="7" t="s">
        <v>3735</v>
      </c>
      <c r="G723" s="17" t="s">
        <v>7747</v>
      </c>
      <c r="H723" s="7" t="s">
        <v>19</v>
      </c>
      <c r="I723" s="7" t="s">
        <v>627</v>
      </c>
      <c r="J723" s="7" t="s">
        <v>53</v>
      </c>
      <c r="K723" s="7" t="s">
        <v>628</v>
      </c>
      <c r="L723" s="7" t="s">
        <v>55</v>
      </c>
      <c r="M723" s="7">
        <v>4.0838999999999999</v>
      </c>
      <c r="N723" s="7">
        <v>9.6588499999999993</v>
      </c>
      <c r="O723" s="7" t="s">
        <v>23</v>
      </c>
    </row>
    <row r="724" spans="1:15" x14ac:dyDescent="0.25">
      <c r="A724" s="2">
        <f t="shared" si="11"/>
        <v>722</v>
      </c>
      <c r="B724" s="7" t="s">
        <v>3736</v>
      </c>
      <c r="C724" s="7" t="s">
        <v>3737</v>
      </c>
      <c r="D724" s="7" t="s">
        <v>3736</v>
      </c>
      <c r="E724" s="7" t="s">
        <v>50</v>
      </c>
      <c r="F724" s="7" t="s">
        <v>3738</v>
      </c>
      <c r="G724" s="17" t="s">
        <v>7747</v>
      </c>
      <c r="H724" s="7" t="s">
        <v>28</v>
      </c>
      <c r="I724" s="7" t="s">
        <v>1478</v>
      </c>
      <c r="J724" s="7" t="s">
        <v>53</v>
      </c>
      <c r="K724" s="7" t="s">
        <v>612</v>
      </c>
      <c r="L724" s="7" t="s">
        <v>55</v>
      </c>
      <c r="M724" s="7">
        <v>4.0941200000000002</v>
      </c>
      <c r="N724" s="7">
        <v>9.7621199999999995</v>
      </c>
      <c r="O724" s="7" t="s">
        <v>613</v>
      </c>
    </row>
    <row r="725" spans="1:15" x14ac:dyDescent="0.25">
      <c r="A725" s="2">
        <f t="shared" si="11"/>
        <v>723</v>
      </c>
      <c r="B725" s="7" t="s">
        <v>3760</v>
      </c>
      <c r="C725" s="7" t="s">
        <v>3761</v>
      </c>
      <c r="D725" s="7" t="s">
        <v>3760</v>
      </c>
      <c r="E725" s="7" t="s">
        <v>50</v>
      </c>
      <c r="F725" s="7" t="s">
        <v>3762</v>
      </c>
      <c r="G725" s="17" t="s">
        <v>7747</v>
      </c>
      <c r="H725" s="7" t="s">
        <v>19</v>
      </c>
      <c r="I725" s="7" t="s">
        <v>611</v>
      </c>
      <c r="J725" s="7" t="s">
        <v>53</v>
      </c>
      <c r="K725" s="7" t="s">
        <v>612</v>
      </c>
      <c r="L725" s="7" t="s">
        <v>55</v>
      </c>
      <c r="M725" s="7">
        <v>4.0822500000000002</v>
      </c>
      <c r="N725" s="7">
        <v>9.7552000000000003</v>
      </c>
      <c r="O725" s="7" t="s">
        <v>23</v>
      </c>
    </row>
    <row r="726" spans="1:15" x14ac:dyDescent="0.25">
      <c r="A726" s="2">
        <f t="shared" si="11"/>
        <v>724</v>
      </c>
      <c r="B726" s="7" t="s">
        <v>3763</v>
      </c>
      <c r="C726" s="7" t="s">
        <v>3764</v>
      </c>
      <c r="D726" s="7" t="s">
        <v>3763</v>
      </c>
      <c r="E726" s="7" t="s">
        <v>50</v>
      </c>
      <c r="F726" s="7" t="s">
        <v>3765</v>
      </c>
      <c r="G726" s="17" t="s">
        <v>7747</v>
      </c>
      <c r="H726" s="7" t="s">
        <v>19</v>
      </c>
      <c r="I726" s="7" t="s">
        <v>2024</v>
      </c>
      <c r="J726" s="7" t="s">
        <v>53</v>
      </c>
      <c r="K726" s="7" t="s">
        <v>1404</v>
      </c>
      <c r="L726" s="7" t="s">
        <v>55</v>
      </c>
      <c r="M726" s="7">
        <v>4.0176639999999999</v>
      </c>
      <c r="N726" s="7">
        <v>9.7058579999999992</v>
      </c>
      <c r="O726" s="7" t="s">
        <v>613</v>
      </c>
    </row>
    <row r="727" spans="1:15" x14ac:dyDescent="0.25">
      <c r="A727" s="2">
        <f t="shared" si="11"/>
        <v>725</v>
      </c>
      <c r="B727" s="7" t="s">
        <v>3766</v>
      </c>
      <c r="C727" s="7" t="s">
        <v>3767</v>
      </c>
      <c r="D727" s="7" t="s">
        <v>3766</v>
      </c>
      <c r="E727" s="7" t="s">
        <v>50</v>
      </c>
      <c r="F727" s="7" t="s">
        <v>3768</v>
      </c>
      <c r="G727" s="17" t="s">
        <v>7747</v>
      </c>
      <c r="H727" s="7" t="s">
        <v>19</v>
      </c>
      <c r="I727" s="7" t="s">
        <v>2024</v>
      </c>
      <c r="J727" s="7" t="s">
        <v>53</v>
      </c>
      <c r="K727" s="7" t="s">
        <v>2213</v>
      </c>
      <c r="L727" s="7" t="s">
        <v>55</v>
      </c>
      <c r="M727" s="7">
        <v>4.038475</v>
      </c>
      <c r="N727" s="7">
        <v>9.7119219999999995</v>
      </c>
      <c r="O727" s="7" t="s">
        <v>613</v>
      </c>
    </row>
    <row r="728" spans="1:15" x14ac:dyDescent="0.25">
      <c r="A728" s="2">
        <f t="shared" si="11"/>
        <v>726</v>
      </c>
      <c r="B728" s="7" t="s">
        <v>3769</v>
      </c>
      <c r="C728" s="7" t="s">
        <v>3770</v>
      </c>
      <c r="D728" s="7" t="s">
        <v>3769</v>
      </c>
      <c r="E728" s="7" t="s">
        <v>50</v>
      </c>
      <c r="F728" s="7" t="s">
        <v>3771</v>
      </c>
      <c r="G728" s="17" t="s">
        <v>7747</v>
      </c>
      <c r="H728" s="7" t="s">
        <v>28</v>
      </c>
      <c r="I728" s="7" t="s">
        <v>1329</v>
      </c>
      <c r="J728" s="7" t="s">
        <v>53</v>
      </c>
      <c r="K728" s="7" t="s">
        <v>54</v>
      </c>
      <c r="L728" s="7" t="s">
        <v>55</v>
      </c>
      <c r="M728" s="7">
        <v>4.0439999999999996</v>
      </c>
      <c r="N728" s="7">
        <v>9.7477219999999996</v>
      </c>
      <c r="O728" s="7" t="s">
        <v>613</v>
      </c>
    </row>
    <row r="729" spans="1:15" x14ac:dyDescent="0.25">
      <c r="A729" s="2">
        <f t="shared" si="11"/>
        <v>727</v>
      </c>
      <c r="B729" s="7" t="s">
        <v>3772</v>
      </c>
      <c r="C729" s="7" t="s">
        <v>3773</v>
      </c>
      <c r="D729" s="7" t="s">
        <v>3772</v>
      </c>
      <c r="E729" s="7" t="s">
        <v>50</v>
      </c>
      <c r="F729" s="7" t="s">
        <v>611</v>
      </c>
      <c r="G729" s="17" t="s">
        <v>7747</v>
      </c>
      <c r="H729" s="7" t="s">
        <v>19</v>
      </c>
      <c r="I729" s="7" t="s">
        <v>611</v>
      </c>
      <c r="J729" s="7" t="s">
        <v>53</v>
      </c>
      <c r="K729" s="7" t="s">
        <v>612</v>
      </c>
      <c r="L729" s="7" t="s">
        <v>55</v>
      </c>
      <c r="M729" s="7">
        <v>4.0643609999999999</v>
      </c>
      <c r="N729" s="7">
        <v>9.7677779999999998</v>
      </c>
      <c r="O729" s="7" t="s">
        <v>23</v>
      </c>
    </row>
    <row r="730" spans="1:15" x14ac:dyDescent="0.25">
      <c r="A730" s="2">
        <f t="shared" si="11"/>
        <v>728</v>
      </c>
      <c r="B730" s="7" t="s">
        <v>3774</v>
      </c>
      <c r="C730" s="7" t="s">
        <v>3775</v>
      </c>
      <c r="D730" s="7" t="s">
        <v>3774</v>
      </c>
      <c r="E730" s="7" t="s">
        <v>50</v>
      </c>
      <c r="F730" s="7" t="s">
        <v>3776</v>
      </c>
      <c r="G730" s="17" t="s">
        <v>7747</v>
      </c>
      <c r="H730" s="7" t="s">
        <v>28</v>
      </c>
      <c r="I730" s="7" t="s">
        <v>611</v>
      </c>
      <c r="J730" s="7" t="s">
        <v>53</v>
      </c>
      <c r="K730" s="7" t="s">
        <v>612</v>
      </c>
      <c r="L730" s="7" t="s">
        <v>55</v>
      </c>
      <c r="M730" s="7">
        <v>4.0585000000000004</v>
      </c>
      <c r="N730" s="7">
        <v>9.7684440000000006</v>
      </c>
      <c r="O730" s="7" t="s">
        <v>23</v>
      </c>
    </row>
    <row r="731" spans="1:15" x14ac:dyDescent="0.25">
      <c r="A731" s="2">
        <f t="shared" si="11"/>
        <v>729</v>
      </c>
      <c r="B731" s="7" t="s">
        <v>3780</v>
      </c>
      <c r="C731" s="7" t="s">
        <v>3781</v>
      </c>
      <c r="D731" s="7" t="s">
        <v>3780</v>
      </c>
      <c r="E731" s="7" t="s">
        <v>50</v>
      </c>
      <c r="F731" s="7" t="s">
        <v>3782</v>
      </c>
      <c r="G731" s="17" t="s">
        <v>7747</v>
      </c>
      <c r="H731" s="7" t="s">
        <v>28</v>
      </c>
      <c r="I731" s="7" t="s">
        <v>1958</v>
      </c>
      <c r="J731" s="7" t="s">
        <v>53</v>
      </c>
      <c r="K731" s="7" t="s">
        <v>612</v>
      </c>
      <c r="L731" s="7" t="s">
        <v>55</v>
      </c>
      <c r="M731" s="7">
        <v>4.0656670000000004</v>
      </c>
      <c r="N731" s="7">
        <v>9.7229720000000004</v>
      </c>
      <c r="O731" s="7" t="s">
        <v>613</v>
      </c>
    </row>
    <row r="732" spans="1:15" x14ac:dyDescent="0.25">
      <c r="A732" s="2">
        <f t="shared" si="11"/>
        <v>730</v>
      </c>
      <c r="B732" s="7" t="s">
        <v>3789</v>
      </c>
      <c r="C732" s="7" t="s">
        <v>3790</v>
      </c>
      <c r="D732" s="7" t="s">
        <v>3789</v>
      </c>
      <c r="E732" s="7" t="s">
        <v>50</v>
      </c>
      <c r="F732" s="7" t="s">
        <v>1575</v>
      </c>
      <c r="G732" s="17" t="s">
        <v>7747</v>
      </c>
      <c r="H732" s="7" t="s">
        <v>28</v>
      </c>
      <c r="I732" s="7" t="s">
        <v>1575</v>
      </c>
      <c r="J732" s="7" t="s">
        <v>53</v>
      </c>
      <c r="K732" s="7" t="s">
        <v>54</v>
      </c>
      <c r="L732" s="7" t="s">
        <v>55</v>
      </c>
      <c r="M732" s="7">
        <v>4.0095320000000001</v>
      </c>
      <c r="N732" s="7">
        <v>9.7415260000000004</v>
      </c>
      <c r="O732" s="7" t="s">
        <v>613</v>
      </c>
    </row>
    <row r="733" spans="1:15" x14ac:dyDescent="0.25">
      <c r="A733" s="2">
        <f t="shared" si="11"/>
        <v>731</v>
      </c>
      <c r="B733" s="7" t="s">
        <v>3799</v>
      </c>
      <c r="C733" s="7" t="s">
        <v>3800</v>
      </c>
      <c r="D733" s="7" t="s">
        <v>3799</v>
      </c>
      <c r="E733" s="7" t="s">
        <v>50</v>
      </c>
      <c r="F733" s="7" t="s">
        <v>3801</v>
      </c>
      <c r="G733" s="17" t="s">
        <v>7747</v>
      </c>
      <c r="H733" s="7" t="s">
        <v>19</v>
      </c>
      <c r="I733" s="7" t="s">
        <v>2024</v>
      </c>
      <c r="J733" s="7" t="s">
        <v>53</v>
      </c>
      <c r="K733" s="7" t="s">
        <v>2213</v>
      </c>
      <c r="L733" s="7" t="s">
        <v>55</v>
      </c>
      <c r="M733" s="7">
        <v>4.0411349999999997</v>
      </c>
      <c r="N733" s="7">
        <v>9.7169690000000006</v>
      </c>
      <c r="O733" s="7" t="s">
        <v>613</v>
      </c>
    </row>
    <row r="734" spans="1:15" x14ac:dyDescent="0.25">
      <c r="A734" s="2">
        <f t="shared" si="11"/>
        <v>732</v>
      </c>
      <c r="B734" s="7" t="s">
        <v>3802</v>
      </c>
      <c r="C734" s="7" t="s">
        <v>3803</v>
      </c>
      <c r="D734" s="7" t="s">
        <v>3802</v>
      </c>
      <c r="E734" s="7" t="s">
        <v>50</v>
      </c>
      <c r="F734" s="7" t="s">
        <v>3804</v>
      </c>
      <c r="G734" s="17" t="s">
        <v>7747</v>
      </c>
      <c r="H734" s="7" t="s">
        <v>28</v>
      </c>
      <c r="I734" s="7" t="s">
        <v>1958</v>
      </c>
      <c r="J734" s="7" t="s">
        <v>53</v>
      </c>
      <c r="K734" s="7" t="s">
        <v>1404</v>
      </c>
      <c r="L734" s="7" t="s">
        <v>55</v>
      </c>
      <c r="M734" s="7">
        <v>4.0461689999999999</v>
      </c>
      <c r="N734" s="7">
        <v>9.7083919999999999</v>
      </c>
      <c r="O734" s="7" t="s">
        <v>613</v>
      </c>
    </row>
    <row r="735" spans="1:15" x14ac:dyDescent="0.25">
      <c r="A735" s="2">
        <f t="shared" si="11"/>
        <v>733</v>
      </c>
      <c r="B735" s="7" t="s">
        <v>3812</v>
      </c>
      <c r="C735" s="7" t="s">
        <v>3813</v>
      </c>
      <c r="D735" s="7" t="s">
        <v>3812</v>
      </c>
      <c r="E735" s="7" t="s">
        <v>50</v>
      </c>
      <c r="F735" s="7" t="s">
        <v>3814</v>
      </c>
      <c r="G735" s="17" t="s">
        <v>7747</v>
      </c>
      <c r="H735" s="7" t="s">
        <v>28</v>
      </c>
      <c r="I735" s="7" t="s">
        <v>611</v>
      </c>
      <c r="J735" s="7" t="s">
        <v>53</v>
      </c>
      <c r="K735" s="7" t="s">
        <v>54</v>
      </c>
      <c r="L735" s="7" t="s">
        <v>55</v>
      </c>
      <c r="M735" s="7">
        <v>4.0291940000000004</v>
      </c>
      <c r="N735" s="7">
        <v>9.7558050000000005</v>
      </c>
      <c r="O735" s="7" t="s">
        <v>23</v>
      </c>
    </row>
    <row r="736" spans="1:15" x14ac:dyDescent="0.25">
      <c r="A736" s="2">
        <f t="shared" si="11"/>
        <v>734</v>
      </c>
      <c r="B736" s="7" t="s">
        <v>3818</v>
      </c>
      <c r="C736" s="7" t="s">
        <v>3819</v>
      </c>
      <c r="D736" s="7" t="s">
        <v>3818</v>
      </c>
      <c r="E736" s="7" t="s">
        <v>50</v>
      </c>
      <c r="F736" s="7" t="s">
        <v>3820</v>
      </c>
      <c r="G736" s="17" t="s">
        <v>7747</v>
      </c>
      <c r="H736" s="7" t="s">
        <v>28</v>
      </c>
      <c r="I736" s="7" t="s">
        <v>611</v>
      </c>
      <c r="J736" s="7" t="s">
        <v>53</v>
      </c>
      <c r="K736" s="7" t="s">
        <v>612</v>
      </c>
      <c r="L736" s="7" t="s">
        <v>55</v>
      </c>
      <c r="M736" s="7">
        <v>4.0816689999999998</v>
      </c>
      <c r="N736" s="7">
        <v>9.7711500000000004</v>
      </c>
      <c r="O736" s="7" t="s">
        <v>613</v>
      </c>
    </row>
    <row r="737" spans="1:15" x14ac:dyDescent="0.25">
      <c r="A737" s="2">
        <f t="shared" si="11"/>
        <v>735</v>
      </c>
      <c r="B737" s="7" t="s">
        <v>3823</v>
      </c>
      <c r="C737" s="7" t="s">
        <v>3824</v>
      </c>
      <c r="D737" s="7" t="s">
        <v>3823</v>
      </c>
      <c r="E737" s="7" t="s">
        <v>50</v>
      </c>
      <c r="F737" s="7" t="s">
        <v>3825</v>
      </c>
      <c r="G737" s="17" t="s">
        <v>7747</v>
      </c>
      <c r="H737" s="7" t="s">
        <v>28</v>
      </c>
      <c r="I737" s="7" t="s">
        <v>1958</v>
      </c>
      <c r="J737" s="7" t="s">
        <v>53</v>
      </c>
      <c r="K737" s="7" t="s">
        <v>1404</v>
      </c>
      <c r="L737" s="7" t="s">
        <v>55</v>
      </c>
      <c r="M737" s="7">
        <v>4.0710829999999998</v>
      </c>
      <c r="N737" s="7">
        <v>9.7142499999999998</v>
      </c>
      <c r="O737" s="7" t="s">
        <v>613</v>
      </c>
    </row>
    <row r="738" spans="1:15" x14ac:dyDescent="0.25">
      <c r="A738" s="2">
        <f t="shared" si="11"/>
        <v>736</v>
      </c>
      <c r="B738" s="7" t="s">
        <v>3847</v>
      </c>
      <c r="C738" s="7" t="s">
        <v>3848</v>
      </c>
      <c r="D738" s="7" t="s">
        <v>3847</v>
      </c>
      <c r="E738" s="7" t="s">
        <v>50</v>
      </c>
      <c r="F738" s="7" t="s">
        <v>3849</v>
      </c>
      <c r="G738" s="17" t="s">
        <v>7747</v>
      </c>
      <c r="H738" s="7" t="s">
        <v>28</v>
      </c>
      <c r="I738" s="7" t="s">
        <v>1471</v>
      </c>
      <c r="J738" s="7" t="s">
        <v>53</v>
      </c>
      <c r="K738" s="7" t="s">
        <v>612</v>
      </c>
      <c r="L738" s="7" t="s">
        <v>55</v>
      </c>
      <c r="M738" s="7">
        <v>4.0541859999999996</v>
      </c>
      <c r="N738" s="7">
        <v>9.7456110000000002</v>
      </c>
      <c r="O738" s="7" t="s">
        <v>23</v>
      </c>
    </row>
    <row r="739" spans="1:15" x14ac:dyDescent="0.25">
      <c r="A739" s="2">
        <f t="shared" si="11"/>
        <v>737</v>
      </c>
      <c r="B739" s="7" t="s">
        <v>3854</v>
      </c>
      <c r="C739" s="7" t="s">
        <v>3855</v>
      </c>
      <c r="D739" s="7" t="s">
        <v>3854</v>
      </c>
      <c r="E739" s="7" t="s">
        <v>50</v>
      </c>
      <c r="F739" s="7" t="s">
        <v>3856</v>
      </c>
      <c r="G739" s="17" t="s">
        <v>7747</v>
      </c>
      <c r="H739" s="7" t="s">
        <v>28</v>
      </c>
      <c r="I739" s="7" t="s">
        <v>960</v>
      </c>
      <c r="J739" s="7" t="s">
        <v>53</v>
      </c>
      <c r="K739" s="7" t="s">
        <v>628</v>
      </c>
      <c r="L739" s="7" t="s">
        <v>55</v>
      </c>
      <c r="M739" s="7">
        <v>4.0941029999999996</v>
      </c>
      <c r="N739" s="7">
        <v>9.6398580000000003</v>
      </c>
      <c r="O739" s="7" t="s">
        <v>23</v>
      </c>
    </row>
    <row r="740" spans="1:15" x14ac:dyDescent="0.25">
      <c r="A740" s="2">
        <f t="shared" si="11"/>
        <v>738</v>
      </c>
      <c r="B740" s="7" t="s">
        <v>3857</v>
      </c>
      <c r="C740" s="7" t="s">
        <v>3858</v>
      </c>
      <c r="D740" s="7" t="s">
        <v>3857</v>
      </c>
      <c r="E740" s="7" t="s">
        <v>50</v>
      </c>
      <c r="F740" s="7" t="s">
        <v>3859</v>
      </c>
      <c r="G740" s="17" t="s">
        <v>7747</v>
      </c>
      <c r="H740" s="7" t="s">
        <v>28</v>
      </c>
      <c r="I740" s="7" t="s">
        <v>1471</v>
      </c>
      <c r="J740" s="7" t="s">
        <v>53</v>
      </c>
      <c r="K740" s="7" t="s">
        <v>612</v>
      </c>
      <c r="L740" s="7" t="s">
        <v>55</v>
      </c>
      <c r="M740" s="7">
        <v>4.0640689999999999</v>
      </c>
      <c r="N740" s="7">
        <v>9.7531099999999995</v>
      </c>
      <c r="O740" s="7" t="s">
        <v>613</v>
      </c>
    </row>
    <row r="741" spans="1:15" x14ac:dyDescent="0.25">
      <c r="A741" s="2">
        <f t="shared" si="11"/>
        <v>739</v>
      </c>
      <c r="B741" s="7" t="s">
        <v>3860</v>
      </c>
      <c r="C741" s="7" t="s">
        <v>3861</v>
      </c>
      <c r="D741" s="7" t="s">
        <v>3860</v>
      </c>
      <c r="E741" s="7" t="s">
        <v>50</v>
      </c>
      <c r="F741" s="7" t="s">
        <v>3862</v>
      </c>
      <c r="G741" s="17" t="s">
        <v>7747</v>
      </c>
      <c r="H741" s="7" t="s">
        <v>19</v>
      </c>
      <c r="I741" s="7" t="s">
        <v>611</v>
      </c>
      <c r="J741" s="7" t="s">
        <v>53</v>
      </c>
      <c r="K741" s="7" t="s">
        <v>612</v>
      </c>
      <c r="L741" s="7" t="s">
        <v>55</v>
      </c>
      <c r="M741" s="7">
        <v>4.0518999999999998</v>
      </c>
      <c r="N741" s="7">
        <v>9.7609960000000004</v>
      </c>
      <c r="O741" s="7" t="s">
        <v>23</v>
      </c>
    </row>
    <row r="742" spans="1:15" x14ac:dyDescent="0.25">
      <c r="A742" s="2">
        <f t="shared" si="11"/>
        <v>740</v>
      </c>
      <c r="B742" s="7" t="s">
        <v>3879</v>
      </c>
      <c r="C742" s="7" t="s">
        <v>3880</v>
      </c>
      <c r="D742" s="7" t="s">
        <v>3879</v>
      </c>
      <c r="E742" s="7" t="s">
        <v>50</v>
      </c>
      <c r="F742" s="7" t="s">
        <v>3168</v>
      </c>
      <c r="G742" s="17" t="s">
        <v>7747</v>
      </c>
      <c r="H742" s="7" t="s">
        <v>19</v>
      </c>
      <c r="I742" s="7" t="s">
        <v>611</v>
      </c>
      <c r="J742" s="7" t="s">
        <v>53</v>
      </c>
      <c r="K742" s="7" t="s">
        <v>54</v>
      </c>
      <c r="L742" s="7" t="s">
        <v>55</v>
      </c>
      <c r="M742" s="7">
        <v>4.0387500000000003</v>
      </c>
      <c r="N742" s="7">
        <v>9.7620559999999994</v>
      </c>
      <c r="O742" s="7" t="s">
        <v>613</v>
      </c>
    </row>
    <row r="743" spans="1:15" x14ac:dyDescent="0.25">
      <c r="A743" s="2">
        <f t="shared" si="11"/>
        <v>741</v>
      </c>
      <c r="B743" s="7" t="s">
        <v>3881</v>
      </c>
      <c r="C743" s="7" t="s">
        <v>3882</v>
      </c>
      <c r="D743" s="7" t="s">
        <v>3881</v>
      </c>
      <c r="E743" s="7" t="s">
        <v>50</v>
      </c>
      <c r="F743" s="7" t="s">
        <v>3883</v>
      </c>
      <c r="G743" s="17" t="s">
        <v>7747</v>
      </c>
      <c r="H743" s="7" t="s">
        <v>28</v>
      </c>
      <c r="I743" s="7" t="s">
        <v>1958</v>
      </c>
      <c r="J743" s="7" t="s">
        <v>53</v>
      </c>
      <c r="K743" s="7" t="s">
        <v>612</v>
      </c>
      <c r="L743" s="7" t="s">
        <v>55</v>
      </c>
      <c r="M743" s="7">
        <v>4.0547709999999997</v>
      </c>
      <c r="N743" s="7">
        <v>9.7240490000000008</v>
      </c>
      <c r="O743" s="7" t="s">
        <v>613</v>
      </c>
    </row>
    <row r="744" spans="1:15" x14ac:dyDescent="0.25">
      <c r="A744" s="2">
        <f t="shared" si="11"/>
        <v>742</v>
      </c>
      <c r="B744" s="7" t="s">
        <v>3884</v>
      </c>
      <c r="C744" s="7" t="s">
        <v>3885</v>
      </c>
      <c r="D744" s="7" t="s">
        <v>3884</v>
      </c>
      <c r="E744" s="7" t="s">
        <v>50</v>
      </c>
      <c r="F744" s="7" t="s">
        <v>3886</v>
      </c>
      <c r="G744" s="17" t="s">
        <v>7747</v>
      </c>
      <c r="H744" s="7" t="s">
        <v>19</v>
      </c>
      <c r="I744" s="7" t="s">
        <v>1516</v>
      </c>
      <c r="J744" s="7" t="s">
        <v>53</v>
      </c>
      <c r="K744" s="7" t="s">
        <v>612</v>
      </c>
      <c r="L744" s="7" t="s">
        <v>55</v>
      </c>
      <c r="M744" s="7">
        <v>4.1600149999999996</v>
      </c>
      <c r="N744" s="7">
        <v>9.8414950000000001</v>
      </c>
      <c r="O744" s="7" t="s">
        <v>23</v>
      </c>
    </row>
    <row r="745" spans="1:15" x14ac:dyDescent="0.25">
      <c r="A745" s="2">
        <f t="shared" si="11"/>
        <v>743</v>
      </c>
      <c r="B745" s="7" t="s">
        <v>3887</v>
      </c>
      <c r="C745" s="7" t="s">
        <v>3888</v>
      </c>
      <c r="D745" s="7" t="s">
        <v>3887</v>
      </c>
      <c r="E745" s="7" t="s">
        <v>50</v>
      </c>
      <c r="F745" s="7" t="s">
        <v>3889</v>
      </c>
      <c r="G745" s="17" t="s">
        <v>7747</v>
      </c>
      <c r="H745" s="7" t="s">
        <v>19</v>
      </c>
      <c r="I745" s="7" t="s">
        <v>611</v>
      </c>
      <c r="J745" s="7" t="s">
        <v>53</v>
      </c>
      <c r="K745" s="7" t="s">
        <v>612</v>
      </c>
      <c r="L745" s="7" t="s">
        <v>55</v>
      </c>
      <c r="M745" s="7">
        <v>4.0724400000000003</v>
      </c>
      <c r="N745" s="7">
        <v>9.7696799999999993</v>
      </c>
      <c r="O745" s="7" t="s">
        <v>23</v>
      </c>
    </row>
    <row r="746" spans="1:15" x14ac:dyDescent="0.25">
      <c r="A746" s="2">
        <f t="shared" si="11"/>
        <v>744</v>
      </c>
      <c r="B746" s="7" t="s">
        <v>3890</v>
      </c>
      <c r="C746" s="7" t="s">
        <v>3891</v>
      </c>
      <c r="D746" s="7" t="s">
        <v>3890</v>
      </c>
      <c r="E746" s="7" t="s">
        <v>50</v>
      </c>
      <c r="F746" s="7" t="s">
        <v>3892</v>
      </c>
      <c r="G746" s="17" t="s">
        <v>7747</v>
      </c>
      <c r="H746" s="7" t="s">
        <v>19</v>
      </c>
      <c r="I746" s="7" t="s">
        <v>1478</v>
      </c>
      <c r="J746" s="7" t="s">
        <v>53</v>
      </c>
      <c r="K746" s="7" t="s">
        <v>612</v>
      </c>
      <c r="L746" s="7" t="s">
        <v>55</v>
      </c>
      <c r="M746" s="7">
        <v>4.091183</v>
      </c>
      <c r="N746" s="7">
        <v>9.7359589999999994</v>
      </c>
      <c r="O746" s="7" t="s">
        <v>613</v>
      </c>
    </row>
    <row r="747" spans="1:15" x14ac:dyDescent="0.25">
      <c r="A747" s="2">
        <f t="shared" si="11"/>
        <v>745</v>
      </c>
      <c r="B747" s="7" t="s">
        <v>3896</v>
      </c>
      <c r="C747" s="7" t="s">
        <v>3897</v>
      </c>
      <c r="D747" s="7" t="s">
        <v>3896</v>
      </c>
      <c r="E747" s="7" t="s">
        <v>50</v>
      </c>
      <c r="F747" s="7" t="s">
        <v>3898</v>
      </c>
      <c r="G747" s="17" t="s">
        <v>7747</v>
      </c>
      <c r="H747" s="7" t="s">
        <v>19</v>
      </c>
      <c r="I747" s="7" t="s">
        <v>1575</v>
      </c>
      <c r="J747" s="7" t="s">
        <v>53</v>
      </c>
      <c r="K747" s="7" t="s">
        <v>54</v>
      </c>
      <c r="L747" s="7" t="s">
        <v>55</v>
      </c>
      <c r="M747" s="7">
        <v>4.0032649999999999</v>
      </c>
      <c r="N747" s="7">
        <v>9.7485979999999994</v>
      </c>
      <c r="O747" s="7" t="s">
        <v>613</v>
      </c>
    </row>
    <row r="748" spans="1:15" x14ac:dyDescent="0.25">
      <c r="A748" s="2">
        <f t="shared" si="11"/>
        <v>746</v>
      </c>
      <c r="B748" s="7" t="s">
        <v>3899</v>
      </c>
      <c r="C748" s="7" t="s">
        <v>3900</v>
      </c>
      <c r="D748" s="7" t="s">
        <v>3899</v>
      </c>
      <c r="E748" s="7" t="s">
        <v>50</v>
      </c>
      <c r="F748" s="7" t="s">
        <v>3901</v>
      </c>
      <c r="G748" s="17" t="s">
        <v>7747</v>
      </c>
      <c r="H748" s="7" t="s">
        <v>28</v>
      </c>
      <c r="I748" s="7" t="s">
        <v>611</v>
      </c>
      <c r="J748" s="7" t="s">
        <v>53</v>
      </c>
      <c r="K748" s="7" t="s">
        <v>612</v>
      </c>
      <c r="L748" s="7" t="s">
        <v>55</v>
      </c>
      <c r="M748" s="7">
        <v>4.0459719999999999</v>
      </c>
      <c r="N748" s="7">
        <v>9.7566109999999995</v>
      </c>
      <c r="O748" s="7" t="s">
        <v>23</v>
      </c>
    </row>
    <row r="749" spans="1:15" x14ac:dyDescent="0.25">
      <c r="A749" s="2">
        <f t="shared" si="11"/>
        <v>747</v>
      </c>
      <c r="B749" s="7" t="s">
        <v>3935</v>
      </c>
      <c r="C749" s="7" t="s">
        <v>3936</v>
      </c>
      <c r="D749" s="7" t="s">
        <v>3935</v>
      </c>
      <c r="E749" s="7" t="s">
        <v>50</v>
      </c>
      <c r="F749" s="7" t="s">
        <v>3937</v>
      </c>
      <c r="G749" s="17" t="s">
        <v>7747</v>
      </c>
      <c r="H749" s="7" t="s">
        <v>28</v>
      </c>
      <c r="I749" s="7" t="s">
        <v>960</v>
      </c>
      <c r="J749" s="7" t="s">
        <v>53</v>
      </c>
      <c r="K749" s="7" t="s">
        <v>628</v>
      </c>
      <c r="L749" s="7" t="s">
        <v>55</v>
      </c>
      <c r="M749" s="7">
        <v>4.0983330000000002</v>
      </c>
      <c r="N749" s="7">
        <v>9.6417219999999997</v>
      </c>
      <c r="O749" s="7" t="s">
        <v>23</v>
      </c>
    </row>
    <row r="750" spans="1:15" x14ac:dyDescent="0.25">
      <c r="A750" s="2">
        <f t="shared" si="11"/>
        <v>748</v>
      </c>
      <c r="B750" s="7" t="s">
        <v>3944</v>
      </c>
      <c r="C750" s="7" t="s">
        <v>3945</v>
      </c>
      <c r="D750" s="7" t="s">
        <v>3944</v>
      </c>
      <c r="E750" s="7" t="s">
        <v>50</v>
      </c>
      <c r="F750" s="7" t="s">
        <v>3946</v>
      </c>
      <c r="G750" s="17" t="s">
        <v>7747</v>
      </c>
      <c r="H750" s="7" t="s">
        <v>28</v>
      </c>
      <c r="I750" s="7" t="s">
        <v>1575</v>
      </c>
      <c r="J750" s="7" t="s">
        <v>53</v>
      </c>
      <c r="K750" s="7" t="s">
        <v>54</v>
      </c>
      <c r="L750" s="7" t="s">
        <v>55</v>
      </c>
      <c r="M750" s="7">
        <v>4.0085290000000002</v>
      </c>
      <c r="N750" s="7">
        <v>9.7568000000000001</v>
      </c>
      <c r="O750" s="7" t="s">
        <v>23</v>
      </c>
    </row>
    <row r="751" spans="1:15" x14ac:dyDescent="0.25">
      <c r="A751" s="2">
        <f t="shared" si="11"/>
        <v>749</v>
      </c>
      <c r="B751" s="7" t="s">
        <v>3962</v>
      </c>
      <c r="C751" s="7" t="s">
        <v>3963</v>
      </c>
      <c r="D751" s="7" t="s">
        <v>3962</v>
      </c>
      <c r="E751" s="7" t="s">
        <v>50</v>
      </c>
      <c r="F751" s="7" t="s">
        <v>3964</v>
      </c>
      <c r="G751" s="17" t="s">
        <v>7747</v>
      </c>
      <c r="H751" s="7" t="s">
        <v>19</v>
      </c>
      <c r="I751" s="7" t="s">
        <v>611</v>
      </c>
      <c r="J751" s="7" t="s">
        <v>53</v>
      </c>
      <c r="K751" s="7" t="s">
        <v>612</v>
      </c>
      <c r="L751" s="7" t="s">
        <v>55</v>
      </c>
      <c r="M751" s="7">
        <v>4.0643060000000002</v>
      </c>
      <c r="N751" s="7">
        <v>9.739611</v>
      </c>
      <c r="O751" s="7" t="s">
        <v>23</v>
      </c>
    </row>
    <row r="752" spans="1:15" x14ac:dyDescent="0.25">
      <c r="A752" s="2">
        <f t="shared" si="11"/>
        <v>750</v>
      </c>
      <c r="B752" s="7" t="s">
        <v>3965</v>
      </c>
      <c r="C752" s="7" t="s">
        <v>3966</v>
      </c>
      <c r="D752" s="7" t="s">
        <v>3965</v>
      </c>
      <c r="E752" s="7" t="s">
        <v>50</v>
      </c>
      <c r="F752" s="7" t="s">
        <v>1329</v>
      </c>
      <c r="G752" s="17" t="s">
        <v>7747</v>
      </c>
      <c r="H752" s="7" t="s">
        <v>19</v>
      </c>
      <c r="I752" s="7" t="s">
        <v>1471</v>
      </c>
      <c r="J752" s="7" t="s">
        <v>53</v>
      </c>
      <c r="K752" s="7" t="s">
        <v>612</v>
      </c>
      <c r="L752" s="7" t="s">
        <v>55</v>
      </c>
      <c r="M752" s="7">
        <v>4.0555199999999996</v>
      </c>
      <c r="N752" s="7">
        <v>9.7501899999999999</v>
      </c>
      <c r="O752" s="7" t="s">
        <v>23</v>
      </c>
    </row>
    <row r="753" spans="1:15" x14ac:dyDescent="0.25">
      <c r="A753" s="2">
        <f t="shared" si="11"/>
        <v>751</v>
      </c>
      <c r="B753" s="7" t="s">
        <v>3967</v>
      </c>
      <c r="C753" s="7" t="s">
        <v>3968</v>
      </c>
      <c r="D753" s="7" t="s">
        <v>3967</v>
      </c>
      <c r="E753" s="7" t="s">
        <v>50</v>
      </c>
      <c r="F753" s="7" t="s">
        <v>3969</v>
      </c>
      <c r="G753" s="17" t="s">
        <v>7747</v>
      </c>
      <c r="H753" s="7" t="s">
        <v>28</v>
      </c>
      <c r="I753" s="7" t="s">
        <v>1471</v>
      </c>
      <c r="J753" s="7" t="s">
        <v>53</v>
      </c>
      <c r="K753" s="7" t="s">
        <v>612</v>
      </c>
      <c r="L753" s="7" t="s">
        <v>55</v>
      </c>
      <c r="M753" s="7">
        <v>4.0581670000000001</v>
      </c>
      <c r="N753" s="7">
        <v>9.7544439999999994</v>
      </c>
      <c r="O753" s="7" t="s">
        <v>23</v>
      </c>
    </row>
    <row r="754" spans="1:15" x14ac:dyDescent="0.25">
      <c r="A754" s="2">
        <f t="shared" si="11"/>
        <v>752</v>
      </c>
      <c r="B754" s="7" t="s">
        <v>3970</v>
      </c>
      <c r="C754" s="7" t="s">
        <v>3971</v>
      </c>
      <c r="D754" s="7" t="s">
        <v>3970</v>
      </c>
      <c r="E754" s="7" t="s">
        <v>50</v>
      </c>
      <c r="F754" s="7" t="s">
        <v>3972</v>
      </c>
      <c r="G754" s="17" t="s">
        <v>7747</v>
      </c>
      <c r="H754" s="7" t="s">
        <v>19</v>
      </c>
      <c r="I754" s="7" t="s">
        <v>1471</v>
      </c>
      <c r="J754" s="7" t="s">
        <v>53</v>
      </c>
      <c r="K754" s="7" t="s">
        <v>612</v>
      </c>
      <c r="L754" s="7" t="s">
        <v>55</v>
      </c>
      <c r="M754" s="7">
        <v>4.0759999999999996</v>
      </c>
      <c r="N754" s="7">
        <v>9.7308800000000009</v>
      </c>
      <c r="O754" s="7" t="s">
        <v>23</v>
      </c>
    </row>
    <row r="755" spans="1:15" x14ac:dyDescent="0.25">
      <c r="A755" s="2">
        <f t="shared" si="11"/>
        <v>753</v>
      </c>
      <c r="B755" s="7" t="s">
        <v>3973</v>
      </c>
      <c r="C755" s="7" t="s">
        <v>3974</v>
      </c>
      <c r="D755" s="7" t="s">
        <v>3973</v>
      </c>
      <c r="E755" s="7" t="s">
        <v>50</v>
      </c>
      <c r="F755" s="7" t="s">
        <v>3975</v>
      </c>
      <c r="G755" s="17" t="s">
        <v>7747</v>
      </c>
      <c r="H755" s="7" t="s">
        <v>28</v>
      </c>
      <c r="I755" s="7" t="s">
        <v>1329</v>
      </c>
      <c r="J755" s="7" t="s">
        <v>53</v>
      </c>
      <c r="K755" s="7" t="s">
        <v>54</v>
      </c>
      <c r="L755" s="7" t="s">
        <v>55</v>
      </c>
      <c r="M755" s="7">
        <v>4.0352699999999997</v>
      </c>
      <c r="N755" s="7">
        <v>9.7702600000000004</v>
      </c>
      <c r="O755" s="7" t="s">
        <v>23</v>
      </c>
    </row>
    <row r="756" spans="1:15" x14ac:dyDescent="0.25">
      <c r="A756" s="2">
        <f t="shared" si="11"/>
        <v>754</v>
      </c>
      <c r="B756" s="7" t="s">
        <v>3979</v>
      </c>
      <c r="C756" s="7" t="s">
        <v>3980</v>
      </c>
      <c r="D756" s="7" t="s">
        <v>3979</v>
      </c>
      <c r="E756" s="7" t="s">
        <v>50</v>
      </c>
      <c r="F756" s="7" t="s">
        <v>3981</v>
      </c>
      <c r="G756" s="17" t="s">
        <v>7747</v>
      </c>
      <c r="H756" s="7" t="s">
        <v>19</v>
      </c>
      <c r="I756" s="7" t="s">
        <v>52</v>
      </c>
      <c r="J756" s="7" t="s">
        <v>53</v>
      </c>
      <c r="K756" s="7" t="s">
        <v>54</v>
      </c>
      <c r="L756" s="7" t="s">
        <v>55</v>
      </c>
      <c r="M756" s="7">
        <v>3.9927220000000001</v>
      </c>
      <c r="N756" s="7">
        <v>9.7871670000000002</v>
      </c>
      <c r="O756" s="7" t="s">
        <v>23</v>
      </c>
    </row>
    <row r="757" spans="1:15" x14ac:dyDescent="0.25">
      <c r="A757" s="2">
        <f t="shared" si="11"/>
        <v>755</v>
      </c>
      <c r="B757" s="7" t="s">
        <v>3988</v>
      </c>
      <c r="C757" s="7" t="s">
        <v>3989</v>
      </c>
      <c r="D757" s="7" t="s">
        <v>3988</v>
      </c>
      <c r="E757" s="7" t="s">
        <v>50</v>
      </c>
      <c r="F757" s="7" t="s">
        <v>3990</v>
      </c>
      <c r="G757" s="17" t="s">
        <v>7747</v>
      </c>
      <c r="H757" s="7" t="s">
        <v>28</v>
      </c>
      <c r="I757" s="7" t="s">
        <v>1478</v>
      </c>
      <c r="J757" s="7" t="s">
        <v>53</v>
      </c>
      <c r="K757" s="7" t="s">
        <v>612</v>
      </c>
      <c r="L757" s="7" t="s">
        <v>55</v>
      </c>
      <c r="M757" s="7">
        <v>4.0889150000000001</v>
      </c>
      <c r="N757" s="7">
        <v>9.7425529999999991</v>
      </c>
      <c r="O757" s="7" t="s">
        <v>613</v>
      </c>
    </row>
    <row r="758" spans="1:15" x14ac:dyDescent="0.25">
      <c r="A758" s="2">
        <f t="shared" si="11"/>
        <v>756</v>
      </c>
      <c r="B758" s="7" t="s">
        <v>3991</v>
      </c>
      <c r="C758" s="7" t="s">
        <v>3992</v>
      </c>
      <c r="D758" s="7" t="s">
        <v>3991</v>
      </c>
      <c r="E758" s="7" t="s">
        <v>50</v>
      </c>
      <c r="F758" s="7" t="s">
        <v>3993</v>
      </c>
      <c r="G758" s="17" t="s">
        <v>7747</v>
      </c>
      <c r="H758" s="7" t="s">
        <v>19</v>
      </c>
      <c r="I758" s="7" t="s">
        <v>1958</v>
      </c>
      <c r="J758" s="7" t="s">
        <v>53</v>
      </c>
      <c r="K758" s="7" t="s">
        <v>1404</v>
      </c>
      <c r="L758" s="7" t="s">
        <v>55</v>
      </c>
      <c r="M758" s="7">
        <v>4.0548900000000003</v>
      </c>
      <c r="N758" s="7">
        <v>9.7060499999999994</v>
      </c>
      <c r="O758" s="7" t="s">
        <v>613</v>
      </c>
    </row>
    <row r="759" spans="1:15" x14ac:dyDescent="0.25">
      <c r="A759" s="2">
        <f t="shared" si="11"/>
        <v>757</v>
      </c>
      <c r="B759" s="7" t="s">
        <v>4052</v>
      </c>
      <c r="C759" s="7" t="s">
        <v>4053</v>
      </c>
      <c r="D759" s="7" t="s">
        <v>4052</v>
      </c>
      <c r="E759" s="7" t="s">
        <v>50</v>
      </c>
      <c r="F759" s="7" t="s">
        <v>4054</v>
      </c>
      <c r="G759" s="17" t="s">
        <v>7747</v>
      </c>
      <c r="H759" s="7" t="s">
        <v>28</v>
      </c>
      <c r="I759" s="7" t="s">
        <v>1516</v>
      </c>
      <c r="J759" s="7" t="s">
        <v>53</v>
      </c>
      <c r="K759" s="7" t="s">
        <v>54</v>
      </c>
      <c r="L759" s="7" t="s">
        <v>55</v>
      </c>
      <c r="M759" s="7">
        <v>4.0839749999999997</v>
      </c>
      <c r="N759" s="7">
        <v>9.7950949999999999</v>
      </c>
      <c r="O759" s="7" t="s">
        <v>613</v>
      </c>
    </row>
    <row r="760" spans="1:15" x14ac:dyDescent="0.25">
      <c r="A760" s="2">
        <f t="shared" si="11"/>
        <v>758</v>
      </c>
      <c r="B760" s="7" t="s">
        <v>4191</v>
      </c>
      <c r="C760" s="7" t="s">
        <v>4192</v>
      </c>
      <c r="D760" s="7" t="s">
        <v>4191</v>
      </c>
      <c r="E760" s="7" t="s">
        <v>50</v>
      </c>
      <c r="F760" s="7" t="s">
        <v>4193</v>
      </c>
      <c r="G760" s="17" t="s">
        <v>7747</v>
      </c>
      <c r="H760" s="7" t="s">
        <v>28</v>
      </c>
      <c r="I760" s="7" t="s">
        <v>1575</v>
      </c>
      <c r="J760" s="7" t="s">
        <v>53</v>
      </c>
      <c r="K760" s="7" t="s">
        <v>54</v>
      </c>
      <c r="L760" s="7" t="s">
        <v>55</v>
      </c>
      <c r="M760" s="7">
        <v>4.0102320000000002</v>
      </c>
      <c r="N760" s="7">
        <v>9.7327320000000004</v>
      </c>
      <c r="O760" s="7" t="s">
        <v>613</v>
      </c>
    </row>
    <row r="761" spans="1:15" x14ac:dyDescent="0.25">
      <c r="A761" s="2">
        <f t="shared" si="11"/>
        <v>759</v>
      </c>
      <c r="B761" s="7" t="s">
        <v>4194</v>
      </c>
      <c r="C761" s="7" t="s">
        <v>4195</v>
      </c>
      <c r="D761" s="7" t="s">
        <v>4194</v>
      </c>
      <c r="E761" s="7" t="s">
        <v>50</v>
      </c>
      <c r="F761" s="7" t="s">
        <v>4196</v>
      </c>
      <c r="G761" s="17" t="s">
        <v>7747</v>
      </c>
      <c r="H761" s="7" t="s">
        <v>19</v>
      </c>
      <c r="I761" s="7" t="s">
        <v>1958</v>
      </c>
      <c r="J761" s="7" t="s">
        <v>53</v>
      </c>
      <c r="K761" s="7" t="s">
        <v>1404</v>
      </c>
      <c r="L761" s="7" t="s">
        <v>55</v>
      </c>
      <c r="M761" s="7">
        <v>4.0474899999999998</v>
      </c>
      <c r="N761" s="7">
        <v>9.7120700000000006</v>
      </c>
      <c r="O761" s="7" t="s">
        <v>613</v>
      </c>
    </row>
    <row r="762" spans="1:15" x14ac:dyDescent="0.25">
      <c r="A762" s="2">
        <f t="shared" si="11"/>
        <v>760</v>
      </c>
      <c r="B762" s="7" t="s">
        <v>4197</v>
      </c>
      <c r="C762" s="7" t="s">
        <v>4198</v>
      </c>
      <c r="D762" s="7" t="s">
        <v>4197</v>
      </c>
      <c r="E762" s="7" t="s">
        <v>50</v>
      </c>
      <c r="F762" s="7" t="s">
        <v>4199</v>
      </c>
      <c r="G762" s="17" t="s">
        <v>7747</v>
      </c>
      <c r="H762" s="7" t="s">
        <v>28</v>
      </c>
      <c r="I762" s="7" t="s">
        <v>960</v>
      </c>
      <c r="J762" s="7" t="s">
        <v>53</v>
      </c>
      <c r="K762" s="7" t="s">
        <v>628</v>
      </c>
      <c r="L762" s="7" t="s">
        <v>55</v>
      </c>
      <c r="M762" s="7">
        <v>4.1163660000000002</v>
      </c>
      <c r="N762" s="7">
        <v>9.6583240000000004</v>
      </c>
      <c r="O762" s="7" t="s">
        <v>23</v>
      </c>
    </row>
    <row r="763" spans="1:15" x14ac:dyDescent="0.25">
      <c r="A763" s="2">
        <f t="shared" si="11"/>
        <v>761</v>
      </c>
      <c r="B763" s="7" t="s">
        <v>4200</v>
      </c>
      <c r="C763" s="7" t="s">
        <v>4201</v>
      </c>
      <c r="D763" s="7" t="s">
        <v>4200</v>
      </c>
      <c r="E763" s="7" t="s">
        <v>50</v>
      </c>
      <c r="F763" s="7" t="s">
        <v>4202</v>
      </c>
      <c r="G763" s="17" t="s">
        <v>7747</v>
      </c>
      <c r="H763" s="7" t="s">
        <v>28</v>
      </c>
      <c r="I763" s="7" t="s">
        <v>1478</v>
      </c>
      <c r="J763" s="7" t="s">
        <v>53</v>
      </c>
      <c r="K763" s="7" t="s">
        <v>612</v>
      </c>
      <c r="L763" s="7" t="s">
        <v>55</v>
      </c>
      <c r="M763" s="7">
        <v>4.0949210000000003</v>
      </c>
      <c r="N763" s="7">
        <v>9.7414900000000006</v>
      </c>
      <c r="O763" s="7" t="s">
        <v>613</v>
      </c>
    </row>
    <row r="764" spans="1:15" x14ac:dyDescent="0.25">
      <c r="A764" s="2">
        <f t="shared" si="11"/>
        <v>762</v>
      </c>
      <c r="B764" s="7" t="s">
        <v>4203</v>
      </c>
      <c r="C764" s="7" t="s">
        <v>4204</v>
      </c>
      <c r="D764" s="7" t="s">
        <v>4203</v>
      </c>
      <c r="E764" s="7" t="s">
        <v>50</v>
      </c>
      <c r="F764" s="7" t="s">
        <v>1575</v>
      </c>
      <c r="G764" s="17" t="s">
        <v>7747</v>
      </c>
      <c r="H764" s="7" t="s">
        <v>28</v>
      </c>
      <c r="I764" s="7" t="s">
        <v>1575</v>
      </c>
      <c r="J764" s="7" t="s">
        <v>53</v>
      </c>
      <c r="K764" s="7" t="s">
        <v>54</v>
      </c>
      <c r="L764" s="7" t="s">
        <v>55</v>
      </c>
      <c r="M764" s="7">
        <v>4.0168900000000001</v>
      </c>
      <c r="N764" s="7">
        <v>9.7467419999999994</v>
      </c>
      <c r="O764" s="7" t="s">
        <v>613</v>
      </c>
    </row>
    <row r="765" spans="1:15" x14ac:dyDescent="0.25">
      <c r="A765" s="2">
        <f t="shared" si="11"/>
        <v>763</v>
      </c>
      <c r="B765" s="7" t="s">
        <v>4208</v>
      </c>
      <c r="C765" s="7" t="s">
        <v>4209</v>
      </c>
      <c r="D765" s="7" t="s">
        <v>4208</v>
      </c>
      <c r="E765" s="7" t="s">
        <v>50</v>
      </c>
      <c r="F765" s="7" t="s">
        <v>4210</v>
      </c>
      <c r="G765" s="17" t="s">
        <v>7747</v>
      </c>
      <c r="H765" s="7" t="s">
        <v>28</v>
      </c>
      <c r="I765" s="7" t="s">
        <v>1329</v>
      </c>
      <c r="J765" s="7" t="s">
        <v>53</v>
      </c>
      <c r="K765" s="7" t="s">
        <v>54</v>
      </c>
      <c r="L765" s="7" t="s">
        <v>55</v>
      </c>
      <c r="M765" s="7">
        <v>4.0418060000000002</v>
      </c>
      <c r="N765" s="7">
        <v>9.7399170000000002</v>
      </c>
      <c r="O765" s="7" t="s">
        <v>23</v>
      </c>
    </row>
    <row r="766" spans="1:15" x14ac:dyDescent="0.25">
      <c r="A766" s="2">
        <f t="shared" si="11"/>
        <v>764</v>
      </c>
      <c r="B766" s="7" t="s">
        <v>4211</v>
      </c>
      <c r="C766" s="7" t="s">
        <v>4212</v>
      </c>
      <c r="D766" s="7" t="s">
        <v>4211</v>
      </c>
      <c r="E766" s="7" t="s">
        <v>50</v>
      </c>
      <c r="F766" s="7" t="s">
        <v>4213</v>
      </c>
      <c r="G766" s="17" t="s">
        <v>7747</v>
      </c>
      <c r="H766" s="7" t="s">
        <v>28</v>
      </c>
      <c r="I766" s="7" t="s">
        <v>611</v>
      </c>
      <c r="J766" s="7" t="s">
        <v>53</v>
      </c>
      <c r="K766" s="7" t="s">
        <v>612</v>
      </c>
      <c r="L766" s="7" t="s">
        <v>55</v>
      </c>
      <c r="M766" s="7">
        <v>4.0797230000000004</v>
      </c>
      <c r="N766" s="7">
        <v>9.7656340000000004</v>
      </c>
      <c r="O766" s="7" t="s">
        <v>613</v>
      </c>
    </row>
    <row r="767" spans="1:15" x14ac:dyDescent="0.25">
      <c r="A767" s="2">
        <f t="shared" si="11"/>
        <v>765</v>
      </c>
      <c r="B767" s="7" t="s">
        <v>4214</v>
      </c>
      <c r="C767" s="7" t="s">
        <v>4215</v>
      </c>
      <c r="D767" s="7" t="s">
        <v>4214</v>
      </c>
      <c r="E767" s="7" t="s">
        <v>50</v>
      </c>
      <c r="F767" s="7" t="s">
        <v>4216</v>
      </c>
      <c r="G767" s="17" t="s">
        <v>7747</v>
      </c>
      <c r="H767" s="7" t="s">
        <v>28</v>
      </c>
      <c r="I767" s="7" t="s">
        <v>611</v>
      </c>
      <c r="J767" s="7" t="s">
        <v>53</v>
      </c>
      <c r="K767" s="7" t="s">
        <v>612</v>
      </c>
      <c r="L767" s="7" t="s">
        <v>55</v>
      </c>
      <c r="M767" s="7">
        <v>4.0473889999999999</v>
      </c>
      <c r="N767" s="7">
        <v>9.7568330000000003</v>
      </c>
      <c r="O767" s="7" t="s">
        <v>23</v>
      </c>
    </row>
    <row r="768" spans="1:15" x14ac:dyDescent="0.25">
      <c r="A768" s="2">
        <f t="shared" si="11"/>
        <v>766</v>
      </c>
      <c r="B768" s="7" t="s">
        <v>4217</v>
      </c>
      <c r="C768" s="7" t="s">
        <v>4218</v>
      </c>
      <c r="D768" s="7" t="s">
        <v>4217</v>
      </c>
      <c r="E768" s="7" t="s">
        <v>50</v>
      </c>
      <c r="F768" s="7" t="s">
        <v>4219</v>
      </c>
      <c r="G768" s="17" t="s">
        <v>7747</v>
      </c>
      <c r="H768" s="7" t="s">
        <v>28</v>
      </c>
      <c r="I768" s="7" t="s">
        <v>960</v>
      </c>
      <c r="J768" s="7" t="s">
        <v>53</v>
      </c>
      <c r="K768" s="7" t="s">
        <v>628</v>
      </c>
      <c r="L768" s="7" t="s">
        <v>55</v>
      </c>
      <c r="M768" s="7">
        <v>4.0861879999999999</v>
      </c>
      <c r="N768" s="7">
        <v>9.6639330000000001</v>
      </c>
      <c r="O768" s="7" t="s">
        <v>23</v>
      </c>
    </row>
    <row r="769" spans="1:15" x14ac:dyDescent="0.25">
      <c r="A769" s="2">
        <f t="shared" si="11"/>
        <v>767</v>
      </c>
      <c r="B769" s="7" t="s">
        <v>4220</v>
      </c>
      <c r="C769" s="7" t="s">
        <v>4221</v>
      </c>
      <c r="D769" s="7" t="s">
        <v>4220</v>
      </c>
      <c r="E769" s="7" t="s">
        <v>50</v>
      </c>
      <c r="F769" s="7" t="s">
        <v>4222</v>
      </c>
      <c r="G769" s="17" t="s">
        <v>7747</v>
      </c>
      <c r="H769" s="7" t="s">
        <v>28</v>
      </c>
      <c r="I769" s="7" t="s">
        <v>1958</v>
      </c>
      <c r="J769" s="7" t="s">
        <v>53</v>
      </c>
      <c r="K769" s="7" t="s">
        <v>628</v>
      </c>
      <c r="L769" s="7" t="s">
        <v>55</v>
      </c>
      <c r="M769" s="7">
        <v>4.0706110000000004</v>
      </c>
      <c r="N769" s="7">
        <v>9.7181390000000007</v>
      </c>
      <c r="O769" s="7" t="s">
        <v>613</v>
      </c>
    </row>
    <row r="770" spans="1:15" x14ac:dyDescent="0.25">
      <c r="A770" s="2">
        <f t="shared" si="11"/>
        <v>768</v>
      </c>
      <c r="B770" s="7" t="s">
        <v>4223</v>
      </c>
      <c r="C770" s="7" t="s">
        <v>4224</v>
      </c>
      <c r="D770" s="7" t="s">
        <v>4223</v>
      </c>
      <c r="E770" s="7" t="s">
        <v>50</v>
      </c>
      <c r="F770" s="7" t="s">
        <v>4225</v>
      </c>
      <c r="G770" s="17" t="s">
        <v>7747</v>
      </c>
      <c r="H770" s="7" t="s">
        <v>28</v>
      </c>
      <c r="I770" s="7" t="s">
        <v>1575</v>
      </c>
      <c r="J770" s="7" t="s">
        <v>53</v>
      </c>
      <c r="K770" s="7" t="s">
        <v>54</v>
      </c>
      <c r="L770" s="7" t="s">
        <v>55</v>
      </c>
      <c r="M770" s="7">
        <v>4.0024629999999997</v>
      </c>
      <c r="N770" s="7">
        <v>9.7451690000000006</v>
      </c>
      <c r="O770" s="7" t="s">
        <v>23</v>
      </c>
    </row>
    <row r="771" spans="1:15" x14ac:dyDescent="0.25">
      <c r="A771" s="2">
        <f t="shared" si="11"/>
        <v>769</v>
      </c>
      <c r="B771" s="7" t="s">
        <v>4354</v>
      </c>
      <c r="C771" s="7" t="s">
        <v>4355</v>
      </c>
      <c r="D771" s="7" t="s">
        <v>4354</v>
      </c>
      <c r="E771" s="7" t="s">
        <v>50</v>
      </c>
      <c r="F771" s="7" t="s">
        <v>4356</v>
      </c>
      <c r="G771" s="17" t="s">
        <v>7747</v>
      </c>
      <c r="H771" s="7" t="s">
        <v>28</v>
      </c>
      <c r="I771" s="7" t="s">
        <v>52</v>
      </c>
      <c r="J771" s="7" t="s">
        <v>53</v>
      </c>
      <c r="K771" s="7" t="s">
        <v>54</v>
      </c>
      <c r="L771" s="7" t="s">
        <v>55</v>
      </c>
      <c r="M771" s="7">
        <v>3.9973610000000002</v>
      </c>
      <c r="N771" s="7">
        <v>9.7638060000000007</v>
      </c>
      <c r="O771" s="7" t="s">
        <v>23</v>
      </c>
    </row>
    <row r="772" spans="1:15" x14ac:dyDescent="0.25">
      <c r="A772" s="2">
        <f t="shared" si="11"/>
        <v>770</v>
      </c>
      <c r="B772" s="7" t="s">
        <v>4357</v>
      </c>
      <c r="C772" s="7" t="s">
        <v>4358</v>
      </c>
      <c r="D772" s="7" t="s">
        <v>4357</v>
      </c>
      <c r="E772" s="7" t="s">
        <v>50</v>
      </c>
      <c r="F772" s="7" t="s">
        <v>4359</v>
      </c>
      <c r="G772" s="17" t="s">
        <v>7747</v>
      </c>
      <c r="H772" s="7" t="s">
        <v>19</v>
      </c>
      <c r="I772" s="7" t="s">
        <v>1575</v>
      </c>
      <c r="J772" s="7" t="s">
        <v>53</v>
      </c>
      <c r="K772" s="7" t="s">
        <v>54</v>
      </c>
      <c r="L772" s="7" t="s">
        <v>55</v>
      </c>
      <c r="M772" s="7">
        <v>4.0325100000000003</v>
      </c>
      <c r="N772" s="7">
        <v>9.7254339999999999</v>
      </c>
      <c r="O772" s="7" t="s">
        <v>613</v>
      </c>
    </row>
    <row r="773" spans="1:15" x14ac:dyDescent="0.25">
      <c r="A773" s="2">
        <f t="shared" ref="A773:A836" si="12">+A772+1</f>
        <v>771</v>
      </c>
      <c r="B773" s="7" t="s">
        <v>4360</v>
      </c>
      <c r="C773" s="7" t="s">
        <v>4361</v>
      </c>
      <c r="D773" s="7" t="s">
        <v>4360</v>
      </c>
      <c r="E773" s="7" t="s">
        <v>50</v>
      </c>
      <c r="F773" s="7" t="s">
        <v>4362</v>
      </c>
      <c r="G773" s="17" t="s">
        <v>7747</v>
      </c>
      <c r="H773" s="7" t="s">
        <v>28</v>
      </c>
      <c r="I773" s="7" t="s">
        <v>611</v>
      </c>
      <c r="J773" s="7" t="s">
        <v>53</v>
      </c>
      <c r="K773" s="7" t="s">
        <v>612</v>
      </c>
      <c r="L773" s="7" t="s">
        <v>55</v>
      </c>
      <c r="M773" s="7">
        <v>4.0866300000000004</v>
      </c>
      <c r="N773" s="7">
        <v>9.7660099999999996</v>
      </c>
      <c r="O773" s="7" t="s">
        <v>613</v>
      </c>
    </row>
    <row r="774" spans="1:15" x14ac:dyDescent="0.25">
      <c r="A774" s="2">
        <f t="shared" si="12"/>
        <v>772</v>
      </c>
      <c r="B774" s="7" t="s">
        <v>4363</v>
      </c>
      <c r="C774" s="7" t="s">
        <v>4364</v>
      </c>
      <c r="D774" s="7" t="s">
        <v>4363</v>
      </c>
      <c r="E774" s="7" t="s">
        <v>50</v>
      </c>
      <c r="F774" s="7" t="s">
        <v>4365</v>
      </c>
      <c r="G774" s="17" t="s">
        <v>7747</v>
      </c>
      <c r="H774" s="7" t="s">
        <v>28</v>
      </c>
      <c r="I774" s="7" t="s">
        <v>1403</v>
      </c>
      <c r="J774" s="7" t="s">
        <v>53</v>
      </c>
      <c r="K774" s="7" t="s">
        <v>1404</v>
      </c>
      <c r="L774" s="7" t="s">
        <v>55</v>
      </c>
      <c r="M774" s="7">
        <v>4.0082870000000002</v>
      </c>
      <c r="N774" s="7">
        <v>9.7011719999999997</v>
      </c>
      <c r="O774" s="7" t="s">
        <v>23</v>
      </c>
    </row>
    <row r="775" spans="1:15" x14ac:dyDescent="0.25">
      <c r="A775" s="2">
        <f t="shared" si="12"/>
        <v>773</v>
      </c>
      <c r="B775" s="7" t="s">
        <v>4366</v>
      </c>
      <c r="C775" s="7" t="s">
        <v>4367</v>
      </c>
      <c r="D775" s="7" t="s">
        <v>4366</v>
      </c>
      <c r="E775" s="7" t="s">
        <v>34</v>
      </c>
      <c r="F775" s="7" t="s">
        <v>1720</v>
      </c>
      <c r="G775" s="17" t="s">
        <v>7747</v>
      </c>
      <c r="H775" s="7" t="s">
        <v>28</v>
      </c>
      <c r="I775" s="7" t="s">
        <v>356</v>
      </c>
      <c r="J775" s="7" t="s">
        <v>152</v>
      </c>
      <c r="K775" s="7" t="s">
        <v>1721</v>
      </c>
      <c r="L775" s="7" t="s">
        <v>55</v>
      </c>
      <c r="M775" s="7">
        <v>4.1803800000000004</v>
      </c>
      <c r="N775" s="7">
        <v>9.662623</v>
      </c>
      <c r="O775" s="7" t="s">
        <v>23</v>
      </c>
    </row>
    <row r="776" spans="1:15" x14ac:dyDescent="0.25">
      <c r="A776" s="2">
        <f t="shared" si="12"/>
        <v>774</v>
      </c>
      <c r="B776" s="7" t="s">
        <v>4382</v>
      </c>
      <c r="C776" s="7" t="s">
        <v>4383</v>
      </c>
      <c r="D776" s="7" t="s">
        <v>4382</v>
      </c>
      <c r="E776" s="7" t="s">
        <v>50</v>
      </c>
      <c r="F776" s="7" t="s">
        <v>4384</v>
      </c>
      <c r="G776" s="17" t="s">
        <v>7747</v>
      </c>
      <c r="H776" s="7" t="s">
        <v>19</v>
      </c>
      <c r="I776" s="7" t="s">
        <v>1329</v>
      </c>
      <c r="J776" s="7" t="s">
        <v>53</v>
      </c>
      <c r="K776" s="7" t="s">
        <v>4385</v>
      </c>
      <c r="L776" s="7" t="s">
        <v>55</v>
      </c>
      <c r="M776" s="7">
        <v>4.0344439999999997</v>
      </c>
      <c r="N776" s="7">
        <v>9.7480279999999997</v>
      </c>
      <c r="O776" s="7" t="s">
        <v>23</v>
      </c>
    </row>
    <row r="777" spans="1:15" x14ac:dyDescent="0.25">
      <c r="A777" s="2">
        <f t="shared" si="12"/>
        <v>775</v>
      </c>
      <c r="B777" s="7" t="s">
        <v>4403</v>
      </c>
      <c r="C777" s="7" t="s">
        <v>4404</v>
      </c>
      <c r="D777" s="7" t="s">
        <v>4403</v>
      </c>
      <c r="E777" s="7" t="s">
        <v>50</v>
      </c>
      <c r="F777" s="7" t="s">
        <v>4405</v>
      </c>
      <c r="G777" s="17" t="s">
        <v>7747</v>
      </c>
      <c r="H777" s="7" t="s">
        <v>28</v>
      </c>
      <c r="I777" s="7" t="s">
        <v>1329</v>
      </c>
      <c r="J777" s="7" t="s">
        <v>53</v>
      </c>
      <c r="K777" s="7" t="s">
        <v>54</v>
      </c>
      <c r="L777" s="7" t="s">
        <v>55</v>
      </c>
      <c r="M777" s="7">
        <v>4.0383420000000001</v>
      </c>
      <c r="N777" s="7">
        <v>9.7410110000000003</v>
      </c>
      <c r="O777" s="7" t="s">
        <v>23</v>
      </c>
    </row>
    <row r="778" spans="1:15" x14ac:dyDescent="0.25">
      <c r="A778" s="2">
        <f t="shared" si="12"/>
        <v>776</v>
      </c>
      <c r="B778" s="7" t="s">
        <v>4415</v>
      </c>
      <c r="C778" s="7" t="s">
        <v>4416</v>
      </c>
      <c r="D778" s="7" t="s">
        <v>4415</v>
      </c>
      <c r="E778" s="7" t="s">
        <v>50</v>
      </c>
      <c r="F778" s="7" t="s">
        <v>4417</v>
      </c>
      <c r="G778" s="17" t="s">
        <v>7747</v>
      </c>
      <c r="H778" s="7" t="s">
        <v>28</v>
      </c>
      <c r="I778" s="7" t="s">
        <v>1958</v>
      </c>
      <c r="J778" s="7" t="s">
        <v>53</v>
      </c>
      <c r="K778" s="7" t="s">
        <v>54</v>
      </c>
      <c r="L778" s="7" t="s">
        <v>55</v>
      </c>
      <c r="M778" s="7">
        <v>4.0565559999999996</v>
      </c>
      <c r="N778" s="7">
        <v>9.7115279999999995</v>
      </c>
      <c r="O778" s="7" t="s">
        <v>613</v>
      </c>
    </row>
    <row r="779" spans="1:15" x14ac:dyDescent="0.25">
      <c r="A779" s="2">
        <f t="shared" si="12"/>
        <v>777</v>
      </c>
      <c r="B779" s="7" t="s">
        <v>4425</v>
      </c>
      <c r="C779" s="7" t="s">
        <v>4426</v>
      </c>
      <c r="D779" s="7" t="s">
        <v>4425</v>
      </c>
      <c r="E779" s="7" t="s">
        <v>50</v>
      </c>
      <c r="F779" s="7" t="s">
        <v>4427</v>
      </c>
      <c r="G779" s="17" t="s">
        <v>7747</v>
      </c>
      <c r="H779" s="7" t="s">
        <v>28</v>
      </c>
      <c r="I779" s="7" t="s">
        <v>627</v>
      </c>
      <c r="J779" s="7" t="s">
        <v>53</v>
      </c>
      <c r="K779" s="7" t="s">
        <v>628</v>
      </c>
      <c r="L779" s="7" t="s">
        <v>55</v>
      </c>
      <c r="M779" s="7">
        <v>4.0744999999999996</v>
      </c>
      <c r="N779" s="7">
        <v>9.6761599999999994</v>
      </c>
      <c r="O779" s="7" t="s">
        <v>23</v>
      </c>
    </row>
    <row r="780" spans="1:15" x14ac:dyDescent="0.25">
      <c r="A780" s="2">
        <f t="shared" si="12"/>
        <v>778</v>
      </c>
      <c r="B780" s="7" t="s">
        <v>4450</v>
      </c>
      <c r="C780" s="7" t="s">
        <v>4451</v>
      </c>
      <c r="D780" s="7" t="s">
        <v>4450</v>
      </c>
      <c r="E780" s="7" t="s">
        <v>50</v>
      </c>
      <c r="F780" s="7" t="s">
        <v>4452</v>
      </c>
      <c r="G780" s="17" t="s">
        <v>7747</v>
      </c>
      <c r="H780" s="7" t="s">
        <v>28</v>
      </c>
      <c r="I780" s="7" t="s">
        <v>2024</v>
      </c>
      <c r="J780" s="7" t="s">
        <v>53</v>
      </c>
      <c r="K780" s="7" t="s">
        <v>2213</v>
      </c>
      <c r="L780" s="7" t="s">
        <v>55</v>
      </c>
      <c r="M780" s="7">
        <v>4.0422399999999996</v>
      </c>
      <c r="N780" s="7">
        <v>9.7153299999999998</v>
      </c>
      <c r="O780" s="7" t="s">
        <v>613</v>
      </c>
    </row>
    <row r="781" spans="1:15" x14ac:dyDescent="0.25">
      <c r="A781" s="2">
        <f t="shared" si="12"/>
        <v>779</v>
      </c>
      <c r="B781" s="7" t="s">
        <v>4459</v>
      </c>
      <c r="C781" s="7" t="s">
        <v>4460</v>
      </c>
      <c r="D781" s="7" t="s">
        <v>4459</v>
      </c>
      <c r="E781" s="7" t="s">
        <v>50</v>
      </c>
      <c r="F781" s="7" t="s">
        <v>4461</v>
      </c>
      <c r="G781" s="17" t="s">
        <v>7747</v>
      </c>
      <c r="H781" s="7" t="s">
        <v>28</v>
      </c>
      <c r="I781" s="7" t="s">
        <v>1471</v>
      </c>
      <c r="J781" s="7" t="s">
        <v>53</v>
      </c>
      <c r="K781" s="7" t="s">
        <v>612</v>
      </c>
      <c r="L781" s="7" t="s">
        <v>55</v>
      </c>
      <c r="M781" s="7">
        <v>4.0772599999999999</v>
      </c>
      <c r="N781" s="7">
        <v>9.7233499999999999</v>
      </c>
      <c r="O781" s="7" t="s">
        <v>613</v>
      </c>
    </row>
    <row r="782" spans="1:15" x14ac:dyDescent="0.25">
      <c r="A782" s="2">
        <f t="shared" si="12"/>
        <v>780</v>
      </c>
      <c r="B782" s="7" t="s">
        <v>4468</v>
      </c>
      <c r="C782" s="7" t="s">
        <v>4469</v>
      </c>
      <c r="D782" s="7" t="s">
        <v>4468</v>
      </c>
      <c r="E782" s="7" t="s">
        <v>50</v>
      </c>
      <c r="F782" s="7" t="s">
        <v>4470</v>
      </c>
      <c r="G782" s="17" t="s">
        <v>7747</v>
      </c>
      <c r="H782" s="7" t="s">
        <v>28</v>
      </c>
      <c r="I782" s="7" t="s">
        <v>1575</v>
      </c>
      <c r="J782" s="7" t="s">
        <v>53</v>
      </c>
      <c r="K782" s="7" t="s">
        <v>54</v>
      </c>
      <c r="L782" s="7" t="s">
        <v>55</v>
      </c>
      <c r="M782" s="7">
        <v>4.0169300000000003</v>
      </c>
      <c r="N782" s="7">
        <v>9.7304499999999994</v>
      </c>
      <c r="O782" s="7" t="s">
        <v>23</v>
      </c>
    </row>
    <row r="783" spans="1:15" x14ac:dyDescent="0.25">
      <c r="A783" s="2">
        <f t="shared" si="12"/>
        <v>781</v>
      </c>
      <c r="B783" s="7" t="s">
        <v>4485</v>
      </c>
      <c r="C783" s="7" t="s">
        <v>4486</v>
      </c>
      <c r="D783" s="7" t="s">
        <v>4485</v>
      </c>
      <c r="E783" s="7" t="s">
        <v>50</v>
      </c>
      <c r="F783" s="7" t="s">
        <v>4487</v>
      </c>
      <c r="G783" s="17" t="s">
        <v>7747</v>
      </c>
      <c r="H783" s="7" t="s">
        <v>28</v>
      </c>
      <c r="I783" s="7" t="s">
        <v>1958</v>
      </c>
      <c r="J783" s="7" t="s">
        <v>53</v>
      </c>
      <c r="K783" s="7" t="s">
        <v>612</v>
      </c>
      <c r="L783" s="7" t="s">
        <v>55</v>
      </c>
      <c r="M783" s="7">
        <v>4.0490399999999998</v>
      </c>
      <c r="N783" s="7">
        <v>9.74</v>
      </c>
      <c r="O783" s="7" t="s">
        <v>613</v>
      </c>
    </row>
    <row r="784" spans="1:15" x14ac:dyDescent="0.25">
      <c r="A784" s="2">
        <f t="shared" si="12"/>
        <v>782</v>
      </c>
      <c r="B784" s="7" t="s">
        <v>4488</v>
      </c>
      <c r="C784" s="7" t="s">
        <v>4489</v>
      </c>
      <c r="D784" s="7" t="s">
        <v>4488</v>
      </c>
      <c r="E784" s="7" t="s">
        <v>50</v>
      </c>
      <c r="F784" s="7" t="s">
        <v>4490</v>
      </c>
      <c r="G784" s="17" t="s">
        <v>7747</v>
      </c>
      <c r="H784" s="7" t="s">
        <v>28</v>
      </c>
      <c r="I784" s="7" t="s">
        <v>1329</v>
      </c>
      <c r="J784" s="7" t="s">
        <v>53</v>
      </c>
      <c r="K784" s="7" t="s">
        <v>54</v>
      </c>
      <c r="L784" s="7" t="s">
        <v>55</v>
      </c>
      <c r="M784" s="7">
        <v>4.0239050000000001</v>
      </c>
      <c r="N784" s="7">
        <v>9.7802600000000002</v>
      </c>
      <c r="O784" s="7" t="s">
        <v>23</v>
      </c>
    </row>
    <row r="785" spans="1:15" x14ac:dyDescent="0.25">
      <c r="A785" s="2">
        <f t="shared" si="12"/>
        <v>783</v>
      </c>
      <c r="B785" s="7" t="s">
        <v>4528</v>
      </c>
      <c r="C785" s="7" t="s">
        <v>4529</v>
      </c>
      <c r="D785" s="7" t="s">
        <v>4528</v>
      </c>
      <c r="E785" s="7" t="s">
        <v>50</v>
      </c>
      <c r="F785" s="7" t="s">
        <v>4530</v>
      </c>
      <c r="G785" s="17" t="s">
        <v>7747</v>
      </c>
      <c r="H785" s="7" t="s">
        <v>28</v>
      </c>
      <c r="I785" s="7" t="s">
        <v>52</v>
      </c>
      <c r="J785" s="7" t="s">
        <v>53</v>
      </c>
      <c r="K785" s="7" t="s">
        <v>54</v>
      </c>
      <c r="L785" s="7" t="s">
        <v>55</v>
      </c>
      <c r="M785" s="7">
        <v>3.996</v>
      </c>
      <c r="N785" s="7">
        <v>9.7754999999999992</v>
      </c>
      <c r="O785" s="7" t="s">
        <v>23</v>
      </c>
    </row>
    <row r="786" spans="1:15" x14ac:dyDescent="0.25">
      <c r="A786" s="2">
        <f t="shared" si="12"/>
        <v>784</v>
      </c>
      <c r="B786" s="7" t="s">
        <v>4569</v>
      </c>
      <c r="C786" s="7" t="s">
        <v>4570</v>
      </c>
      <c r="D786" s="7" t="s">
        <v>4569</v>
      </c>
      <c r="E786" s="7" t="s">
        <v>34</v>
      </c>
      <c r="F786" s="7" t="s">
        <v>4571</v>
      </c>
      <c r="G786" s="17" t="s">
        <v>7747</v>
      </c>
      <c r="H786" s="7" t="s">
        <v>19</v>
      </c>
      <c r="I786" s="7" t="s">
        <v>356</v>
      </c>
      <c r="J786" s="7" t="s">
        <v>152</v>
      </c>
      <c r="K786" s="7" t="s">
        <v>2475</v>
      </c>
      <c r="L786" s="7" t="s">
        <v>55</v>
      </c>
      <c r="M786" s="7">
        <v>4.3446670000000003</v>
      </c>
      <c r="N786" s="7">
        <v>9.5813330000000008</v>
      </c>
      <c r="O786" s="7" t="s">
        <v>23</v>
      </c>
    </row>
    <row r="787" spans="1:15" x14ac:dyDescent="0.25">
      <c r="A787" s="2">
        <f t="shared" si="12"/>
        <v>785</v>
      </c>
      <c r="B787" s="7" t="s">
        <v>4584</v>
      </c>
      <c r="C787" s="7" t="s">
        <v>4585</v>
      </c>
      <c r="D787" s="7" t="s">
        <v>4584</v>
      </c>
      <c r="E787" s="7" t="s">
        <v>34</v>
      </c>
      <c r="F787" s="7" t="s">
        <v>4586</v>
      </c>
      <c r="G787" s="17" t="s">
        <v>7747</v>
      </c>
      <c r="H787" s="7" t="s">
        <v>19</v>
      </c>
      <c r="I787" s="7" t="s">
        <v>356</v>
      </c>
      <c r="J787" s="7" t="s">
        <v>152</v>
      </c>
      <c r="K787" s="7" t="s">
        <v>1721</v>
      </c>
      <c r="L787" s="7" t="s">
        <v>55</v>
      </c>
      <c r="M787" s="7">
        <v>4.1654970000000002</v>
      </c>
      <c r="N787" s="7">
        <v>9.6001010000000004</v>
      </c>
      <c r="O787" s="7" t="s">
        <v>23</v>
      </c>
    </row>
    <row r="788" spans="1:15" x14ac:dyDescent="0.25">
      <c r="A788" s="2">
        <f t="shared" si="12"/>
        <v>786</v>
      </c>
      <c r="B788" s="7" t="s">
        <v>4596</v>
      </c>
      <c r="C788" s="7" t="s">
        <v>4597</v>
      </c>
      <c r="D788" s="7" t="s">
        <v>4596</v>
      </c>
      <c r="E788" s="7" t="s">
        <v>50</v>
      </c>
      <c r="F788" s="7" t="s">
        <v>4598</v>
      </c>
      <c r="G788" s="17" t="s">
        <v>7747</v>
      </c>
      <c r="H788" s="7" t="s">
        <v>19</v>
      </c>
      <c r="I788" s="7" t="s">
        <v>1516</v>
      </c>
      <c r="J788" s="7" t="s">
        <v>4599</v>
      </c>
      <c r="K788" s="7" t="s">
        <v>153</v>
      </c>
      <c r="L788" s="7" t="s">
        <v>55</v>
      </c>
      <c r="M788" s="7">
        <v>4.4548170000000002</v>
      </c>
      <c r="N788" s="7">
        <v>9.9791899999999991</v>
      </c>
      <c r="O788" s="7" t="s">
        <v>23</v>
      </c>
    </row>
    <row r="789" spans="1:15" x14ac:dyDescent="0.25">
      <c r="A789" s="2">
        <f t="shared" si="12"/>
        <v>787</v>
      </c>
      <c r="B789" s="7" t="s">
        <v>4600</v>
      </c>
      <c r="C789" s="7" t="s">
        <v>4601</v>
      </c>
      <c r="D789" s="7" t="s">
        <v>4600</v>
      </c>
      <c r="E789" s="7" t="s">
        <v>50</v>
      </c>
      <c r="F789" s="7" t="s">
        <v>4598</v>
      </c>
      <c r="G789" s="17" t="s">
        <v>7747</v>
      </c>
      <c r="H789" s="7" t="s">
        <v>19</v>
      </c>
      <c r="I789" s="7" t="s">
        <v>1516</v>
      </c>
      <c r="J789" s="7" t="s">
        <v>4599</v>
      </c>
      <c r="K789" s="7" t="s">
        <v>153</v>
      </c>
      <c r="L789" s="7" t="s">
        <v>55</v>
      </c>
      <c r="M789" s="7">
        <v>4.454923</v>
      </c>
      <c r="N789" s="7">
        <v>9.9785629999999994</v>
      </c>
      <c r="O789" s="7" t="s">
        <v>23</v>
      </c>
    </row>
    <row r="790" spans="1:15" x14ac:dyDescent="0.25">
      <c r="A790" s="2">
        <f t="shared" si="12"/>
        <v>788</v>
      </c>
      <c r="B790" s="7" t="s">
        <v>4658</v>
      </c>
      <c r="C790" s="7" t="s">
        <v>4659</v>
      </c>
      <c r="D790" s="7" t="s">
        <v>4658</v>
      </c>
      <c r="E790" s="7" t="s">
        <v>34</v>
      </c>
      <c r="F790" s="7" t="s">
        <v>4660</v>
      </c>
      <c r="G790" s="8" t="s">
        <v>18</v>
      </c>
      <c r="H790" s="7" t="s">
        <v>19</v>
      </c>
      <c r="I790" s="7" t="s">
        <v>356</v>
      </c>
      <c r="J790" s="7" t="s">
        <v>152</v>
      </c>
      <c r="K790" s="7" t="s">
        <v>4661</v>
      </c>
      <c r="L790" s="7" t="s">
        <v>55</v>
      </c>
      <c r="M790" s="7">
        <v>4.2418649999999998</v>
      </c>
      <c r="N790" s="7">
        <v>9.6093740000000007</v>
      </c>
      <c r="O790" s="7" t="s">
        <v>23</v>
      </c>
    </row>
    <row r="791" spans="1:15" x14ac:dyDescent="0.25">
      <c r="A791" s="2">
        <f t="shared" si="12"/>
        <v>789</v>
      </c>
      <c r="B791" s="7" t="s">
        <v>4702</v>
      </c>
      <c r="C791" s="7" t="s">
        <v>4703</v>
      </c>
      <c r="D791" s="7" t="s">
        <v>4702</v>
      </c>
      <c r="E791" s="7" t="s">
        <v>50</v>
      </c>
      <c r="F791" s="7" t="s">
        <v>4461</v>
      </c>
      <c r="G791" s="17" t="s">
        <v>7747</v>
      </c>
      <c r="H791" s="7" t="s">
        <v>19</v>
      </c>
      <c r="I791" s="7" t="s">
        <v>1471</v>
      </c>
      <c r="J791" s="7" t="s">
        <v>53</v>
      </c>
      <c r="K791" s="7" t="s">
        <v>612</v>
      </c>
      <c r="L791" s="7" t="s">
        <v>55</v>
      </c>
      <c r="M791" s="7">
        <v>4.0762499999999999</v>
      </c>
      <c r="N791" s="7">
        <v>9.7217780000000005</v>
      </c>
      <c r="O791" s="7" t="s">
        <v>613</v>
      </c>
    </row>
    <row r="792" spans="1:15" x14ac:dyDescent="0.25">
      <c r="A792" s="2">
        <f t="shared" si="12"/>
        <v>790</v>
      </c>
      <c r="B792" s="7" t="s">
        <v>4704</v>
      </c>
      <c r="C792" s="7" t="s">
        <v>4705</v>
      </c>
      <c r="D792" s="7" t="s">
        <v>4704</v>
      </c>
      <c r="E792" s="7" t="s">
        <v>50</v>
      </c>
      <c r="F792" s="7" t="s">
        <v>4706</v>
      </c>
      <c r="G792" s="17" t="s">
        <v>7747</v>
      </c>
      <c r="H792" s="7" t="s">
        <v>28</v>
      </c>
      <c r="I792" s="7" t="s">
        <v>1478</v>
      </c>
      <c r="J792" s="7" t="s">
        <v>53</v>
      </c>
      <c r="K792" s="7" t="s">
        <v>1404</v>
      </c>
      <c r="L792" s="7" t="s">
        <v>55</v>
      </c>
      <c r="M792" s="7">
        <v>4.10168</v>
      </c>
      <c r="N792" s="7">
        <v>9.7352129999999999</v>
      </c>
      <c r="O792" s="7" t="s">
        <v>613</v>
      </c>
    </row>
    <row r="793" spans="1:15" x14ac:dyDescent="0.25">
      <c r="A793" s="2">
        <f t="shared" si="12"/>
        <v>791</v>
      </c>
      <c r="B793" s="7" t="s">
        <v>4707</v>
      </c>
      <c r="C793" s="7" t="s">
        <v>4708</v>
      </c>
      <c r="D793" s="7" t="s">
        <v>4707</v>
      </c>
      <c r="E793" s="7" t="s">
        <v>50</v>
      </c>
      <c r="F793" s="7" t="s">
        <v>4709</v>
      </c>
      <c r="G793" s="17" t="s">
        <v>7747</v>
      </c>
      <c r="H793" s="7" t="s">
        <v>28</v>
      </c>
      <c r="I793" s="7" t="s">
        <v>627</v>
      </c>
      <c r="J793" s="7" t="s">
        <v>53</v>
      </c>
      <c r="K793" s="7" t="s">
        <v>628</v>
      </c>
      <c r="L793" s="7" t="s">
        <v>55</v>
      </c>
      <c r="M793" s="7">
        <v>4.0794980000000001</v>
      </c>
      <c r="N793" s="7">
        <v>9.6787600000000005</v>
      </c>
      <c r="O793" s="7" t="s">
        <v>613</v>
      </c>
    </row>
    <row r="794" spans="1:15" x14ac:dyDescent="0.25">
      <c r="A794" s="2">
        <f t="shared" si="12"/>
        <v>792</v>
      </c>
      <c r="B794" s="7" t="s">
        <v>4710</v>
      </c>
      <c r="C794" s="7" t="s">
        <v>4711</v>
      </c>
      <c r="D794" s="7" t="s">
        <v>4710</v>
      </c>
      <c r="E794" s="7" t="s">
        <v>50</v>
      </c>
      <c r="F794" s="7" t="s">
        <v>4712</v>
      </c>
      <c r="G794" s="17" t="s">
        <v>7747</v>
      </c>
      <c r="H794" s="7" t="s">
        <v>19</v>
      </c>
      <c r="I794" s="7" t="s">
        <v>627</v>
      </c>
      <c r="J794" s="7" t="s">
        <v>53</v>
      </c>
      <c r="K794" s="7" t="s">
        <v>628</v>
      </c>
      <c r="L794" s="7" t="s">
        <v>55</v>
      </c>
      <c r="M794" s="7">
        <v>4.0966940000000003</v>
      </c>
      <c r="N794" s="7">
        <v>9.6676389999999994</v>
      </c>
      <c r="O794" s="7" t="s">
        <v>613</v>
      </c>
    </row>
    <row r="795" spans="1:15" x14ac:dyDescent="0.25">
      <c r="A795" s="2">
        <f t="shared" si="12"/>
        <v>793</v>
      </c>
      <c r="B795" s="7" t="s">
        <v>4713</v>
      </c>
      <c r="C795" s="7" t="s">
        <v>4714</v>
      </c>
      <c r="D795" s="7" t="s">
        <v>4713</v>
      </c>
      <c r="E795" s="7" t="s">
        <v>50</v>
      </c>
      <c r="F795" s="7" t="s">
        <v>4715</v>
      </c>
      <c r="G795" s="17" t="s">
        <v>7747</v>
      </c>
      <c r="H795" s="7" t="s">
        <v>28</v>
      </c>
      <c r="I795" s="7" t="s">
        <v>1471</v>
      </c>
      <c r="J795" s="7" t="s">
        <v>53</v>
      </c>
      <c r="K795" s="7" t="s">
        <v>54</v>
      </c>
      <c r="L795" s="7" t="s">
        <v>55</v>
      </c>
      <c r="M795" s="7">
        <v>4.0593399999999997</v>
      </c>
      <c r="N795" s="7">
        <v>9.73766</v>
      </c>
      <c r="O795" s="7" t="s">
        <v>613</v>
      </c>
    </row>
    <row r="796" spans="1:15" x14ac:dyDescent="0.25">
      <c r="A796" s="2">
        <f t="shared" si="12"/>
        <v>794</v>
      </c>
      <c r="B796" s="7" t="s">
        <v>4716</v>
      </c>
      <c r="C796" s="7" t="s">
        <v>4717</v>
      </c>
      <c r="D796" s="7" t="s">
        <v>4716</v>
      </c>
      <c r="E796" s="7" t="s">
        <v>50</v>
      </c>
      <c r="F796" s="7" t="s">
        <v>1478</v>
      </c>
      <c r="G796" s="17" t="s">
        <v>7747</v>
      </c>
      <c r="H796" s="7" t="s">
        <v>4718</v>
      </c>
      <c r="I796" s="7" t="s">
        <v>1478</v>
      </c>
      <c r="J796" s="7" t="s">
        <v>53</v>
      </c>
      <c r="K796" s="7" t="s">
        <v>612</v>
      </c>
      <c r="L796" s="7" t="s">
        <v>55</v>
      </c>
      <c r="M796" s="7">
        <v>4.0929339999999996</v>
      </c>
      <c r="N796" s="7">
        <v>9.7504030000000004</v>
      </c>
      <c r="O796" s="7" t="s">
        <v>98</v>
      </c>
    </row>
    <row r="797" spans="1:15" x14ac:dyDescent="0.25">
      <c r="A797" s="2">
        <f t="shared" si="12"/>
        <v>795</v>
      </c>
      <c r="B797" s="7" t="s">
        <v>4726</v>
      </c>
      <c r="C797" s="7" t="s">
        <v>4727</v>
      </c>
      <c r="D797" s="7" t="s">
        <v>4726</v>
      </c>
      <c r="E797" s="7" t="s">
        <v>50</v>
      </c>
      <c r="F797" s="7" t="s">
        <v>3892</v>
      </c>
      <c r="G797" s="17" t="s">
        <v>7747</v>
      </c>
      <c r="H797" s="7" t="s">
        <v>28</v>
      </c>
      <c r="I797" s="7" t="s">
        <v>1478</v>
      </c>
      <c r="J797" s="7" t="s">
        <v>53</v>
      </c>
      <c r="K797" s="7" t="s">
        <v>612</v>
      </c>
      <c r="L797" s="7" t="s">
        <v>55</v>
      </c>
      <c r="M797" s="7">
        <v>4.0927049999999996</v>
      </c>
      <c r="N797" s="7">
        <v>9.7349599999999992</v>
      </c>
      <c r="O797" s="7" t="s">
        <v>613</v>
      </c>
    </row>
    <row r="798" spans="1:15" x14ac:dyDescent="0.25">
      <c r="A798" s="2">
        <f t="shared" si="12"/>
        <v>796</v>
      </c>
      <c r="B798" s="7" t="s">
        <v>4728</v>
      </c>
      <c r="C798" s="7" t="s">
        <v>4729</v>
      </c>
      <c r="D798" s="7" t="s">
        <v>4728</v>
      </c>
      <c r="E798" s="7" t="s">
        <v>50</v>
      </c>
      <c r="F798" s="7" t="s">
        <v>4730</v>
      </c>
      <c r="G798" s="17" t="s">
        <v>7747</v>
      </c>
      <c r="H798" s="7" t="s">
        <v>28</v>
      </c>
      <c r="I798" s="7" t="s">
        <v>1516</v>
      </c>
      <c r="J798" s="7" t="s">
        <v>53</v>
      </c>
      <c r="K798" s="7" t="s">
        <v>54</v>
      </c>
      <c r="L798" s="7" t="s">
        <v>55</v>
      </c>
      <c r="M798" s="7">
        <v>4.042306</v>
      </c>
      <c r="N798" s="7">
        <v>9.7739999999999991</v>
      </c>
      <c r="O798" s="7" t="s">
        <v>23</v>
      </c>
    </row>
    <row r="799" spans="1:15" x14ac:dyDescent="0.25">
      <c r="A799" s="2">
        <f t="shared" si="12"/>
        <v>797</v>
      </c>
      <c r="B799" s="7" t="s">
        <v>4731</v>
      </c>
      <c r="C799" s="7" t="s">
        <v>4732</v>
      </c>
      <c r="D799" s="7" t="s">
        <v>4731</v>
      </c>
      <c r="E799" s="7" t="s">
        <v>50</v>
      </c>
      <c r="F799" s="7" t="s">
        <v>4733</v>
      </c>
      <c r="G799" s="17" t="s">
        <v>7747</v>
      </c>
      <c r="H799" s="7" t="s">
        <v>28</v>
      </c>
      <c r="I799" s="7" t="s">
        <v>1478</v>
      </c>
      <c r="J799" s="7" t="s">
        <v>53</v>
      </c>
      <c r="K799" s="7" t="s">
        <v>612</v>
      </c>
      <c r="L799" s="7" t="s">
        <v>55</v>
      </c>
      <c r="M799" s="7">
        <v>4.0748030000000002</v>
      </c>
      <c r="N799" s="7">
        <v>9.7468610000000009</v>
      </c>
      <c r="O799" s="7" t="s">
        <v>23</v>
      </c>
    </row>
    <row r="800" spans="1:15" x14ac:dyDescent="0.25">
      <c r="A800" s="2">
        <f t="shared" si="12"/>
        <v>798</v>
      </c>
      <c r="B800" s="7" t="s">
        <v>4734</v>
      </c>
      <c r="C800" s="7" t="s">
        <v>4735</v>
      </c>
      <c r="D800" s="7" t="s">
        <v>4734</v>
      </c>
      <c r="E800" s="7" t="s">
        <v>50</v>
      </c>
      <c r="F800" s="7" t="s">
        <v>4736</v>
      </c>
      <c r="G800" s="17" t="s">
        <v>7747</v>
      </c>
      <c r="H800" s="7" t="s">
        <v>28</v>
      </c>
      <c r="I800" s="7" t="s">
        <v>1575</v>
      </c>
      <c r="J800" s="7" t="s">
        <v>53</v>
      </c>
      <c r="K800" s="7" t="s">
        <v>54</v>
      </c>
      <c r="L800" s="7" t="s">
        <v>55</v>
      </c>
      <c r="M800" s="7">
        <v>4.0166459999999997</v>
      </c>
      <c r="N800" s="7">
        <v>9.7269869999999994</v>
      </c>
      <c r="O800" s="7" t="s">
        <v>613</v>
      </c>
    </row>
    <row r="801" spans="1:15" x14ac:dyDescent="0.25">
      <c r="A801" s="2">
        <f t="shared" si="12"/>
        <v>799</v>
      </c>
      <c r="B801" s="7" t="s">
        <v>4737</v>
      </c>
      <c r="C801" s="7" t="s">
        <v>4738</v>
      </c>
      <c r="D801" s="7" t="s">
        <v>4737</v>
      </c>
      <c r="E801" s="7" t="s">
        <v>50</v>
      </c>
      <c r="F801" s="7" t="s">
        <v>4739</v>
      </c>
      <c r="G801" s="17" t="s">
        <v>7747</v>
      </c>
      <c r="H801" s="7" t="s">
        <v>28</v>
      </c>
      <c r="I801" s="7" t="s">
        <v>1329</v>
      </c>
      <c r="J801" s="7" t="s">
        <v>53</v>
      </c>
      <c r="K801" s="7" t="s">
        <v>54</v>
      </c>
      <c r="L801" s="7" t="s">
        <v>55</v>
      </c>
      <c r="M801" s="7">
        <v>4.0519990000000004</v>
      </c>
      <c r="N801" s="7">
        <v>9.7324719999999996</v>
      </c>
      <c r="O801" s="7" t="s">
        <v>613</v>
      </c>
    </row>
    <row r="802" spans="1:15" x14ac:dyDescent="0.25">
      <c r="A802" s="2">
        <f t="shared" si="12"/>
        <v>800</v>
      </c>
      <c r="B802" s="7" t="s">
        <v>4740</v>
      </c>
      <c r="C802" s="7" t="s">
        <v>4741</v>
      </c>
      <c r="D802" s="7" t="s">
        <v>4740</v>
      </c>
      <c r="E802" s="7" t="s">
        <v>50</v>
      </c>
      <c r="F802" s="7" t="s">
        <v>4742</v>
      </c>
      <c r="G802" s="17" t="s">
        <v>7747</v>
      </c>
      <c r="H802" s="7" t="s">
        <v>19</v>
      </c>
      <c r="I802" s="7" t="s">
        <v>960</v>
      </c>
      <c r="J802" s="7" t="s">
        <v>53</v>
      </c>
      <c r="K802" s="7" t="s">
        <v>628</v>
      </c>
      <c r="L802" s="7" t="s">
        <v>55</v>
      </c>
      <c r="M802" s="7">
        <v>4.0861219999999996</v>
      </c>
      <c r="N802" s="7">
        <v>9.6542929999999991</v>
      </c>
      <c r="O802" s="7" t="s">
        <v>23</v>
      </c>
    </row>
    <row r="803" spans="1:15" x14ac:dyDescent="0.25">
      <c r="A803" s="2">
        <f t="shared" si="12"/>
        <v>801</v>
      </c>
      <c r="B803" s="7" t="s">
        <v>4743</v>
      </c>
      <c r="C803" s="7" t="s">
        <v>4744</v>
      </c>
      <c r="D803" s="7" t="s">
        <v>4743</v>
      </c>
      <c r="E803" s="7" t="s">
        <v>50</v>
      </c>
      <c r="F803" s="7" t="s">
        <v>4745</v>
      </c>
      <c r="G803" s="17" t="s">
        <v>7747</v>
      </c>
      <c r="H803" s="7" t="s">
        <v>19</v>
      </c>
      <c r="I803" s="7" t="s">
        <v>960</v>
      </c>
      <c r="J803" s="7" t="s">
        <v>53</v>
      </c>
      <c r="K803" s="7" t="s">
        <v>628</v>
      </c>
      <c r="L803" s="7" t="s">
        <v>55</v>
      </c>
      <c r="M803" s="7">
        <v>4.1166109999999998</v>
      </c>
      <c r="N803" s="7">
        <v>9.6568389999999997</v>
      </c>
      <c r="O803" s="7" t="s">
        <v>23</v>
      </c>
    </row>
    <row r="804" spans="1:15" x14ac:dyDescent="0.25">
      <c r="A804" s="2">
        <f t="shared" si="12"/>
        <v>802</v>
      </c>
      <c r="B804" s="7" t="s">
        <v>4746</v>
      </c>
      <c r="C804" s="7" t="s">
        <v>4747</v>
      </c>
      <c r="D804" s="7" t="s">
        <v>4746</v>
      </c>
      <c r="E804" s="7" t="s">
        <v>50</v>
      </c>
      <c r="F804" s="7" t="s">
        <v>4748</v>
      </c>
      <c r="G804" s="17" t="s">
        <v>7747</v>
      </c>
      <c r="H804" s="7" t="s">
        <v>28</v>
      </c>
      <c r="I804" s="7" t="s">
        <v>1478</v>
      </c>
      <c r="J804" s="7" t="s">
        <v>53</v>
      </c>
      <c r="K804" s="7" t="s">
        <v>612</v>
      </c>
      <c r="L804" s="7" t="s">
        <v>55</v>
      </c>
      <c r="M804" s="7">
        <v>4.0758299999999998</v>
      </c>
      <c r="N804" s="7">
        <v>9.7463899999999999</v>
      </c>
      <c r="O804" s="7" t="s">
        <v>613</v>
      </c>
    </row>
    <row r="805" spans="1:15" x14ac:dyDescent="0.25">
      <c r="A805" s="2">
        <f t="shared" si="12"/>
        <v>803</v>
      </c>
      <c r="B805" s="7" t="s">
        <v>4753</v>
      </c>
      <c r="C805" s="7" t="s">
        <v>4754</v>
      </c>
      <c r="D805" s="7" t="s">
        <v>4753</v>
      </c>
      <c r="E805" s="7" t="s">
        <v>50</v>
      </c>
      <c r="F805" s="7" t="s">
        <v>4712</v>
      </c>
      <c r="G805" s="17" t="s">
        <v>7747</v>
      </c>
      <c r="H805" s="7" t="s">
        <v>28</v>
      </c>
      <c r="I805" s="7" t="s">
        <v>960</v>
      </c>
      <c r="J805" s="7" t="s">
        <v>53</v>
      </c>
      <c r="K805" s="7" t="s">
        <v>628</v>
      </c>
      <c r="L805" s="7" t="s">
        <v>55</v>
      </c>
      <c r="M805" s="7">
        <v>4.0888850000000003</v>
      </c>
      <c r="N805" s="7">
        <v>9.6698970000000006</v>
      </c>
      <c r="O805" s="7" t="s">
        <v>613</v>
      </c>
    </row>
    <row r="806" spans="1:15" x14ac:dyDescent="0.25">
      <c r="A806" s="2">
        <f t="shared" si="12"/>
        <v>804</v>
      </c>
      <c r="B806" s="7" t="s">
        <v>4755</v>
      </c>
      <c r="C806" s="7" t="s">
        <v>4756</v>
      </c>
      <c r="D806" s="7" t="s">
        <v>4755</v>
      </c>
      <c r="E806" s="7" t="s">
        <v>50</v>
      </c>
      <c r="F806" s="7" t="s">
        <v>4757</v>
      </c>
      <c r="G806" s="17" t="s">
        <v>7747</v>
      </c>
      <c r="H806" s="7" t="s">
        <v>19</v>
      </c>
      <c r="I806" s="7" t="s">
        <v>2024</v>
      </c>
      <c r="J806" s="7" t="s">
        <v>53</v>
      </c>
      <c r="K806" s="7" t="s">
        <v>54</v>
      </c>
      <c r="L806" s="7" t="s">
        <v>55</v>
      </c>
      <c r="M806" s="7">
        <v>4.0352959999999998</v>
      </c>
      <c r="N806" s="7">
        <v>9.7329969999999992</v>
      </c>
      <c r="O806" s="7" t="s">
        <v>613</v>
      </c>
    </row>
    <row r="807" spans="1:15" x14ac:dyDescent="0.25">
      <c r="A807" s="2">
        <f t="shared" si="12"/>
        <v>805</v>
      </c>
      <c r="B807" s="7" t="s">
        <v>4772</v>
      </c>
      <c r="C807" s="7" t="s">
        <v>4773</v>
      </c>
      <c r="D807" s="7" t="s">
        <v>4772</v>
      </c>
      <c r="E807" s="7" t="s">
        <v>50</v>
      </c>
      <c r="F807" s="7" t="s">
        <v>4774</v>
      </c>
      <c r="G807" s="17" t="s">
        <v>7747</v>
      </c>
      <c r="H807" s="7" t="s">
        <v>19</v>
      </c>
      <c r="I807" s="7" t="s">
        <v>1958</v>
      </c>
      <c r="J807" s="7" t="s">
        <v>53</v>
      </c>
      <c r="K807" s="7" t="s">
        <v>628</v>
      </c>
      <c r="L807" s="7" t="s">
        <v>55</v>
      </c>
      <c r="M807" s="7">
        <v>4.0659720000000004</v>
      </c>
      <c r="N807" s="7">
        <v>9.7063330000000008</v>
      </c>
      <c r="O807" s="7" t="s">
        <v>613</v>
      </c>
    </row>
    <row r="808" spans="1:15" x14ac:dyDescent="0.25">
      <c r="A808" s="2">
        <f t="shared" si="12"/>
        <v>806</v>
      </c>
      <c r="B808" s="7" t="s">
        <v>4778</v>
      </c>
      <c r="C808" s="7" t="s">
        <v>4779</v>
      </c>
      <c r="D808" s="7" t="s">
        <v>4778</v>
      </c>
      <c r="E808" s="7" t="s">
        <v>34</v>
      </c>
      <c r="F808" s="7" t="s">
        <v>4780</v>
      </c>
      <c r="G808" s="8" t="s">
        <v>18</v>
      </c>
      <c r="H808" s="7" t="s">
        <v>28</v>
      </c>
      <c r="I808" s="7" t="s">
        <v>356</v>
      </c>
      <c r="J808" s="7" t="s">
        <v>152</v>
      </c>
      <c r="K808" s="7" t="s">
        <v>4661</v>
      </c>
      <c r="L808" s="7" t="s">
        <v>55</v>
      </c>
      <c r="M808" s="7">
        <v>4.3582799999999997</v>
      </c>
      <c r="N808" s="7">
        <v>9.7448999999999995</v>
      </c>
      <c r="O808" s="7" t="s">
        <v>23</v>
      </c>
    </row>
    <row r="809" spans="1:15" x14ac:dyDescent="0.25">
      <c r="A809" s="2">
        <f t="shared" si="12"/>
        <v>807</v>
      </c>
      <c r="B809" s="7" t="s">
        <v>4870</v>
      </c>
      <c r="C809" s="7" t="s">
        <v>4871</v>
      </c>
      <c r="D809" s="7" t="s">
        <v>4870</v>
      </c>
      <c r="E809" s="7" t="s">
        <v>34</v>
      </c>
      <c r="F809" s="7" t="s">
        <v>4872</v>
      </c>
      <c r="G809" s="17" t="s">
        <v>7747</v>
      </c>
      <c r="H809" s="7" t="s">
        <v>28</v>
      </c>
      <c r="I809" s="7" t="s">
        <v>356</v>
      </c>
      <c r="J809" s="7" t="s">
        <v>152</v>
      </c>
      <c r="K809" s="7" t="s">
        <v>4661</v>
      </c>
      <c r="L809" s="7" t="s">
        <v>55</v>
      </c>
      <c r="M809" s="7">
        <v>4.3405630000000004</v>
      </c>
      <c r="N809" s="7">
        <v>9.7368079999999999</v>
      </c>
      <c r="O809" s="7" t="s">
        <v>23</v>
      </c>
    </row>
    <row r="810" spans="1:15" x14ac:dyDescent="0.25">
      <c r="A810" s="2">
        <f t="shared" si="12"/>
        <v>808</v>
      </c>
      <c r="B810" s="7" t="s">
        <v>4904</v>
      </c>
      <c r="C810" s="7" t="s">
        <v>4905</v>
      </c>
      <c r="D810" s="7" t="s">
        <v>4904</v>
      </c>
      <c r="E810" s="7" t="s">
        <v>50</v>
      </c>
      <c r="F810" s="7" t="s">
        <v>4906</v>
      </c>
      <c r="G810" s="17" t="s">
        <v>7747</v>
      </c>
      <c r="H810" s="7" t="s">
        <v>19</v>
      </c>
      <c r="I810" s="7" t="s">
        <v>52</v>
      </c>
      <c r="J810" s="7" t="s">
        <v>53</v>
      </c>
      <c r="K810" s="7" t="s">
        <v>54</v>
      </c>
      <c r="L810" s="7" t="s">
        <v>55</v>
      </c>
      <c r="M810" s="7">
        <v>4.0231669999999999</v>
      </c>
      <c r="N810" s="7">
        <v>9.7919999999999998</v>
      </c>
      <c r="O810" s="7" t="s">
        <v>23</v>
      </c>
    </row>
    <row r="811" spans="1:15" x14ac:dyDescent="0.25">
      <c r="A811" s="2">
        <f t="shared" si="12"/>
        <v>809</v>
      </c>
      <c r="B811" s="7" t="s">
        <v>4916</v>
      </c>
      <c r="C811" s="7" t="s">
        <v>4917</v>
      </c>
      <c r="D811" s="7" t="s">
        <v>4916</v>
      </c>
      <c r="E811" s="7" t="s">
        <v>50</v>
      </c>
      <c r="F811" s="7" t="s">
        <v>4918</v>
      </c>
      <c r="G811" s="17" t="s">
        <v>7747</v>
      </c>
      <c r="H811" s="7" t="s">
        <v>28</v>
      </c>
      <c r="I811" s="7" t="s">
        <v>1478</v>
      </c>
      <c r="J811" s="7" t="s">
        <v>53</v>
      </c>
      <c r="K811" s="7" t="s">
        <v>612</v>
      </c>
      <c r="L811" s="7" t="s">
        <v>55</v>
      </c>
      <c r="M811" s="7">
        <v>4.0932050000000002</v>
      </c>
      <c r="N811" s="7">
        <v>9.7515619999999998</v>
      </c>
      <c r="O811" s="7" t="s">
        <v>23</v>
      </c>
    </row>
    <row r="812" spans="1:15" x14ac:dyDescent="0.25">
      <c r="A812" s="2">
        <f t="shared" si="12"/>
        <v>810</v>
      </c>
      <c r="B812" s="7" t="s">
        <v>4922</v>
      </c>
      <c r="C812" s="7" t="s">
        <v>4923</v>
      </c>
      <c r="D812" s="7" t="s">
        <v>4922</v>
      </c>
      <c r="E812" s="7" t="s">
        <v>50</v>
      </c>
      <c r="F812" s="7" t="s">
        <v>4924</v>
      </c>
      <c r="G812" s="17" t="s">
        <v>7747</v>
      </c>
      <c r="H812" s="7" t="s">
        <v>28</v>
      </c>
      <c r="I812" s="7" t="s">
        <v>52</v>
      </c>
      <c r="J812" s="7" t="s">
        <v>53</v>
      </c>
      <c r="K812" s="7" t="s">
        <v>54</v>
      </c>
      <c r="L812" s="7" t="s">
        <v>55</v>
      </c>
      <c r="M812" s="7">
        <v>4.0125000000000002</v>
      </c>
      <c r="N812" s="7">
        <v>9.7781699999999994</v>
      </c>
      <c r="O812" s="7" t="s">
        <v>23</v>
      </c>
    </row>
    <row r="813" spans="1:15" x14ac:dyDescent="0.25">
      <c r="A813" s="2">
        <f t="shared" si="12"/>
        <v>811</v>
      </c>
      <c r="B813" s="7" t="s">
        <v>4925</v>
      </c>
      <c r="C813" s="7" t="s">
        <v>4926</v>
      </c>
      <c r="D813" s="7" t="s">
        <v>4925</v>
      </c>
      <c r="E813" s="7" t="s">
        <v>50</v>
      </c>
      <c r="F813" s="7" t="s">
        <v>4927</v>
      </c>
      <c r="G813" s="17" t="s">
        <v>7747</v>
      </c>
      <c r="H813" s="7" t="s">
        <v>28</v>
      </c>
      <c r="I813" s="7" t="s">
        <v>1516</v>
      </c>
      <c r="J813" s="7" t="s">
        <v>53</v>
      </c>
      <c r="K813" s="7" t="s">
        <v>54</v>
      </c>
      <c r="L813" s="7" t="s">
        <v>55</v>
      </c>
      <c r="M813" s="7">
        <v>4.1215089999999996</v>
      </c>
      <c r="N813" s="7">
        <v>9.8290939999999996</v>
      </c>
      <c r="O813" s="7" t="s">
        <v>23</v>
      </c>
    </row>
    <row r="814" spans="1:15" x14ac:dyDescent="0.25">
      <c r="A814" s="2">
        <f t="shared" si="12"/>
        <v>812</v>
      </c>
      <c r="B814" s="7" t="s">
        <v>4935</v>
      </c>
      <c r="C814" s="7" t="s">
        <v>4936</v>
      </c>
      <c r="D814" s="7" t="s">
        <v>4935</v>
      </c>
      <c r="E814" s="7" t="s">
        <v>50</v>
      </c>
      <c r="F814" s="7" t="s">
        <v>4937</v>
      </c>
      <c r="G814" s="17" t="s">
        <v>7747</v>
      </c>
      <c r="H814" s="7" t="s">
        <v>28</v>
      </c>
      <c r="I814" s="7" t="s">
        <v>52</v>
      </c>
      <c r="J814" s="7" t="s">
        <v>53</v>
      </c>
      <c r="K814" s="7" t="s">
        <v>54</v>
      </c>
      <c r="L814" s="7" t="s">
        <v>55</v>
      </c>
      <c r="M814" s="7">
        <v>4.0285679999999999</v>
      </c>
      <c r="N814" s="7">
        <v>9.7970000000000006</v>
      </c>
      <c r="O814" s="7" t="s">
        <v>23</v>
      </c>
    </row>
    <row r="815" spans="1:15" x14ac:dyDescent="0.25">
      <c r="A815" s="2">
        <f t="shared" si="12"/>
        <v>813</v>
      </c>
      <c r="B815" s="7" t="s">
        <v>4941</v>
      </c>
      <c r="C815" s="7" t="s">
        <v>4942</v>
      </c>
      <c r="D815" s="7" t="s">
        <v>4941</v>
      </c>
      <c r="E815" s="7" t="s">
        <v>50</v>
      </c>
      <c r="F815" s="7" t="s">
        <v>4943</v>
      </c>
      <c r="G815" s="17" t="s">
        <v>7747</v>
      </c>
      <c r="H815" s="7" t="s">
        <v>28</v>
      </c>
      <c r="I815" s="7" t="s">
        <v>960</v>
      </c>
      <c r="J815" s="7" t="s">
        <v>53</v>
      </c>
      <c r="K815" s="7" t="s">
        <v>628</v>
      </c>
      <c r="L815" s="7" t="s">
        <v>55</v>
      </c>
      <c r="M815" s="7">
        <v>4.0890700000000004</v>
      </c>
      <c r="N815" s="7">
        <v>9.6189129999999992</v>
      </c>
      <c r="O815" s="7" t="s">
        <v>23</v>
      </c>
    </row>
    <row r="816" spans="1:15" x14ac:dyDescent="0.25">
      <c r="A816" s="2">
        <f t="shared" si="12"/>
        <v>814</v>
      </c>
      <c r="B816" s="7" t="s">
        <v>4977</v>
      </c>
      <c r="C816" s="7" t="s">
        <v>4978</v>
      </c>
      <c r="D816" s="7" t="s">
        <v>4977</v>
      </c>
      <c r="E816" s="7" t="s">
        <v>50</v>
      </c>
      <c r="F816" s="7" t="s">
        <v>4979</v>
      </c>
      <c r="G816" s="17" t="s">
        <v>7747</v>
      </c>
      <c r="H816" s="7" t="s">
        <v>19</v>
      </c>
      <c r="I816" s="7" t="s">
        <v>52</v>
      </c>
      <c r="J816" s="7" t="s">
        <v>53</v>
      </c>
      <c r="K816" s="7" t="s">
        <v>54</v>
      </c>
      <c r="L816" s="7" t="s">
        <v>55</v>
      </c>
      <c r="M816" s="7">
        <v>4.0004850000000003</v>
      </c>
      <c r="N816" s="7">
        <v>9.8147830000000003</v>
      </c>
      <c r="O816" s="7" t="s">
        <v>23</v>
      </c>
    </row>
    <row r="817" spans="1:15" x14ac:dyDescent="0.25">
      <c r="A817" s="2">
        <f t="shared" si="12"/>
        <v>815</v>
      </c>
      <c r="B817" s="7" t="s">
        <v>4988</v>
      </c>
      <c r="C817" s="7" t="s">
        <v>4989</v>
      </c>
      <c r="D817" s="7" t="s">
        <v>4988</v>
      </c>
      <c r="E817" s="7" t="s">
        <v>50</v>
      </c>
      <c r="F817" s="7" t="s">
        <v>4990</v>
      </c>
      <c r="G817" s="17" t="s">
        <v>7747</v>
      </c>
      <c r="H817" s="7" t="s">
        <v>28</v>
      </c>
      <c r="I817" s="7" t="s">
        <v>1516</v>
      </c>
      <c r="J817" s="7" t="s">
        <v>53</v>
      </c>
      <c r="K817" s="7" t="s">
        <v>54</v>
      </c>
      <c r="L817" s="7" t="s">
        <v>55</v>
      </c>
      <c r="M817" s="7">
        <v>4.0475370000000002</v>
      </c>
      <c r="N817" s="7">
        <v>9.7701969999999996</v>
      </c>
      <c r="O817" s="7" t="s">
        <v>613</v>
      </c>
    </row>
    <row r="818" spans="1:15" x14ac:dyDescent="0.25">
      <c r="A818" s="2">
        <f t="shared" si="12"/>
        <v>816</v>
      </c>
      <c r="B818" s="7" t="s">
        <v>5026</v>
      </c>
      <c r="C818" s="7" t="s">
        <v>5027</v>
      </c>
      <c r="D818" s="7" t="s">
        <v>5026</v>
      </c>
      <c r="E818" s="7" t="s">
        <v>50</v>
      </c>
      <c r="F818" s="7" t="s">
        <v>5028</v>
      </c>
      <c r="G818" s="17" t="s">
        <v>7747</v>
      </c>
      <c r="H818" s="7" t="s">
        <v>19</v>
      </c>
      <c r="I818" s="7" t="s">
        <v>1403</v>
      </c>
      <c r="J818" s="7" t="s">
        <v>53</v>
      </c>
      <c r="K818" s="7" t="s">
        <v>2213</v>
      </c>
      <c r="L818" s="7" t="s">
        <v>55</v>
      </c>
      <c r="M818" s="7">
        <v>4.0223800000000001</v>
      </c>
      <c r="N818" s="7">
        <v>9.7097599999999993</v>
      </c>
      <c r="O818" s="7" t="s">
        <v>613</v>
      </c>
    </row>
    <row r="819" spans="1:15" x14ac:dyDescent="0.25">
      <c r="A819" s="2">
        <f t="shared" si="12"/>
        <v>817</v>
      </c>
      <c r="B819" s="7" t="s">
        <v>5029</v>
      </c>
      <c r="C819" s="7" t="s">
        <v>5030</v>
      </c>
      <c r="D819" s="7" t="s">
        <v>5029</v>
      </c>
      <c r="E819" s="7" t="s">
        <v>50</v>
      </c>
      <c r="F819" s="7" t="s">
        <v>5031</v>
      </c>
      <c r="G819" s="17" t="s">
        <v>7747</v>
      </c>
      <c r="H819" s="7" t="s">
        <v>28</v>
      </c>
      <c r="I819" s="7" t="s">
        <v>627</v>
      </c>
      <c r="J819" s="7" t="s">
        <v>53</v>
      </c>
      <c r="K819" s="7" t="s">
        <v>628</v>
      </c>
      <c r="L819" s="7" t="s">
        <v>55</v>
      </c>
      <c r="M819" s="7">
        <v>4.0759299999999996</v>
      </c>
      <c r="N819" s="7">
        <v>9.6732800000000001</v>
      </c>
      <c r="O819" s="7" t="s">
        <v>613</v>
      </c>
    </row>
    <row r="820" spans="1:15" x14ac:dyDescent="0.25">
      <c r="A820" s="2">
        <f t="shared" si="12"/>
        <v>818</v>
      </c>
      <c r="B820" s="7" t="s">
        <v>5032</v>
      </c>
      <c r="C820" s="7" t="s">
        <v>5033</v>
      </c>
      <c r="D820" s="7" t="s">
        <v>5032</v>
      </c>
      <c r="E820" s="7" t="s">
        <v>50</v>
      </c>
      <c r="F820" s="7" t="s">
        <v>5034</v>
      </c>
      <c r="G820" s="17" t="s">
        <v>7747</v>
      </c>
      <c r="H820" s="7" t="s">
        <v>28</v>
      </c>
      <c r="I820" s="7" t="s">
        <v>2024</v>
      </c>
      <c r="J820" s="7" t="s">
        <v>53</v>
      </c>
      <c r="K820" s="7" t="s">
        <v>2213</v>
      </c>
      <c r="L820" s="7" t="s">
        <v>55</v>
      </c>
      <c r="M820" s="7">
        <v>4.0338500000000002</v>
      </c>
      <c r="N820" s="7">
        <v>9.7121600000000008</v>
      </c>
      <c r="O820" s="7" t="s">
        <v>613</v>
      </c>
    </row>
    <row r="821" spans="1:15" x14ac:dyDescent="0.25">
      <c r="A821" s="2">
        <f t="shared" si="12"/>
        <v>819</v>
      </c>
      <c r="B821" s="7" t="s">
        <v>5038</v>
      </c>
      <c r="C821" s="7" t="s">
        <v>5039</v>
      </c>
      <c r="D821" s="7" t="s">
        <v>5038</v>
      </c>
      <c r="E821" s="7" t="s">
        <v>50</v>
      </c>
      <c r="F821" s="7" t="s">
        <v>5040</v>
      </c>
      <c r="G821" s="17" t="s">
        <v>7747</v>
      </c>
      <c r="H821" s="7" t="s">
        <v>19</v>
      </c>
      <c r="I821" s="7" t="s">
        <v>1403</v>
      </c>
      <c r="J821" s="7" t="s">
        <v>53</v>
      </c>
      <c r="K821" s="7" t="s">
        <v>1404</v>
      </c>
      <c r="L821" s="7" t="s">
        <v>55</v>
      </c>
      <c r="M821" s="7">
        <v>4.0353329999999996</v>
      </c>
      <c r="N821" s="7">
        <v>9.6918889999999998</v>
      </c>
      <c r="O821" s="7" t="s">
        <v>613</v>
      </c>
    </row>
    <row r="822" spans="1:15" x14ac:dyDescent="0.25">
      <c r="A822" s="2">
        <f t="shared" si="12"/>
        <v>820</v>
      </c>
      <c r="B822" s="7" t="s">
        <v>5056</v>
      </c>
      <c r="C822" s="7" t="s">
        <v>5057</v>
      </c>
      <c r="D822" s="7" t="s">
        <v>5056</v>
      </c>
      <c r="E822" s="7" t="s">
        <v>50</v>
      </c>
      <c r="F822" s="7" t="s">
        <v>5058</v>
      </c>
      <c r="G822" s="17" t="s">
        <v>7747</v>
      </c>
      <c r="H822" s="7" t="s">
        <v>19</v>
      </c>
      <c r="I822" s="7" t="s">
        <v>1403</v>
      </c>
      <c r="J822" s="7" t="s">
        <v>53</v>
      </c>
      <c r="K822" s="7" t="s">
        <v>1404</v>
      </c>
      <c r="L822" s="7" t="s">
        <v>55</v>
      </c>
      <c r="M822" s="7">
        <v>4.0478399999999999</v>
      </c>
      <c r="N822" s="7">
        <v>9.6926600000000001</v>
      </c>
      <c r="O822" s="7" t="s">
        <v>613</v>
      </c>
    </row>
    <row r="823" spans="1:15" x14ac:dyDescent="0.25">
      <c r="A823" s="2">
        <f t="shared" si="12"/>
        <v>821</v>
      </c>
      <c r="B823" s="7" t="s">
        <v>5059</v>
      </c>
      <c r="C823" s="7" t="s">
        <v>5060</v>
      </c>
      <c r="D823" s="7" t="s">
        <v>5059</v>
      </c>
      <c r="E823" s="7" t="s">
        <v>50</v>
      </c>
      <c r="F823" s="7" t="s">
        <v>5061</v>
      </c>
      <c r="G823" s="17" t="s">
        <v>7747</v>
      </c>
      <c r="H823" s="7" t="s">
        <v>19</v>
      </c>
      <c r="I823" s="7" t="s">
        <v>1403</v>
      </c>
      <c r="J823" s="7" t="s">
        <v>53</v>
      </c>
      <c r="K823" s="7" t="s">
        <v>1404</v>
      </c>
      <c r="L823" s="7" t="s">
        <v>55</v>
      </c>
      <c r="M823" s="7">
        <v>4.0467500000000003</v>
      </c>
      <c r="N823" s="7">
        <v>9.6989169999999998</v>
      </c>
      <c r="O823" s="7" t="s">
        <v>613</v>
      </c>
    </row>
    <row r="824" spans="1:15" x14ac:dyDescent="0.25">
      <c r="A824" s="2">
        <f t="shared" si="12"/>
        <v>822</v>
      </c>
      <c r="B824" s="7" t="s">
        <v>5065</v>
      </c>
      <c r="C824" s="7" t="s">
        <v>5066</v>
      </c>
      <c r="D824" s="7" t="s">
        <v>5065</v>
      </c>
      <c r="E824" s="7" t="s">
        <v>50</v>
      </c>
      <c r="F824" s="7" t="s">
        <v>5067</v>
      </c>
      <c r="G824" s="17" t="s">
        <v>7747</v>
      </c>
      <c r="H824" s="7" t="s">
        <v>19</v>
      </c>
      <c r="I824" s="7" t="s">
        <v>1575</v>
      </c>
      <c r="J824" s="7" t="s">
        <v>53</v>
      </c>
      <c r="K824" s="7" t="s">
        <v>54</v>
      </c>
      <c r="L824" s="7" t="s">
        <v>55</v>
      </c>
      <c r="M824" s="7">
        <v>4.0113599999999998</v>
      </c>
      <c r="N824" s="7">
        <v>9.7212300000000003</v>
      </c>
      <c r="O824" s="7" t="s">
        <v>613</v>
      </c>
    </row>
    <row r="825" spans="1:15" x14ac:dyDescent="0.25">
      <c r="A825" s="2">
        <f t="shared" si="12"/>
        <v>823</v>
      </c>
      <c r="B825" s="7" t="s">
        <v>5071</v>
      </c>
      <c r="C825" s="7" t="s">
        <v>5072</v>
      </c>
      <c r="D825" s="7" t="s">
        <v>5071</v>
      </c>
      <c r="E825" s="7" t="s">
        <v>50</v>
      </c>
      <c r="F825" s="7" t="s">
        <v>5073</v>
      </c>
      <c r="G825" s="17" t="s">
        <v>7747</v>
      </c>
      <c r="H825" s="7" t="s">
        <v>19</v>
      </c>
      <c r="I825" s="7" t="s">
        <v>960</v>
      </c>
      <c r="J825" s="7" t="s">
        <v>53</v>
      </c>
      <c r="K825" s="7" t="s">
        <v>628</v>
      </c>
      <c r="L825" s="7" t="s">
        <v>55</v>
      </c>
      <c r="M825" s="7">
        <v>4.0796700000000001</v>
      </c>
      <c r="N825" s="7">
        <v>9.6706730000000007</v>
      </c>
      <c r="O825" s="7" t="s">
        <v>613</v>
      </c>
    </row>
    <row r="826" spans="1:15" x14ac:dyDescent="0.25">
      <c r="A826" s="2">
        <f t="shared" si="12"/>
        <v>824</v>
      </c>
      <c r="B826" s="7" t="s">
        <v>5074</v>
      </c>
      <c r="C826" s="7" t="s">
        <v>5075</v>
      </c>
      <c r="D826" s="7" t="s">
        <v>5074</v>
      </c>
      <c r="E826" s="7" t="s">
        <v>50</v>
      </c>
      <c r="F826" s="7" t="s">
        <v>5076</v>
      </c>
      <c r="G826" s="17" t="s">
        <v>7747</v>
      </c>
      <c r="H826" s="7" t="s">
        <v>19</v>
      </c>
      <c r="I826" s="7" t="s">
        <v>611</v>
      </c>
      <c r="J826" s="7" t="s">
        <v>53</v>
      </c>
      <c r="K826" s="7" t="s">
        <v>612</v>
      </c>
      <c r="L826" s="7" t="s">
        <v>55</v>
      </c>
      <c r="M826" s="7">
        <v>4.0769979999999997</v>
      </c>
      <c r="N826" s="7">
        <v>9.7588069999999991</v>
      </c>
      <c r="O826" s="7" t="s">
        <v>23</v>
      </c>
    </row>
    <row r="827" spans="1:15" x14ac:dyDescent="0.25">
      <c r="A827" s="2">
        <f t="shared" si="12"/>
        <v>825</v>
      </c>
      <c r="B827" s="7" t="s">
        <v>5077</v>
      </c>
      <c r="C827" s="7" t="s">
        <v>5078</v>
      </c>
      <c r="D827" s="7" t="s">
        <v>5077</v>
      </c>
      <c r="E827" s="7" t="s">
        <v>50</v>
      </c>
      <c r="F827" s="7" t="s">
        <v>5079</v>
      </c>
      <c r="G827" s="17" t="s">
        <v>7747</v>
      </c>
      <c r="H827" s="7" t="s">
        <v>19</v>
      </c>
      <c r="I827" s="7" t="s">
        <v>1958</v>
      </c>
      <c r="J827" s="7" t="s">
        <v>53</v>
      </c>
      <c r="K827" s="7" t="s">
        <v>1404</v>
      </c>
      <c r="L827" s="7" t="s">
        <v>55</v>
      </c>
      <c r="M827" s="7">
        <v>4.0523759999999998</v>
      </c>
      <c r="N827" s="7">
        <v>9.6939060000000001</v>
      </c>
      <c r="O827" s="7" t="s">
        <v>613</v>
      </c>
    </row>
    <row r="828" spans="1:15" x14ac:dyDescent="0.25">
      <c r="A828" s="2">
        <f t="shared" si="12"/>
        <v>826</v>
      </c>
      <c r="B828" s="7" t="s">
        <v>5080</v>
      </c>
      <c r="C828" s="7" t="s">
        <v>5081</v>
      </c>
      <c r="D828" s="7" t="s">
        <v>5080</v>
      </c>
      <c r="E828" s="7" t="s">
        <v>50</v>
      </c>
      <c r="F828" s="7" t="s">
        <v>5082</v>
      </c>
      <c r="G828" s="17" t="s">
        <v>7747</v>
      </c>
      <c r="H828" s="7" t="s">
        <v>19</v>
      </c>
      <c r="I828" s="7" t="s">
        <v>1403</v>
      </c>
      <c r="J828" s="7" t="s">
        <v>53</v>
      </c>
      <c r="K828" s="7" t="s">
        <v>1404</v>
      </c>
      <c r="L828" s="7" t="s">
        <v>55</v>
      </c>
      <c r="M828" s="7">
        <v>4.0370559999999998</v>
      </c>
      <c r="N828" s="7">
        <v>9.6960560000000005</v>
      </c>
      <c r="O828" s="7" t="s">
        <v>613</v>
      </c>
    </row>
    <row r="829" spans="1:15" x14ac:dyDescent="0.25">
      <c r="A829" s="2">
        <f t="shared" si="12"/>
        <v>827</v>
      </c>
      <c r="B829" s="7" t="s">
        <v>5083</v>
      </c>
      <c r="C829" s="7" t="s">
        <v>5084</v>
      </c>
      <c r="D829" s="7" t="s">
        <v>5083</v>
      </c>
      <c r="E829" s="7" t="s">
        <v>50</v>
      </c>
      <c r="F829" s="7" t="s">
        <v>5085</v>
      </c>
      <c r="G829" s="17" t="s">
        <v>7747</v>
      </c>
      <c r="H829" s="7" t="s">
        <v>28</v>
      </c>
      <c r="I829" s="7" t="s">
        <v>1403</v>
      </c>
      <c r="J829" s="7" t="s">
        <v>53</v>
      </c>
      <c r="K829" s="7" t="s">
        <v>1404</v>
      </c>
      <c r="L829" s="7" t="s">
        <v>55</v>
      </c>
      <c r="M829" s="7">
        <v>4.0367559999999996</v>
      </c>
      <c r="N829" s="7">
        <v>9.69754</v>
      </c>
      <c r="O829" s="7" t="s">
        <v>613</v>
      </c>
    </row>
    <row r="830" spans="1:15" x14ac:dyDescent="0.25">
      <c r="A830" s="2">
        <f t="shared" si="12"/>
        <v>828</v>
      </c>
      <c r="B830" s="7" t="s">
        <v>5086</v>
      </c>
      <c r="C830" s="7" t="s">
        <v>5087</v>
      </c>
      <c r="D830" s="7" t="s">
        <v>5086</v>
      </c>
      <c r="E830" s="7" t="s">
        <v>50</v>
      </c>
      <c r="F830" s="7" t="s">
        <v>5088</v>
      </c>
      <c r="G830" s="17" t="s">
        <v>7747</v>
      </c>
      <c r="H830" s="7" t="s">
        <v>28</v>
      </c>
      <c r="I830" s="7" t="s">
        <v>1403</v>
      </c>
      <c r="J830" s="7" t="s">
        <v>53</v>
      </c>
      <c r="K830" s="7" t="s">
        <v>1404</v>
      </c>
      <c r="L830" s="7" t="s">
        <v>55</v>
      </c>
      <c r="M830" s="7">
        <v>4.0245100000000003</v>
      </c>
      <c r="N830" s="7">
        <v>9.6954100000000007</v>
      </c>
      <c r="O830" s="7" t="s">
        <v>613</v>
      </c>
    </row>
    <row r="831" spans="1:15" x14ac:dyDescent="0.25">
      <c r="A831" s="2">
        <f t="shared" si="12"/>
        <v>829</v>
      </c>
      <c r="B831" s="7" t="s">
        <v>5092</v>
      </c>
      <c r="C831" s="7" t="s">
        <v>5093</v>
      </c>
      <c r="D831" s="7" t="s">
        <v>5092</v>
      </c>
      <c r="E831" s="7" t="s">
        <v>50</v>
      </c>
      <c r="F831" s="7" t="s">
        <v>5094</v>
      </c>
      <c r="G831" s="17" t="s">
        <v>7747</v>
      </c>
      <c r="H831" s="7" t="s">
        <v>19</v>
      </c>
      <c r="I831" s="7" t="s">
        <v>1958</v>
      </c>
      <c r="J831" s="7" t="s">
        <v>53</v>
      </c>
      <c r="K831" s="7" t="s">
        <v>1404</v>
      </c>
      <c r="L831" s="7" t="s">
        <v>55</v>
      </c>
      <c r="M831" s="7">
        <v>4.0526999999999997</v>
      </c>
      <c r="N831" s="7">
        <v>9.7003000000000004</v>
      </c>
      <c r="O831" s="7" t="s">
        <v>613</v>
      </c>
    </row>
    <row r="832" spans="1:15" x14ac:dyDescent="0.25">
      <c r="A832" s="2">
        <f t="shared" si="12"/>
        <v>830</v>
      </c>
      <c r="B832" s="7" t="s">
        <v>5095</v>
      </c>
      <c r="C832" s="7" t="s">
        <v>5096</v>
      </c>
      <c r="D832" s="7" t="s">
        <v>5095</v>
      </c>
      <c r="E832" s="7" t="s">
        <v>50</v>
      </c>
      <c r="F832" s="7" t="s">
        <v>5097</v>
      </c>
      <c r="G832" s="17" t="s">
        <v>7747</v>
      </c>
      <c r="H832" s="7" t="s">
        <v>19</v>
      </c>
      <c r="I832" s="7" t="s">
        <v>1958</v>
      </c>
      <c r="J832" s="7" t="s">
        <v>53</v>
      </c>
      <c r="K832" s="7" t="s">
        <v>1404</v>
      </c>
      <c r="L832" s="7" t="s">
        <v>55</v>
      </c>
      <c r="M832" s="7">
        <v>4.0408860000000004</v>
      </c>
      <c r="N832" s="7">
        <v>9.6990060000000007</v>
      </c>
      <c r="O832" s="7" t="s">
        <v>613</v>
      </c>
    </row>
    <row r="833" spans="1:15" x14ac:dyDescent="0.25">
      <c r="A833" s="2">
        <f t="shared" si="12"/>
        <v>831</v>
      </c>
      <c r="B833" s="7" t="s">
        <v>5098</v>
      </c>
      <c r="C833" s="7" t="s">
        <v>5099</v>
      </c>
      <c r="D833" s="7" t="s">
        <v>5098</v>
      </c>
      <c r="E833" s="7" t="s">
        <v>50</v>
      </c>
      <c r="F833" s="7" t="s">
        <v>5100</v>
      </c>
      <c r="G833" s="17" t="s">
        <v>7747</v>
      </c>
      <c r="H833" s="7" t="s">
        <v>19</v>
      </c>
      <c r="I833" s="7" t="s">
        <v>1403</v>
      </c>
      <c r="J833" s="7" t="s">
        <v>53</v>
      </c>
      <c r="K833" s="7" t="s">
        <v>1404</v>
      </c>
      <c r="L833" s="7" t="s">
        <v>55</v>
      </c>
      <c r="M833" s="7">
        <v>4.0334050000000001</v>
      </c>
      <c r="N833" s="7">
        <v>9.6994900000000008</v>
      </c>
      <c r="O833" s="7" t="s">
        <v>613</v>
      </c>
    </row>
    <row r="834" spans="1:15" x14ac:dyDescent="0.25">
      <c r="A834" s="2">
        <f t="shared" si="12"/>
        <v>832</v>
      </c>
      <c r="B834" s="7" t="s">
        <v>5101</v>
      </c>
      <c r="C834" s="7" t="s">
        <v>5102</v>
      </c>
      <c r="D834" s="7" t="s">
        <v>5101</v>
      </c>
      <c r="E834" s="7" t="s">
        <v>50</v>
      </c>
      <c r="F834" s="7" t="s">
        <v>5103</v>
      </c>
      <c r="G834" s="17" t="s">
        <v>7747</v>
      </c>
      <c r="H834" s="7" t="s">
        <v>19</v>
      </c>
      <c r="I834" s="7" t="s">
        <v>1958</v>
      </c>
      <c r="J834" s="7" t="s">
        <v>53</v>
      </c>
      <c r="K834" s="7" t="s">
        <v>612</v>
      </c>
      <c r="L834" s="7" t="s">
        <v>55</v>
      </c>
      <c r="M834" s="7">
        <v>4.0703060000000004</v>
      </c>
      <c r="N834" s="7">
        <v>9.7196390000000008</v>
      </c>
      <c r="O834" s="7" t="s">
        <v>613</v>
      </c>
    </row>
    <row r="835" spans="1:15" x14ac:dyDescent="0.25">
      <c r="A835" s="2">
        <f t="shared" si="12"/>
        <v>833</v>
      </c>
      <c r="B835" s="7" t="s">
        <v>5110</v>
      </c>
      <c r="C835" s="7" t="s">
        <v>5111</v>
      </c>
      <c r="D835" s="7" t="s">
        <v>5110</v>
      </c>
      <c r="E835" s="7" t="s">
        <v>50</v>
      </c>
      <c r="F835" s="7" t="s">
        <v>5112</v>
      </c>
      <c r="G835" s="17" t="s">
        <v>7747</v>
      </c>
      <c r="H835" s="7" t="s">
        <v>28</v>
      </c>
      <c r="I835" s="7" t="s">
        <v>1958</v>
      </c>
      <c r="J835" s="7" t="s">
        <v>53</v>
      </c>
      <c r="K835" s="7" t="s">
        <v>1404</v>
      </c>
      <c r="L835" s="7" t="s">
        <v>55</v>
      </c>
      <c r="M835" s="7">
        <v>4.0415609999999997</v>
      </c>
      <c r="N835" s="7">
        <v>9.6941849999999992</v>
      </c>
      <c r="O835" s="7" t="s">
        <v>613</v>
      </c>
    </row>
    <row r="836" spans="1:15" x14ac:dyDescent="0.25">
      <c r="A836" s="2">
        <f t="shared" si="12"/>
        <v>834</v>
      </c>
      <c r="B836" s="7" t="s">
        <v>5129</v>
      </c>
      <c r="C836" s="7" t="s">
        <v>5130</v>
      </c>
      <c r="D836" s="7" t="s">
        <v>5129</v>
      </c>
      <c r="E836" s="7" t="s">
        <v>50</v>
      </c>
      <c r="F836" s="7" t="s">
        <v>5131</v>
      </c>
      <c r="G836" s="17" t="s">
        <v>7747</v>
      </c>
      <c r="H836" s="7" t="s">
        <v>19</v>
      </c>
      <c r="I836" s="7" t="s">
        <v>1403</v>
      </c>
      <c r="J836" s="7" t="s">
        <v>53</v>
      </c>
      <c r="K836" s="7" t="s">
        <v>2213</v>
      </c>
      <c r="L836" s="7" t="s">
        <v>55</v>
      </c>
      <c r="M836" s="7">
        <v>4.0343059999999999</v>
      </c>
      <c r="N836" s="7">
        <v>9.7063889999999997</v>
      </c>
      <c r="O836" s="7" t="s">
        <v>613</v>
      </c>
    </row>
    <row r="837" spans="1:15" x14ac:dyDescent="0.25">
      <c r="A837" s="2">
        <f t="shared" ref="A837:A900" si="13">+A836+1</f>
        <v>835</v>
      </c>
      <c r="B837" s="7" t="s">
        <v>5135</v>
      </c>
      <c r="C837" s="7" t="s">
        <v>5136</v>
      </c>
      <c r="D837" s="7" t="s">
        <v>5135</v>
      </c>
      <c r="E837" s="7" t="s">
        <v>50</v>
      </c>
      <c r="F837" s="7" t="s">
        <v>5137</v>
      </c>
      <c r="G837" s="17" t="s">
        <v>7747</v>
      </c>
      <c r="H837" s="7" t="s">
        <v>28</v>
      </c>
      <c r="I837" s="7" t="s">
        <v>1478</v>
      </c>
      <c r="J837" s="7" t="s">
        <v>53</v>
      </c>
      <c r="K837" s="7" t="s">
        <v>612</v>
      </c>
      <c r="L837" s="7" t="s">
        <v>55</v>
      </c>
      <c r="M837" s="7">
        <v>4.0919999999999996</v>
      </c>
      <c r="N837" s="7">
        <v>9.7296940000000003</v>
      </c>
      <c r="O837" s="7" t="s">
        <v>613</v>
      </c>
    </row>
    <row r="838" spans="1:15" x14ac:dyDescent="0.25">
      <c r="A838" s="2">
        <f t="shared" si="13"/>
        <v>836</v>
      </c>
      <c r="B838" s="7" t="s">
        <v>5138</v>
      </c>
      <c r="C838" s="7" t="s">
        <v>5139</v>
      </c>
      <c r="D838" s="7" t="s">
        <v>5138</v>
      </c>
      <c r="E838" s="7" t="s">
        <v>50</v>
      </c>
      <c r="F838" s="7" t="s">
        <v>5140</v>
      </c>
      <c r="G838" s="17" t="s">
        <v>7747</v>
      </c>
      <c r="H838" s="7" t="s">
        <v>28</v>
      </c>
      <c r="I838" s="7" t="s">
        <v>1329</v>
      </c>
      <c r="J838" s="7" t="s">
        <v>53</v>
      </c>
      <c r="K838" s="7" t="s">
        <v>612</v>
      </c>
      <c r="L838" s="7" t="s">
        <v>55</v>
      </c>
      <c r="M838" s="7">
        <v>4.0596110000000003</v>
      </c>
      <c r="N838" s="7">
        <v>9.7435279999999995</v>
      </c>
      <c r="O838" s="7" t="s">
        <v>613</v>
      </c>
    </row>
    <row r="839" spans="1:15" x14ac:dyDescent="0.25">
      <c r="A839" s="2">
        <f t="shared" si="13"/>
        <v>837</v>
      </c>
      <c r="B839" s="7" t="s">
        <v>5141</v>
      </c>
      <c r="C839" s="7" t="s">
        <v>5142</v>
      </c>
      <c r="D839" s="7" t="s">
        <v>5141</v>
      </c>
      <c r="E839" s="7" t="s">
        <v>50</v>
      </c>
      <c r="F839" s="7" t="s">
        <v>5143</v>
      </c>
      <c r="G839" s="17" t="s">
        <v>7747</v>
      </c>
      <c r="H839" s="7" t="s">
        <v>28</v>
      </c>
      <c r="I839" s="7" t="s">
        <v>1403</v>
      </c>
      <c r="J839" s="7" t="s">
        <v>53</v>
      </c>
      <c r="K839" s="7" t="s">
        <v>1404</v>
      </c>
      <c r="L839" s="7" t="s">
        <v>55</v>
      </c>
      <c r="M839" s="7">
        <v>4.0302220000000002</v>
      </c>
      <c r="N839" s="7">
        <v>9.6936699999999991</v>
      </c>
      <c r="O839" s="7" t="s">
        <v>613</v>
      </c>
    </row>
    <row r="840" spans="1:15" x14ac:dyDescent="0.25">
      <c r="A840" s="2">
        <f t="shared" si="13"/>
        <v>838</v>
      </c>
      <c r="B840" s="7" t="s">
        <v>5156</v>
      </c>
      <c r="C840" s="7" t="s">
        <v>5157</v>
      </c>
      <c r="D840" s="7" t="s">
        <v>5156</v>
      </c>
      <c r="E840" s="7" t="s">
        <v>50</v>
      </c>
      <c r="F840" s="7" t="s">
        <v>5158</v>
      </c>
      <c r="G840" s="17" t="s">
        <v>7747</v>
      </c>
      <c r="H840" s="7" t="s">
        <v>28</v>
      </c>
      <c r="I840" s="7" t="s">
        <v>2024</v>
      </c>
      <c r="J840" s="7" t="s">
        <v>53</v>
      </c>
      <c r="K840" s="7" t="s">
        <v>2213</v>
      </c>
      <c r="L840" s="7" t="s">
        <v>55</v>
      </c>
      <c r="M840" s="7">
        <v>4.03477</v>
      </c>
      <c r="N840" s="7">
        <v>9.7192799999999995</v>
      </c>
      <c r="O840" s="7" t="s">
        <v>613</v>
      </c>
    </row>
    <row r="841" spans="1:15" x14ac:dyDescent="0.25">
      <c r="A841" s="2">
        <f t="shared" si="13"/>
        <v>839</v>
      </c>
      <c r="B841" s="7" t="s">
        <v>5165</v>
      </c>
      <c r="C841" s="7" t="s">
        <v>5166</v>
      </c>
      <c r="D841" s="7" t="s">
        <v>5165</v>
      </c>
      <c r="E841" s="7" t="s">
        <v>50</v>
      </c>
      <c r="F841" s="7" t="s">
        <v>5167</v>
      </c>
      <c r="G841" s="17" t="s">
        <v>7747</v>
      </c>
      <c r="H841" s="7" t="s">
        <v>28</v>
      </c>
      <c r="I841" s="7" t="s">
        <v>1471</v>
      </c>
      <c r="J841" s="7" t="s">
        <v>53</v>
      </c>
      <c r="K841" s="7" t="s">
        <v>628</v>
      </c>
      <c r="L841" s="7" t="s">
        <v>55</v>
      </c>
      <c r="M841" s="7">
        <v>4.0596670000000001</v>
      </c>
      <c r="N841" s="7">
        <v>9.7501669999999994</v>
      </c>
      <c r="O841" s="7" t="s">
        <v>613</v>
      </c>
    </row>
    <row r="842" spans="1:15" x14ac:dyDescent="0.25">
      <c r="A842" s="2">
        <f t="shared" si="13"/>
        <v>840</v>
      </c>
      <c r="B842" s="7" t="s">
        <v>5168</v>
      </c>
      <c r="C842" s="7" t="s">
        <v>5169</v>
      </c>
      <c r="D842" s="7" t="s">
        <v>5168</v>
      </c>
      <c r="E842" s="7" t="s">
        <v>50</v>
      </c>
      <c r="F842" s="7" t="s">
        <v>5170</v>
      </c>
      <c r="G842" s="17" t="s">
        <v>7747</v>
      </c>
      <c r="H842" s="7" t="s">
        <v>28</v>
      </c>
      <c r="I842" s="7" t="s">
        <v>2024</v>
      </c>
      <c r="J842" s="7" t="s">
        <v>53</v>
      </c>
      <c r="K842" s="7" t="s">
        <v>2213</v>
      </c>
      <c r="L842" s="7" t="s">
        <v>55</v>
      </c>
      <c r="M842" s="7">
        <v>4.0400830000000001</v>
      </c>
      <c r="N842" s="7">
        <v>9.7061060000000001</v>
      </c>
      <c r="O842" s="7" t="s">
        <v>613</v>
      </c>
    </row>
    <row r="843" spans="1:15" x14ac:dyDescent="0.25">
      <c r="A843" s="2">
        <f t="shared" si="13"/>
        <v>841</v>
      </c>
      <c r="B843" s="7" t="s">
        <v>5174</v>
      </c>
      <c r="C843" s="7" t="s">
        <v>5175</v>
      </c>
      <c r="D843" s="7" t="s">
        <v>5174</v>
      </c>
      <c r="E843" s="7" t="s">
        <v>50</v>
      </c>
      <c r="F843" s="7" t="s">
        <v>5176</v>
      </c>
      <c r="G843" s="17" t="s">
        <v>7747</v>
      </c>
      <c r="H843" s="7" t="s">
        <v>19</v>
      </c>
      <c r="I843" s="7" t="s">
        <v>1575</v>
      </c>
      <c r="J843" s="7" t="s">
        <v>53</v>
      </c>
      <c r="K843" s="7" t="s">
        <v>54</v>
      </c>
      <c r="L843" s="7" t="s">
        <v>55</v>
      </c>
      <c r="M843" s="7">
        <v>4.0286949999999999</v>
      </c>
      <c r="N843" s="7">
        <v>9.7256789999999995</v>
      </c>
      <c r="O843" s="7" t="s">
        <v>613</v>
      </c>
    </row>
    <row r="844" spans="1:15" x14ac:dyDescent="0.25">
      <c r="A844" s="2">
        <f t="shared" si="13"/>
        <v>842</v>
      </c>
      <c r="B844" s="7" t="s">
        <v>5180</v>
      </c>
      <c r="C844" s="7" t="s">
        <v>5181</v>
      </c>
      <c r="D844" s="7" t="s">
        <v>5180</v>
      </c>
      <c r="E844" s="7" t="s">
        <v>50</v>
      </c>
      <c r="F844" s="7" t="s">
        <v>5182</v>
      </c>
      <c r="G844" s="17" t="s">
        <v>7747</v>
      </c>
      <c r="H844" s="7" t="s">
        <v>19</v>
      </c>
      <c r="I844" s="7" t="s">
        <v>1478</v>
      </c>
      <c r="J844" s="7" t="s">
        <v>53</v>
      </c>
      <c r="K844" s="7" t="s">
        <v>612</v>
      </c>
      <c r="L844" s="7" t="s">
        <v>55</v>
      </c>
      <c r="M844" s="7">
        <v>4.1005279999999997</v>
      </c>
      <c r="N844" s="7">
        <v>9.7364999999999995</v>
      </c>
      <c r="O844" s="7" t="s">
        <v>613</v>
      </c>
    </row>
    <row r="845" spans="1:15" x14ac:dyDescent="0.25">
      <c r="A845" s="2">
        <f t="shared" si="13"/>
        <v>843</v>
      </c>
      <c r="B845" s="7" t="s">
        <v>5189</v>
      </c>
      <c r="C845" s="7" t="s">
        <v>5190</v>
      </c>
      <c r="D845" s="7" t="s">
        <v>5189</v>
      </c>
      <c r="E845" s="7" t="s">
        <v>50</v>
      </c>
      <c r="F845" s="7" t="s">
        <v>5191</v>
      </c>
      <c r="G845" s="17" t="s">
        <v>7747</v>
      </c>
      <c r="H845" s="7" t="s">
        <v>19</v>
      </c>
      <c r="I845" s="7" t="s">
        <v>1958</v>
      </c>
      <c r="J845" s="7" t="s">
        <v>53</v>
      </c>
      <c r="K845" s="7" t="s">
        <v>612</v>
      </c>
      <c r="L845" s="7" t="s">
        <v>55</v>
      </c>
      <c r="M845" s="7">
        <v>4.053242</v>
      </c>
      <c r="N845" s="7">
        <v>9.720853</v>
      </c>
      <c r="O845" s="7" t="s">
        <v>613</v>
      </c>
    </row>
    <row r="846" spans="1:15" x14ac:dyDescent="0.25">
      <c r="A846" s="2">
        <f t="shared" si="13"/>
        <v>844</v>
      </c>
      <c r="B846" s="7" t="s">
        <v>5192</v>
      </c>
      <c r="C846" s="7" t="s">
        <v>5193</v>
      </c>
      <c r="D846" s="7" t="s">
        <v>5192</v>
      </c>
      <c r="E846" s="7" t="s">
        <v>50</v>
      </c>
      <c r="F846" s="7" t="s">
        <v>5194</v>
      </c>
      <c r="G846" s="17" t="s">
        <v>7747</v>
      </c>
      <c r="H846" s="7" t="s">
        <v>19</v>
      </c>
      <c r="I846" s="7" t="s">
        <v>1329</v>
      </c>
      <c r="J846" s="7" t="s">
        <v>53</v>
      </c>
      <c r="K846" s="7" t="s">
        <v>54</v>
      </c>
      <c r="L846" s="7" t="s">
        <v>55</v>
      </c>
      <c r="M846" s="7">
        <v>4.0536110000000001</v>
      </c>
      <c r="N846" s="7">
        <v>9.7302780000000002</v>
      </c>
      <c r="O846" s="7" t="s">
        <v>613</v>
      </c>
    </row>
    <row r="847" spans="1:15" x14ac:dyDescent="0.25">
      <c r="A847" s="2">
        <f t="shared" si="13"/>
        <v>845</v>
      </c>
      <c r="B847" s="7" t="s">
        <v>5207</v>
      </c>
      <c r="C847" s="7" t="s">
        <v>5208</v>
      </c>
      <c r="D847" s="7" t="s">
        <v>5207</v>
      </c>
      <c r="E847" s="7" t="s">
        <v>50</v>
      </c>
      <c r="F847" s="7" t="s">
        <v>5209</v>
      </c>
      <c r="G847" s="17" t="s">
        <v>7747</v>
      </c>
      <c r="H847" s="7" t="s">
        <v>28</v>
      </c>
      <c r="I847" s="7" t="s">
        <v>1478</v>
      </c>
      <c r="J847" s="7" t="s">
        <v>53</v>
      </c>
      <c r="K847" s="7" t="s">
        <v>612</v>
      </c>
      <c r="L847" s="7" t="s">
        <v>55</v>
      </c>
      <c r="M847" s="7">
        <v>4.0886670000000001</v>
      </c>
      <c r="N847" s="7">
        <v>9.7464999999999993</v>
      </c>
      <c r="O847" s="7" t="s">
        <v>613</v>
      </c>
    </row>
    <row r="848" spans="1:15" x14ac:dyDescent="0.25">
      <c r="A848" s="2">
        <f t="shared" si="13"/>
        <v>846</v>
      </c>
      <c r="B848" s="7" t="s">
        <v>5213</v>
      </c>
      <c r="C848" s="7" t="s">
        <v>5214</v>
      </c>
      <c r="D848" s="7" t="s">
        <v>5213</v>
      </c>
      <c r="E848" s="7" t="s">
        <v>50</v>
      </c>
      <c r="F848" s="7" t="s">
        <v>5215</v>
      </c>
      <c r="G848" s="17" t="s">
        <v>7747</v>
      </c>
      <c r="H848" s="7" t="s">
        <v>28</v>
      </c>
      <c r="I848" s="7" t="s">
        <v>2024</v>
      </c>
      <c r="J848" s="7" t="s">
        <v>53</v>
      </c>
      <c r="K848" s="7" t="s">
        <v>2213</v>
      </c>
      <c r="L848" s="7" t="s">
        <v>55</v>
      </c>
      <c r="M848" s="7">
        <v>4.0320739999999997</v>
      </c>
      <c r="N848" s="7">
        <v>9.7092729999999996</v>
      </c>
      <c r="O848" s="7" t="s">
        <v>613</v>
      </c>
    </row>
    <row r="849" spans="1:15" x14ac:dyDescent="0.25">
      <c r="A849" s="2">
        <f t="shared" si="13"/>
        <v>847</v>
      </c>
      <c r="B849" s="7" t="s">
        <v>5229</v>
      </c>
      <c r="C849" s="7" t="s">
        <v>5230</v>
      </c>
      <c r="D849" s="7" t="s">
        <v>5229</v>
      </c>
      <c r="E849" s="7" t="s">
        <v>50</v>
      </c>
      <c r="F849" s="7" t="s">
        <v>5231</v>
      </c>
      <c r="G849" s="17" t="s">
        <v>7747</v>
      </c>
      <c r="H849" s="7" t="s">
        <v>28</v>
      </c>
      <c r="I849" s="7" t="s">
        <v>1471</v>
      </c>
      <c r="J849" s="7" t="s">
        <v>53</v>
      </c>
      <c r="K849" s="7" t="s">
        <v>612</v>
      </c>
      <c r="L849" s="7" t="s">
        <v>55</v>
      </c>
      <c r="M849" s="7">
        <v>4.0668610000000003</v>
      </c>
      <c r="N849" s="7">
        <v>9.7258890000000005</v>
      </c>
      <c r="O849" s="7" t="s">
        <v>613</v>
      </c>
    </row>
    <row r="850" spans="1:15" x14ac:dyDescent="0.25">
      <c r="A850" s="2">
        <f t="shared" si="13"/>
        <v>848</v>
      </c>
      <c r="B850" s="7" t="s">
        <v>5232</v>
      </c>
      <c r="C850" s="7" t="s">
        <v>5233</v>
      </c>
      <c r="D850" s="7" t="s">
        <v>5232</v>
      </c>
      <c r="E850" s="7" t="s">
        <v>50</v>
      </c>
      <c r="F850" s="7" t="s">
        <v>5234</v>
      </c>
      <c r="G850" s="17" t="s">
        <v>7747</v>
      </c>
      <c r="H850" s="7" t="s">
        <v>28</v>
      </c>
      <c r="I850" s="7" t="s">
        <v>1575</v>
      </c>
      <c r="J850" s="7" t="s">
        <v>53</v>
      </c>
      <c r="K850" s="7" t="s">
        <v>54</v>
      </c>
      <c r="L850" s="7" t="s">
        <v>55</v>
      </c>
      <c r="M850" s="7">
        <v>4.0194970000000003</v>
      </c>
      <c r="N850" s="7">
        <v>9.7439149999999994</v>
      </c>
      <c r="O850" s="7" t="s">
        <v>613</v>
      </c>
    </row>
    <row r="851" spans="1:15" x14ac:dyDescent="0.25">
      <c r="A851" s="2">
        <f t="shared" si="13"/>
        <v>849</v>
      </c>
      <c r="B851" s="7" t="s">
        <v>5244</v>
      </c>
      <c r="C851" s="7" t="s">
        <v>5245</v>
      </c>
      <c r="D851" s="7" t="s">
        <v>5244</v>
      </c>
      <c r="E851" s="7" t="s">
        <v>50</v>
      </c>
      <c r="F851" s="7" t="s">
        <v>5246</v>
      </c>
      <c r="G851" s="17" t="s">
        <v>7747</v>
      </c>
      <c r="H851" s="7" t="s">
        <v>28</v>
      </c>
      <c r="I851" s="7" t="s">
        <v>1958</v>
      </c>
      <c r="J851" s="7" t="s">
        <v>53</v>
      </c>
      <c r="K851" s="7" t="s">
        <v>1404</v>
      </c>
      <c r="L851" s="7" t="s">
        <v>55</v>
      </c>
      <c r="M851" s="7">
        <v>4.0446939999999998</v>
      </c>
      <c r="N851" s="7">
        <v>9.7034719999999997</v>
      </c>
      <c r="O851" s="7" t="s">
        <v>613</v>
      </c>
    </row>
    <row r="852" spans="1:15" x14ac:dyDescent="0.25">
      <c r="A852" s="2">
        <f t="shared" si="13"/>
        <v>850</v>
      </c>
      <c r="B852" s="7" t="s">
        <v>5247</v>
      </c>
      <c r="C852" s="7" t="s">
        <v>5248</v>
      </c>
      <c r="D852" s="7" t="s">
        <v>5247</v>
      </c>
      <c r="E852" s="7" t="s">
        <v>50</v>
      </c>
      <c r="F852" s="7" t="s">
        <v>5249</v>
      </c>
      <c r="G852" s="17" t="s">
        <v>7747</v>
      </c>
      <c r="H852" s="7" t="s">
        <v>19</v>
      </c>
      <c r="I852" s="7" t="s">
        <v>1471</v>
      </c>
      <c r="J852" s="7" t="s">
        <v>53</v>
      </c>
      <c r="K852" s="7" t="s">
        <v>612</v>
      </c>
      <c r="L852" s="7" t="s">
        <v>55</v>
      </c>
      <c r="M852" s="7">
        <v>4.0713889999999999</v>
      </c>
      <c r="N852" s="7">
        <v>9.729139</v>
      </c>
      <c r="O852" s="7" t="s">
        <v>613</v>
      </c>
    </row>
    <row r="853" spans="1:15" x14ac:dyDescent="0.25">
      <c r="A853" s="2">
        <f t="shared" si="13"/>
        <v>851</v>
      </c>
      <c r="B853" s="7" t="s">
        <v>5256</v>
      </c>
      <c r="C853" s="7" t="s">
        <v>5257</v>
      </c>
      <c r="D853" s="7" t="s">
        <v>5256</v>
      </c>
      <c r="E853" s="7" t="s">
        <v>50</v>
      </c>
      <c r="F853" s="7" t="s">
        <v>5258</v>
      </c>
      <c r="G853" s="17" t="s">
        <v>7747</v>
      </c>
      <c r="H853" s="7" t="s">
        <v>28</v>
      </c>
      <c r="I853" s="7" t="s">
        <v>1958</v>
      </c>
      <c r="J853" s="7" t="s">
        <v>53</v>
      </c>
      <c r="K853" s="7" t="s">
        <v>1404</v>
      </c>
      <c r="L853" s="7" t="s">
        <v>55</v>
      </c>
      <c r="M853" s="7">
        <v>4.063917</v>
      </c>
      <c r="N853" s="7">
        <v>9.7100829999999991</v>
      </c>
      <c r="O853" s="7" t="s">
        <v>613</v>
      </c>
    </row>
    <row r="854" spans="1:15" x14ac:dyDescent="0.25">
      <c r="A854" s="2">
        <f t="shared" si="13"/>
        <v>852</v>
      </c>
      <c r="B854" s="7" t="s">
        <v>5264</v>
      </c>
      <c r="C854" s="7" t="s">
        <v>5265</v>
      </c>
      <c r="D854" s="7" t="s">
        <v>5264</v>
      </c>
      <c r="E854" s="7" t="s">
        <v>50</v>
      </c>
      <c r="F854" s="7" t="s">
        <v>5266</v>
      </c>
      <c r="G854" s="17" t="s">
        <v>7747</v>
      </c>
      <c r="H854" s="7" t="s">
        <v>28</v>
      </c>
      <c r="I854" s="7" t="s">
        <v>2024</v>
      </c>
      <c r="J854" s="7" t="s">
        <v>53</v>
      </c>
      <c r="K854" s="7" t="s">
        <v>2213</v>
      </c>
      <c r="L854" s="7" t="s">
        <v>55</v>
      </c>
      <c r="M854" s="7">
        <v>4.0412710000000001</v>
      </c>
      <c r="N854" s="7">
        <v>9.7123679999999997</v>
      </c>
      <c r="O854" s="7" t="s">
        <v>613</v>
      </c>
    </row>
    <row r="855" spans="1:15" x14ac:dyDescent="0.25">
      <c r="A855" s="2">
        <f t="shared" si="13"/>
        <v>853</v>
      </c>
      <c r="B855" s="7" t="s">
        <v>5273</v>
      </c>
      <c r="C855" s="7" t="s">
        <v>5274</v>
      </c>
      <c r="D855" s="7" t="s">
        <v>5273</v>
      </c>
      <c r="E855" s="7" t="s">
        <v>50</v>
      </c>
      <c r="F855" s="7" t="s">
        <v>4222</v>
      </c>
      <c r="G855" s="17" t="s">
        <v>7747</v>
      </c>
      <c r="H855" s="7" t="s">
        <v>28</v>
      </c>
      <c r="I855" s="7" t="s">
        <v>1958</v>
      </c>
      <c r="J855" s="7" t="s">
        <v>53</v>
      </c>
      <c r="K855" s="7" t="s">
        <v>1404</v>
      </c>
      <c r="L855" s="7" t="s">
        <v>55</v>
      </c>
      <c r="M855" s="7">
        <v>4.0564749999999998</v>
      </c>
      <c r="N855" s="7">
        <v>9.7048860000000001</v>
      </c>
      <c r="O855" s="7" t="s">
        <v>613</v>
      </c>
    </row>
    <row r="856" spans="1:15" x14ac:dyDescent="0.25">
      <c r="A856" s="2">
        <f t="shared" si="13"/>
        <v>854</v>
      </c>
      <c r="B856" s="7" t="s">
        <v>5275</v>
      </c>
      <c r="C856" s="7" t="s">
        <v>5276</v>
      </c>
      <c r="D856" s="7" t="s">
        <v>5275</v>
      </c>
      <c r="E856" s="7" t="s">
        <v>50</v>
      </c>
      <c r="F856" s="7" t="s">
        <v>5277</v>
      </c>
      <c r="G856" s="17" t="s">
        <v>7747</v>
      </c>
      <c r="H856" s="7" t="s">
        <v>28</v>
      </c>
      <c r="I856" s="7" t="s">
        <v>1958</v>
      </c>
      <c r="J856" s="7" t="s">
        <v>53</v>
      </c>
      <c r="K856" s="7" t="s">
        <v>1404</v>
      </c>
      <c r="L856" s="7" t="s">
        <v>55</v>
      </c>
      <c r="M856" s="7">
        <v>4.0446109999999997</v>
      </c>
      <c r="N856" s="7">
        <v>9.7006680000000003</v>
      </c>
      <c r="O856" s="7" t="s">
        <v>613</v>
      </c>
    </row>
    <row r="857" spans="1:15" x14ac:dyDescent="0.25">
      <c r="A857" s="2">
        <f t="shared" si="13"/>
        <v>855</v>
      </c>
      <c r="B857" s="7" t="s">
        <v>5278</v>
      </c>
      <c r="C857" s="7" t="s">
        <v>5279</v>
      </c>
      <c r="D857" s="7" t="s">
        <v>5278</v>
      </c>
      <c r="E857" s="7" t="s">
        <v>50</v>
      </c>
      <c r="F857" s="7" t="s">
        <v>5280</v>
      </c>
      <c r="G857" s="17" t="s">
        <v>7747</v>
      </c>
      <c r="H857" s="7" t="s">
        <v>28</v>
      </c>
      <c r="I857" s="7" t="s">
        <v>1478</v>
      </c>
      <c r="J857" s="7" t="s">
        <v>53</v>
      </c>
      <c r="K857" s="7" t="s">
        <v>612</v>
      </c>
      <c r="L857" s="7" t="s">
        <v>55</v>
      </c>
      <c r="M857" s="7">
        <v>4.0792190000000002</v>
      </c>
      <c r="N857" s="7">
        <v>9.7533689999999993</v>
      </c>
      <c r="O857" s="7" t="s">
        <v>613</v>
      </c>
    </row>
    <row r="858" spans="1:15" x14ac:dyDescent="0.25">
      <c r="A858" s="2">
        <f t="shared" si="13"/>
        <v>856</v>
      </c>
      <c r="B858" s="7" t="s">
        <v>5281</v>
      </c>
      <c r="C858" s="7" t="s">
        <v>5282</v>
      </c>
      <c r="D858" s="7" t="s">
        <v>5281</v>
      </c>
      <c r="E858" s="7" t="s">
        <v>50</v>
      </c>
      <c r="F858" s="7" t="s">
        <v>5283</v>
      </c>
      <c r="G858" s="17" t="s">
        <v>7747</v>
      </c>
      <c r="H858" s="7" t="s">
        <v>28</v>
      </c>
      <c r="I858" s="7" t="s">
        <v>1958</v>
      </c>
      <c r="J858" s="7" t="s">
        <v>53</v>
      </c>
      <c r="K858" s="7" t="s">
        <v>54</v>
      </c>
      <c r="L858" s="7" t="s">
        <v>55</v>
      </c>
      <c r="M858" s="7">
        <v>4.048972</v>
      </c>
      <c r="N858" s="7">
        <v>9.7344720000000002</v>
      </c>
      <c r="O858" s="7" t="s">
        <v>613</v>
      </c>
    </row>
    <row r="859" spans="1:15" x14ac:dyDescent="0.25">
      <c r="A859" s="2">
        <f t="shared" si="13"/>
        <v>857</v>
      </c>
      <c r="B859" s="7" t="s">
        <v>5287</v>
      </c>
      <c r="C859" s="7" t="s">
        <v>5288</v>
      </c>
      <c r="D859" s="7" t="s">
        <v>5287</v>
      </c>
      <c r="E859" s="7" t="s">
        <v>50</v>
      </c>
      <c r="F859" s="7" t="s">
        <v>5289</v>
      </c>
      <c r="G859" s="17" t="s">
        <v>7747</v>
      </c>
      <c r="H859" s="7" t="s">
        <v>19</v>
      </c>
      <c r="I859" s="7" t="s">
        <v>1403</v>
      </c>
      <c r="J859" s="7" t="s">
        <v>53</v>
      </c>
      <c r="K859" s="7" t="s">
        <v>1404</v>
      </c>
      <c r="L859" s="7" t="s">
        <v>55</v>
      </c>
      <c r="M859" s="7">
        <v>4.0423099999999996</v>
      </c>
      <c r="N859" s="7">
        <v>9.6884300000000003</v>
      </c>
      <c r="O859" s="7" t="s">
        <v>613</v>
      </c>
    </row>
    <row r="860" spans="1:15" x14ac:dyDescent="0.25">
      <c r="A860" s="2">
        <f t="shared" si="13"/>
        <v>858</v>
      </c>
      <c r="B860" s="7" t="s">
        <v>5293</v>
      </c>
      <c r="C860" s="7" t="s">
        <v>5294</v>
      </c>
      <c r="D860" s="7" t="s">
        <v>5293</v>
      </c>
      <c r="E860" s="7" t="s">
        <v>50</v>
      </c>
      <c r="F860" s="7" t="s">
        <v>5295</v>
      </c>
      <c r="G860" s="17" t="s">
        <v>7747</v>
      </c>
      <c r="H860" s="7" t="s">
        <v>28</v>
      </c>
      <c r="I860" s="7" t="s">
        <v>627</v>
      </c>
      <c r="J860" s="7" t="s">
        <v>53</v>
      </c>
      <c r="K860" s="7" t="s">
        <v>628</v>
      </c>
      <c r="L860" s="7" t="s">
        <v>55</v>
      </c>
      <c r="M860" s="7">
        <v>4.0746599999999997</v>
      </c>
      <c r="N860" s="7">
        <v>9.6806800000000006</v>
      </c>
      <c r="O860" s="7" t="s">
        <v>613</v>
      </c>
    </row>
    <row r="861" spans="1:15" x14ac:dyDescent="0.25">
      <c r="A861" s="2">
        <f t="shared" si="13"/>
        <v>859</v>
      </c>
      <c r="B861" s="7" t="s">
        <v>5302</v>
      </c>
      <c r="C861" s="7" t="s">
        <v>5303</v>
      </c>
      <c r="D861" s="7" t="s">
        <v>5302</v>
      </c>
      <c r="E861" s="7" t="s">
        <v>50</v>
      </c>
      <c r="F861" s="7" t="s">
        <v>5304</v>
      </c>
      <c r="G861" s="17" t="s">
        <v>7747</v>
      </c>
      <c r="H861" s="7" t="s">
        <v>28</v>
      </c>
      <c r="I861" s="7" t="s">
        <v>1471</v>
      </c>
      <c r="J861" s="7" t="s">
        <v>53</v>
      </c>
      <c r="K861" s="7" t="s">
        <v>612</v>
      </c>
      <c r="L861" s="7" t="s">
        <v>55</v>
      </c>
      <c r="M861" s="7">
        <v>4.0668389999999999</v>
      </c>
      <c r="N861" s="7">
        <v>9.7289829999999995</v>
      </c>
      <c r="O861" s="7" t="s">
        <v>613</v>
      </c>
    </row>
    <row r="862" spans="1:15" x14ac:dyDescent="0.25">
      <c r="A862" s="2">
        <f t="shared" si="13"/>
        <v>860</v>
      </c>
      <c r="B862" s="7" t="s">
        <v>5305</v>
      </c>
      <c r="C862" s="7" t="s">
        <v>5306</v>
      </c>
      <c r="D862" s="7" t="s">
        <v>5305</v>
      </c>
      <c r="E862" s="7" t="s">
        <v>50</v>
      </c>
      <c r="F862" s="7" t="s">
        <v>5307</v>
      </c>
      <c r="G862" s="17" t="s">
        <v>7747</v>
      </c>
      <c r="H862" s="7" t="s">
        <v>28</v>
      </c>
      <c r="I862" s="7" t="s">
        <v>1329</v>
      </c>
      <c r="J862" s="7" t="s">
        <v>53</v>
      </c>
      <c r="K862" s="7" t="s">
        <v>2213</v>
      </c>
      <c r="L862" s="7" t="s">
        <v>55</v>
      </c>
      <c r="M862" s="7">
        <v>4.04176</v>
      </c>
      <c r="N862" s="7">
        <v>9.7284699999999997</v>
      </c>
      <c r="O862" s="7" t="s">
        <v>613</v>
      </c>
    </row>
    <row r="863" spans="1:15" x14ac:dyDescent="0.25">
      <c r="A863" s="2">
        <f t="shared" si="13"/>
        <v>861</v>
      </c>
      <c r="B863" s="7" t="s">
        <v>5311</v>
      </c>
      <c r="C863" s="7" t="s">
        <v>5312</v>
      </c>
      <c r="D863" s="7" t="s">
        <v>5311</v>
      </c>
      <c r="E863" s="7" t="s">
        <v>50</v>
      </c>
      <c r="F863" s="7" t="s">
        <v>5313</v>
      </c>
      <c r="G863" s="17" t="s">
        <v>7747</v>
      </c>
      <c r="H863" s="7" t="s">
        <v>28</v>
      </c>
      <c r="I863" s="7" t="s">
        <v>1329</v>
      </c>
      <c r="J863" s="7" t="s">
        <v>53</v>
      </c>
      <c r="K863" s="7" t="s">
        <v>54</v>
      </c>
      <c r="L863" s="7" t="s">
        <v>55</v>
      </c>
      <c r="M863" s="7">
        <v>4.0526549999999997</v>
      </c>
      <c r="N863" s="7">
        <v>9.7337209999999992</v>
      </c>
      <c r="O863" s="7" t="s">
        <v>613</v>
      </c>
    </row>
    <row r="864" spans="1:15" x14ac:dyDescent="0.25">
      <c r="A864" s="2">
        <f t="shared" si="13"/>
        <v>862</v>
      </c>
      <c r="B864" s="7" t="s">
        <v>5314</v>
      </c>
      <c r="C864" s="7" t="s">
        <v>5315</v>
      </c>
      <c r="D864" s="7" t="s">
        <v>5314</v>
      </c>
      <c r="E864" s="7" t="s">
        <v>50</v>
      </c>
      <c r="F864" s="7" t="s">
        <v>5316</v>
      </c>
      <c r="G864" s="17" t="s">
        <v>7747</v>
      </c>
      <c r="H864" s="7" t="s">
        <v>28</v>
      </c>
      <c r="I864" s="7" t="s">
        <v>2024</v>
      </c>
      <c r="J864" s="7" t="s">
        <v>53</v>
      </c>
      <c r="K864" s="7" t="s">
        <v>2213</v>
      </c>
      <c r="L864" s="7" t="s">
        <v>55</v>
      </c>
      <c r="M864" s="7">
        <v>4.0475000000000003</v>
      </c>
      <c r="N864" s="7">
        <v>9.7257499999999997</v>
      </c>
      <c r="O864" s="7" t="s">
        <v>613</v>
      </c>
    </row>
    <row r="865" spans="1:15" x14ac:dyDescent="0.25">
      <c r="A865" s="2">
        <f t="shared" si="13"/>
        <v>863</v>
      </c>
      <c r="B865" s="7" t="s">
        <v>5329</v>
      </c>
      <c r="C865" s="7" t="s">
        <v>5330</v>
      </c>
      <c r="D865" s="7" t="s">
        <v>5329</v>
      </c>
      <c r="E865" s="7" t="s">
        <v>50</v>
      </c>
      <c r="F865" s="7" t="s">
        <v>5331</v>
      </c>
      <c r="G865" s="17" t="s">
        <v>7747</v>
      </c>
      <c r="H865" s="7" t="s">
        <v>19</v>
      </c>
      <c r="I865" s="7" t="s">
        <v>1403</v>
      </c>
      <c r="J865" s="7" t="s">
        <v>53</v>
      </c>
      <c r="K865" s="7" t="s">
        <v>1404</v>
      </c>
      <c r="L865" s="7" t="s">
        <v>55</v>
      </c>
      <c r="M865" s="7">
        <v>4.0449999999999999</v>
      </c>
      <c r="N865" s="7">
        <v>9.6935000000000002</v>
      </c>
      <c r="O865" s="7" t="s">
        <v>613</v>
      </c>
    </row>
    <row r="866" spans="1:15" x14ac:dyDescent="0.25">
      <c r="A866" s="2">
        <f t="shared" si="13"/>
        <v>864</v>
      </c>
      <c r="B866" s="7" t="s">
        <v>5338</v>
      </c>
      <c r="C866" s="7" t="s">
        <v>5339</v>
      </c>
      <c r="D866" s="7" t="s">
        <v>5338</v>
      </c>
      <c r="E866" s="7" t="s">
        <v>50</v>
      </c>
      <c r="F866" s="7" t="s">
        <v>5340</v>
      </c>
      <c r="G866" s="17" t="s">
        <v>7747</v>
      </c>
      <c r="H866" s="7" t="s">
        <v>28</v>
      </c>
      <c r="I866" s="7" t="s">
        <v>1478</v>
      </c>
      <c r="J866" s="7" t="s">
        <v>53</v>
      </c>
      <c r="K866" s="7" t="s">
        <v>612</v>
      </c>
      <c r="L866" s="7" t="s">
        <v>55</v>
      </c>
      <c r="M866" s="7">
        <v>4.1004779999999998</v>
      </c>
      <c r="N866" s="7">
        <v>9.7535279999999993</v>
      </c>
      <c r="O866" s="7" t="s">
        <v>613</v>
      </c>
    </row>
    <row r="867" spans="1:15" x14ac:dyDescent="0.25">
      <c r="A867" s="2">
        <f t="shared" si="13"/>
        <v>865</v>
      </c>
      <c r="B867" s="7" t="s">
        <v>5347</v>
      </c>
      <c r="C867" s="7" t="s">
        <v>5348</v>
      </c>
      <c r="D867" s="7" t="s">
        <v>5347</v>
      </c>
      <c r="E867" s="7" t="s">
        <v>50</v>
      </c>
      <c r="F867" s="7" t="s">
        <v>5349</v>
      </c>
      <c r="G867" s="17" t="s">
        <v>7747</v>
      </c>
      <c r="H867" s="7" t="s">
        <v>28</v>
      </c>
      <c r="I867" s="7" t="s">
        <v>1478</v>
      </c>
      <c r="J867" s="7" t="s">
        <v>53</v>
      </c>
      <c r="K867" s="7" t="s">
        <v>612</v>
      </c>
      <c r="L867" s="7" t="s">
        <v>55</v>
      </c>
      <c r="M867" s="7">
        <v>4.0937999999999999</v>
      </c>
      <c r="N867" s="7">
        <v>9.7415000000000003</v>
      </c>
      <c r="O867" s="7" t="s">
        <v>613</v>
      </c>
    </row>
    <row r="868" spans="1:15" x14ac:dyDescent="0.25">
      <c r="A868" s="2">
        <f t="shared" si="13"/>
        <v>866</v>
      </c>
      <c r="B868" s="7" t="s">
        <v>5350</v>
      </c>
      <c r="C868" s="7" t="s">
        <v>5351</v>
      </c>
      <c r="D868" s="7" t="s">
        <v>5350</v>
      </c>
      <c r="E868" s="7" t="s">
        <v>50</v>
      </c>
      <c r="F868" s="7" t="s">
        <v>5352</v>
      </c>
      <c r="G868" s="17" t="s">
        <v>7747</v>
      </c>
      <c r="H868" s="7" t="s">
        <v>28</v>
      </c>
      <c r="I868" s="7" t="s">
        <v>1471</v>
      </c>
      <c r="J868" s="7" t="s">
        <v>53</v>
      </c>
      <c r="K868" s="7" t="s">
        <v>612</v>
      </c>
      <c r="L868" s="7" t="s">
        <v>55</v>
      </c>
      <c r="M868" s="7">
        <v>4.0582529999999997</v>
      </c>
      <c r="N868" s="7">
        <v>9.7333090000000002</v>
      </c>
      <c r="O868" s="7" t="s">
        <v>613</v>
      </c>
    </row>
    <row r="869" spans="1:15" x14ac:dyDescent="0.25">
      <c r="A869" s="2">
        <f t="shared" si="13"/>
        <v>867</v>
      </c>
      <c r="B869" s="7" t="s">
        <v>5368</v>
      </c>
      <c r="C869" s="7" t="s">
        <v>5369</v>
      </c>
      <c r="D869" s="7" t="s">
        <v>5368</v>
      </c>
      <c r="E869" s="7" t="s">
        <v>50</v>
      </c>
      <c r="F869" s="7" t="s">
        <v>5370</v>
      </c>
      <c r="G869" s="17" t="s">
        <v>7747</v>
      </c>
      <c r="H869" s="7" t="s">
        <v>28</v>
      </c>
      <c r="I869" s="7" t="s">
        <v>1478</v>
      </c>
      <c r="J869" s="7" t="s">
        <v>53</v>
      </c>
      <c r="K869" s="7" t="s">
        <v>612</v>
      </c>
      <c r="L869" s="7" t="s">
        <v>55</v>
      </c>
      <c r="M869" s="7">
        <v>4.0871870000000001</v>
      </c>
      <c r="N869" s="7">
        <v>9.7427340000000004</v>
      </c>
      <c r="O869" s="7" t="s">
        <v>613</v>
      </c>
    </row>
    <row r="870" spans="1:15" x14ac:dyDescent="0.25">
      <c r="A870" s="2">
        <f t="shared" si="13"/>
        <v>868</v>
      </c>
      <c r="B870" s="7" t="s">
        <v>5371</v>
      </c>
      <c r="C870" s="7" t="s">
        <v>5372</v>
      </c>
      <c r="D870" s="7" t="s">
        <v>5371</v>
      </c>
      <c r="E870" s="7" t="s">
        <v>50</v>
      </c>
      <c r="F870" s="7" t="s">
        <v>5373</v>
      </c>
      <c r="G870" s="17" t="s">
        <v>7747</v>
      </c>
      <c r="H870" s="7" t="s">
        <v>19</v>
      </c>
      <c r="I870" s="7" t="s">
        <v>2024</v>
      </c>
      <c r="J870" s="7" t="s">
        <v>53</v>
      </c>
      <c r="K870" s="7" t="s">
        <v>2213</v>
      </c>
      <c r="L870" s="7" t="s">
        <v>55</v>
      </c>
      <c r="M870" s="7">
        <v>4.0376000000000003</v>
      </c>
      <c r="N870" s="7">
        <v>9.7116399999999992</v>
      </c>
      <c r="O870" s="7" t="s">
        <v>613</v>
      </c>
    </row>
    <row r="871" spans="1:15" x14ac:dyDescent="0.25">
      <c r="A871" s="2">
        <f t="shared" si="13"/>
        <v>869</v>
      </c>
      <c r="B871" s="7" t="s">
        <v>5383</v>
      </c>
      <c r="C871" s="7" t="s">
        <v>5384</v>
      </c>
      <c r="D871" s="7" t="s">
        <v>5383</v>
      </c>
      <c r="E871" s="7" t="s">
        <v>50</v>
      </c>
      <c r="F871" s="7" t="s">
        <v>5385</v>
      </c>
      <c r="G871" s="17" t="s">
        <v>7747</v>
      </c>
      <c r="H871" s="7" t="s">
        <v>19</v>
      </c>
      <c r="I871" s="7" t="s">
        <v>1329</v>
      </c>
      <c r="J871" s="7" t="s">
        <v>53</v>
      </c>
      <c r="K871" s="7" t="s">
        <v>612</v>
      </c>
      <c r="L871" s="7" t="s">
        <v>55</v>
      </c>
      <c r="M871" s="7">
        <v>4.0477499999999997</v>
      </c>
      <c r="N871" s="7">
        <v>9.7501390000000008</v>
      </c>
      <c r="O871" s="7" t="s">
        <v>613</v>
      </c>
    </row>
    <row r="872" spans="1:15" x14ac:dyDescent="0.25">
      <c r="A872" s="2">
        <f t="shared" si="13"/>
        <v>870</v>
      </c>
      <c r="B872" s="7" t="s">
        <v>5386</v>
      </c>
      <c r="C872" s="7" t="s">
        <v>5387</v>
      </c>
      <c r="D872" s="7" t="s">
        <v>5386</v>
      </c>
      <c r="E872" s="7" t="s">
        <v>50</v>
      </c>
      <c r="F872" s="7" t="s">
        <v>5388</v>
      </c>
      <c r="G872" s="17" t="s">
        <v>7747</v>
      </c>
      <c r="H872" s="7" t="s">
        <v>19</v>
      </c>
      <c r="I872" s="7" t="s">
        <v>1471</v>
      </c>
      <c r="J872" s="7" t="s">
        <v>53</v>
      </c>
      <c r="K872" s="7" t="s">
        <v>54</v>
      </c>
      <c r="L872" s="7" t="s">
        <v>55</v>
      </c>
      <c r="M872" s="7">
        <v>4.0529999999999999</v>
      </c>
      <c r="N872" s="7">
        <v>9.7373060000000002</v>
      </c>
      <c r="O872" s="7" t="s">
        <v>613</v>
      </c>
    </row>
    <row r="873" spans="1:15" x14ac:dyDescent="0.25">
      <c r="A873" s="2">
        <f t="shared" si="13"/>
        <v>871</v>
      </c>
      <c r="B873" s="7" t="s">
        <v>5392</v>
      </c>
      <c r="C873" s="7" t="s">
        <v>5393</v>
      </c>
      <c r="D873" s="7" t="s">
        <v>5392</v>
      </c>
      <c r="E873" s="7" t="s">
        <v>50</v>
      </c>
      <c r="F873" s="7" t="s">
        <v>5394</v>
      </c>
      <c r="G873" s="17" t="s">
        <v>7747</v>
      </c>
      <c r="H873" s="7" t="s">
        <v>28</v>
      </c>
      <c r="I873" s="7" t="s">
        <v>1575</v>
      </c>
      <c r="J873" s="7" t="s">
        <v>53</v>
      </c>
      <c r="K873" s="7" t="s">
        <v>54</v>
      </c>
      <c r="L873" s="7" t="s">
        <v>55</v>
      </c>
      <c r="M873" s="7">
        <v>4.0231199999999996</v>
      </c>
      <c r="N873" s="7">
        <v>9.72255</v>
      </c>
      <c r="O873" s="7" t="s">
        <v>613</v>
      </c>
    </row>
    <row r="874" spans="1:15" x14ac:dyDescent="0.25">
      <c r="A874" s="2">
        <f t="shared" si="13"/>
        <v>872</v>
      </c>
      <c r="B874" s="7" t="s">
        <v>5398</v>
      </c>
      <c r="C874" s="7" t="s">
        <v>5399</v>
      </c>
      <c r="D874" s="7" t="s">
        <v>5398</v>
      </c>
      <c r="E874" s="7" t="s">
        <v>50</v>
      </c>
      <c r="F874" s="7" t="s">
        <v>5400</v>
      </c>
      <c r="G874" s="17" t="s">
        <v>7747</v>
      </c>
      <c r="H874" s="7" t="s">
        <v>28</v>
      </c>
      <c r="I874" s="7" t="s">
        <v>1958</v>
      </c>
      <c r="J874" s="7" t="s">
        <v>53</v>
      </c>
      <c r="K874" s="7" t="s">
        <v>612</v>
      </c>
      <c r="L874" s="7" t="s">
        <v>55</v>
      </c>
      <c r="M874" s="7">
        <v>4.0679439999999998</v>
      </c>
      <c r="N874" s="7">
        <v>9.7177220000000002</v>
      </c>
      <c r="O874" s="7" t="s">
        <v>613</v>
      </c>
    </row>
    <row r="875" spans="1:15" x14ac:dyDescent="0.25">
      <c r="A875" s="2">
        <f t="shared" si="13"/>
        <v>873</v>
      </c>
      <c r="B875" s="7" t="s">
        <v>5401</v>
      </c>
      <c r="C875" s="7" t="s">
        <v>5402</v>
      </c>
      <c r="D875" s="7" t="s">
        <v>5401</v>
      </c>
      <c r="E875" s="7" t="s">
        <v>50</v>
      </c>
      <c r="F875" s="7" t="s">
        <v>5403</v>
      </c>
      <c r="G875" s="17" t="s">
        <v>7747</v>
      </c>
      <c r="H875" s="7" t="s">
        <v>28</v>
      </c>
      <c r="I875" s="7" t="s">
        <v>1403</v>
      </c>
      <c r="J875" s="7" t="s">
        <v>53</v>
      </c>
      <c r="K875" s="7" t="s">
        <v>1404</v>
      </c>
      <c r="L875" s="7" t="s">
        <v>55</v>
      </c>
      <c r="M875" s="7">
        <v>4.0294439999999998</v>
      </c>
      <c r="N875" s="7">
        <v>9.6864170000000005</v>
      </c>
      <c r="O875" s="7" t="s">
        <v>613</v>
      </c>
    </row>
    <row r="876" spans="1:15" x14ac:dyDescent="0.25">
      <c r="A876" s="2">
        <f t="shared" si="13"/>
        <v>874</v>
      </c>
      <c r="B876" s="7" t="s">
        <v>5404</v>
      </c>
      <c r="C876" s="7" t="s">
        <v>5405</v>
      </c>
      <c r="D876" s="7" t="s">
        <v>5404</v>
      </c>
      <c r="E876" s="7" t="s">
        <v>50</v>
      </c>
      <c r="F876" s="7" t="s">
        <v>5406</v>
      </c>
      <c r="G876" s="17" t="s">
        <v>7747</v>
      </c>
      <c r="H876" s="7" t="s">
        <v>28</v>
      </c>
      <c r="I876" s="7" t="s">
        <v>2024</v>
      </c>
      <c r="J876" s="7" t="s">
        <v>53</v>
      </c>
      <c r="K876" s="7" t="s">
        <v>2213</v>
      </c>
      <c r="L876" s="7" t="s">
        <v>55</v>
      </c>
      <c r="M876" s="7">
        <v>4.0410510000000004</v>
      </c>
      <c r="N876" s="7">
        <v>9.7086559999999995</v>
      </c>
      <c r="O876" s="7" t="s">
        <v>613</v>
      </c>
    </row>
    <row r="877" spans="1:15" x14ac:dyDescent="0.25">
      <c r="A877" s="2">
        <f t="shared" si="13"/>
        <v>875</v>
      </c>
      <c r="B877" s="7" t="s">
        <v>5407</v>
      </c>
      <c r="C877" s="7" t="s">
        <v>5408</v>
      </c>
      <c r="D877" s="7" t="s">
        <v>5407</v>
      </c>
      <c r="E877" s="7" t="s">
        <v>50</v>
      </c>
      <c r="F877" s="7" t="s">
        <v>5409</v>
      </c>
      <c r="G877" s="17" t="s">
        <v>7747</v>
      </c>
      <c r="H877" s="7" t="s">
        <v>28</v>
      </c>
      <c r="I877" s="7" t="s">
        <v>2024</v>
      </c>
      <c r="J877" s="7" t="s">
        <v>53</v>
      </c>
      <c r="K877" s="7" t="s">
        <v>2213</v>
      </c>
      <c r="L877" s="7" t="s">
        <v>55</v>
      </c>
      <c r="M877" s="7">
        <v>4.0376940000000001</v>
      </c>
      <c r="N877" s="7">
        <v>9.7180549999999997</v>
      </c>
      <c r="O877" s="7" t="s">
        <v>613</v>
      </c>
    </row>
    <row r="878" spans="1:15" x14ac:dyDescent="0.25">
      <c r="A878" s="2">
        <f t="shared" si="13"/>
        <v>876</v>
      </c>
      <c r="B878" s="7" t="s">
        <v>5410</v>
      </c>
      <c r="C878" s="7" t="s">
        <v>5411</v>
      </c>
      <c r="D878" s="7" t="s">
        <v>5410</v>
      </c>
      <c r="E878" s="7" t="s">
        <v>50</v>
      </c>
      <c r="F878" s="7" t="s">
        <v>5412</v>
      </c>
      <c r="G878" s="17" t="s">
        <v>7747</v>
      </c>
      <c r="H878" s="7" t="s">
        <v>28</v>
      </c>
      <c r="I878" s="7" t="s">
        <v>2024</v>
      </c>
      <c r="J878" s="7" t="s">
        <v>53</v>
      </c>
      <c r="K878" s="7" t="s">
        <v>2213</v>
      </c>
      <c r="L878" s="7" t="s">
        <v>55</v>
      </c>
      <c r="M878" s="7">
        <v>4.0376500000000002</v>
      </c>
      <c r="N878" s="7">
        <v>9.7243390000000005</v>
      </c>
      <c r="O878" s="7" t="s">
        <v>613</v>
      </c>
    </row>
    <row r="879" spans="1:15" x14ac:dyDescent="0.25">
      <c r="A879" s="2">
        <f t="shared" si="13"/>
        <v>877</v>
      </c>
      <c r="B879" s="7" t="s">
        <v>5433</v>
      </c>
      <c r="C879" s="7" t="s">
        <v>5434</v>
      </c>
      <c r="D879" s="7" t="s">
        <v>5433</v>
      </c>
      <c r="E879" s="7" t="s">
        <v>50</v>
      </c>
      <c r="F879" s="7" t="s">
        <v>5435</v>
      </c>
      <c r="G879" s="17" t="s">
        <v>7747</v>
      </c>
      <c r="H879" s="7" t="s">
        <v>28</v>
      </c>
      <c r="I879" s="7" t="s">
        <v>1471</v>
      </c>
      <c r="J879" s="7" t="s">
        <v>53</v>
      </c>
      <c r="K879" s="7" t="s">
        <v>612</v>
      </c>
      <c r="L879" s="7" t="s">
        <v>55</v>
      </c>
      <c r="M879" s="7">
        <v>4.0764199999999997</v>
      </c>
      <c r="N879" s="7">
        <v>9.7170299999999994</v>
      </c>
      <c r="O879" s="7" t="s">
        <v>613</v>
      </c>
    </row>
    <row r="880" spans="1:15" x14ac:dyDescent="0.25">
      <c r="A880" s="2">
        <f t="shared" si="13"/>
        <v>878</v>
      </c>
      <c r="B880" s="7" t="s">
        <v>5436</v>
      </c>
      <c r="C880" s="7" t="s">
        <v>5437</v>
      </c>
      <c r="D880" s="7" t="s">
        <v>5436</v>
      </c>
      <c r="E880" s="7" t="s">
        <v>50</v>
      </c>
      <c r="F880" s="7" t="s">
        <v>5438</v>
      </c>
      <c r="G880" s="17" t="s">
        <v>7747</v>
      </c>
      <c r="H880" s="7" t="s">
        <v>28</v>
      </c>
      <c r="I880" s="7" t="s">
        <v>627</v>
      </c>
      <c r="J880" s="7" t="s">
        <v>53</v>
      </c>
      <c r="K880" s="7" t="s">
        <v>628</v>
      </c>
      <c r="L880" s="7" t="s">
        <v>55</v>
      </c>
      <c r="M880" s="7">
        <v>4.0824129999999998</v>
      </c>
      <c r="N880" s="7">
        <v>9.6728690000000004</v>
      </c>
      <c r="O880" s="7" t="s">
        <v>613</v>
      </c>
    </row>
    <row r="881" spans="1:15" x14ac:dyDescent="0.25">
      <c r="A881" s="2">
        <f t="shared" si="13"/>
        <v>879</v>
      </c>
      <c r="B881" s="7" t="s">
        <v>5439</v>
      </c>
      <c r="C881" s="7" t="s">
        <v>5440</v>
      </c>
      <c r="D881" s="7" t="s">
        <v>5439</v>
      </c>
      <c r="E881" s="7" t="s">
        <v>50</v>
      </c>
      <c r="F881" s="7" t="s">
        <v>5441</v>
      </c>
      <c r="G881" s="17" t="s">
        <v>7747</v>
      </c>
      <c r="H881" s="7" t="s">
        <v>28</v>
      </c>
      <c r="I881" s="7" t="s">
        <v>1403</v>
      </c>
      <c r="J881" s="7" t="s">
        <v>53</v>
      </c>
      <c r="K881" s="7" t="s">
        <v>1404</v>
      </c>
      <c r="L881" s="7" t="s">
        <v>55</v>
      </c>
      <c r="M881" s="7">
        <v>4.0409220000000001</v>
      </c>
      <c r="N881" s="7">
        <v>9.693797</v>
      </c>
      <c r="O881" s="7" t="s">
        <v>613</v>
      </c>
    </row>
    <row r="882" spans="1:15" x14ac:dyDescent="0.25">
      <c r="A882" s="2">
        <f t="shared" si="13"/>
        <v>880</v>
      </c>
      <c r="B882" s="7" t="s">
        <v>5448</v>
      </c>
      <c r="C882" s="7" t="s">
        <v>5449</v>
      </c>
      <c r="D882" s="7" t="s">
        <v>5448</v>
      </c>
      <c r="E882" s="7" t="s">
        <v>50</v>
      </c>
      <c r="F882" s="7" t="s">
        <v>5450</v>
      </c>
      <c r="G882" s="17" t="s">
        <v>7747</v>
      </c>
      <c r="H882" s="7" t="s">
        <v>19</v>
      </c>
      <c r="I882" s="7" t="s">
        <v>1471</v>
      </c>
      <c r="J882" s="7" t="s">
        <v>53</v>
      </c>
      <c r="K882" s="7" t="s">
        <v>612</v>
      </c>
      <c r="L882" s="7" t="s">
        <v>55</v>
      </c>
      <c r="M882" s="7">
        <v>4.0650560000000002</v>
      </c>
      <c r="N882" s="7">
        <v>9.7316389999999995</v>
      </c>
      <c r="O882" s="7" t="s">
        <v>613</v>
      </c>
    </row>
    <row r="883" spans="1:15" x14ac:dyDescent="0.25">
      <c r="A883" s="2">
        <f t="shared" si="13"/>
        <v>881</v>
      </c>
      <c r="B883" s="7" t="s">
        <v>5451</v>
      </c>
      <c r="C883" s="7" t="s">
        <v>5452</v>
      </c>
      <c r="D883" s="7" t="s">
        <v>5451</v>
      </c>
      <c r="E883" s="7" t="s">
        <v>50</v>
      </c>
      <c r="F883" s="7" t="s">
        <v>5453</v>
      </c>
      <c r="G883" s="17" t="s">
        <v>7747</v>
      </c>
      <c r="H883" s="7" t="s">
        <v>19</v>
      </c>
      <c r="I883" s="7" t="s">
        <v>2024</v>
      </c>
      <c r="J883" s="7" t="s">
        <v>53</v>
      </c>
      <c r="K883" s="7" t="s">
        <v>2213</v>
      </c>
      <c r="L883" s="7" t="s">
        <v>55</v>
      </c>
      <c r="M883" s="7">
        <v>4.0270279999999996</v>
      </c>
      <c r="N883" s="7">
        <v>9.7101389999999999</v>
      </c>
      <c r="O883" s="7" t="s">
        <v>613</v>
      </c>
    </row>
    <row r="884" spans="1:15" x14ac:dyDescent="0.25">
      <c r="A884" s="2">
        <f t="shared" si="13"/>
        <v>882</v>
      </c>
      <c r="B884" s="7" t="s">
        <v>5454</v>
      </c>
      <c r="C884" s="7" t="s">
        <v>5455</v>
      </c>
      <c r="D884" s="7" t="s">
        <v>5454</v>
      </c>
      <c r="E884" s="7" t="s">
        <v>50</v>
      </c>
      <c r="F884" s="7" t="s">
        <v>5456</v>
      </c>
      <c r="G884" s="17" t="s">
        <v>7747</v>
      </c>
      <c r="H884" s="7" t="s">
        <v>19</v>
      </c>
      <c r="I884" s="7" t="s">
        <v>1471</v>
      </c>
      <c r="J884" s="7" t="s">
        <v>53</v>
      </c>
      <c r="K884" s="7" t="s">
        <v>612</v>
      </c>
      <c r="L884" s="7" t="s">
        <v>55</v>
      </c>
      <c r="M884" s="7">
        <v>4.0840750000000003</v>
      </c>
      <c r="N884" s="7">
        <v>9.7210579999999993</v>
      </c>
      <c r="O884" s="7" t="s">
        <v>613</v>
      </c>
    </row>
    <row r="885" spans="1:15" x14ac:dyDescent="0.25">
      <c r="A885" s="2">
        <f t="shared" si="13"/>
        <v>883</v>
      </c>
      <c r="B885" s="7" t="s">
        <v>5457</v>
      </c>
      <c r="C885" s="7" t="s">
        <v>5458</v>
      </c>
      <c r="D885" s="7" t="s">
        <v>5457</v>
      </c>
      <c r="E885" s="7" t="s">
        <v>50</v>
      </c>
      <c r="F885" s="7" t="s">
        <v>5459</v>
      </c>
      <c r="G885" s="17" t="s">
        <v>7747</v>
      </c>
      <c r="H885" s="7" t="s">
        <v>19</v>
      </c>
      <c r="I885" s="7" t="s">
        <v>627</v>
      </c>
      <c r="J885" s="7" t="s">
        <v>53</v>
      </c>
      <c r="K885" s="7" t="s">
        <v>628</v>
      </c>
      <c r="L885" s="7" t="s">
        <v>55</v>
      </c>
      <c r="M885" s="7">
        <v>4.0862569999999998</v>
      </c>
      <c r="N885" s="7">
        <v>9.672523</v>
      </c>
      <c r="O885" s="7" t="s">
        <v>613</v>
      </c>
    </row>
    <row r="886" spans="1:15" x14ac:dyDescent="0.25">
      <c r="A886" s="2">
        <f t="shared" si="13"/>
        <v>884</v>
      </c>
      <c r="B886" s="7" t="s">
        <v>5460</v>
      </c>
      <c r="C886" s="7" t="s">
        <v>5461</v>
      </c>
      <c r="D886" s="7" t="s">
        <v>5460</v>
      </c>
      <c r="E886" s="7" t="s">
        <v>50</v>
      </c>
      <c r="F886" s="7" t="s">
        <v>5462</v>
      </c>
      <c r="G886" s="17" t="s">
        <v>7747</v>
      </c>
      <c r="H886" s="7" t="s">
        <v>28</v>
      </c>
      <c r="I886" s="7" t="s">
        <v>1958</v>
      </c>
      <c r="J886" s="7" t="s">
        <v>53</v>
      </c>
      <c r="K886" s="7" t="s">
        <v>1404</v>
      </c>
      <c r="L886" s="7" t="s">
        <v>55</v>
      </c>
      <c r="M886" s="7">
        <v>4.0465600000000004</v>
      </c>
      <c r="N886" s="7">
        <v>9.7160299999999999</v>
      </c>
      <c r="O886" s="7" t="s">
        <v>613</v>
      </c>
    </row>
    <row r="887" spans="1:15" x14ac:dyDescent="0.25">
      <c r="A887" s="2">
        <f t="shared" si="13"/>
        <v>885</v>
      </c>
      <c r="B887" s="7" t="s">
        <v>5463</v>
      </c>
      <c r="C887" s="7" t="s">
        <v>5464</v>
      </c>
      <c r="D887" s="7" t="s">
        <v>5463</v>
      </c>
      <c r="E887" s="7" t="s">
        <v>50</v>
      </c>
      <c r="F887" s="7" t="s">
        <v>5465</v>
      </c>
      <c r="G887" s="17" t="s">
        <v>7747</v>
      </c>
      <c r="H887" s="7" t="s">
        <v>28</v>
      </c>
      <c r="I887" s="7" t="s">
        <v>1958</v>
      </c>
      <c r="J887" s="7" t="s">
        <v>53</v>
      </c>
      <c r="K887" s="7" t="s">
        <v>1404</v>
      </c>
      <c r="L887" s="7" t="s">
        <v>55</v>
      </c>
      <c r="M887" s="7">
        <v>4.0442499999999999</v>
      </c>
      <c r="N887" s="7">
        <v>9.6972500000000004</v>
      </c>
      <c r="O887" s="7" t="s">
        <v>613</v>
      </c>
    </row>
    <row r="888" spans="1:15" x14ac:dyDescent="0.25">
      <c r="A888" s="2">
        <f t="shared" si="13"/>
        <v>886</v>
      </c>
      <c r="B888" s="7" t="s">
        <v>5466</v>
      </c>
      <c r="C888" s="7" t="s">
        <v>5467</v>
      </c>
      <c r="D888" s="7" t="s">
        <v>5466</v>
      </c>
      <c r="E888" s="7" t="s">
        <v>50</v>
      </c>
      <c r="F888" s="7" t="s">
        <v>5468</v>
      </c>
      <c r="G888" s="17" t="s">
        <v>7747</v>
      </c>
      <c r="H888" s="7" t="s">
        <v>19</v>
      </c>
      <c r="I888" s="7" t="s">
        <v>1403</v>
      </c>
      <c r="J888" s="7" t="s">
        <v>53</v>
      </c>
      <c r="K888" s="7" t="s">
        <v>1404</v>
      </c>
      <c r="L888" s="7" t="s">
        <v>55</v>
      </c>
      <c r="M888" s="7">
        <v>4.0339999999999998</v>
      </c>
      <c r="N888" s="7">
        <v>9.6866099999999999</v>
      </c>
      <c r="O888" s="7" t="s">
        <v>613</v>
      </c>
    </row>
    <row r="889" spans="1:15" x14ac:dyDescent="0.25">
      <c r="A889" s="2">
        <f t="shared" si="13"/>
        <v>887</v>
      </c>
      <c r="B889" s="7" t="s">
        <v>5469</v>
      </c>
      <c r="C889" s="7" t="s">
        <v>5470</v>
      </c>
      <c r="D889" s="7" t="s">
        <v>5469</v>
      </c>
      <c r="E889" s="7" t="s">
        <v>50</v>
      </c>
      <c r="F889" s="7" t="s">
        <v>5471</v>
      </c>
      <c r="G889" s="17" t="s">
        <v>7747</v>
      </c>
      <c r="H889" s="7" t="s">
        <v>19</v>
      </c>
      <c r="I889" s="7" t="s">
        <v>1403</v>
      </c>
      <c r="J889" s="7" t="s">
        <v>53</v>
      </c>
      <c r="K889" s="7" t="s">
        <v>2213</v>
      </c>
      <c r="L889" s="7" t="s">
        <v>55</v>
      </c>
      <c r="M889" s="7">
        <v>4.0268300000000004</v>
      </c>
      <c r="N889" s="7">
        <v>9.7061499999999992</v>
      </c>
      <c r="O889" s="7" t="s">
        <v>613</v>
      </c>
    </row>
    <row r="890" spans="1:15" x14ac:dyDescent="0.25">
      <c r="A890" s="2">
        <f t="shared" si="13"/>
        <v>888</v>
      </c>
      <c r="B890" s="7" t="s">
        <v>5472</v>
      </c>
      <c r="C890" s="7" t="s">
        <v>5473</v>
      </c>
      <c r="D890" s="7" t="s">
        <v>5472</v>
      </c>
      <c r="E890" s="7" t="s">
        <v>50</v>
      </c>
      <c r="F890" s="7" t="s">
        <v>5474</v>
      </c>
      <c r="G890" s="17" t="s">
        <v>7747</v>
      </c>
      <c r="H890" s="7" t="s">
        <v>28</v>
      </c>
      <c r="I890" s="7" t="s">
        <v>1403</v>
      </c>
      <c r="J890" s="7" t="s">
        <v>53</v>
      </c>
      <c r="K890" s="7" t="s">
        <v>1404</v>
      </c>
      <c r="L890" s="7" t="s">
        <v>55</v>
      </c>
      <c r="M890" s="7">
        <v>4.0381669999999996</v>
      </c>
      <c r="N890" s="7">
        <v>9.6990829999999999</v>
      </c>
      <c r="O890" s="7" t="s">
        <v>613</v>
      </c>
    </row>
    <row r="891" spans="1:15" x14ac:dyDescent="0.25">
      <c r="A891" s="2">
        <f t="shared" si="13"/>
        <v>889</v>
      </c>
      <c r="B891" s="7" t="s">
        <v>5481</v>
      </c>
      <c r="C891" s="7" t="s">
        <v>5482</v>
      </c>
      <c r="D891" s="7" t="s">
        <v>5481</v>
      </c>
      <c r="E891" s="7" t="s">
        <v>50</v>
      </c>
      <c r="F891" s="7" t="s">
        <v>5483</v>
      </c>
      <c r="G891" s="17" t="s">
        <v>7747</v>
      </c>
      <c r="H891" s="7" t="s">
        <v>28</v>
      </c>
      <c r="I891" s="7" t="s">
        <v>1403</v>
      </c>
      <c r="J891" s="7" t="s">
        <v>53</v>
      </c>
      <c r="K891" s="7" t="s">
        <v>2213</v>
      </c>
      <c r="L891" s="7" t="s">
        <v>55</v>
      </c>
      <c r="M891" s="7">
        <v>4.0283329999999999</v>
      </c>
      <c r="N891" s="7">
        <v>9.7051390000000008</v>
      </c>
      <c r="O891" s="7" t="s">
        <v>613</v>
      </c>
    </row>
    <row r="892" spans="1:15" x14ac:dyDescent="0.25">
      <c r="A892" s="2">
        <f t="shared" si="13"/>
        <v>890</v>
      </c>
      <c r="B892" s="7" t="s">
        <v>5487</v>
      </c>
      <c r="C892" s="7" t="s">
        <v>5488</v>
      </c>
      <c r="D892" s="7" t="s">
        <v>5487</v>
      </c>
      <c r="E892" s="7" t="s">
        <v>50</v>
      </c>
      <c r="F892" s="7" t="s">
        <v>5489</v>
      </c>
      <c r="G892" s="17" t="s">
        <v>7747</v>
      </c>
      <c r="H892" s="7" t="s">
        <v>28</v>
      </c>
      <c r="I892" s="7" t="s">
        <v>1403</v>
      </c>
      <c r="J892" s="7" t="s">
        <v>53</v>
      </c>
      <c r="K892" s="7" t="s">
        <v>1404</v>
      </c>
      <c r="L892" s="7" t="s">
        <v>55</v>
      </c>
      <c r="M892" s="7">
        <v>4.0260480000000003</v>
      </c>
      <c r="N892" s="7">
        <v>9.6902799999999996</v>
      </c>
      <c r="O892" s="7" t="s">
        <v>613</v>
      </c>
    </row>
    <row r="893" spans="1:15" x14ac:dyDescent="0.25">
      <c r="A893" s="2">
        <f t="shared" si="13"/>
        <v>891</v>
      </c>
      <c r="B893" s="7" t="s">
        <v>5490</v>
      </c>
      <c r="C893" s="7" t="s">
        <v>5491</v>
      </c>
      <c r="D893" s="7" t="s">
        <v>5490</v>
      </c>
      <c r="E893" s="7" t="s">
        <v>50</v>
      </c>
      <c r="F893" s="7" t="s">
        <v>5492</v>
      </c>
      <c r="G893" s="17" t="s">
        <v>7747</v>
      </c>
      <c r="H893" s="7" t="s">
        <v>28</v>
      </c>
      <c r="I893" s="7" t="s">
        <v>1575</v>
      </c>
      <c r="J893" s="7" t="s">
        <v>53</v>
      </c>
      <c r="K893" s="7" t="s">
        <v>54</v>
      </c>
      <c r="L893" s="7" t="s">
        <v>55</v>
      </c>
      <c r="M893" s="7">
        <v>4.0108769999999998</v>
      </c>
      <c r="N893" s="7">
        <v>9.7485420000000005</v>
      </c>
      <c r="O893" s="7" t="s">
        <v>23</v>
      </c>
    </row>
    <row r="894" spans="1:15" x14ac:dyDescent="0.25">
      <c r="A894" s="2">
        <f t="shared" si="13"/>
        <v>892</v>
      </c>
      <c r="B894" s="7" t="s">
        <v>5499</v>
      </c>
      <c r="C894" s="7" t="s">
        <v>5500</v>
      </c>
      <c r="D894" s="7" t="s">
        <v>5499</v>
      </c>
      <c r="E894" s="7" t="s">
        <v>50</v>
      </c>
      <c r="F894" s="7" t="s">
        <v>5501</v>
      </c>
      <c r="G894" s="17" t="s">
        <v>7747</v>
      </c>
      <c r="H894" s="7" t="s">
        <v>28</v>
      </c>
      <c r="I894" s="7" t="s">
        <v>1403</v>
      </c>
      <c r="J894" s="7" t="s">
        <v>53</v>
      </c>
      <c r="K894" s="7" t="s">
        <v>1404</v>
      </c>
      <c r="L894" s="7" t="s">
        <v>55</v>
      </c>
      <c r="M894" s="7">
        <v>4.0445270000000004</v>
      </c>
      <c r="N894" s="7">
        <v>9.6872380000000007</v>
      </c>
      <c r="O894" s="7" t="s">
        <v>613</v>
      </c>
    </row>
    <row r="895" spans="1:15" x14ac:dyDescent="0.25">
      <c r="A895" s="2">
        <f t="shared" si="13"/>
        <v>893</v>
      </c>
      <c r="B895" s="7" t="s">
        <v>5502</v>
      </c>
      <c r="C895" s="7" t="s">
        <v>5503</v>
      </c>
      <c r="D895" s="7" t="s">
        <v>5502</v>
      </c>
      <c r="E895" s="7" t="s">
        <v>50</v>
      </c>
      <c r="F895" s="7" t="s">
        <v>5504</v>
      </c>
      <c r="G895" s="17" t="s">
        <v>7747</v>
      </c>
      <c r="H895" s="7" t="s">
        <v>28</v>
      </c>
      <c r="I895" s="7" t="s">
        <v>1958</v>
      </c>
      <c r="J895" s="7" t="s">
        <v>53</v>
      </c>
      <c r="K895" s="7" t="s">
        <v>1404</v>
      </c>
      <c r="L895" s="7" t="s">
        <v>55</v>
      </c>
      <c r="M895" s="7">
        <v>4.063758</v>
      </c>
      <c r="N895" s="7">
        <v>9.7094079999999998</v>
      </c>
      <c r="O895" s="7" t="s">
        <v>613</v>
      </c>
    </row>
    <row r="896" spans="1:15" x14ac:dyDescent="0.25">
      <c r="A896" s="2">
        <f t="shared" si="13"/>
        <v>894</v>
      </c>
      <c r="B896" s="7" t="s">
        <v>5508</v>
      </c>
      <c r="C896" s="7" t="s">
        <v>5509</v>
      </c>
      <c r="D896" s="7" t="s">
        <v>5508</v>
      </c>
      <c r="E896" s="7" t="s">
        <v>50</v>
      </c>
      <c r="F896" s="7" t="s">
        <v>5510</v>
      </c>
      <c r="G896" s="17" t="s">
        <v>7747</v>
      </c>
      <c r="H896" s="7" t="s">
        <v>28</v>
      </c>
      <c r="I896" s="7" t="s">
        <v>611</v>
      </c>
      <c r="J896" s="7" t="s">
        <v>53</v>
      </c>
      <c r="K896" s="7" t="s">
        <v>54</v>
      </c>
      <c r="L896" s="7" t="s">
        <v>55</v>
      </c>
      <c r="M896" s="7">
        <v>4.0540209999999997</v>
      </c>
      <c r="N896" s="7">
        <v>9.7676459999999992</v>
      </c>
      <c r="O896" s="7" t="s">
        <v>613</v>
      </c>
    </row>
    <row r="897" spans="1:15" x14ac:dyDescent="0.25">
      <c r="A897" s="2">
        <f t="shared" si="13"/>
        <v>895</v>
      </c>
      <c r="B897" s="7" t="s">
        <v>5514</v>
      </c>
      <c r="C897" s="7" t="s">
        <v>5515</v>
      </c>
      <c r="D897" s="7" t="s">
        <v>5514</v>
      </c>
      <c r="E897" s="7" t="s">
        <v>50</v>
      </c>
      <c r="F897" s="7" t="s">
        <v>5516</v>
      </c>
      <c r="G897" s="17" t="s">
        <v>7747</v>
      </c>
      <c r="H897" s="7" t="s">
        <v>28</v>
      </c>
      <c r="I897" s="7" t="s">
        <v>1478</v>
      </c>
      <c r="J897" s="7" t="s">
        <v>53</v>
      </c>
      <c r="K897" s="7" t="s">
        <v>612</v>
      </c>
      <c r="L897" s="7" t="s">
        <v>55</v>
      </c>
      <c r="M897" s="7">
        <v>4.0973170000000003</v>
      </c>
      <c r="N897" s="7">
        <v>9.7433879999999995</v>
      </c>
      <c r="O897" s="7" t="s">
        <v>613</v>
      </c>
    </row>
    <row r="898" spans="1:15" x14ac:dyDescent="0.25">
      <c r="A898" s="2">
        <f t="shared" si="13"/>
        <v>896</v>
      </c>
      <c r="B898" s="7" t="s">
        <v>5517</v>
      </c>
      <c r="C898" s="7" t="s">
        <v>5518</v>
      </c>
      <c r="D898" s="7" t="s">
        <v>5517</v>
      </c>
      <c r="E898" s="7" t="s">
        <v>50</v>
      </c>
      <c r="F898" s="7" t="s">
        <v>5519</v>
      </c>
      <c r="G898" s="17" t="s">
        <v>7747</v>
      </c>
      <c r="H898" s="7" t="s">
        <v>28</v>
      </c>
      <c r="I898" s="7" t="s">
        <v>1516</v>
      </c>
      <c r="J898" s="7" t="s">
        <v>53</v>
      </c>
      <c r="K898" s="7" t="s">
        <v>612</v>
      </c>
      <c r="L898" s="7" t="s">
        <v>55</v>
      </c>
      <c r="M898" s="7">
        <v>4.0502149999999997</v>
      </c>
      <c r="N898" s="7">
        <v>9.7719050000000003</v>
      </c>
      <c r="O898" s="7" t="s">
        <v>613</v>
      </c>
    </row>
    <row r="899" spans="1:15" x14ac:dyDescent="0.25">
      <c r="A899" s="2">
        <f t="shared" si="13"/>
        <v>897</v>
      </c>
      <c r="B899" s="7" t="s">
        <v>5520</v>
      </c>
      <c r="C899" s="7" t="s">
        <v>5521</v>
      </c>
      <c r="D899" s="7" t="s">
        <v>5520</v>
      </c>
      <c r="E899" s="7" t="s">
        <v>50</v>
      </c>
      <c r="F899" s="7" t="s">
        <v>5522</v>
      </c>
      <c r="G899" s="17" t="s">
        <v>7747</v>
      </c>
      <c r="H899" s="7" t="s">
        <v>28</v>
      </c>
      <c r="I899" s="7" t="s">
        <v>1958</v>
      </c>
      <c r="J899" s="7" t="s">
        <v>53</v>
      </c>
      <c r="K899" s="7" t="s">
        <v>1404</v>
      </c>
      <c r="L899" s="7" t="s">
        <v>55</v>
      </c>
      <c r="M899" s="7">
        <v>4.0595829999999999</v>
      </c>
      <c r="N899" s="7">
        <v>9.7043330000000001</v>
      </c>
      <c r="O899" s="7" t="s">
        <v>613</v>
      </c>
    </row>
    <row r="900" spans="1:15" x14ac:dyDescent="0.25">
      <c r="A900" s="2">
        <f t="shared" si="13"/>
        <v>898</v>
      </c>
      <c r="B900" s="7" t="s">
        <v>5531</v>
      </c>
      <c r="C900" s="7" t="s">
        <v>5532</v>
      </c>
      <c r="D900" s="7" t="s">
        <v>5531</v>
      </c>
      <c r="E900" s="7" t="s">
        <v>50</v>
      </c>
      <c r="F900" s="7" t="s">
        <v>5533</v>
      </c>
      <c r="G900" s="17" t="s">
        <v>7747</v>
      </c>
      <c r="H900" s="7" t="s">
        <v>28</v>
      </c>
      <c r="I900" s="7" t="s">
        <v>1403</v>
      </c>
      <c r="J900" s="7" t="s">
        <v>53</v>
      </c>
      <c r="K900" s="7" t="s">
        <v>1404</v>
      </c>
      <c r="L900" s="7" t="s">
        <v>55</v>
      </c>
      <c r="M900" s="7">
        <v>4.0495229999999998</v>
      </c>
      <c r="N900" s="7">
        <v>9.6983470000000001</v>
      </c>
      <c r="O900" s="7" t="s">
        <v>613</v>
      </c>
    </row>
    <row r="901" spans="1:15" x14ac:dyDescent="0.25">
      <c r="A901" s="2">
        <f t="shared" ref="A901:A964" si="14">+A900+1</f>
        <v>899</v>
      </c>
      <c r="B901" s="7" t="s">
        <v>5534</v>
      </c>
      <c r="C901" s="7" t="s">
        <v>5535</v>
      </c>
      <c r="D901" s="7" t="s">
        <v>5534</v>
      </c>
      <c r="E901" s="7" t="s">
        <v>50</v>
      </c>
      <c r="F901" s="7" t="s">
        <v>5536</v>
      </c>
      <c r="G901" s="17" t="s">
        <v>7747</v>
      </c>
      <c r="H901" s="7" t="s">
        <v>28</v>
      </c>
      <c r="I901" s="7" t="s">
        <v>611</v>
      </c>
      <c r="J901" s="7" t="s">
        <v>53</v>
      </c>
      <c r="K901" s="7" t="s">
        <v>54</v>
      </c>
      <c r="L901" s="7" t="s">
        <v>55</v>
      </c>
      <c r="M901" s="7">
        <v>4.0434999999999999</v>
      </c>
      <c r="N901" s="7">
        <v>9.7615829999999999</v>
      </c>
      <c r="O901" s="7" t="s">
        <v>613</v>
      </c>
    </row>
    <row r="902" spans="1:15" x14ac:dyDescent="0.25">
      <c r="A902" s="2">
        <f t="shared" si="14"/>
        <v>900</v>
      </c>
      <c r="B902" s="7" t="s">
        <v>5537</v>
      </c>
      <c r="C902" s="7" t="s">
        <v>5538</v>
      </c>
      <c r="D902" s="7" t="s">
        <v>5537</v>
      </c>
      <c r="E902" s="7" t="s">
        <v>50</v>
      </c>
      <c r="F902" s="7" t="s">
        <v>5539</v>
      </c>
      <c r="G902" s="17" t="s">
        <v>7747</v>
      </c>
      <c r="H902" s="7" t="s">
        <v>28</v>
      </c>
      <c r="I902" s="7" t="s">
        <v>1403</v>
      </c>
      <c r="J902" s="7" t="s">
        <v>53</v>
      </c>
      <c r="K902" s="7" t="s">
        <v>1404</v>
      </c>
      <c r="L902" s="7" t="s">
        <v>55</v>
      </c>
      <c r="M902" s="7">
        <v>4.0382670000000003</v>
      </c>
      <c r="N902" s="7">
        <v>9.6858330000000006</v>
      </c>
      <c r="O902" s="7" t="s">
        <v>613</v>
      </c>
    </row>
    <row r="903" spans="1:15" x14ac:dyDescent="0.25">
      <c r="A903" s="2">
        <f t="shared" si="14"/>
        <v>901</v>
      </c>
      <c r="B903" s="7" t="s">
        <v>5543</v>
      </c>
      <c r="C903" s="7" t="s">
        <v>5544</v>
      </c>
      <c r="D903" s="7" t="s">
        <v>5543</v>
      </c>
      <c r="E903" s="7" t="s">
        <v>50</v>
      </c>
      <c r="F903" s="7" t="s">
        <v>5317</v>
      </c>
      <c r="G903" s="17" t="s">
        <v>7747</v>
      </c>
      <c r="H903" s="7" t="s">
        <v>19</v>
      </c>
      <c r="I903" s="7" t="s">
        <v>1958</v>
      </c>
      <c r="J903" s="7" t="s">
        <v>53</v>
      </c>
      <c r="K903" s="7" t="s">
        <v>54</v>
      </c>
      <c r="L903" s="7" t="s">
        <v>55</v>
      </c>
      <c r="M903" s="7">
        <v>4.0463060000000004</v>
      </c>
      <c r="N903" s="7">
        <v>9.7304440000000003</v>
      </c>
      <c r="O903" s="7" t="s">
        <v>613</v>
      </c>
    </row>
    <row r="904" spans="1:15" x14ac:dyDescent="0.25">
      <c r="A904" s="2">
        <f t="shared" si="14"/>
        <v>902</v>
      </c>
      <c r="B904" s="7" t="s">
        <v>5548</v>
      </c>
      <c r="C904" s="7" t="s">
        <v>5549</v>
      </c>
      <c r="D904" s="7" t="s">
        <v>5548</v>
      </c>
      <c r="E904" s="7" t="s">
        <v>50</v>
      </c>
      <c r="F904" s="7" t="s">
        <v>5550</v>
      </c>
      <c r="G904" s="17" t="s">
        <v>7747</v>
      </c>
      <c r="H904" s="7" t="s">
        <v>19</v>
      </c>
      <c r="I904" s="7" t="s">
        <v>1403</v>
      </c>
      <c r="J904" s="7" t="s">
        <v>53</v>
      </c>
      <c r="K904" s="7" t="s">
        <v>2213</v>
      </c>
      <c r="L904" s="7" t="s">
        <v>55</v>
      </c>
      <c r="M904" s="7">
        <v>4.023917</v>
      </c>
      <c r="N904" s="7">
        <v>9.7068060000000003</v>
      </c>
      <c r="O904" s="7" t="s">
        <v>613</v>
      </c>
    </row>
    <row r="905" spans="1:15" x14ac:dyDescent="0.25">
      <c r="A905" s="2">
        <f t="shared" si="14"/>
        <v>903</v>
      </c>
      <c r="B905" s="7" t="s">
        <v>5551</v>
      </c>
      <c r="C905" s="7" t="s">
        <v>5552</v>
      </c>
      <c r="D905" s="7" t="s">
        <v>5551</v>
      </c>
      <c r="E905" s="7" t="s">
        <v>50</v>
      </c>
      <c r="F905" s="7" t="s">
        <v>5553</v>
      </c>
      <c r="G905" s="17" t="s">
        <v>7747</v>
      </c>
      <c r="H905" s="7" t="s">
        <v>28</v>
      </c>
      <c r="I905" s="7" t="s">
        <v>1478</v>
      </c>
      <c r="J905" s="7" t="s">
        <v>53</v>
      </c>
      <c r="K905" s="7" t="s">
        <v>612</v>
      </c>
      <c r="L905" s="7" t="s">
        <v>55</v>
      </c>
      <c r="M905" s="7">
        <v>4.083056</v>
      </c>
      <c r="N905" s="7">
        <v>9.7288890000000006</v>
      </c>
      <c r="O905" s="7" t="s">
        <v>23</v>
      </c>
    </row>
    <row r="906" spans="1:15" x14ac:dyDescent="0.25">
      <c r="A906" s="2">
        <f t="shared" si="14"/>
        <v>904</v>
      </c>
      <c r="B906" s="7" t="s">
        <v>5560</v>
      </c>
      <c r="C906" s="7" t="s">
        <v>5561</v>
      </c>
      <c r="D906" s="7" t="s">
        <v>5560</v>
      </c>
      <c r="E906" s="7" t="s">
        <v>50</v>
      </c>
      <c r="F906" s="7" t="s">
        <v>5562</v>
      </c>
      <c r="G906" s="17" t="s">
        <v>7747</v>
      </c>
      <c r="H906" s="7" t="s">
        <v>19</v>
      </c>
      <c r="I906" s="7" t="s">
        <v>1958</v>
      </c>
      <c r="J906" s="7" t="s">
        <v>53</v>
      </c>
      <c r="K906" s="7" t="s">
        <v>1404</v>
      </c>
      <c r="L906" s="7" t="s">
        <v>55</v>
      </c>
      <c r="M906" s="7">
        <v>4.0482500000000003</v>
      </c>
      <c r="N906" s="7">
        <v>9.7045560000000002</v>
      </c>
      <c r="O906" s="7" t="s">
        <v>613</v>
      </c>
    </row>
    <row r="907" spans="1:15" x14ac:dyDescent="0.25">
      <c r="A907" s="2">
        <f t="shared" si="14"/>
        <v>905</v>
      </c>
      <c r="B907" s="7" t="s">
        <v>5574</v>
      </c>
      <c r="C907" s="7" t="s">
        <v>5575</v>
      </c>
      <c r="D907" s="7" t="s">
        <v>5574</v>
      </c>
      <c r="E907" s="7" t="s">
        <v>50</v>
      </c>
      <c r="F907" s="7" t="s">
        <v>5576</v>
      </c>
      <c r="G907" s="17" t="s">
        <v>7747</v>
      </c>
      <c r="H907" s="7" t="s">
        <v>28</v>
      </c>
      <c r="I907" s="7" t="s">
        <v>1958</v>
      </c>
      <c r="J907" s="7" t="s">
        <v>53</v>
      </c>
      <c r="K907" s="7" t="s">
        <v>1404</v>
      </c>
      <c r="L907" s="7" t="s">
        <v>55</v>
      </c>
      <c r="M907" s="7">
        <v>4.0591390000000001</v>
      </c>
      <c r="N907" s="7">
        <v>9.7117780000000007</v>
      </c>
      <c r="O907" s="7" t="s">
        <v>613</v>
      </c>
    </row>
    <row r="908" spans="1:15" x14ac:dyDescent="0.25">
      <c r="A908" s="2">
        <f t="shared" si="14"/>
        <v>906</v>
      </c>
      <c r="B908" s="7" t="s">
        <v>5577</v>
      </c>
      <c r="C908" s="7" t="s">
        <v>5578</v>
      </c>
      <c r="D908" s="7" t="s">
        <v>5577</v>
      </c>
      <c r="E908" s="7" t="s">
        <v>50</v>
      </c>
      <c r="F908" s="7" t="s">
        <v>5579</v>
      </c>
      <c r="G908" s="17" t="s">
        <v>7747</v>
      </c>
      <c r="H908" s="7" t="s">
        <v>19</v>
      </c>
      <c r="I908" s="7" t="s">
        <v>1403</v>
      </c>
      <c r="J908" s="7" t="s">
        <v>53</v>
      </c>
      <c r="K908" s="7" t="s">
        <v>1404</v>
      </c>
      <c r="L908" s="7" t="s">
        <v>55</v>
      </c>
      <c r="M908" s="7">
        <v>4.0201200000000004</v>
      </c>
      <c r="N908" s="7">
        <v>9.6992100000000008</v>
      </c>
      <c r="O908" s="7" t="s">
        <v>613</v>
      </c>
    </row>
    <row r="909" spans="1:15" x14ac:dyDescent="0.25">
      <c r="A909" s="2">
        <f t="shared" si="14"/>
        <v>907</v>
      </c>
      <c r="B909" s="7" t="s">
        <v>5580</v>
      </c>
      <c r="C909" s="7" t="s">
        <v>5581</v>
      </c>
      <c r="D909" s="7" t="s">
        <v>5580</v>
      </c>
      <c r="E909" s="7" t="s">
        <v>50</v>
      </c>
      <c r="F909" s="7" t="s">
        <v>5582</v>
      </c>
      <c r="G909" s="17" t="s">
        <v>7747</v>
      </c>
      <c r="H909" s="7" t="s">
        <v>28</v>
      </c>
      <c r="I909" s="7" t="s">
        <v>1958</v>
      </c>
      <c r="J909" s="7" t="s">
        <v>53</v>
      </c>
      <c r="K909" s="7" t="s">
        <v>1404</v>
      </c>
      <c r="L909" s="7" t="s">
        <v>55</v>
      </c>
      <c r="M909" s="7">
        <v>4.0634100000000002</v>
      </c>
      <c r="N909" s="7">
        <v>9.7180800000000005</v>
      </c>
      <c r="O909" s="7" t="s">
        <v>613</v>
      </c>
    </row>
    <row r="910" spans="1:15" x14ac:dyDescent="0.25">
      <c r="A910" s="2">
        <f t="shared" si="14"/>
        <v>908</v>
      </c>
      <c r="B910" s="7" t="s">
        <v>5583</v>
      </c>
      <c r="C910" s="7" t="s">
        <v>5584</v>
      </c>
      <c r="D910" s="7" t="s">
        <v>5583</v>
      </c>
      <c r="E910" s="7" t="s">
        <v>50</v>
      </c>
      <c r="F910" s="7" t="s">
        <v>5585</v>
      </c>
      <c r="G910" s="17" t="s">
        <v>7747</v>
      </c>
      <c r="H910" s="7" t="s">
        <v>19</v>
      </c>
      <c r="I910" s="7" t="s">
        <v>1575</v>
      </c>
      <c r="J910" s="7" t="s">
        <v>53</v>
      </c>
      <c r="K910" s="7" t="s">
        <v>54</v>
      </c>
      <c r="L910" s="7" t="s">
        <v>55</v>
      </c>
      <c r="M910" s="7">
        <v>4.0161600000000002</v>
      </c>
      <c r="N910" s="7">
        <v>9.7386499999999998</v>
      </c>
      <c r="O910" s="7" t="s">
        <v>613</v>
      </c>
    </row>
    <row r="911" spans="1:15" x14ac:dyDescent="0.25">
      <c r="A911" s="2">
        <f t="shared" si="14"/>
        <v>909</v>
      </c>
      <c r="B911" s="7" t="s">
        <v>5589</v>
      </c>
      <c r="C911" s="7" t="s">
        <v>5590</v>
      </c>
      <c r="D911" s="7" t="s">
        <v>5589</v>
      </c>
      <c r="E911" s="7" t="s">
        <v>50</v>
      </c>
      <c r="F911" s="7" t="s">
        <v>5097</v>
      </c>
      <c r="G911" s="17" t="s">
        <v>7747</v>
      </c>
      <c r="H911" s="7" t="s">
        <v>28</v>
      </c>
      <c r="I911" s="7" t="s">
        <v>1403</v>
      </c>
      <c r="J911" s="7" t="s">
        <v>53</v>
      </c>
      <c r="K911" s="7" t="s">
        <v>1404</v>
      </c>
      <c r="L911" s="7" t="s">
        <v>55</v>
      </c>
      <c r="M911" s="7">
        <v>4.0401300000000004</v>
      </c>
      <c r="N911" s="7">
        <v>9.6978200000000001</v>
      </c>
      <c r="O911" s="7" t="s">
        <v>613</v>
      </c>
    </row>
    <row r="912" spans="1:15" x14ac:dyDescent="0.25">
      <c r="A912" s="2">
        <f t="shared" si="14"/>
        <v>910</v>
      </c>
      <c r="B912" s="7" t="s">
        <v>5591</v>
      </c>
      <c r="C912" s="7" t="s">
        <v>5592</v>
      </c>
      <c r="D912" s="7" t="s">
        <v>5591</v>
      </c>
      <c r="E912" s="7" t="s">
        <v>50</v>
      </c>
      <c r="F912" s="7" t="s">
        <v>4365</v>
      </c>
      <c r="G912" s="17" t="s">
        <v>7747</v>
      </c>
      <c r="H912" s="7" t="s">
        <v>28</v>
      </c>
      <c r="I912" s="7" t="s">
        <v>1403</v>
      </c>
      <c r="J912" s="7" t="s">
        <v>53</v>
      </c>
      <c r="K912" s="7" t="s">
        <v>1404</v>
      </c>
      <c r="L912" s="7" t="s">
        <v>55</v>
      </c>
      <c r="M912" s="7">
        <v>4.0092319999999999</v>
      </c>
      <c r="N912" s="7">
        <v>9.6984480000000008</v>
      </c>
      <c r="O912" s="7" t="s">
        <v>613</v>
      </c>
    </row>
    <row r="913" spans="1:15" x14ac:dyDescent="0.25">
      <c r="A913" s="2">
        <f t="shared" si="14"/>
        <v>911</v>
      </c>
      <c r="B913" s="7" t="s">
        <v>5593</v>
      </c>
      <c r="C913" s="7" t="s">
        <v>5594</v>
      </c>
      <c r="D913" s="7" t="s">
        <v>5593</v>
      </c>
      <c r="E913" s="7" t="s">
        <v>50</v>
      </c>
      <c r="F913" s="7" t="s">
        <v>5595</v>
      </c>
      <c r="G913" s="17" t="s">
        <v>7747</v>
      </c>
      <c r="H913" s="7" t="s">
        <v>28</v>
      </c>
      <c r="I913" s="7" t="s">
        <v>1958</v>
      </c>
      <c r="J913" s="7" t="s">
        <v>53</v>
      </c>
      <c r="K913" s="7" t="s">
        <v>1404</v>
      </c>
      <c r="L913" s="7" t="s">
        <v>55</v>
      </c>
      <c r="M913" s="7">
        <v>4.0636799999999997</v>
      </c>
      <c r="N913" s="7">
        <v>9.7070000000000007</v>
      </c>
      <c r="O913" s="7" t="s">
        <v>613</v>
      </c>
    </row>
    <row r="914" spans="1:15" x14ac:dyDescent="0.25">
      <c r="A914" s="2">
        <f t="shared" si="14"/>
        <v>912</v>
      </c>
      <c r="B914" s="7" t="s">
        <v>5596</v>
      </c>
      <c r="C914" s="7" t="s">
        <v>5597</v>
      </c>
      <c r="D914" s="7" t="s">
        <v>5596</v>
      </c>
      <c r="E914" s="7" t="s">
        <v>50</v>
      </c>
      <c r="F914" s="7" t="s">
        <v>5598</v>
      </c>
      <c r="G914" s="17" t="s">
        <v>7747</v>
      </c>
      <c r="H914" s="7" t="s">
        <v>28</v>
      </c>
      <c r="I914" s="7" t="s">
        <v>1403</v>
      </c>
      <c r="J914" s="7" t="s">
        <v>53</v>
      </c>
      <c r="K914" s="7" t="s">
        <v>1404</v>
      </c>
      <c r="L914" s="7" t="s">
        <v>55</v>
      </c>
      <c r="M914" s="7">
        <v>4.050281</v>
      </c>
      <c r="N914" s="7">
        <v>9.6939060000000001</v>
      </c>
      <c r="O914" s="7" t="s">
        <v>613</v>
      </c>
    </row>
    <row r="915" spans="1:15" x14ac:dyDescent="0.25">
      <c r="A915" s="2">
        <f t="shared" si="14"/>
        <v>913</v>
      </c>
      <c r="B915" s="7" t="s">
        <v>5617</v>
      </c>
      <c r="C915" s="7" t="s">
        <v>5618</v>
      </c>
      <c r="D915" s="7" t="s">
        <v>5617</v>
      </c>
      <c r="E915" s="7" t="s">
        <v>50</v>
      </c>
      <c r="F915" s="7" t="s">
        <v>5619</v>
      </c>
      <c r="G915" s="17" t="s">
        <v>7747</v>
      </c>
      <c r="H915" s="7" t="s">
        <v>28</v>
      </c>
      <c r="I915" s="7" t="s">
        <v>1403</v>
      </c>
      <c r="J915" s="7" t="s">
        <v>53</v>
      </c>
      <c r="K915" s="7" t="s">
        <v>1404</v>
      </c>
      <c r="L915" s="7" t="s">
        <v>55</v>
      </c>
      <c r="M915" s="7">
        <v>4.0382220000000002</v>
      </c>
      <c r="N915" s="7">
        <v>9.6926109999999994</v>
      </c>
      <c r="O915" s="7" t="s">
        <v>23</v>
      </c>
    </row>
    <row r="916" spans="1:15" x14ac:dyDescent="0.25">
      <c r="A916" s="2">
        <f t="shared" si="14"/>
        <v>914</v>
      </c>
      <c r="B916" s="7" t="s">
        <v>5632</v>
      </c>
      <c r="C916" s="7" t="s">
        <v>5633</v>
      </c>
      <c r="D916" s="7" t="s">
        <v>5632</v>
      </c>
      <c r="E916" s="7" t="s">
        <v>50</v>
      </c>
      <c r="F916" s="7" t="s">
        <v>5634</v>
      </c>
      <c r="G916" s="17" t="s">
        <v>7747</v>
      </c>
      <c r="H916" s="7" t="s">
        <v>28</v>
      </c>
      <c r="I916" s="7" t="s">
        <v>1478</v>
      </c>
      <c r="J916" s="7" t="s">
        <v>53</v>
      </c>
      <c r="K916" s="7" t="s">
        <v>612</v>
      </c>
      <c r="L916" s="7" t="s">
        <v>55</v>
      </c>
      <c r="M916" s="7">
        <v>4.0978729999999999</v>
      </c>
      <c r="N916" s="7">
        <v>9.7487949999999994</v>
      </c>
      <c r="O916" s="7" t="s">
        <v>613</v>
      </c>
    </row>
    <row r="917" spans="1:15" x14ac:dyDescent="0.25">
      <c r="A917" s="2">
        <f t="shared" si="14"/>
        <v>915</v>
      </c>
      <c r="B917" s="7" t="s">
        <v>5635</v>
      </c>
      <c r="C917" s="7" t="s">
        <v>5636</v>
      </c>
      <c r="D917" s="7" t="s">
        <v>5635</v>
      </c>
      <c r="E917" s="7" t="s">
        <v>50</v>
      </c>
      <c r="F917" s="7" t="s">
        <v>5637</v>
      </c>
      <c r="G917" s="17" t="s">
        <v>7747</v>
      </c>
      <c r="H917" s="7" t="s">
        <v>19</v>
      </c>
      <c r="I917" s="7" t="s">
        <v>1403</v>
      </c>
      <c r="J917" s="7" t="s">
        <v>53</v>
      </c>
      <c r="K917" s="7" t="s">
        <v>2213</v>
      </c>
      <c r="L917" s="7" t="s">
        <v>55</v>
      </c>
      <c r="M917" s="7">
        <v>4.0373900000000003</v>
      </c>
      <c r="N917" s="7">
        <v>9.7046899999999994</v>
      </c>
      <c r="O917" s="7" t="s">
        <v>613</v>
      </c>
    </row>
    <row r="918" spans="1:15" x14ac:dyDescent="0.25">
      <c r="A918" s="2">
        <f t="shared" si="14"/>
        <v>916</v>
      </c>
      <c r="B918" s="7" t="s">
        <v>5644</v>
      </c>
      <c r="C918" s="7" t="s">
        <v>5645</v>
      </c>
      <c r="D918" s="7" t="s">
        <v>5644</v>
      </c>
      <c r="E918" s="7" t="s">
        <v>50</v>
      </c>
      <c r="F918" s="7" t="s">
        <v>5646</v>
      </c>
      <c r="G918" s="17" t="s">
        <v>7747</v>
      </c>
      <c r="H918" s="7" t="s">
        <v>19</v>
      </c>
      <c r="I918" s="7" t="s">
        <v>1403</v>
      </c>
      <c r="J918" s="7" t="s">
        <v>53</v>
      </c>
      <c r="K918" s="7" t="s">
        <v>1404</v>
      </c>
      <c r="L918" s="7" t="s">
        <v>55</v>
      </c>
      <c r="M918" s="7">
        <v>4.0462499999999997</v>
      </c>
      <c r="N918" s="7">
        <v>9.6881939999999993</v>
      </c>
      <c r="O918" s="7" t="s">
        <v>613</v>
      </c>
    </row>
    <row r="919" spans="1:15" x14ac:dyDescent="0.25">
      <c r="A919" s="2">
        <f t="shared" si="14"/>
        <v>917</v>
      </c>
      <c r="B919" s="7" t="s">
        <v>5668</v>
      </c>
      <c r="C919" s="7" t="s">
        <v>5669</v>
      </c>
      <c r="D919" s="7" t="s">
        <v>5668</v>
      </c>
      <c r="E919" s="7" t="s">
        <v>50</v>
      </c>
      <c r="F919" s="7" t="s">
        <v>5670</v>
      </c>
      <c r="G919" s="17" t="s">
        <v>7747</v>
      </c>
      <c r="H919" s="7" t="s">
        <v>28</v>
      </c>
      <c r="I919" s="7" t="s">
        <v>1403</v>
      </c>
      <c r="J919" s="7" t="s">
        <v>53</v>
      </c>
      <c r="K919" s="7" t="s">
        <v>1404</v>
      </c>
      <c r="L919" s="7" t="s">
        <v>55</v>
      </c>
      <c r="M919" s="7">
        <v>4.0406589999999998</v>
      </c>
      <c r="N919" s="7">
        <v>9.6898420000000005</v>
      </c>
      <c r="O919" s="7" t="s">
        <v>613</v>
      </c>
    </row>
    <row r="920" spans="1:15" x14ac:dyDescent="0.25">
      <c r="A920" s="2">
        <f t="shared" si="14"/>
        <v>918</v>
      </c>
      <c r="B920" s="7" t="s">
        <v>5674</v>
      </c>
      <c r="C920" s="7" t="s">
        <v>5675</v>
      </c>
      <c r="D920" s="7" t="s">
        <v>5674</v>
      </c>
      <c r="E920" s="7" t="s">
        <v>50</v>
      </c>
      <c r="F920" s="7" t="s">
        <v>5676</v>
      </c>
      <c r="G920" s="17" t="s">
        <v>7747</v>
      </c>
      <c r="H920" s="7" t="s">
        <v>19</v>
      </c>
      <c r="I920" s="7" t="s">
        <v>1958</v>
      </c>
      <c r="J920" s="7" t="s">
        <v>53</v>
      </c>
      <c r="K920" s="7" t="s">
        <v>612</v>
      </c>
      <c r="L920" s="7" t="s">
        <v>55</v>
      </c>
      <c r="M920" s="7">
        <v>4.0668699999999998</v>
      </c>
      <c r="N920" s="7">
        <v>9.7125540000000008</v>
      </c>
      <c r="O920" s="7" t="s">
        <v>613</v>
      </c>
    </row>
    <row r="921" spans="1:15" x14ac:dyDescent="0.25">
      <c r="A921" s="2">
        <f t="shared" si="14"/>
        <v>919</v>
      </c>
      <c r="B921" s="7" t="s">
        <v>5677</v>
      </c>
      <c r="C921" s="7" t="s">
        <v>5678</v>
      </c>
      <c r="D921" s="7" t="s">
        <v>5677</v>
      </c>
      <c r="E921" s="7" t="s">
        <v>50</v>
      </c>
      <c r="F921" s="7" t="s">
        <v>4359</v>
      </c>
      <c r="G921" s="17" t="s">
        <v>7747</v>
      </c>
      <c r="H921" s="7" t="s">
        <v>19</v>
      </c>
      <c r="I921" s="7" t="s">
        <v>1575</v>
      </c>
      <c r="J921" s="7" t="s">
        <v>53</v>
      </c>
      <c r="K921" s="7" t="s">
        <v>54</v>
      </c>
      <c r="L921" s="7" t="s">
        <v>55</v>
      </c>
      <c r="M921" s="7">
        <v>4.0234199999999998</v>
      </c>
      <c r="N921" s="7">
        <v>9.7271400000000003</v>
      </c>
      <c r="O921" s="7" t="s">
        <v>613</v>
      </c>
    </row>
    <row r="922" spans="1:15" x14ac:dyDescent="0.25">
      <c r="A922" s="2">
        <f t="shared" si="14"/>
        <v>920</v>
      </c>
      <c r="B922" s="7" t="s">
        <v>5679</v>
      </c>
      <c r="C922" s="7" t="s">
        <v>5680</v>
      </c>
      <c r="D922" s="7" t="s">
        <v>5679</v>
      </c>
      <c r="E922" s="7" t="s">
        <v>50</v>
      </c>
      <c r="F922" s="7" t="s">
        <v>5681</v>
      </c>
      <c r="G922" s="17" t="s">
        <v>7747</v>
      </c>
      <c r="H922" s="7" t="s">
        <v>19</v>
      </c>
      <c r="I922" s="7" t="s">
        <v>1403</v>
      </c>
      <c r="J922" s="7" t="s">
        <v>53</v>
      </c>
      <c r="K922" s="7" t="s">
        <v>1404</v>
      </c>
      <c r="L922" s="7" t="s">
        <v>55</v>
      </c>
      <c r="M922" s="7">
        <v>4.0340040000000004</v>
      </c>
      <c r="N922" s="7">
        <v>9.683897</v>
      </c>
      <c r="O922" s="7" t="s">
        <v>613</v>
      </c>
    </row>
    <row r="923" spans="1:15" x14ac:dyDescent="0.25">
      <c r="A923" s="2">
        <f t="shared" si="14"/>
        <v>921</v>
      </c>
      <c r="B923" s="7" t="s">
        <v>5682</v>
      </c>
      <c r="C923" s="7" t="s">
        <v>5683</v>
      </c>
      <c r="D923" s="7" t="s">
        <v>5682</v>
      </c>
      <c r="E923" s="7" t="s">
        <v>50</v>
      </c>
      <c r="F923" s="7" t="s">
        <v>5684</v>
      </c>
      <c r="G923" s="17" t="s">
        <v>7747</v>
      </c>
      <c r="H923" s="7" t="s">
        <v>19</v>
      </c>
      <c r="I923" s="7" t="s">
        <v>1403</v>
      </c>
      <c r="J923" s="7" t="s">
        <v>53</v>
      </c>
      <c r="K923" s="7" t="s">
        <v>1404</v>
      </c>
      <c r="L923" s="7" t="s">
        <v>55</v>
      </c>
      <c r="M923" s="7">
        <v>4.0374720000000002</v>
      </c>
      <c r="N923" s="7">
        <v>9.6880559999999996</v>
      </c>
      <c r="O923" s="7" t="s">
        <v>613</v>
      </c>
    </row>
    <row r="924" spans="1:15" x14ac:dyDescent="0.25">
      <c r="A924" s="2">
        <f t="shared" si="14"/>
        <v>922</v>
      </c>
      <c r="B924" s="7" t="s">
        <v>5693</v>
      </c>
      <c r="C924" s="7" t="s">
        <v>5694</v>
      </c>
      <c r="D924" s="7" t="s">
        <v>5693</v>
      </c>
      <c r="E924" s="7" t="s">
        <v>50</v>
      </c>
      <c r="F924" s="7" t="s">
        <v>5695</v>
      </c>
      <c r="G924" s="17" t="s">
        <v>7747</v>
      </c>
      <c r="H924" s="7" t="s">
        <v>19</v>
      </c>
      <c r="I924" s="7" t="s">
        <v>2024</v>
      </c>
      <c r="J924" s="7" t="s">
        <v>53</v>
      </c>
      <c r="K924" s="7" t="s">
        <v>2213</v>
      </c>
      <c r="L924" s="7" t="s">
        <v>55</v>
      </c>
      <c r="M924" s="7">
        <v>4.0393330000000001</v>
      </c>
      <c r="N924" s="7">
        <v>9.7235279999999999</v>
      </c>
      <c r="O924" s="7" t="s">
        <v>613</v>
      </c>
    </row>
    <row r="925" spans="1:15" x14ac:dyDescent="0.25">
      <c r="A925" s="2">
        <f t="shared" si="14"/>
        <v>923</v>
      </c>
      <c r="B925" s="7" t="s">
        <v>5710</v>
      </c>
      <c r="C925" s="7" t="s">
        <v>5711</v>
      </c>
      <c r="D925" s="7" t="s">
        <v>5710</v>
      </c>
      <c r="E925" s="7" t="s">
        <v>50</v>
      </c>
      <c r="F925" s="7" t="s">
        <v>5712</v>
      </c>
      <c r="G925" s="17" t="s">
        <v>7747</v>
      </c>
      <c r="H925" s="7" t="s">
        <v>28</v>
      </c>
      <c r="I925" s="7" t="s">
        <v>1329</v>
      </c>
      <c r="J925" s="7" t="s">
        <v>53</v>
      </c>
      <c r="K925" s="7" t="s">
        <v>54</v>
      </c>
      <c r="L925" s="7" t="s">
        <v>55</v>
      </c>
      <c r="M925" s="7">
        <v>4.0325280000000001</v>
      </c>
      <c r="N925" s="7">
        <v>9.7599169999999997</v>
      </c>
      <c r="O925" s="7" t="s">
        <v>613</v>
      </c>
    </row>
    <row r="926" spans="1:15" x14ac:dyDescent="0.25">
      <c r="A926" s="2">
        <f t="shared" si="14"/>
        <v>924</v>
      </c>
      <c r="B926" s="7" t="s">
        <v>5716</v>
      </c>
      <c r="C926" s="7" t="s">
        <v>5717</v>
      </c>
      <c r="D926" s="7" t="s">
        <v>5716</v>
      </c>
      <c r="E926" s="7" t="s">
        <v>50</v>
      </c>
      <c r="F926" s="7" t="s">
        <v>3610</v>
      </c>
      <c r="G926" s="17" t="s">
        <v>7747</v>
      </c>
      <c r="H926" s="7" t="s">
        <v>19</v>
      </c>
      <c r="I926" s="7" t="s">
        <v>1329</v>
      </c>
      <c r="J926" s="7" t="s">
        <v>53</v>
      </c>
      <c r="K926" s="7" t="s">
        <v>54</v>
      </c>
      <c r="L926" s="7" t="s">
        <v>55</v>
      </c>
      <c r="M926" s="7">
        <v>4.0349719999999998</v>
      </c>
      <c r="N926" s="7">
        <v>9.7806940000000004</v>
      </c>
      <c r="O926" s="7" t="s">
        <v>613</v>
      </c>
    </row>
    <row r="927" spans="1:15" x14ac:dyDescent="0.25">
      <c r="A927" s="2">
        <f t="shared" si="14"/>
        <v>925</v>
      </c>
      <c r="B927" s="7" t="s">
        <v>5748</v>
      </c>
      <c r="C927" s="7" t="s">
        <v>5749</v>
      </c>
      <c r="D927" s="7" t="s">
        <v>5748</v>
      </c>
      <c r="E927" s="7" t="s">
        <v>50</v>
      </c>
      <c r="F927" s="7" t="s">
        <v>5750</v>
      </c>
      <c r="G927" s="17" t="s">
        <v>7747</v>
      </c>
      <c r="H927" s="7" t="s">
        <v>28</v>
      </c>
      <c r="I927" s="7" t="s">
        <v>611</v>
      </c>
      <c r="J927" s="7" t="s">
        <v>53</v>
      </c>
      <c r="K927" s="7" t="s">
        <v>54</v>
      </c>
      <c r="L927" s="7" t="s">
        <v>55</v>
      </c>
      <c r="M927" s="7">
        <v>4.0431100000000004</v>
      </c>
      <c r="N927" s="7">
        <v>9.7545400000000004</v>
      </c>
      <c r="O927" s="7" t="s">
        <v>613</v>
      </c>
    </row>
    <row r="928" spans="1:15" x14ac:dyDescent="0.25">
      <c r="A928" s="2">
        <f t="shared" si="14"/>
        <v>926</v>
      </c>
      <c r="B928" s="7" t="s">
        <v>5757</v>
      </c>
      <c r="C928" s="7" t="s">
        <v>5758</v>
      </c>
      <c r="D928" s="7" t="s">
        <v>5757</v>
      </c>
      <c r="E928" s="7" t="s">
        <v>50</v>
      </c>
      <c r="F928" s="7" t="s">
        <v>5759</v>
      </c>
      <c r="G928" s="17" t="s">
        <v>7747</v>
      </c>
      <c r="H928" s="7" t="s">
        <v>28</v>
      </c>
      <c r="I928" s="7" t="s">
        <v>611</v>
      </c>
      <c r="J928" s="7" t="s">
        <v>53</v>
      </c>
      <c r="K928" s="7" t="s">
        <v>612</v>
      </c>
      <c r="L928" s="7" t="s">
        <v>55</v>
      </c>
      <c r="M928" s="7">
        <v>4.0726610000000001</v>
      </c>
      <c r="N928" s="7">
        <v>9.7426809999999993</v>
      </c>
      <c r="O928" s="7" t="s">
        <v>613</v>
      </c>
    </row>
    <row r="929" spans="1:15" x14ac:dyDescent="0.25">
      <c r="A929" s="2">
        <f t="shared" si="14"/>
        <v>927</v>
      </c>
      <c r="B929" s="7" t="s">
        <v>5760</v>
      </c>
      <c r="C929" s="7" t="s">
        <v>5761</v>
      </c>
      <c r="D929" s="7" t="s">
        <v>5760</v>
      </c>
      <c r="E929" s="7" t="s">
        <v>50</v>
      </c>
      <c r="F929" s="7" t="s">
        <v>5762</v>
      </c>
      <c r="G929" s="17" t="s">
        <v>7747</v>
      </c>
      <c r="H929" s="7" t="s">
        <v>28</v>
      </c>
      <c r="I929" s="7" t="s">
        <v>611</v>
      </c>
      <c r="J929" s="7" t="s">
        <v>53</v>
      </c>
      <c r="K929" s="7" t="s">
        <v>612</v>
      </c>
      <c r="L929" s="7" t="s">
        <v>55</v>
      </c>
      <c r="M929" s="7">
        <v>4.0818669999999999</v>
      </c>
      <c r="N929" s="7">
        <v>9.7568249999999992</v>
      </c>
      <c r="O929" s="7" t="s">
        <v>613</v>
      </c>
    </row>
    <row r="930" spans="1:15" x14ac:dyDescent="0.25">
      <c r="A930" s="2">
        <f t="shared" si="14"/>
        <v>928</v>
      </c>
      <c r="B930" s="7" t="s">
        <v>5763</v>
      </c>
      <c r="C930" s="7" t="s">
        <v>5764</v>
      </c>
      <c r="D930" s="7" t="s">
        <v>5763</v>
      </c>
      <c r="E930" s="7" t="s">
        <v>50</v>
      </c>
      <c r="F930" s="7" t="s">
        <v>5765</v>
      </c>
      <c r="G930" s="17" t="s">
        <v>7747</v>
      </c>
      <c r="H930" s="7" t="s">
        <v>19</v>
      </c>
      <c r="I930" s="7" t="s">
        <v>1575</v>
      </c>
      <c r="J930" s="7" t="s">
        <v>53</v>
      </c>
      <c r="K930" s="7" t="s">
        <v>54</v>
      </c>
      <c r="L930" s="7" t="s">
        <v>55</v>
      </c>
      <c r="M930" s="7">
        <v>4.0136859999999999</v>
      </c>
      <c r="N930" s="7">
        <v>9.715484</v>
      </c>
      <c r="O930" s="7" t="s">
        <v>613</v>
      </c>
    </row>
    <row r="931" spans="1:15" x14ac:dyDescent="0.25">
      <c r="A931" s="2">
        <f t="shared" si="14"/>
        <v>929</v>
      </c>
      <c r="B931" s="7" t="s">
        <v>5766</v>
      </c>
      <c r="C931" s="7" t="s">
        <v>5767</v>
      </c>
      <c r="D931" s="7" t="s">
        <v>5766</v>
      </c>
      <c r="E931" s="7" t="s">
        <v>50</v>
      </c>
      <c r="F931" s="7" t="s">
        <v>5768</v>
      </c>
      <c r="G931" s="17" t="s">
        <v>7747</v>
      </c>
      <c r="H931" s="7" t="s">
        <v>28</v>
      </c>
      <c r="I931" s="7" t="s">
        <v>1403</v>
      </c>
      <c r="J931" s="7" t="s">
        <v>53</v>
      </c>
      <c r="K931" s="7" t="s">
        <v>1404</v>
      </c>
      <c r="L931" s="7" t="s">
        <v>55</v>
      </c>
      <c r="M931" s="7">
        <v>4.0353250000000003</v>
      </c>
      <c r="N931" s="7">
        <v>9.6829850000000004</v>
      </c>
      <c r="O931" s="7" t="s">
        <v>613</v>
      </c>
    </row>
    <row r="932" spans="1:15" x14ac:dyDescent="0.25">
      <c r="A932" s="2">
        <f t="shared" si="14"/>
        <v>930</v>
      </c>
      <c r="B932" s="7" t="s">
        <v>5769</v>
      </c>
      <c r="C932" s="7" t="s">
        <v>5770</v>
      </c>
      <c r="D932" s="7" t="s">
        <v>5769</v>
      </c>
      <c r="E932" s="7" t="s">
        <v>50</v>
      </c>
      <c r="F932" s="7" t="s">
        <v>5771</v>
      </c>
      <c r="G932" s="17" t="s">
        <v>7747</v>
      </c>
      <c r="H932" s="7" t="s">
        <v>19</v>
      </c>
      <c r="I932" s="7" t="s">
        <v>1958</v>
      </c>
      <c r="J932" s="7" t="s">
        <v>53</v>
      </c>
      <c r="K932" s="7" t="s">
        <v>1404</v>
      </c>
      <c r="L932" s="7" t="s">
        <v>55</v>
      </c>
      <c r="M932" s="7">
        <v>4.0524440000000004</v>
      </c>
      <c r="N932" s="7">
        <v>9.7023890000000002</v>
      </c>
      <c r="O932" s="7" t="s">
        <v>613</v>
      </c>
    </row>
    <row r="933" spans="1:15" x14ac:dyDescent="0.25">
      <c r="A933" s="2">
        <f t="shared" si="14"/>
        <v>931</v>
      </c>
      <c r="B933" s="7" t="s">
        <v>5772</v>
      </c>
      <c r="C933" s="7" t="s">
        <v>5773</v>
      </c>
      <c r="D933" s="7" t="s">
        <v>5772</v>
      </c>
      <c r="E933" s="7" t="s">
        <v>50</v>
      </c>
      <c r="F933" s="7" t="s">
        <v>5774</v>
      </c>
      <c r="G933" s="17" t="s">
        <v>7747</v>
      </c>
      <c r="H933" s="7" t="s">
        <v>19</v>
      </c>
      <c r="I933" s="7" t="s">
        <v>1958</v>
      </c>
      <c r="J933" s="7" t="s">
        <v>53</v>
      </c>
      <c r="K933" s="7" t="s">
        <v>1404</v>
      </c>
      <c r="L933" s="7" t="s">
        <v>55</v>
      </c>
      <c r="M933" s="7">
        <v>4.0431939999999997</v>
      </c>
      <c r="N933" s="7">
        <v>9.7078889999999998</v>
      </c>
      <c r="O933" s="7" t="s">
        <v>613</v>
      </c>
    </row>
    <row r="934" spans="1:15" x14ac:dyDescent="0.25">
      <c r="A934" s="2">
        <f t="shared" si="14"/>
        <v>932</v>
      </c>
      <c r="B934" s="7" t="s">
        <v>5775</v>
      </c>
      <c r="C934" s="7" t="s">
        <v>5776</v>
      </c>
      <c r="D934" s="7" t="s">
        <v>5775</v>
      </c>
      <c r="E934" s="7" t="s">
        <v>50</v>
      </c>
      <c r="F934" s="7" t="s">
        <v>5777</v>
      </c>
      <c r="G934" s="17" t="s">
        <v>7747</v>
      </c>
      <c r="H934" s="7" t="s">
        <v>28</v>
      </c>
      <c r="I934" s="7" t="s">
        <v>1403</v>
      </c>
      <c r="J934" s="7" t="s">
        <v>53</v>
      </c>
      <c r="K934" s="7" t="s">
        <v>1404</v>
      </c>
      <c r="L934" s="7" t="s">
        <v>55</v>
      </c>
      <c r="M934" s="7">
        <v>4.0456799999999999</v>
      </c>
      <c r="N934" s="7">
        <v>9.6867300000000007</v>
      </c>
      <c r="O934" s="7" t="s">
        <v>613</v>
      </c>
    </row>
    <row r="935" spans="1:15" x14ac:dyDescent="0.25">
      <c r="A935" s="2">
        <f t="shared" si="14"/>
        <v>933</v>
      </c>
      <c r="B935" s="7" t="s">
        <v>5801</v>
      </c>
      <c r="C935" s="7" t="s">
        <v>5802</v>
      </c>
      <c r="D935" s="7" t="s">
        <v>5801</v>
      </c>
      <c r="E935" s="7" t="s">
        <v>50</v>
      </c>
      <c r="F935" s="7" t="s">
        <v>5803</v>
      </c>
      <c r="G935" s="17" t="s">
        <v>7747</v>
      </c>
      <c r="H935" s="7" t="s">
        <v>28</v>
      </c>
      <c r="I935" s="7" t="s">
        <v>1958</v>
      </c>
      <c r="J935" s="7" t="s">
        <v>53</v>
      </c>
      <c r="K935" s="7" t="s">
        <v>2213</v>
      </c>
      <c r="L935" s="7" t="s">
        <v>55</v>
      </c>
      <c r="M935" s="7">
        <v>4.0545</v>
      </c>
      <c r="N935" s="7">
        <v>9.6948889999999999</v>
      </c>
      <c r="O935" s="7" t="s">
        <v>613</v>
      </c>
    </row>
    <row r="936" spans="1:15" x14ac:dyDescent="0.25">
      <c r="A936" s="2">
        <f t="shared" si="14"/>
        <v>934</v>
      </c>
      <c r="B936" s="7" t="s">
        <v>5804</v>
      </c>
      <c r="C936" s="7" t="s">
        <v>5805</v>
      </c>
      <c r="D936" s="7" t="s">
        <v>5804</v>
      </c>
      <c r="E936" s="7" t="s">
        <v>50</v>
      </c>
      <c r="F936" s="7" t="s">
        <v>5806</v>
      </c>
      <c r="G936" s="17" t="s">
        <v>7747</v>
      </c>
      <c r="H936" s="7" t="s">
        <v>28</v>
      </c>
      <c r="I936" s="7" t="s">
        <v>52</v>
      </c>
      <c r="J936" s="7" t="s">
        <v>53</v>
      </c>
      <c r="K936" s="7" t="s">
        <v>54</v>
      </c>
      <c r="L936" s="7" t="s">
        <v>55</v>
      </c>
      <c r="M936" s="7">
        <v>4.030278</v>
      </c>
      <c r="N936" s="7">
        <v>9.7674079999999996</v>
      </c>
      <c r="O936" s="7" t="s">
        <v>23</v>
      </c>
    </row>
    <row r="937" spans="1:15" x14ac:dyDescent="0.25">
      <c r="A937" s="2">
        <f t="shared" si="14"/>
        <v>935</v>
      </c>
      <c r="B937" s="7" t="s">
        <v>5816</v>
      </c>
      <c r="C937" s="7" t="s">
        <v>5817</v>
      </c>
      <c r="D937" s="7" t="s">
        <v>5816</v>
      </c>
      <c r="E937" s="7" t="s">
        <v>50</v>
      </c>
      <c r="F937" s="7" t="s">
        <v>5818</v>
      </c>
      <c r="G937" s="17" t="s">
        <v>7747</v>
      </c>
      <c r="H937" s="7" t="s">
        <v>28</v>
      </c>
      <c r="I937" s="7" t="s">
        <v>1958</v>
      </c>
      <c r="J937" s="7" t="s">
        <v>53</v>
      </c>
      <c r="K937" s="7" t="s">
        <v>1404</v>
      </c>
      <c r="L937" s="7" t="s">
        <v>55</v>
      </c>
      <c r="M937" s="7">
        <v>4.0680829999999997</v>
      </c>
      <c r="N937" s="7">
        <v>9.7100000000000009</v>
      </c>
      <c r="O937" s="7" t="s">
        <v>613</v>
      </c>
    </row>
    <row r="938" spans="1:15" x14ac:dyDescent="0.25">
      <c r="A938" s="2">
        <f t="shared" si="14"/>
        <v>936</v>
      </c>
      <c r="B938" s="7" t="s">
        <v>5822</v>
      </c>
      <c r="C938" s="7" t="s">
        <v>5823</v>
      </c>
      <c r="D938" s="7" t="s">
        <v>5822</v>
      </c>
      <c r="E938" s="7" t="s">
        <v>50</v>
      </c>
      <c r="F938" s="7" t="s">
        <v>5824</v>
      </c>
      <c r="G938" s="17" t="s">
        <v>7747</v>
      </c>
      <c r="H938" s="7" t="s">
        <v>28</v>
      </c>
      <c r="I938" s="7" t="s">
        <v>1958</v>
      </c>
      <c r="J938" s="7" t="s">
        <v>53</v>
      </c>
      <c r="K938" s="7" t="s">
        <v>1404</v>
      </c>
      <c r="L938" s="7" t="s">
        <v>55</v>
      </c>
      <c r="M938" s="7">
        <v>4.0473330000000001</v>
      </c>
      <c r="N938" s="7">
        <v>9.6961390000000005</v>
      </c>
      <c r="O938" s="7" t="s">
        <v>613</v>
      </c>
    </row>
    <row r="939" spans="1:15" x14ac:dyDescent="0.25">
      <c r="A939" s="2">
        <f t="shared" si="14"/>
        <v>937</v>
      </c>
      <c r="B939" s="7" t="s">
        <v>5825</v>
      </c>
      <c r="C939" s="7" t="s">
        <v>5826</v>
      </c>
      <c r="D939" s="7" t="s">
        <v>5825</v>
      </c>
      <c r="E939" s="7" t="s">
        <v>50</v>
      </c>
      <c r="F939" s="7" t="s">
        <v>5827</v>
      </c>
      <c r="G939" s="17" t="s">
        <v>7747</v>
      </c>
      <c r="H939" s="7" t="s">
        <v>28</v>
      </c>
      <c r="I939" s="7" t="s">
        <v>1958</v>
      </c>
      <c r="J939" s="7" t="s">
        <v>53</v>
      </c>
      <c r="K939" s="7" t="s">
        <v>1404</v>
      </c>
      <c r="L939" s="7" t="s">
        <v>55</v>
      </c>
      <c r="M939" s="7">
        <v>4.0547709999999997</v>
      </c>
      <c r="N939" s="7">
        <v>9.7240490000000008</v>
      </c>
      <c r="O939" s="7" t="s">
        <v>613</v>
      </c>
    </row>
    <row r="940" spans="1:15" x14ac:dyDescent="0.25">
      <c r="A940" s="2">
        <f t="shared" si="14"/>
        <v>938</v>
      </c>
      <c r="B940" s="7" t="s">
        <v>5833</v>
      </c>
      <c r="C940" s="7" t="s">
        <v>5834</v>
      </c>
      <c r="D940" s="7" t="s">
        <v>5833</v>
      </c>
      <c r="E940" s="7" t="s">
        <v>50</v>
      </c>
      <c r="F940" s="7" t="s">
        <v>5835</v>
      </c>
      <c r="G940" s="17" t="s">
        <v>7747</v>
      </c>
      <c r="H940" s="7" t="s">
        <v>28</v>
      </c>
      <c r="I940" s="7" t="s">
        <v>1958</v>
      </c>
      <c r="J940" s="7" t="s">
        <v>53</v>
      </c>
      <c r="K940" s="7" t="s">
        <v>1404</v>
      </c>
      <c r="L940" s="7" t="s">
        <v>55</v>
      </c>
      <c r="M940" s="7">
        <v>4.0544500000000001</v>
      </c>
      <c r="N940" s="7">
        <v>9.6953689999999995</v>
      </c>
      <c r="O940" s="7" t="s">
        <v>613</v>
      </c>
    </row>
    <row r="941" spans="1:15" x14ac:dyDescent="0.25">
      <c r="A941" s="2">
        <f t="shared" si="14"/>
        <v>939</v>
      </c>
      <c r="B941" s="7" t="s">
        <v>5836</v>
      </c>
      <c r="C941" s="7" t="s">
        <v>5837</v>
      </c>
      <c r="D941" s="7" t="s">
        <v>5836</v>
      </c>
      <c r="E941" s="7" t="s">
        <v>50</v>
      </c>
      <c r="F941" s="7" t="s">
        <v>5838</v>
      </c>
      <c r="G941" s="17" t="s">
        <v>7747</v>
      </c>
      <c r="H941" s="7" t="s">
        <v>28</v>
      </c>
      <c r="I941" s="7" t="s">
        <v>1478</v>
      </c>
      <c r="J941" s="7" t="s">
        <v>53</v>
      </c>
      <c r="K941" s="7" t="s">
        <v>612</v>
      </c>
      <c r="L941" s="7" t="s">
        <v>55</v>
      </c>
      <c r="M941" s="7">
        <v>4.0835319999999999</v>
      </c>
      <c r="N941" s="7">
        <v>9.7380650000000006</v>
      </c>
      <c r="O941" s="7" t="s">
        <v>613</v>
      </c>
    </row>
    <row r="942" spans="1:15" x14ac:dyDescent="0.25">
      <c r="A942" s="2">
        <f t="shared" si="14"/>
        <v>940</v>
      </c>
      <c r="B942" s="7" t="s">
        <v>5848</v>
      </c>
      <c r="C942" s="7" t="s">
        <v>5849</v>
      </c>
      <c r="D942" s="7" t="s">
        <v>5848</v>
      </c>
      <c r="E942" s="7" t="s">
        <v>50</v>
      </c>
      <c r="F942" s="7" t="s">
        <v>5850</v>
      </c>
      <c r="G942" s="17" t="s">
        <v>7747</v>
      </c>
      <c r="H942" s="7" t="s">
        <v>28</v>
      </c>
      <c r="I942" s="7" t="s">
        <v>161</v>
      </c>
      <c r="J942" s="7" t="s">
        <v>159</v>
      </c>
      <c r="K942" s="7" t="s">
        <v>4388</v>
      </c>
      <c r="L942" s="7" t="s">
        <v>55</v>
      </c>
      <c r="M942" s="7">
        <v>3.6675620000000002</v>
      </c>
      <c r="N942" s="7">
        <v>9.6445489999999996</v>
      </c>
      <c r="O942" s="7" t="s">
        <v>23</v>
      </c>
    </row>
    <row r="943" spans="1:15" x14ac:dyDescent="0.25">
      <c r="A943" s="2">
        <f t="shared" si="14"/>
        <v>941</v>
      </c>
      <c r="B943" s="7" t="s">
        <v>5942</v>
      </c>
      <c r="C943" s="7" t="s">
        <v>5943</v>
      </c>
      <c r="D943" s="7" t="s">
        <v>5942</v>
      </c>
      <c r="E943" s="7" t="s">
        <v>50</v>
      </c>
      <c r="F943" s="7" t="s">
        <v>5944</v>
      </c>
      <c r="G943" s="17" t="s">
        <v>7747</v>
      </c>
      <c r="H943" s="7" t="s">
        <v>28</v>
      </c>
      <c r="I943" s="7" t="s">
        <v>161</v>
      </c>
      <c r="J943" s="7" t="s">
        <v>159</v>
      </c>
      <c r="K943" s="7" t="s">
        <v>4388</v>
      </c>
      <c r="L943" s="7" t="s">
        <v>55</v>
      </c>
      <c r="M943" s="7">
        <v>3.8674119999999998</v>
      </c>
      <c r="N943" s="7">
        <v>9.8615270000000006</v>
      </c>
      <c r="O943" s="7" t="s">
        <v>23</v>
      </c>
    </row>
    <row r="944" spans="1:15" x14ac:dyDescent="0.25">
      <c r="A944" s="2">
        <f t="shared" si="14"/>
        <v>942</v>
      </c>
      <c r="B944" s="7" t="s">
        <v>6271</v>
      </c>
      <c r="C944" s="7" t="s">
        <v>6272</v>
      </c>
      <c r="D944" s="7" t="s">
        <v>6271</v>
      </c>
      <c r="E944" s="7" t="s">
        <v>50</v>
      </c>
      <c r="F944" s="7" t="s">
        <v>6273</v>
      </c>
      <c r="G944" s="17" t="s">
        <v>7747</v>
      </c>
      <c r="H944" s="7" t="s">
        <v>28</v>
      </c>
      <c r="I944" s="7" t="s">
        <v>161</v>
      </c>
      <c r="J944" s="7" t="s">
        <v>159</v>
      </c>
      <c r="K944" s="7" t="s">
        <v>200</v>
      </c>
      <c r="L944" s="7" t="s">
        <v>55</v>
      </c>
      <c r="M944" s="7">
        <v>4.004486</v>
      </c>
      <c r="N944" s="7">
        <v>9.8810780000000005</v>
      </c>
      <c r="O944" s="7" t="s">
        <v>23</v>
      </c>
    </row>
    <row r="945" spans="1:15" x14ac:dyDescent="0.25">
      <c r="A945" s="2">
        <f t="shared" si="14"/>
        <v>943</v>
      </c>
      <c r="B945" s="7" t="s">
        <v>6337</v>
      </c>
      <c r="C945" s="7" t="s">
        <v>6338</v>
      </c>
      <c r="D945" s="7" t="s">
        <v>6337</v>
      </c>
      <c r="E945" s="7" t="s">
        <v>50</v>
      </c>
      <c r="F945" s="7" t="s">
        <v>6339</v>
      </c>
      <c r="G945" s="17" t="s">
        <v>7747</v>
      </c>
      <c r="H945" s="7" t="s">
        <v>28</v>
      </c>
      <c r="I945" s="7" t="s">
        <v>1403</v>
      </c>
      <c r="J945" s="7" t="s">
        <v>53</v>
      </c>
      <c r="K945" s="7" t="s">
        <v>6340</v>
      </c>
      <c r="L945" s="7" t="s">
        <v>55</v>
      </c>
      <c r="M945" s="7">
        <v>3.865523</v>
      </c>
      <c r="N945" s="7">
        <v>9.6270399999999992</v>
      </c>
      <c r="O945" s="7" t="s">
        <v>23</v>
      </c>
    </row>
    <row r="946" spans="1:15" x14ac:dyDescent="0.25">
      <c r="A946" s="2">
        <f t="shared" si="14"/>
        <v>944</v>
      </c>
      <c r="B946" s="7" t="s">
        <v>6526</v>
      </c>
      <c r="C946" s="7" t="s">
        <v>6527</v>
      </c>
      <c r="D946" s="7" t="s">
        <v>6526</v>
      </c>
      <c r="E946" s="7" t="s">
        <v>50</v>
      </c>
      <c r="F946" s="7" t="s">
        <v>6528</v>
      </c>
      <c r="G946" s="17" t="s">
        <v>7747</v>
      </c>
      <c r="H946" s="7" t="s">
        <v>28</v>
      </c>
      <c r="I946" s="7" t="s">
        <v>1516</v>
      </c>
      <c r="J946" s="7" t="s">
        <v>5331</v>
      </c>
      <c r="K946" s="7" t="s">
        <v>153</v>
      </c>
      <c r="L946" s="7" t="s">
        <v>55</v>
      </c>
      <c r="M946" s="7">
        <v>4.1524070000000002</v>
      </c>
      <c r="N946" s="7">
        <v>9.9989399999999993</v>
      </c>
      <c r="O946" s="7" t="s">
        <v>23</v>
      </c>
    </row>
    <row r="947" spans="1:15" x14ac:dyDescent="0.25">
      <c r="A947" s="2">
        <f t="shared" si="14"/>
        <v>945</v>
      </c>
      <c r="B947" s="7" t="s">
        <v>6652</v>
      </c>
      <c r="C947" s="7" t="s">
        <v>6653</v>
      </c>
      <c r="D947" s="7" t="s">
        <v>6652</v>
      </c>
      <c r="E947" s="7" t="s">
        <v>50</v>
      </c>
      <c r="F947" s="7" t="s">
        <v>6654</v>
      </c>
      <c r="G947" s="17" t="s">
        <v>7747</v>
      </c>
      <c r="H947" s="7" t="s">
        <v>19</v>
      </c>
      <c r="I947" s="7" t="s">
        <v>1403</v>
      </c>
      <c r="J947" s="7" t="s">
        <v>53</v>
      </c>
      <c r="K947" s="7" t="s">
        <v>1404</v>
      </c>
      <c r="L947" s="7" t="s">
        <v>55</v>
      </c>
      <c r="M947" s="7">
        <v>4.0308999999999999</v>
      </c>
      <c r="N947" s="7">
        <v>9.6997999999999998</v>
      </c>
      <c r="O947" s="7" t="s">
        <v>23</v>
      </c>
    </row>
    <row r="948" spans="1:15" x14ac:dyDescent="0.25">
      <c r="A948" s="2">
        <f t="shared" si="14"/>
        <v>946</v>
      </c>
      <c r="B948" s="7" t="s">
        <v>6658</v>
      </c>
      <c r="C948" s="7" t="s">
        <v>6659</v>
      </c>
      <c r="D948" s="7" t="s">
        <v>6658</v>
      </c>
      <c r="E948" s="7" t="s">
        <v>50</v>
      </c>
      <c r="F948" s="7" t="s">
        <v>6660</v>
      </c>
      <c r="G948" s="17" t="s">
        <v>7747</v>
      </c>
      <c r="H948" s="7" t="s">
        <v>28</v>
      </c>
      <c r="I948" s="7" t="s">
        <v>1516</v>
      </c>
      <c r="J948" s="7" t="s">
        <v>53</v>
      </c>
      <c r="K948" s="7" t="s">
        <v>54</v>
      </c>
      <c r="L948" s="7" t="s">
        <v>55</v>
      </c>
      <c r="M948" s="7">
        <v>4.049658</v>
      </c>
      <c r="N948" s="7">
        <v>9.7772520000000007</v>
      </c>
      <c r="O948" s="7" t="s">
        <v>23</v>
      </c>
    </row>
    <row r="949" spans="1:15" x14ac:dyDescent="0.25">
      <c r="A949" s="2">
        <f t="shared" si="14"/>
        <v>947</v>
      </c>
      <c r="B949" s="7" t="s">
        <v>6668</v>
      </c>
      <c r="C949" s="7" t="s">
        <v>6669</v>
      </c>
      <c r="D949" s="7" t="s">
        <v>6668</v>
      </c>
      <c r="E949" s="7" t="s">
        <v>50</v>
      </c>
      <c r="F949" s="7" t="s">
        <v>6670</v>
      </c>
      <c r="G949" s="17" t="s">
        <v>7747</v>
      </c>
      <c r="H949" s="7" t="s">
        <v>19</v>
      </c>
      <c r="I949" s="7" t="s">
        <v>627</v>
      </c>
      <c r="J949" s="7" t="s">
        <v>53</v>
      </c>
      <c r="K949" s="7" t="s">
        <v>628</v>
      </c>
      <c r="L949" s="7" t="s">
        <v>55</v>
      </c>
      <c r="M949" s="7">
        <v>4.0726380000000004</v>
      </c>
      <c r="N949" s="7">
        <v>9.6862399999999997</v>
      </c>
      <c r="O949" s="7" t="s">
        <v>23</v>
      </c>
    </row>
    <row r="950" spans="1:15" x14ac:dyDescent="0.25">
      <c r="A950" s="2">
        <f t="shared" si="14"/>
        <v>948</v>
      </c>
      <c r="B950" s="7" t="s">
        <v>6692</v>
      </c>
      <c r="C950" s="7" t="s">
        <v>6693</v>
      </c>
      <c r="D950" s="7" t="s">
        <v>6692</v>
      </c>
      <c r="E950" s="7" t="s">
        <v>50</v>
      </c>
      <c r="F950" s="7" t="s">
        <v>6694</v>
      </c>
      <c r="G950" s="17" t="s">
        <v>7747</v>
      </c>
      <c r="H950" s="7" t="s">
        <v>28</v>
      </c>
      <c r="I950" s="7" t="s">
        <v>1575</v>
      </c>
      <c r="J950" s="7" t="s">
        <v>53</v>
      </c>
      <c r="K950" s="7" t="s">
        <v>54</v>
      </c>
      <c r="L950" s="7" t="s">
        <v>55</v>
      </c>
      <c r="M950" s="7">
        <v>4.0047499999999996</v>
      </c>
      <c r="N950" s="7">
        <v>9.7518709999999995</v>
      </c>
      <c r="O950" s="7" t="s">
        <v>613</v>
      </c>
    </row>
    <row r="951" spans="1:15" x14ac:dyDescent="0.25">
      <c r="A951" s="2">
        <f t="shared" si="14"/>
        <v>949</v>
      </c>
      <c r="B951" s="7" t="s">
        <v>6748</v>
      </c>
      <c r="C951" s="7" t="s">
        <v>6749</v>
      </c>
      <c r="D951" s="7" t="s">
        <v>6748</v>
      </c>
      <c r="E951" s="7" t="s">
        <v>50</v>
      </c>
      <c r="F951" s="7" t="s">
        <v>6750</v>
      </c>
      <c r="G951" s="17" t="s">
        <v>7747</v>
      </c>
      <c r="H951" s="7" t="s">
        <v>28</v>
      </c>
      <c r="I951" s="7" t="s">
        <v>1478</v>
      </c>
      <c r="J951" s="7" t="s">
        <v>53</v>
      </c>
      <c r="K951" s="7" t="s">
        <v>612</v>
      </c>
      <c r="L951" s="7" t="s">
        <v>55</v>
      </c>
      <c r="M951" s="7">
        <v>4.0868270000000004</v>
      </c>
      <c r="N951" s="7">
        <v>9.7337100000000003</v>
      </c>
      <c r="O951" s="7" t="s">
        <v>613</v>
      </c>
    </row>
    <row r="952" spans="1:15" x14ac:dyDescent="0.25">
      <c r="A952" s="2">
        <f t="shared" si="14"/>
        <v>950</v>
      </c>
      <c r="B952" s="7" t="s">
        <v>6758</v>
      </c>
      <c r="C952" s="7" t="s">
        <v>6759</v>
      </c>
      <c r="D952" s="7" t="s">
        <v>6758</v>
      </c>
      <c r="E952" s="7" t="s">
        <v>50</v>
      </c>
      <c r="F952" s="7" t="s">
        <v>6760</v>
      </c>
      <c r="G952" s="17" t="s">
        <v>7747</v>
      </c>
      <c r="H952" s="7" t="s">
        <v>28</v>
      </c>
      <c r="I952" s="7" t="s">
        <v>52</v>
      </c>
      <c r="J952" s="7" t="s">
        <v>53</v>
      </c>
      <c r="K952" s="7" t="s">
        <v>54</v>
      </c>
      <c r="L952" s="7" t="s">
        <v>55</v>
      </c>
      <c r="M952" s="7">
        <v>3.9888330000000001</v>
      </c>
      <c r="N952" s="7">
        <v>9.7732500000000009</v>
      </c>
      <c r="O952" s="7" t="s">
        <v>613</v>
      </c>
    </row>
    <row r="953" spans="1:15" x14ac:dyDescent="0.25">
      <c r="A953" s="2">
        <f t="shared" si="14"/>
        <v>951</v>
      </c>
      <c r="B953" s="7" t="s">
        <v>6801</v>
      </c>
      <c r="C953" s="7" t="s">
        <v>6802</v>
      </c>
      <c r="D953" s="7" t="s">
        <v>6801</v>
      </c>
      <c r="E953" s="7" t="s">
        <v>50</v>
      </c>
      <c r="F953" s="7" t="s">
        <v>6803</v>
      </c>
      <c r="G953" s="17" t="s">
        <v>7747</v>
      </c>
      <c r="H953" s="7" t="s">
        <v>28</v>
      </c>
      <c r="I953" s="7" t="s">
        <v>161</v>
      </c>
      <c r="J953" s="7" t="s">
        <v>159</v>
      </c>
      <c r="K953" s="7" t="s">
        <v>4388</v>
      </c>
      <c r="L953" s="7" t="s">
        <v>55</v>
      </c>
      <c r="M953" s="7">
        <v>3.5921110000000001</v>
      </c>
      <c r="N953" s="7">
        <v>9.7025559999999995</v>
      </c>
      <c r="O953" s="7" t="s">
        <v>23</v>
      </c>
    </row>
    <row r="954" spans="1:15" x14ac:dyDescent="0.25">
      <c r="A954" s="2">
        <f t="shared" si="14"/>
        <v>952</v>
      </c>
      <c r="B954" s="7" t="s">
        <v>6863</v>
      </c>
      <c r="C954" s="7" t="s">
        <v>6864</v>
      </c>
      <c r="D954" s="7" t="s">
        <v>6863</v>
      </c>
      <c r="E954" s="7" t="s">
        <v>34</v>
      </c>
      <c r="F954" s="7" t="s">
        <v>6865</v>
      </c>
      <c r="G954" s="8" t="s">
        <v>18</v>
      </c>
      <c r="H954" s="7" t="s">
        <v>28</v>
      </c>
      <c r="I954" s="7" t="s">
        <v>441</v>
      </c>
      <c r="J954" s="7" t="s">
        <v>38</v>
      </c>
      <c r="K954" s="7" t="s">
        <v>442</v>
      </c>
      <c r="L954" s="7" t="s">
        <v>55</v>
      </c>
      <c r="M954" s="7">
        <v>4.1619000000000002</v>
      </c>
      <c r="N954" s="7">
        <v>9.5037690000000001</v>
      </c>
      <c r="O954" s="7" t="s">
        <v>23</v>
      </c>
    </row>
    <row r="955" spans="1:15" x14ac:dyDescent="0.25">
      <c r="A955" s="2">
        <f t="shared" si="14"/>
        <v>953</v>
      </c>
      <c r="B955" s="7" t="s">
        <v>6881</v>
      </c>
      <c r="C955" s="7" t="s">
        <v>6882</v>
      </c>
      <c r="D955" s="7" t="s">
        <v>6881</v>
      </c>
      <c r="E955" s="7" t="s">
        <v>50</v>
      </c>
      <c r="F955" s="7" t="s">
        <v>6883</v>
      </c>
      <c r="G955" s="17" t="s">
        <v>7747</v>
      </c>
      <c r="H955" s="7" t="s">
        <v>28</v>
      </c>
      <c r="I955" s="7" t="s">
        <v>52</v>
      </c>
      <c r="J955" s="7" t="s">
        <v>53</v>
      </c>
      <c r="K955" s="7" t="s">
        <v>54</v>
      </c>
      <c r="L955" s="7" t="s">
        <v>55</v>
      </c>
      <c r="M955" s="7">
        <v>3.9894720000000001</v>
      </c>
      <c r="N955" s="7">
        <v>9.7596939999999996</v>
      </c>
      <c r="O955" s="7" t="s">
        <v>23</v>
      </c>
    </row>
    <row r="956" spans="1:15" x14ac:dyDescent="0.25">
      <c r="A956" s="2">
        <f t="shared" si="14"/>
        <v>954</v>
      </c>
      <c r="B956" s="7" t="s">
        <v>6884</v>
      </c>
      <c r="C956" s="7" t="s">
        <v>6885</v>
      </c>
      <c r="D956" s="7" t="s">
        <v>6884</v>
      </c>
      <c r="E956" s="7" t="s">
        <v>50</v>
      </c>
      <c r="F956" s="7" t="s">
        <v>6886</v>
      </c>
      <c r="G956" s="17" t="s">
        <v>7747</v>
      </c>
      <c r="H956" s="7" t="s">
        <v>28</v>
      </c>
      <c r="I956" s="7" t="s">
        <v>1958</v>
      </c>
      <c r="J956" s="7" t="s">
        <v>53</v>
      </c>
      <c r="K956" s="7" t="s">
        <v>1404</v>
      </c>
      <c r="L956" s="7" t="s">
        <v>55</v>
      </c>
      <c r="M956" s="7">
        <v>4.0544539999999998</v>
      </c>
      <c r="N956" s="7">
        <v>9.6981210000000004</v>
      </c>
      <c r="O956" s="7" t="s">
        <v>23</v>
      </c>
    </row>
    <row r="957" spans="1:15" x14ac:dyDescent="0.25">
      <c r="A957" s="2">
        <f t="shared" si="14"/>
        <v>955</v>
      </c>
      <c r="B957" s="7" t="s">
        <v>6890</v>
      </c>
      <c r="C957" s="7" t="s">
        <v>6891</v>
      </c>
      <c r="D957" s="7" t="s">
        <v>6890</v>
      </c>
      <c r="E957" s="7" t="s">
        <v>50</v>
      </c>
      <c r="F957" s="7" t="s">
        <v>6892</v>
      </c>
      <c r="G957" s="17" t="s">
        <v>7747</v>
      </c>
      <c r="H957" s="7" t="s">
        <v>28</v>
      </c>
      <c r="I957" s="7" t="s">
        <v>1403</v>
      </c>
      <c r="J957" s="7" t="s">
        <v>53</v>
      </c>
      <c r="K957" s="7" t="s">
        <v>1404</v>
      </c>
      <c r="L957" s="7" t="s">
        <v>55</v>
      </c>
      <c r="M957" s="7">
        <v>4.0003890000000002</v>
      </c>
      <c r="N957" s="7">
        <v>9.7211110000000005</v>
      </c>
      <c r="O957" s="7" t="s">
        <v>23</v>
      </c>
    </row>
    <row r="958" spans="1:15" x14ac:dyDescent="0.25">
      <c r="A958" s="2">
        <f t="shared" si="14"/>
        <v>956</v>
      </c>
      <c r="B958" s="7" t="s">
        <v>6896</v>
      </c>
      <c r="C958" s="7" t="s">
        <v>6897</v>
      </c>
      <c r="D958" s="7" t="s">
        <v>6896</v>
      </c>
      <c r="E958" s="7" t="s">
        <v>50</v>
      </c>
      <c r="F958" s="7" t="s">
        <v>6898</v>
      </c>
      <c r="G958" s="17" t="s">
        <v>7747</v>
      </c>
      <c r="H958" s="7" t="s">
        <v>28</v>
      </c>
      <c r="I958" s="7" t="s">
        <v>1403</v>
      </c>
      <c r="J958" s="7" t="s">
        <v>53</v>
      </c>
      <c r="K958" s="7" t="s">
        <v>1404</v>
      </c>
      <c r="L958" s="7" t="s">
        <v>55</v>
      </c>
      <c r="M958" s="7">
        <v>4.0283720000000001</v>
      </c>
      <c r="N958" s="7">
        <v>9.6973500000000001</v>
      </c>
      <c r="O958" s="7" t="s">
        <v>613</v>
      </c>
    </row>
    <row r="959" spans="1:15" x14ac:dyDescent="0.25">
      <c r="A959" s="2">
        <f t="shared" si="14"/>
        <v>957</v>
      </c>
      <c r="B959" s="7" t="s">
        <v>6906</v>
      </c>
      <c r="C959" s="7" t="s">
        <v>6907</v>
      </c>
      <c r="D959" s="7" t="s">
        <v>6906</v>
      </c>
      <c r="E959" s="7" t="s">
        <v>50</v>
      </c>
      <c r="F959" s="7" t="s">
        <v>6908</v>
      </c>
      <c r="G959" s="17" t="s">
        <v>7747</v>
      </c>
      <c r="H959" s="7" t="s">
        <v>28</v>
      </c>
      <c r="I959" s="7" t="s">
        <v>960</v>
      </c>
      <c r="J959" s="7" t="s">
        <v>53</v>
      </c>
      <c r="K959" s="7" t="s">
        <v>628</v>
      </c>
      <c r="L959" s="7" t="s">
        <v>55</v>
      </c>
      <c r="M959" s="7">
        <v>4.112158</v>
      </c>
      <c r="N959" s="7">
        <v>9.6340470000000007</v>
      </c>
      <c r="O959" s="7" t="s">
        <v>23</v>
      </c>
    </row>
    <row r="960" spans="1:15" x14ac:dyDescent="0.25">
      <c r="A960" s="2">
        <f t="shared" si="14"/>
        <v>958</v>
      </c>
      <c r="B960" s="7" t="s">
        <v>6909</v>
      </c>
      <c r="C960" s="7" t="s">
        <v>6910</v>
      </c>
      <c r="D960" s="7" t="s">
        <v>6909</v>
      </c>
      <c r="E960" s="7" t="s">
        <v>50</v>
      </c>
      <c r="F960" s="7" t="s">
        <v>6911</v>
      </c>
      <c r="G960" s="17" t="s">
        <v>7747</v>
      </c>
      <c r="H960" s="7" t="s">
        <v>28</v>
      </c>
      <c r="I960" s="7" t="s">
        <v>960</v>
      </c>
      <c r="J960" s="7" t="s">
        <v>53</v>
      </c>
      <c r="K960" s="7" t="s">
        <v>628</v>
      </c>
      <c r="L960" s="7" t="s">
        <v>55</v>
      </c>
      <c r="M960" s="7">
        <v>4.0994469999999996</v>
      </c>
      <c r="N960" s="7">
        <v>9.6102469999999993</v>
      </c>
      <c r="O960" s="7" t="s">
        <v>23</v>
      </c>
    </row>
    <row r="961" spans="1:15" x14ac:dyDescent="0.25">
      <c r="A961" s="2">
        <f t="shared" si="14"/>
        <v>959</v>
      </c>
      <c r="B961" s="7" t="s">
        <v>6920</v>
      </c>
      <c r="C961" s="7" t="s">
        <v>6921</v>
      </c>
      <c r="D961" s="7" t="s">
        <v>6920</v>
      </c>
      <c r="E961" s="7" t="s">
        <v>50</v>
      </c>
      <c r="F961" s="7" t="s">
        <v>6922</v>
      </c>
      <c r="G961" s="17" t="s">
        <v>7747</v>
      </c>
      <c r="H961" s="7" t="s">
        <v>28</v>
      </c>
      <c r="I961" s="7" t="s">
        <v>1403</v>
      </c>
      <c r="J961" s="7" t="s">
        <v>53</v>
      </c>
      <c r="K961" s="7" t="s">
        <v>1404</v>
      </c>
      <c r="L961" s="7" t="s">
        <v>55</v>
      </c>
      <c r="M961" s="7">
        <v>4.0413100000000002</v>
      </c>
      <c r="N961" s="7">
        <v>9.6856559999999998</v>
      </c>
      <c r="O961" s="7" t="s">
        <v>613</v>
      </c>
    </row>
    <row r="962" spans="1:15" x14ac:dyDescent="0.25">
      <c r="A962" s="2">
        <f t="shared" si="14"/>
        <v>960</v>
      </c>
      <c r="B962" s="7" t="s">
        <v>6936</v>
      </c>
      <c r="C962" s="7" t="s">
        <v>6937</v>
      </c>
      <c r="D962" s="7" t="s">
        <v>6936</v>
      </c>
      <c r="E962" s="7" t="s">
        <v>34</v>
      </c>
      <c r="F962" s="7" t="s">
        <v>6938</v>
      </c>
      <c r="G962" s="17" t="s">
        <v>7747</v>
      </c>
      <c r="H962" s="7" t="s">
        <v>28</v>
      </c>
      <c r="I962" s="7" t="s">
        <v>356</v>
      </c>
      <c r="J962" s="7" t="s">
        <v>152</v>
      </c>
      <c r="K962" s="7" t="s">
        <v>6935</v>
      </c>
      <c r="L962" s="7" t="s">
        <v>55</v>
      </c>
      <c r="M962" s="7">
        <v>4.3118249999999998</v>
      </c>
      <c r="N962" s="7">
        <v>9.5982230000000008</v>
      </c>
      <c r="O962" s="7" t="s">
        <v>23</v>
      </c>
    </row>
    <row r="963" spans="1:15" x14ac:dyDescent="0.25">
      <c r="A963" s="2">
        <f t="shared" si="14"/>
        <v>961</v>
      </c>
      <c r="B963" s="7" t="s">
        <v>6943</v>
      </c>
      <c r="C963" s="7" t="s">
        <v>6944</v>
      </c>
      <c r="D963" s="7" t="s">
        <v>6943</v>
      </c>
      <c r="E963" s="7" t="s">
        <v>50</v>
      </c>
      <c r="F963" s="7" t="s">
        <v>6945</v>
      </c>
      <c r="G963" s="17" t="s">
        <v>7747</v>
      </c>
      <c r="H963" s="7" t="s">
        <v>28</v>
      </c>
      <c r="I963" s="7" t="s">
        <v>1958</v>
      </c>
      <c r="J963" s="7" t="s">
        <v>53</v>
      </c>
      <c r="K963" s="7" t="s">
        <v>2213</v>
      </c>
      <c r="L963" s="7" t="s">
        <v>55</v>
      </c>
      <c r="M963" s="7">
        <v>4.0449590000000004</v>
      </c>
      <c r="N963" s="7">
        <v>9.7136099999999992</v>
      </c>
      <c r="O963" s="7" t="s">
        <v>613</v>
      </c>
    </row>
    <row r="964" spans="1:15" x14ac:dyDescent="0.25">
      <c r="A964" s="2">
        <f t="shared" si="14"/>
        <v>962</v>
      </c>
      <c r="B964" s="7" t="s">
        <v>6978</v>
      </c>
      <c r="C964" s="7" t="s">
        <v>6979</v>
      </c>
      <c r="D964" s="7" t="s">
        <v>6978</v>
      </c>
      <c r="E964" s="7" t="s">
        <v>50</v>
      </c>
      <c r="F964" s="7" t="s">
        <v>6980</v>
      </c>
      <c r="G964" s="17" t="s">
        <v>7747</v>
      </c>
      <c r="H964" s="7" t="s">
        <v>28</v>
      </c>
      <c r="I964" s="7" t="s">
        <v>1516</v>
      </c>
      <c r="J964" s="7" t="s">
        <v>53</v>
      </c>
      <c r="K964" s="7" t="s">
        <v>54</v>
      </c>
      <c r="L964" s="7" t="s">
        <v>55</v>
      </c>
      <c r="M964" s="7">
        <v>4.095135</v>
      </c>
      <c r="N964" s="7">
        <v>9.7918880000000001</v>
      </c>
      <c r="O964" s="7" t="s">
        <v>23</v>
      </c>
    </row>
    <row r="965" spans="1:15" x14ac:dyDescent="0.25">
      <c r="A965" s="2">
        <f t="shared" ref="A965:A1028" si="15">+A964+1</f>
        <v>963</v>
      </c>
      <c r="B965" s="7" t="s">
        <v>6981</v>
      </c>
      <c r="C965" s="7" t="s">
        <v>6982</v>
      </c>
      <c r="D965" s="7" t="s">
        <v>6981</v>
      </c>
      <c r="E965" s="7" t="s">
        <v>50</v>
      </c>
      <c r="F965" s="7" t="s">
        <v>6983</v>
      </c>
      <c r="G965" s="17" t="s">
        <v>7747</v>
      </c>
      <c r="H965" s="7" t="s">
        <v>28</v>
      </c>
      <c r="I965" s="7" t="s">
        <v>960</v>
      </c>
      <c r="J965" s="7" t="s">
        <v>53</v>
      </c>
      <c r="K965" s="7" t="s">
        <v>628</v>
      </c>
      <c r="L965" s="7" t="s">
        <v>55</v>
      </c>
      <c r="M965" s="7">
        <v>4.0930999999999997</v>
      </c>
      <c r="N965" s="7">
        <v>9.6288</v>
      </c>
      <c r="O965" s="7" t="s">
        <v>23</v>
      </c>
    </row>
    <row r="966" spans="1:15" x14ac:dyDescent="0.25">
      <c r="A966" s="2">
        <f t="shared" si="15"/>
        <v>964</v>
      </c>
      <c r="B966" s="7" t="s">
        <v>6984</v>
      </c>
      <c r="C966" s="7" t="s">
        <v>6985</v>
      </c>
      <c r="D966" s="7" t="s">
        <v>6984</v>
      </c>
      <c r="E966" s="7" t="s">
        <v>50</v>
      </c>
      <c r="F966" s="7" t="s">
        <v>6986</v>
      </c>
      <c r="G966" s="17" t="s">
        <v>7747</v>
      </c>
      <c r="H966" s="7" t="s">
        <v>28</v>
      </c>
      <c r="I966" s="7" t="s">
        <v>52</v>
      </c>
      <c r="J966" s="7" t="s">
        <v>53</v>
      </c>
      <c r="K966" s="7" t="s">
        <v>54</v>
      </c>
      <c r="L966" s="7" t="s">
        <v>55</v>
      </c>
      <c r="M966" s="7">
        <v>4.0104360000000003</v>
      </c>
      <c r="N966" s="7">
        <v>9.8082189999999994</v>
      </c>
      <c r="O966" s="7" t="s">
        <v>23</v>
      </c>
    </row>
    <row r="967" spans="1:15" x14ac:dyDescent="0.25">
      <c r="A967" s="2">
        <f t="shared" si="15"/>
        <v>965</v>
      </c>
      <c r="B967" s="7" t="s">
        <v>6987</v>
      </c>
      <c r="C967" s="7" t="s">
        <v>6988</v>
      </c>
      <c r="D967" s="7" t="s">
        <v>6987</v>
      </c>
      <c r="E967" s="7" t="s">
        <v>50</v>
      </c>
      <c r="F967" s="7" t="s">
        <v>6989</v>
      </c>
      <c r="G967" s="17" t="s">
        <v>7747</v>
      </c>
      <c r="H967" s="7" t="s">
        <v>28</v>
      </c>
      <c r="I967" s="7" t="s">
        <v>1478</v>
      </c>
      <c r="J967" s="7" t="s">
        <v>53</v>
      </c>
      <c r="K967" s="7" t="s">
        <v>1404</v>
      </c>
      <c r="L967" s="7" t="s">
        <v>55</v>
      </c>
      <c r="M967" s="7">
        <v>4.0726380000000004</v>
      </c>
      <c r="N967" s="7">
        <v>9.7485379999999999</v>
      </c>
      <c r="O967" s="7" t="s">
        <v>613</v>
      </c>
    </row>
    <row r="968" spans="1:15" x14ac:dyDescent="0.25">
      <c r="A968" s="2">
        <f t="shared" si="15"/>
        <v>966</v>
      </c>
      <c r="B968" s="7" t="s">
        <v>6990</v>
      </c>
      <c r="C968" s="7" t="s">
        <v>6991</v>
      </c>
      <c r="D968" s="7" t="s">
        <v>6990</v>
      </c>
      <c r="E968" s="7" t="s">
        <v>50</v>
      </c>
      <c r="F968" s="7" t="s">
        <v>6992</v>
      </c>
      <c r="G968" s="17" t="s">
        <v>7747</v>
      </c>
      <c r="H968" s="7" t="s">
        <v>28</v>
      </c>
      <c r="I968" s="7" t="s">
        <v>960</v>
      </c>
      <c r="J968" s="7" t="s">
        <v>53</v>
      </c>
      <c r="K968" s="7" t="s">
        <v>628</v>
      </c>
      <c r="L968" s="7" t="s">
        <v>55</v>
      </c>
      <c r="M968" s="7">
        <v>4.1082890000000001</v>
      </c>
      <c r="N968" s="7">
        <v>9.6275580000000005</v>
      </c>
      <c r="O968" s="7" t="s">
        <v>613</v>
      </c>
    </row>
    <row r="969" spans="1:15" x14ac:dyDescent="0.25">
      <c r="A969" s="2">
        <f t="shared" si="15"/>
        <v>967</v>
      </c>
      <c r="B969" s="7" t="s">
        <v>6993</v>
      </c>
      <c r="C969" s="7" t="s">
        <v>6994</v>
      </c>
      <c r="D969" s="7" t="s">
        <v>6993</v>
      </c>
      <c r="E969" s="7" t="s">
        <v>50</v>
      </c>
      <c r="F969" s="7" t="s">
        <v>6995</v>
      </c>
      <c r="G969" s="17" t="s">
        <v>7747</v>
      </c>
      <c r="H969" s="7" t="s">
        <v>28</v>
      </c>
      <c r="I969" s="7" t="s">
        <v>52</v>
      </c>
      <c r="J969" s="7" t="s">
        <v>53</v>
      </c>
      <c r="K969" s="7" t="s">
        <v>54</v>
      </c>
      <c r="L969" s="7" t="s">
        <v>55</v>
      </c>
      <c r="M969" s="7">
        <v>3.9911699999999999</v>
      </c>
      <c r="N969" s="7">
        <v>9.7952279999999998</v>
      </c>
      <c r="O969" s="7" t="s">
        <v>613</v>
      </c>
    </row>
    <row r="970" spans="1:15" x14ac:dyDescent="0.25">
      <c r="A970" s="2">
        <f t="shared" si="15"/>
        <v>968</v>
      </c>
      <c r="B970" s="7" t="s">
        <v>6996</v>
      </c>
      <c r="C970" s="7" t="s">
        <v>6997</v>
      </c>
      <c r="D970" s="7" t="s">
        <v>6996</v>
      </c>
      <c r="E970" s="7" t="s">
        <v>50</v>
      </c>
      <c r="F970" s="7" t="s">
        <v>6998</v>
      </c>
      <c r="G970" s="17" t="s">
        <v>7747</v>
      </c>
      <c r="H970" s="7" t="s">
        <v>28</v>
      </c>
      <c r="I970" s="7" t="s">
        <v>611</v>
      </c>
      <c r="J970" s="7" t="s">
        <v>53</v>
      </c>
      <c r="K970" s="7" t="s">
        <v>54</v>
      </c>
      <c r="L970" s="7" t="s">
        <v>55</v>
      </c>
      <c r="M970" s="7">
        <v>4.1068600000000002</v>
      </c>
      <c r="N970" s="7">
        <v>9.7528509999999997</v>
      </c>
      <c r="O970" s="7" t="s">
        <v>613</v>
      </c>
    </row>
    <row r="971" spans="1:15" x14ac:dyDescent="0.25">
      <c r="A971" s="2">
        <f t="shared" si="15"/>
        <v>969</v>
      </c>
      <c r="B971" s="7" t="s">
        <v>6999</v>
      </c>
      <c r="C971" s="7" t="s">
        <v>7000</v>
      </c>
      <c r="D971" s="7" t="s">
        <v>6999</v>
      </c>
      <c r="E971" s="7" t="s">
        <v>50</v>
      </c>
      <c r="F971" s="7" t="s">
        <v>7001</v>
      </c>
      <c r="G971" s="17" t="s">
        <v>7747</v>
      </c>
      <c r="H971" s="7" t="s">
        <v>28</v>
      </c>
      <c r="I971" s="7" t="s">
        <v>960</v>
      </c>
      <c r="J971" s="7" t="s">
        <v>53</v>
      </c>
      <c r="K971" s="7" t="s">
        <v>628</v>
      </c>
      <c r="L971" s="7" t="s">
        <v>55</v>
      </c>
      <c r="M971" s="7">
        <v>4.1082700000000001</v>
      </c>
      <c r="N971" s="7">
        <v>9.6088679999999993</v>
      </c>
      <c r="O971" s="7" t="s">
        <v>613</v>
      </c>
    </row>
    <row r="972" spans="1:15" x14ac:dyDescent="0.25">
      <c r="A972" s="2">
        <f t="shared" si="15"/>
        <v>970</v>
      </c>
      <c r="B972" s="7" t="s">
        <v>7002</v>
      </c>
      <c r="C972" s="7" t="s">
        <v>7003</v>
      </c>
      <c r="D972" s="7" t="s">
        <v>7002</v>
      </c>
      <c r="E972" s="7" t="s">
        <v>50</v>
      </c>
      <c r="F972" s="7" t="s">
        <v>7004</v>
      </c>
      <c r="G972" s="17" t="s">
        <v>7747</v>
      </c>
      <c r="H972" s="7" t="s">
        <v>28</v>
      </c>
      <c r="I972" s="7" t="s">
        <v>1329</v>
      </c>
      <c r="J972" s="7" t="s">
        <v>53</v>
      </c>
      <c r="K972" s="7" t="s">
        <v>612</v>
      </c>
      <c r="L972" s="7" t="s">
        <v>55</v>
      </c>
      <c r="M972" s="7">
        <v>4.0638370000000004</v>
      </c>
      <c r="N972" s="7">
        <v>9.7354470000000006</v>
      </c>
      <c r="O972" s="7" t="s">
        <v>613</v>
      </c>
    </row>
    <row r="973" spans="1:15" x14ac:dyDescent="0.25">
      <c r="A973" s="2">
        <f t="shared" si="15"/>
        <v>971</v>
      </c>
      <c r="B973" s="7" t="s">
        <v>7009</v>
      </c>
      <c r="C973" s="7" t="s">
        <v>7010</v>
      </c>
      <c r="D973" s="7" t="s">
        <v>7009</v>
      </c>
      <c r="E973" s="7" t="s">
        <v>50</v>
      </c>
      <c r="F973" s="7" t="s">
        <v>7011</v>
      </c>
      <c r="G973" s="17" t="s">
        <v>7747</v>
      </c>
      <c r="H973" s="7" t="s">
        <v>28</v>
      </c>
      <c r="I973" s="7" t="s">
        <v>627</v>
      </c>
      <c r="J973" s="7" t="s">
        <v>53</v>
      </c>
      <c r="K973" s="7" t="s">
        <v>628</v>
      </c>
      <c r="L973" s="7" t="s">
        <v>55</v>
      </c>
      <c r="M973" s="7">
        <v>4.0857999999999999</v>
      </c>
      <c r="N973" s="7">
        <v>9.6753</v>
      </c>
      <c r="O973" s="7" t="s">
        <v>613</v>
      </c>
    </row>
    <row r="974" spans="1:15" x14ac:dyDescent="0.25">
      <c r="A974" s="2">
        <f t="shared" si="15"/>
        <v>972</v>
      </c>
      <c r="B974" s="7" t="s">
        <v>7025</v>
      </c>
      <c r="C974" s="7" t="s">
        <v>7026</v>
      </c>
      <c r="D974" s="7" t="s">
        <v>7025</v>
      </c>
      <c r="E974" s="7" t="s">
        <v>50</v>
      </c>
      <c r="F974" s="7" t="s">
        <v>7027</v>
      </c>
      <c r="G974" s="17" t="s">
        <v>7747</v>
      </c>
      <c r="H974" s="7" t="s">
        <v>28</v>
      </c>
      <c r="I974" s="7" t="s">
        <v>627</v>
      </c>
      <c r="J974" s="7" t="s">
        <v>53</v>
      </c>
      <c r="K974" s="7" t="s">
        <v>628</v>
      </c>
      <c r="L974" s="7" t="s">
        <v>55</v>
      </c>
      <c r="M974" s="7">
        <v>4.0909979999999999</v>
      </c>
      <c r="N974" s="7">
        <v>9.6568229999999993</v>
      </c>
      <c r="O974" s="7" t="s">
        <v>613</v>
      </c>
    </row>
    <row r="975" spans="1:15" x14ac:dyDescent="0.25">
      <c r="A975" s="2">
        <f t="shared" si="15"/>
        <v>973</v>
      </c>
      <c r="B975" s="7" t="s">
        <v>7031</v>
      </c>
      <c r="C975" s="7" t="s">
        <v>7032</v>
      </c>
      <c r="D975" s="7" t="s">
        <v>7031</v>
      </c>
      <c r="E975" s="7" t="s">
        <v>50</v>
      </c>
      <c r="F975" s="7" t="s">
        <v>7033</v>
      </c>
      <c r="G975" s="17" t="s">
        <v>7747</v>
      </c>
      <c r="H975" s="7" t="s">
        <v>28</v>
      </c>
      <c r="I975" s="7" t="s">
        <v>2024</v>
      </c>
      <c r="J975" s="7" t="s">
        <v>53</v>
      </c>
      <c r="K975" s="7" t="s">
        <v>2213</v>
      </c>
      <c r="L975" s="7" t="s">
        <v>55</v>
      </c>
      <c r="M975" s="7">
        <v>4.036778</v>
      </c>
      <c r="N975" s="7">
        <v>9.7058890000000009</v>
      </c>
      <c r="O975" s="7" t="s">
        <v>23</v>
      </c>
    </row>
    <row r="976" spans="1:15" x14ac:dyDescent="0.25">
      <c r="A976" s="2">
        <f t="shared" si="15"/>
        <v>974</v>
      </c>
      <c r="B976" s="7" t="s">
        <v>7057</v>
      </c>
      <c r="C976" s="7" t="s">
        <v>7058</v>
      </c>
      <c r="D976" s="7" t="s">
        <v>7057</v>
      </c>
      <c r="E976" s="7" t="s">
        <v>50</v>
      </c>
      <c r="F976" s="7" t="s">
        <v>7059</v>
      </c>
      <c r="G976" s="17" t="s">
        <v>7747</v>
      </c>
      <c r="H976" s="7" t="s">
        <v>28</v>
      </c>
      <c r="I976" s="7" t="s">
        <v>52</v>
      </c>
      <c r="J976" s="7" t="s">
        <v>53</v>
      </c>
      <c r="K976" s="7" t="s">
        <v>54</v>
      </c>
      <c r="L976" s="7" t="s">
        <v>55</v>
      </c>
      <c r="M976" s="7">
        <v>3.9845000000000002</v>
      </c>
      <c r="N976" s="7">
        <v>9.8217999999999996</v>
      </c>
      <c r="O976" s="7" t="s">
        <v>23</v>
      </c>
    </row>
    <row r="977" spans="1:15" x14ac:dyDescent="0.25">
      <c r="A977" s="2">
        <f t="shared" si="15"/>
        <v>975</v>
      </c>
      <c r="B977" s="7" t="s">
        <v>7065</v>
      </c>
      <c r="C977" s="7" t="s">
        <v>7066</v>
      </c>
      <c r="D977" s="7" t="s">
        <v>7065</v>
      </c>
      <c r="E977" s="7" t="s">
        <v>50</v>
      </c>
      <c r="F977" s="7" t="s">
        <v>7067</v>
      </c>
      <c r="G977" s="17" t="s">
        <v>7747</v>
      </c>
      <c r="H977" s="7" t="s">
        <v>28</v>
      </c>
      <c r="I977" s="7" t="s">
        <v>52</v>
      </c>
      <c r="J977" s="7" t="s">
        <v>53</v>
      </c>
      <c r="K977" s="7" t="s">
        <v>54</v>
      </c>
      <c r="L977" s="7" t="s">
        <v>55</v>
      </c>
      <c r="M977" s="7">
        <v>4.0225</v>
      </c>
      <c r="N977" s="7">
        <v>9.8127999999999993</v>
      </c>
      <c r="O977" s="7" t="s">
        <v>23</v>
      </c>
    </row>
    <row r="978" spans="1:15" x14ac:dyDescent="0.25">
      <c r="A978" s="2">
        <f t="shared" si="15"/>
        <v>976</v>
      </c>
      <c r="B978" s="7" t="s">
        <v>7071</v>
      </c>
      <c r="C978" s="7" t="s">
        <v>7072</v>
      </c>
      <c r="D978" s="7" t="s">
        <v>7071</v>
      </c>
      <c r="E978" s="7" t="s">
        <v>34</v>
      </c>
      <c r="F978" s="7" t="s">
        <v>7073</v>
      </c>
      <c r="G978" s="17" t="s">
        <v>7747</v>
      </c>
      <c r="H978" s="7" t="s">
        <v>28</v>
      </c>
      <c r="I978" s="7" t="s">
        <v>356</v>
      </c>
      <c r="J978" s="7" t="s">
        <v>53</v>
      </c>
      <c r="K978" s="7" t="s">
        <v>1721</v>
      </c>
      <c r="L978" s="7" t="s">
        <v>55</v>
      </c>
      <c r="M978" s="7">
        <v>4.1519899999999996</v>
      </c>
      <c r="N978" s="7">
        <v>9.5601590000000005</v>
      </c>
      <c r="O978" s="7" t="s">
        <v>23</v>
      </c>
    </row>
    <row r="979" spans="1:15" x14ac:dyDescent="0.25">
      <c r="A979" s="2">
        <f t="shared" si="15"/>
        <v>977</v>
      </c>
      <c r="B979" s="7" t="s">
        <v>7074</v>
      </c>
      <c r="C979" s="7" t="s">
        <v>7075</v>
      </c>
      <c r="D979" s="7" t="s">
        <v>7074</v>
      </c>
      <c r="E979" s="7" t="s">
        <v>34</v>
      </c>
      <c r="F979" s="7" t="s">
        <v>7076</v>
      </c>
      <c r="G979" s="17" t="s">
        <v>7747</v>
      </c>
      <c r="H979" s="7" t="s">
        <v>28</v>
      </c>
      <c r="I979" s="7" t="s">
        <v>356</v>
      </c>
      <c r="J979" s="7" t="s">
        <v>53</v>
      </c>
      <c r="K979" s="7" t="s">
        <v>628</v>
      </c>
      <c r="L979" s="7" t="s">
        <v>55</v>
      </c>
      <c r="M979" s="7">
        <v>4.1465560000000004</v>
      </c>
      <c r="N979" s="7">
        <v>9.5904100000000003</v>
      </c>
      <c r="O979" s="7" t="s">
        <v>23</v>
      </c>
    </row>
    <row r="980" spans="1:15" x14ac:dyDescent="0.25">
      <c r="A980" s="2">
        <f t="shared" si="15"/>
        <v>978</v>
      </c>
      <c r="B980" s="7" t="s">
        <v>7097</v>
      </c>
      <c r="C980" s="7" t="s">
        <v>7098</v>
      </c>
      <c r="D980" s="7" t="s">
        <v>7097</v>
      </c>
      <c r="E980" s="7" t="s">
        <v>50</v>
      </c>
      <c r="F980" s="7" t="s">
        <v>7099</v>
      </c>
      <c r="G980" s="17" t="s">
        <v>7747</v>
      </c>
      <c r="H980" s="7" t="s">
        <v>28</v>
      </c>
      <c r="I980" s="7" t="s">
        <v>1575</v>
      </c>
      <c r="J980" s="7" t="s">
        <v>53</v>
      </c>
      <c r="K980" s="7" t="s">
        <v>54</v>
      </c>
      <c r="L980" s="7" t="s">
        <v>55</v>
      </c>
      <c r="M980" s="7">
        <v>3.9951028000000002</v>
      </c>
      <c r="N980" s="7">
        <v>9.7481667000000005</v>
      </c>
      <c r="O980" s="7" t="s">
        <v>613</v>
      </c>
    </row>
    <row r="981" spans="1:15" x14ac:dyDescent="0.25">
      <c r="A981" s="2">
        <f t="shared" si="15"/>
        <v>979</v>
      </c>
      <c r="B981" s="7" t="s">
        <v>7142</v>
      </c>
      <c r="C981" s="7" t="s">
        <v>7143</v>
      </c>
      <c r="D981" s="7" t="s">
        <v>7142</v>
      </c>
      <c r="E981" s="7" t="s">
        <v>50</v>
      </c>
      <c r="F981" s="7" t="s">
        <v>7144</v>
      </c>
      <c r="G981" s="17" t="s">
        <v>7747</v>
      </c>
      <c r="H981" s="7" t="s">
        <v>28</v>
      </c>
      <c r="I981" s="7" t="s">
        <v>1958</v>
      </c>
      <c r="J981" s="7" t="s">
        <v>53</v>
      </c>
      <c r="K981" s="7" t="s">
        <v>612</v>
      </c>
      <c r="L981" s="7" t="s">
        <v>55</v>
      </c>
      <c r="M981" s="7">
        <v>4.0574640000000004</v>
      </c>
      <c r="N981" s="7">
        <v>9.7213429999999992</v>
      </c>
      <c r="O981" s="7" t="s">
        <v>613</v>
      </c>
    </row>
    <row r="982" spans="1:15" x14ac:dyDescent="0.25">
      <c r="A982" s="2">
        <f t="shared" si="15"/>
        <v>980</v>
      </c>
      <c r="B982" s="7" t="s">
        <v>7148</v>
      </c>
      <c r="C982" s="7" t="s">
        <v>7149</v>
      </c>
      <c r="D982" s="7" t="s">
        <v>7148</v>
      </c>
      <c r="E982" s="7" t="s">
        <v>50</v>
      </c>
      <c r="F982" s="7" t="s">
        <v>7150</v>
      </c>
      <c r="G982" s="17" t="s">
        <v>7747</v>
      </c>
      <c r="H982" s="7" t="s">
        <v>28</v>
      </c>
      <c r="I982" s="7" t="s">
        <v>1478</v>
      </c>
      <c r="J982" s="7" t="s">
        <v>53</v>
      </c>
      <c r="K982" s="7" t="s">
        <v>612</v>
      </c>
      <c r="L982" s="7" t="s">
        <v>55</v>
      </c>
      <c r="M982" s="7">
        <v>4.0981899999999998</v>
      </c>
      <c r="N982" s="7">
        <v>9.7387200000000007</v>
      </c>
      <c r="O982" s="7" t="s">
        <v>613</v>
      </c>
    </row>
    <row r="983" spans="1:15" x14ac:dyDescent="0.25">
      <c r="A983" s="2">
        <f t="shared" si="15"/>
        <v>981</v>
      </c>
      <c r="B983" s="7" t="s">
        <v>7151</v>
      </c>
      <c r="C983" s="7" t="s">
        <v>7152</v>
      </c>
      <c r="D983" s="7" t="s">
        <v>7151</v>
      </c>
      <c r="E983" s="7" t="s">
        <v>50</v>
      </c>
      <c r="F983" s="7" t="s">
        <v>7153</v>
      </c>
      <c r="G983" s="17" t="s">
        <v>7747</v>
      </c>
      <c r="H983" s="7" t="s">
        <v>28</v>
      </c>
      <c r="I983" s="7" t="s">
        <v>52</v>
      </c>
      <c r="J983" s="7" t="s">
        <v>53</v>
      </c>
      <c r="K983" s="7" t="s">
        <v>2213</v>
      </c>
      <c r="L983" s="7" t="s">
        <v>55</v>
      </c>
      <c r="M983" s="7">
        <v>3.9839180000000001</v>
      </c>
      <c r="N983" s="7">
        <v>9.7876469999999998</v>
      </c>
      <c r="O983" s="7" t="s">
        <v>23</v>
      </c>
    </row>
    <row r="984" spans="1:15" x14ac:dyDescent="0.25">
      <c r="A984" s="2">
        <f t="shared" si="15"/>
        <v>982</v>
      </c>
      <c r="B984" s="7" t="s">
        <v>7158</v>
      </c>
      <c r="C984" s="7" t="s">
        <v>7159</v>
      </c>
      <c r="D984" s="7" t="s">
        <v>7158</v>
      </c>
      <c r="E984" s="7" t="s">
        <v>50</v>
      </c>
      <c r="F984" s="7" t="s">
        <v>7160</v>
      </c>
      <c r="G984" s="17" t="s">
        <v>7747</v>
      </c>
      <c r="H984" s="7" t="s">
        <v>28</v>
      </c>
      <c r="I984" s="7" t="s">
        <v>1958</v>
      </c>
      <c r="J984" s="7" t="s">
        <v>53</v>
      </c>
      <c r="K984" s="7" t="s">
        <v>1404</v>
      </c>
      <c r="L984" s="7" t="s">
        <v>55</v>
      </c>
      <c r="M984" s="7">
        <v>4.0444440000000004</v>
      </c>
      <c r="N984" s="7">
        <v>9.7004640000000002</v>
      </c>
      <c r="O984" s="7" t="s">
        <v>613</v>
      </c>
    </row>
    <row r="985" spans="1:15" x14ac:dyDescent="0.25">
      <c r="A985" s="2">
        <f t="shared" si="15"/>
        <v>983</v>
      </c>
      <c r="B985" s="7" t="s">
        <v>7192</v>
      </c>
      <c r="C985" s="7" t="s">
        <v>7193</v>
      </c>
      <c r="D985" s="7" t="s">
        <v>7192</v>
      </c>
      <c r="E985" s="7" t="s">
        <v>50</v>
      </c>
      <c r="F985" s="7" t="s">
        <v>7194</v>
      </c>
      <c r="G985" s="17" t="s">
        <v>7747</v>
      </c>
      <c r="H985" s="7" t="s">
        <v>28</v>
      </c>
      <c r="I985" s="7" t="s">
        <v>627</v>
      </c>
      <c r="J985" s="7" t="s">
        <v>53</v>
      </c>
      <c r="K985" s="7" t="s">
        <v>628</v>
      </c>
      <c r="L985" s="7" t="s">
        <v>55</v>
      </c>
      <c r="M985" s="7">
        <v>4.100606</v>
      </c>
      <c r="N985" s="7">
        <v>9.6463079999999994</v>
      </c>
      <c r="O985" s="7" t="s">
        <v>23</v>
      </c>
    </row>
    <row r="986" spans="1:15" x14ac:dyDescent="0.25">
      <c r="A986" s="2">
        <f t="shared" si="15"/>
        <v>984</v>
      </c>
      <c r="B986" s="7" t="s">
        <v>7273</v>
      </c>
      <c r="C986" s="7" t="s">
        <v>7274</v>
      </c>
      <c r="D986" s="7" t="s">
        <v>7273</v>
      </c>
      <c r="E986" s="7" t="s">
        <v>34</v>
      </c>
      <c r="F986" s="7" t="s">
        <v>2870</v>
      </c>
      <c r="G986" s="17" t="s">
        <v>7747</v>
      </c>
      <c r="H986" s="7" t="s">
        <v>28</v>
      </c>
      <c r="I986" s="7" t="s">
        <v>356</v>
      </c>
      <c r="J986" s="7" t="s">
        <v>152</v>
      </c>
      <c r="K986" s="7" t="s">
        <v>4661</v>
      </c>
      <c r="L986" s="7" t="s">
        <v>55</v>
      </c>
      <c r="M986" s="7">
        <v>4.199605</v>
      </c>
      <c r="N986" s="7">
        <v>9.6048749999999998</v>
      </c>
      <c r="O986" s="7" t="s">
        <v>23</v>
      </c>
    </row>
    <row r="987" spans="1:15" x14ac:dyDescent="0.25">
      <c r="A987" s="2">
        <f t="shared" si="15"/>
        <v>985</v>
      </c>
      <c r="B987" s="7" t="s">
        <v>7371</v>
      </c>
      <c r="C987" s="7" t="s">
        <v>7372</v>
      </c>
      <c r="D987" s="7" t="s">
        <v>7371</v>
      </c>
      <c r="E987" s="7" t="s">
        <v>50</v>
      </c>
      <c r="F987" s="7" t="s">
        <v>7373</v>
      </c>
      <c r="G987" s="17" t="s">
        <v>7747</v>
      </c>
      <c r="H987" s="7" t="s">
        <v>28</v>
      </c>
      <c r="I987" s="7" t="s">
        <v>960</v>
      </c>
      <c r="J987" s="7" t="s">
        <v>53</v>
      </c>
      <c r="K987" s="7" t="s">
        <v>628</v>
      </c>
      <c r="L987" s="7" t="s">
        <v>55</v>
      </c>
      <c r="M987" s="7">
        <v>4.1094390000000001</v>
      </c>
      <c r="N987" s="7">
        <v>9.6563829999999999</v>
      </c>
      <c r="O987" s="7" t="s">
        <v>613</v>
      </c>
    </row>
    <row r="988" spans="1:15" x14ac:dyDescent="0.25">
      <c r="A988" s="2">
        <f t="shared" si="15"/>
        <v>986</v>
      </c>
      <c r="B988" s="7" t="s">
        <v>7378</v>
      </c>
      <c r="C988" s="7" t="s">
        <v>7379</v>
      </c>
      <c r="D988" s="7" t="s">
        <v>7378</v>
      </c>
      <c r="E988" s="7" t="s">
        <v>50</v>
      </c>
      <c r="F988" s="7" t="s">
        <v>7380</v>
      </c>
      <c r="G988" s="17" t="s">
        <v>7747</v>
      </c>
      <c r="H988" s="7" t="s">
        <v>28</v>
      </c>
      <c r="I988" s="7" t="s">
        <v>611</v>
      </c>
      <c r="J988" s="7" t="s">
        <v>53</v>
      </c>
      <c r="K988" s="7" t="s">
        <v>612</v>
      </c>
      <c r="L988" s="7" t="s">
        <v>55</v>
      </c>
      <c r="M988" s="7">
        <v>4.0767110000000004</v>
      </c>
      <c r="N988" s="7">
        <v>9.7671100000000006</v>
      </c>
      <c r="O988" s="7" t="s">
        <v>613</v>
      </c>
    </row>
    <row r="989" spans="1:15" x14ac:dyDescent="0.25">
      <c r="A989" s="2">
        <f t="shared" si="15"/>
        <v>987</v>
      </c>
      <c r="B989" s="7" t="s">
        <v>7386</v>
      </c>
      <c r="C989" s="7" t="s">
        <v>7387</v>
      </c>
      <c r="D989" s="7" t="s">
        <v>7386</v>
      </c>
      <c r="E989" s="7" t="s">
        <v>50</v>
      </c>
      <c r="F989" s="7" t="s">
        <v>7388</v>
      </c>
      <c r="G989" s="17" t="s">
        <v>7747</v>
      </c>
      <c r="H989" s="7" t="s">
        <v>28</v>
      </c>
      <c r="I989" s="7" t="s">
        <v>1478</v>
      </c>
      <c r="J989" s="7" t="s">
        <v>53</v>
      </c>
      <c r="K989" s="7" t="s">
        <v>612</v>
      </c>
      <c r="L989" s="7" t="s">
        <v>55</v>
      </c>
      <c r="M989" s="7">
        <v>4.0973269999999999</v>
      </c>
      <c r="N989" s="7">
        <v>9.7335098999999996</v>
      </c>
      <c r="O989" s="7" t="s">
        <v>613</v>
      </c>
    </row>
    <row r="990" spans="1:15" x14ac:dyDescent="0.25">
      <c r="A990" s="2">
        <f t="shared" si="15"/>
        <v>988</v>
      </c>
      <c r="B990" s="7" t="s">
        <v>7393</v>
      </c>
      <c r="C990" s="7" t="s">
        <v>7394</v>
      </c>
      <c r="D990" s="7" t="s">
        <v>7393</v>
      </c>
      <c r="E990" s="7" t="s">
        <v>50</v>
      </c>
      <c r="F990" s="7" t="s">
        <v>7395</v>
      </c>
      <c r="G990" s="17" t="s">
        <v>7747</v>
      </c>
      <c r="H990" s="7" t="s">
        <v>28</v>
      </c>
      <c r="I990" s="7" t="s">
        <v>52</v>
      </c>
      <c r="J990" s="7" t="s">
        <v>53</v>
      </c>
      <c r="K990" s="7" t="s">
        <v>54</v>
      </c>
      <c r="L990" s="7" t="s">
        <v>55</v>
      </c>
      <c r="M990" s="7">
        <v>4.0130600000000003</v>
      </c>
      <c r="N990" s="7">
        <v>9.7976700000000001</v>
      </c>
      <c r="O990" s="7" t="s">
        <v>23</v>
      </c>
    </row>
    <row r="991" spans="1:15" x14ac:dyDescent="0.25">
      <c r="A991" s="2">
        <f t="shared" si="15"/>
        <v>989</v>
      </c>
      <c r="B991" s="7" t="s">
        <v>7396</v>
      </c>
      <c r="C991" s="7" t="s">
        <v>7397</v>
      </c>
      <c r="D991" s="7" t="s">
        <v>7396</v>
      </c>
      <c r="E991" s="7" t="s">
        <v>50</v>
      </c>
      <c r="F991" s="7" t="s">
        <v>7398</v>
      </c>
      <c r="G991" s="17" t="s">
        <v>7747</v>
      </c>
      <c r="H991" s="7" t="s">
        <v>28</v>
      </c>
      <c r="I991" s="7" t="s">
        <v>1403</v>
      </c>
      <c r="J991" s="7" t="s">
        <v>53</v>
      </c>
      <c r="K991" s="7" t="s">
        <v>1404</v>
      </c>
      <c r="L991" s="7" t="s">
        <v>55</v>
      </c>
      <c r="M991" s="7">
        <v>3.9952749999999999</v>
      </c>
      <c r="N991" s="7">
        <v>9.7271289999999997</v>
      </c>
      <c r="O991" s="7" t="s">
        <v>613</v>
      </c>
    </row>
    <row r="992" spans="1:15" x14ac:dyDescent="0.25">
      <c r="A992" s="2">
        <f t="shared" si="15"/>
        <v>990</v>
      </c>
      <c r="B992" s="10" t="s">
        <v>7399</v>
      </c>
      <c r="C992" s="7" t="s">
        <v>7400</v>
      </c>
      <c r="D992" s="10" t="s">
        <v>7399</v>
      </c>
      <c r="E992" s="7" t="s">
        <v>50</v>
      </c>
      <c r="F992" s="7" t="s">
        <v>7401</v>
      </c>
      <c r="G992" s="17" t="s">
        <v>7747</v>
      </c>
      <c r="H992" s="7" t="s">
        <v>28</v>
      </c>
      <c r="I992" s="7" t="s">
        <v>52</v>
      </c>
      <c r="J992" s="7" t="s">
        <v>53</v>
      </c>
      <c r="K992" s="7" t="s">
        <v>54</v>
      </c>
      <c r="L992" s="7" t="s">
        <v>55</v>
      </c>
      <c r="M992" s="7">
        <v>3.9783833</v>
      </c>
      <c r="N992" s="7">
        <v>9.7981999999999996</v>
      </c>
      <c r="O992" s="7" t="s">
        <v>23</v>
      </c>
    </row>
    <row r="993" spans="1:15" x14ac:dyDescent="0.25">
      <c r="A993" s="2">
        <f t="shared" si="15"/>
        <v>991</v>
      </c>
      <c r="B993" s="7" t="s">
        <v>7405</v>
      </c>
      <c r="C993" s="7" t="s">
        <v>7406</v>
      </c>
      <c r="D993" s="7" t="s">
        <v>7405</v>
      </c>
      <c r="E993" s="7" t="s">
        <v>50</v>
      </c>
      <c r="F993" s="7" t="s">
        <v>7407</v>
      </c>
      <c r="G993" s="17" t="s">
        <v>7747</v>
      </c>
      <c r="H993" s="7" t="s">
        <v>28</v>
      </c>
      <c r="I993" s="7" t="s">
        <v>1516</v>
      </c>
      <c r="J993" s="7" t="s">
        <v>53</v>
      </c>
      <c r="K993" s="7" t="s">
        <v>7408</v>
      </c>
      <c r="L993" s="7" t="s">
        <v>55</v>
      </c>
      <c r="M993" s="7">
        <v>4.0683999999999996</v>
      </c>
      <c r="N993" s="7">
        <v>9.8115000000000006</v>
      </c>
      <c r="O993" s="7" t="s">
        <v>23</v>
      </c>
    </row>
    <row r="994" spans="1:15" x14ac:dyDescent="0.25">
      <c r="A994" s="2">
        <f t="shared" si="15"/>
        <v>992</v>
      </c>
      <c r="B994" s="7" t="s">
        <v>7415</v>
      </c>
      <c r="C994" s="7" t="s">
        <v>7416</v>
      </c>
      <c r="D994" s="7" t="s">
        <v>7415</v>
      </c>
      <c r="E994" s="7" t="s">
        <v>50</v>
      </c>
      <c r="F994" s="7" t="s">
        <v>7417</v>
      </c>
      <c r="G994" s="17" t="s">
        <v>7747</v>
      </c>
      <c r="H994" s="7" t="s">
        <v>28</v>
      </c>
      <c r="I994" s="7" t="s">
        <v>627</v>
      </c>
      <c r="J994" s="7" t="s">
        <v>53</v>
      </c>
      <c r="K994" s="7" t="s">
        <v>628</v>
      </c>
      <c r="L994" s="7" t="s">
        <v>55</v>
      </c>
      <c r="M994" s="7">
        <v>4.0908620000000004</v>
      </c>
      <c r="N994" s="7">
        <v>9.6767000000000003</v>
      </c>
      <c r="O994" s="7" t="s">
        <v>613</v>
      </c>
    </row>
    <row r="995" spans="1:15" x14ac:dyDescent="0.25">
      <c r="A995" s="2">
        <f t="shared" si="15"/>
        <v>993</v>
      </c>
      <c r="B995" s="7" t="s">
        <v>7418</v>
      </c>
      <c r="C995" s="7" t="s">
        <v>7419</v>
      </c>
      <c r="D995" s="7" t="s">
        <v>7418</v>
      </c>
      <c r="E995" s="7" t="s">
        <v>50</v>
      </c>
      <c r="F995" s="7" t="s">
        <v>7420</v>
      </c>
      <c r="G995" s="17" t="s">
        <v>7747</v>
      </c>
      <c r="H995" s="7" t="s">
        <v>28</v>
      </c>
      <c r="I995" s="7" t="s">
        <v>52</v>
      </c>
      <c r="J995" s="7" t="s">
        <v>53</v>
      </c>
      <c r="K995" s="7" t="s">
        <v>54</v>
      </c>
      <c r="L995" s="7" t="s">
        <v>55</v>
      </c>
      <c r="M995" s="7">
        <v>4.0405389999999999</v>
      </c>
      <c r="N995" s="7">
        <v>9.8030849999999994</v>
      </c>
      <c r="O995" s="7" t="s">
        <v>23</v>
      </c>
    </row>
    <row r="996" spans="1:15" x14ac:dyDescent="0.25">
      <c r="A996" s="2">
        <f t="shared" si="15"/>
        <v>994</v>
      </c>
      <c r="B996" s="7" t="s">
        <v>7590</v>
      </c>
      <c r="C996" s="7" t="s">
        <v>7591</v>
      </c>
      <c r="D996" s="7" t="s">
        <v>7590</v>
      </c>
      <c r="E996" s="7" t="s">
        <v>50</v>
      </c>
      <c r="F996" s="7" t="s">
        <v>7592</v>
      </c>
      <c r="G996" s="17" t="s">
        <v>7747</v>
      </c>
      <c r="H996" s="7" t="s">
        <v>28</v>
      </c>
      <c r="I996" s="7" t="s">
        <v>1516</v>
      </c>
      <c r="J996" s="7" t="s">
        <v>53</v>
      </c>
      <c r="K996" s="7" t="s">
        <v>54</v>
      </c>
      <c r="L996" s="7" t="s">
        <v>55</v>
      </c>
      <c r="M996" s="7">
        <v>4.0868019999999996</v>
      </c>
      <c r="N996" s="7">
        <v>9.7746929999999992</v>
      </c>
      <c r="O996" s="7" t="s">
        <v>613</v>
      </c>
    </row>
    <row r="997" spans="1:15" x14ac:dyDescent="0.25">
      <c r="A997" s="2">
        <f t="shared" si="15"/>
        <v>995</v>
      </c>
      <c r="B997" s="7" t="s">
        <v>7599</v>
      </c>
      <c r="C997" s="7" t="s">
        <v>7600</v>
      </c>
      <c r="D997" s="7" t="s">
        <v>7599</v>
      </c>
      <c r="E997" s="7" t="s">
        <v>34</v>
      </c>
      <c r="F997" s="7" t="s">
        <v>7601</v>
      </c>
      <c r="G997" s="17" t="s">
        <v>7747</v>
      </c>
      <c r="H997" s="7" t="s">
        <v>28</v>
      </c>
      <c r="I997" s="7" t="s">
        <v>356</v>
      </c>
      <c r="J997" s="7" t="s">
        <v>152</v>
      </c>
      <c r="K997" s="7" t="s">
        <v>153</v>
      </c>
      <c r="L997" s="7" t="s">
        <v>55</v>
      </c>
      <c r="M997" s="7">
        <v>4.2819520000000004</v>
      </c>
      <c r="N997" s="7">
        <v>9.7904099999999996</v>
      </c>
      <c r="O997" s="7" t="s">
        <v>23</v>
      </c>
    </row>
    <row r="998" spans="1:15" x14ac:dyDescent="0.25">
      <c r="A998" s="2">
        <f t="shared" si="15"/>
        <v>996</v>
      </c>
      <c r="B998" s="7" t="s">
        <v>7605</v>
      </c>
      <c r="C998" s="7" t="s">
        <v>7606</v>
      </c>
      <c r="D998" s="7" t="s">
        <v>7605</v>
      </c>
      <c r="E998" s="7" t="s">
        <v>50</v>
      </c>
      <c r="F998" s="7" t="s">
        <v>7607</v>
      </c>
      <c r="G998" s="17" t="s">
        <v>7747</v>
      </c>
      <c r="H998" s="7" t="s">
        <v>28</v>
      </c>
      <c r="I998" s="7" t="s">
        <v>611</v>
      </c>
      <c r="J998" s="7" t="s">
        <v>53</v>
      </c>
      <c r="K998" s="7" t="s">
        <v>612</v>
      </c>
      <c r="L998" s="7" t="s">
        <v>55</v>
      </c>
      <c r="M998" s="7">
        <v>4.075628</v>
      </c>
      <c r="N998" s="7">
        <v>9.7520159999999994</v>
      </c>
      <c r="O998" s="7" t="s">
        <v>613</v>
      </c>
    </row>
    <row r="999" spans="1:15" x14ac:dyDescent="0.25">
      <c r="A999" s="2">
        <f t="shared" si="15"/>
        <v>997</v>
      </c>
      <c r="B999" s="7" t="s">
        <v>7608</v>
      </c>
      <c r="C999" s="7" t="s">
        <v>7609</v>
      </c>
      <c r="D999" s="7" t="s">
        <v>7608</v>
      </c>
      <c r="E999" s="7" t="s">
        <v>50</v>
      </c>
      <c r="F999" s="7" t="s">
        <v>7610</v>
      </c>
      <c r="G999" s="17" t="s">
        <v>7747</v>
      </c>
      <c r="H999" s="7" t="s">
        <v>28</v>
      </c>
      <c r="I999" s="10" t="s">
        <v>1516</v>
      </c>
      <c r="J999" s="7" t="s">
        <v>53</v>
      </c>
      <c r="K999" s="7" t="s">
        <v>54</v>
      </c>
      <c r="L999" s="7" t="s">
        <v>55</v>
      </c>
      <c r="M999" s="7">
        <v>4.0678080000000003</v>
      </c>
      <c r="N999" s="7">
        <v>9.7987830000000002</v>
      </c>
      <c r="O999" s="7" t="s">
        <v>613</v>
      </c>
    </row>
    <row r="1000" spans="1:15" x14ac:dyDescent="0.25">
      <c r="A1000" s="2">
        <f t="shared" si="15"/>
        <v>998</v>
      </c>
      <c r="B1000" s="7" t="s">
        <v>7620</v>
      </c>
      <c r="C1000" s="7" t="s">
        <v>7621</v>
      </c>
      <c r="D1000" s="7" t="s">
        <v>7620</v>
      </c>
      <c r="E1000" s="7" t="s">
        <v>50</v>
      </c>
      <c r="F1000" s="7" t="s">
        <v>7622</v>
      </c>
      <c r="G1000" s="17" t="s">
        <v>7747</v>
      </c>
      <c r="H1000" s="7" t="s">
        <v>28</v>
      </c>
      <c r="I1000" s="10" t="s">
        <v>52</v>
      </c>
      <c r="J1000" s="7" t="s">
        <v>53</v>
      </c>
      <c r="K1000" s="7" t="s">
        <v>2213</v>
      </c>
      <c r="L1000" s="7" t="s">
        <v>55</v>
      </c>
      <c r="M1000" s="7">
        <v>3.9979140000000002</v>
      </c>
      <c r="N1000" s="7">
        <v>9.7944469999999999</v>
      </c>
      <c r="O1000" s="7" t="s">
        <v>613</v>
      </c>
    </row>
    <row r="1001" spans="1:15" x14ac:dyDescent="0.25">
      <c r="A1001" s="2">
        <f t="shared" si="15"/>
        <v>999</v>
      </c>
      <c r="B1001" s="7" t="s">
        <v>7629</v>
      </c>
      <c r="C1001" s="7" t="s">
        <v>7630</v>
      </c>
      <c r="D1001" s="7" t="s">
        <v>7629</v>
      </c>
      <c r="E1001" s="7" t="s">
        <v>50</v>
      </c>
      <c r="F1001" s="7" t="s">
        <v>7631</v>
      </c>
      <c r="G1001" s="17" t="s">
        <v>7747</v>
      </c>
      <c r="H1001" s="7" t="s">
        <v>28</v>
      </c>
      <c r="I1001" s="7" t="s">
        <v>52</v>
      </c>
      <c r="J1001" s="7" t="s">
        <v>53</v>
      </c>
      <c r="K1001" s="7" t="s">
        <v>2213</v>
      </c>
      <c r="L1001" s="7" t="s">
        <v>55</v>
      </c>
      <c r="M1001" s="7">
        <v>4.0092689999999997</v>
      </c>
      <c r="N1001" s="7">
        <v>9.8178570000000001</v>
      </c>
      <c r="O1001" s="7" t="s">
        <v>23</v>
      </c>
    </row>
    <row r="1002" spans="1:15" x14ac:dyDescent="0.25">
      <c r="A1002" s="2">
        <f t="shared" si="15"/>
        <v>1000</v>
      </c>
      <c r="B1002" s="7" t="s">
        <v>7632</v>
      </c>
      <c r="C1002" s="7" t="s">
        <v>7633</v>
      </c>
      <c r="D1002" s="7" t="s">
        <v>7632</v>
      </c>
      <c r="E1002" s="7" t="s">
        <v>50</v>
      </c>
      <c r="F1002" s="7" t="s">
        <v>7634</v>
      </c>
      <c r="G1002" s="17" t="s">
        <v>7747</v>
      </c>
      <c r="H1002" s="7" t="s">
        <v>28</v>
      </c>
      <c r="I1002" s="7" t="s">
        <v>1478</v>
      </c>
      <c r="J1002" s="7" t="s">
        <v>53</v>
      </c>
      <c r="K1002" s="7" t="s">
        <v>612</v>
      </c>
      <c r="L1002" s="7" t="s">
        <v>55</v>
      </c>
      <c r="M1002" s="7">
        <v>4.1202959999999997</v>
      </c>
      <c r="N1002" s="7">
        <v>9.7656880000000008</v>
      </c>
      <c r="O1002" s="7" t="s">
        <v>613</v>
      </c>
    </row>
    <row r="1003" spans="1:15" x14ac:dyDescent="0.25">
      <c r="A1003" s="2">
        <f t="shared" si="15"/>
        <v>1001</v>
      </c>
      <c r="B1003" s="7" t="s">
        <v>7635</v>
      </c>
      <c r="C1003" s="7" t="s">
        <v>7636</v>
      </c>
      <c r="D1003" s="7" t="s">
        <v>7635</v>
      </c>
      <c r="E1003" s="7" t="s">
        <v>50</v>
      </c>
      <c r="F1003" s="7" t="s">
        <v>7637</v>
      </c>
      <c r="G1003" s="17" t="s">
        <v>7747</v>
      </c>
      <c r="H1003" s="7" t="s">
        <v>28</v>
      </c>
      <c r="I1003" s="7" t="s">
        <v>627</v>
      </c>
      <c r="J1003" s="7" t="s">
        <v>53</v>
      </c>
      <c r="K1003" s="7" t="s">
        <v>628</v>
      </c>
      <c r="L1003" s="7" t="s">
        <v>55</v>
      </c>
      <c r="M1003" s="7">
        <v>4.1158190000000001</v>
      </c>
      <c r="N1003" s="7">
        <v>9.6786740000000009</v>
      </c>
      <c r="O1003" s="7" t="s">
        <v>23</v>
      </c>
    </row>
    <row r="1004" spans="1:15" x14ac:dyDescent="0.25">
      <c r="A1004" s="2">
        <f t="shared" si="15"/>
        <v>1002</v>
      </c>
      <c r="B1004" s="7" t="s">
        <v>7638</v>
      </c>
      <c r="C1004" s="7" t="s">
        <v>7639</v>
      </c>
      <c r="D1004" s="7" t="s">
        <v>7638</v>
      </c>
      <c r="E1004" s="7" t="s">
        <v>50</v>
      </c>
      <c r="F1004" s="7" t="s">
        <v>7640</v>
      </c>
      <c r="G1004" s="17" t="s">
        <v>7747</v>
      </c>
      <c r="H1004" s="7" t="s">
        <v>28</v>
      </c>
      <c r="I1004" s="7" t="s">
        <v>52</v>
      </c>
      <c r="J1004" s="7" t="s">
        <v>53</v>
      </c>
      <c r="K1004" s="7" t="s">
        <v>2213</v>
      </c>
      <c r="L1004" s="7" t="s">
        <v>55</v>
      </c>
      <c r="M1004" s="7">
        <v>3.985347</v>
      </c>
      <c r="N1004" s="7">
        <v>9.8337070000000004</v>
      </c>
      <c r="O1004" s="7" t="s">
        <v>23</v>
      </c>
    </row>
    <row r="1005" spans="1:15" x14ac:dyDescent="0.25">
      <c r="A1005" s="2">
        <f t="shared" si="15"/>
        <v>1003</v>
      </c>
      <c r="B1005" s="7" t="s">
        <v>7672</v>
      </c>
      <c r="C1005" s="7" t="s">
        <v>7673</v>
      </c>
      <c r="D1005" s="7" t="s">
        <v>7672</v>
      </c>
      <c r="E1005" s="7" t="s">
        <v>50</v>
      </c>
      <c r="F1005" s="7" t="s">
        <v>7674</v>
      </c>
      <c r="G1005" s="17" t="s">
        <v>7747</v>
      </c>
      <c r="H1005" s="7" t="s">
        <v>28</v>
      </c>
      <c r="I1005" s="7" t="s">
        <v>1329</v>
      </c>
      <c r="J1005" s="7" t="s">
        <v>53</v>
      </c>
      <c r="K1005" s="7" t="s">
        <v>54</v>
      </c>
      <c r="L1005" s="7" t="s">
        <v>55</v>
      </c>
      <c r="M1005" s="10">
        <v>4.0168010000000001</v>
      </c>
      <c r="N1005" s="10">
        <v>9.7825159999999993</v>
      </c>
      <c r="O1005" s="7" t="s">
        <v>23</v>
      </c>
    </row>
    <row r="1006" spans="1:15" x14ac:dyDescent="0.25">
      <c r="A1006" s="2">
        <f t="shared" si="15"/>
        <v>1004</v>
      </c>
      <c r="B1006" s="7" t="s">
        <v>7688</v>
      </c>
      <c r="C1006" s="7" t="s">
        <v>7689</v>
      </c>
      <c r="D1006" s="7" t="s">
        <v>7688</v>
      </c>
      <c r="E1006" s="7" t="s">
        <v>50</v>
      </c>
      <c r="F1006" s="11" t="s">
        <v>7690</v>
      </c>
      <c r="G1006" s="17" t="s">
        <v>7747</v>
      </c>
      <c r="H1006" s="7" t="s">
        <v>28</v>
      </c>
      <c r="I1006" s="7" t="s">
        <v>1516</v>
      </c>
      <c r="J1006" s="7" t="s">
        <v>53</v>
      </c>
      <c r="K1006" s="7" t="s">
        <v>54</v>
      </c>
      <c r="L1006" s="7" t="s">
        <v>55</v>
      </c>
      <c r="M1006" s="12">
        <v>4.0585100000000001</v>
      </c>
      <c r="N1006" s="12">
        <v>9.8008100000000002</v>
      </c>
      <c r="O1006" s="11" t="s">
        <v>613</v>
      </c>
    </row>
    <row r="1007" spans="1:15" x14ac:dyDescent="0.25">
      <c r="A1007" s="2">
        <f t="shared" si="15"/>
        <v>1005</v>
      </c>
      <c r="B1007" s="7" t="s">
        <v>7691</v>
      </c>
      <c r="C1007" s="7" t="s">
        <v>7692</v>
      </c>
      <c r="D1007" s="7" t="s">
        <v>7691</v>
      </c>
      <c r="E1007" s="7" t="s">
        <v>50</v>
      </c>
      <c r="F1007" s="11" t="s">
        <v>7693</v>
      </c>
      <c r="G1007" s="17" t="s">
        <v>7747</v>
      </c>
      <c r="H1007" s="7" t="s">
        <v>28</v>
      </c>
      <c r="I1007" s="7" t="s">
        <v>52</v>
      </c>
      <c r="J1007" s="7" t="s">
        <v>53</v>
      </c>
      <c r="K1007" s="7" t="s">
        <v>54</v>
      </c>
      <c r="L1007" s="7" t="s">
        <v>55</v>
      </c>
      <c r="M1007" s="12">
        <v>4.0038119999999999</v>
      </c>
      <c r="N1007" s="12">
        <v>9.7742520000000006</v>
      </c>
      <c r="O1007" s="7" t="s">
        <v>23</v>
      </c>
    </row>
    <row r="1008" spans="1:15" x14ac:dyDescent="0.25">
      <c r="A1008" s="2">
        <f t="shared" si="15"/>
        <v>1006</v>
      </c>
      <c r="B1008" s="7" t="s">
        <v>7710</v>
      </c>
      <c r="C1008" s="7" t="s">
        <v>7711</v>
      </c>
      <c r="D1008" s="7" t="s">
        <v>7710</v>
      </c>
      <c r="E1008" s="7" t="s">
        <v>7712</v>
      </c>
      <c r="F1008" s="11" t="s">
        <v>7713</v>
      </c>
      <c r="G1008" s="17" t="s">
        <v>7747</v>
      </c>
      <c r="H1008" s="7" t="s">
        <v>28</v>
      </c>
      <c r="I1008" s="10" t="s">
        <v>52</v>
      </c>
      <c r="J1008" s="7" t="s">
        <v>53</v>
      </c>
      <c r="K1008" s="7" t="s">
        <v>2213</v>
      </c>
      <c r="L1008" s="7" t="s">
        <v>55</v>
      </c>
      <c r="M1008" s="12">
        <v>3.9784959999999998</v>
      </c>
      <c r="N1008" s="12">
        <v>9.8018059999999991</v>
      </c>
      <c r="O1008" s="7" t="s">
        <v>23</v>
      </c>
    </row>
    <row r="1009" spans="1:15" x14ac:dyDescent="0.25">
      <c r="A1009" s="2">
        <f t="shared" si="15"/>
        <v>1007</v>
      </c>
      <c r="B1009" s="7" t="s">
        <v>7714</v>
      </c>
      <c r="C1009" s="7" t="s">
        <v>7715</v>
      </c>
      <c r="D1009" s="7" t="s">
        <v>7714</v>
      </c>
      <c r="E1009" s="7" t="s">
        <v>50</v>
      </c>
      <c r="F1009" s="7" t="s">
        <v>7716</v>
      </c>
      <c r="G1009" s="17" t="s">
        <v>7747</v>
      </c>
      <c r="H1009" s="7" t="s">
        <v>28</v>
      </c>
      <c r="I1009" s="7" t="s">
        <v>627</v>
      </c>
      <c r="J1009" s="7" t="s">
        <v>53</v>
      </c>
      <c r="K1009" s="7" t="s">
        <v>628</v>
      </c>
      <c r="L1009" s="7" t="s">
        <v>55</v>
      </c>
      <c r="M1009" s="7">
        <v>4.0692608999999997</v>
      </c>
      <c r="N1009" s="7">
        <v>9.6779131500000002</v>
      </c>
      <c r="O1009" s="7" t="s">
        <v>23</v>
      </c>
    </row>
    <row r="1010" spans="1:15" x14ac:dyDescent="0.25">
      <c r="A1010" s="2">
        <f t="shared" si="15"/>
        <v>1008</v>
      </c>
      <c r="B1010" s="7" t="s">
        <v>7730</v>
      </c>
      <c r="C1010" s="7" t="s">
        <v>7731</v>
      </c>
      <c r="D1010" s="7" t="s">
        <v>7730</v>
      </c>
      <c r="E1010" s="7" t="s">
        <v>34</v>
      </c>
      <c r="F1010" s="7" t="s">
        <v>7732</v>
      </c>
      <c r="G1010" s="17" t="s">
        <v>7747</v>
      </c>
      <c r="H1010" s="7" t="s">
        <v>28</v>
      </c>
      <c r="I1010" s="7" t="s">
        <v>356</v>
      </c>
      <c r="J1010" s="7"/>
      <c r="K1010" s="7" t="s">
        <v>55</v>
      </c>
      <c r="L1010" s="7" t="s">
        <v>55</v>
      </c>
      <c r="M1010" s="7">
        <v>4.1231059999999999</v>
      </c>
      <c r="N1010" s="7">
        <v>9.5866480000000003</v>
      </c>
      <c r="O1010" s="7" t="s">
        <v>23</v>
      </c>
    </row>
    <row r="1011" spans="1:15" x14ac:dyDescent="0.25">
      <c r="A1011" s="2">
        <f t="shared" si="15"/>
        <v>1009</v>
      </c>
      <c r="B1011" s="7" t="s">
        <v>7733</v>
      </c>
      <c r="C1011" s="7" t="s">
        <v>7734</v>
      </c>
      <c r="D1011" s="7" t="s">
        <v>7733</v>
      </c>
      <c r="E1011" s="7" t="s">
        <v>7712</v>
      </c>
      <c r="F1011" s="7" t="s">
        <v>7735</v>
      </c>
      <c r="G1011" s="17" t="s">
        <v>7747</v>
      </c>
      <c r="H1011" s="7" t="s">
        <v>28</v>
      </c>
      <c r="I1011" s="7" t="s">
        <v>52</v>
      </c>
      <c r="J1011" s="7"/>
      <c r="K1011" s="7" t="s">
        <v>55</v>
      </c>
      <c r="L1011" s="7" t="s">
        <v>55</v>
      </c>
      <c r="M1011" s="7">
        <v>4.0487029999999997</v>
      </c>
      <c r="N1011" s="7">
        <v>9.8078909999999997</v>
      </c>
      <c r="O1011" s="7" t="s">
        <v>23</v>
      </c>
    </row>
    <row r="1012" spans="1:15" x14ac:dyDescent="0.25">
      <c r="A1012" s="2">
        <f t="shared" si="15"/>
        <v>1010</v>
      </c>
      <c r="B1012" s="7" t="s">
        <v>2384</v>
      </c>
      <c r="C1012" s="7" t="s">
        <v>2382</v>
      </c>
      <c r="D1012" s="7" t="s">
        <v>2384</v>
      </c>
      <c r="E1012" s="7" t="s">
        <v>50</v>
      </c>
      <c r="F1012" s="7" t="s">
        <v>7736</v>
      </c>
      <c r="G1012" s="17" t="s">
        <v>7747</v>
      </c>
      <c r="H1012" s="7" t="s">
        <v>28</v>
      </c>
      <c r="I1012" s="7" t="s">
        <v>2024</v>
      </c>
      <c r="J1012" s="7" t="s">
        <v>53</v>
      </c>
      <c r="K1012" s="12" t="s">
        <v>54</v>
      </c>
      <c r="L1012" s="7" t="s">
        <v>55</v>
      </c>
      <c r="M1012" s="7">
        <v>4.027806</v>
      </c>
      <c r="N1012" s="7">
        <v>9.7356119999999997</v>
      </c>
      <c r="O1012" s="7" t="s">
        <v>613</v>
      </c>
    </row>
    <row r="1013" spans="1:15" x14ac:dyDescent="0.25">
      <c r="A1013" s="2">
        <f t="shared" si="15"/>
        <v>1011</v>
      </c>
      <c r="B1013" s="7" t="s">
        <v>519</v>
      </c>
      <c r="C1013" s="7" t="s">
        <v>520</v>
      </c>
      <c r="D1013" s="7" t="s">
        <v>519</v>
      </c>
      <c r="E1013" s="7" t="s">
        <v>131</v>
      </c>
      <c r="F1013" s="7" t="s">
        <v>521</v>
      </c>
      <c r="G1013" s="8" t="s">
        <v>18</v>
      </c>
      <c r="H1013" s="7" t="s">
        <v>19</v>
      </c>
      <c r="I1013" s="7" t="s">
        <v>522</v>
      </c>
      <c r="J1013" s="7" t="s">
        <v>246</v>
      </c>
      <c r="K1013" s="7" t="s">
        <v>523</v>
      </c>
      <c r="L1013" s="7" t="s">
        <v>7744</v>
      </c>
      <c r="M1013" s="7">
        <v>5.4597499999999997</v>
      </c>
      <c r="N1013" s="7">
        <v>9.9453055559999992</v>
      </c>
      <c r="O1013" s="7" t="s">
        <v>23</v>
      </c>
    </row>
    <row r="1014" spans="1:15" x14ac:dyDescent="0.25">
      <c r="A1014" s="2">
        <f t="shared" si="15"/>
        <v>1012</v>
      </c>
      <c r="B1014" s="7" t="s">
        <v>768</v>
      </c>
      <c r="C1014" s="7" t="s">
        <v>769</v>
      </c>
      <c r="D1014" s="7" t="s">
        <v>768</v>
      </c>
      <c r="E1014" s="7" t="s">
        <v>131</v>
      </c>
      <c r="F1014" s="7" t="s">
        <v>770</v>
      </c>
      <c r="G1014" s="17" t="s">
        <v>7747</v>
      </c>
      <c r="H1014" s="7" t="s">
        <v>28</v>
      </c>
      <c r="I1014" s="7" t="s">
        <v>165</v>
      </c>
      <c r="J1014" s="7" t="s">
        <v>715</v>
      </c>
      <c r="K1014" s="7" t="s">
        <v>714</v>
      </c>
      <c r="L1014" s="7" t="s">
        <v>7744</v>
      </c>
      <c r="M1014" s="7">
        <v>5.2086069999999998</v>
      </c>
      <c r="N1014" s="7">
        <v>10.074210000000001</v>
      </c>
      <c r="O1014" s="7" t="s">
        <v>23</v>
      </c>
    </row>
    <row r="1015" spans="1:15" x14ac:dyDescent="0.25">
      <c r="A1015" s="2">
        <f t="shared" si="15"/>
        <v>1013</v>
      </c>
      <c r="B1015" s="7" t="s">
        <v>780</v>
      </c>
      <c r="C1015" s="7" t="s">
        <v>781</v>
      </c>
      <c r="D1015" s="7" t="s">
        <v>780</v>
      </c>
      <c r="E1015" s="7" t="s">
        <v>131</v>
      </c>
      <c r="F1015" s="7" t="s">
        <v>782</v>
      </c>
      <c r="G1015" s="17" t="s">
        <v>7747</v>
      </c>
      <c r="H1015" s="7" t="s">
        <v>28</v>
      </c>
      <c r="I1015" s="7" t="s">
        <v>783</v>
      </c>
      <c r="J1015" s="7" t="s">
        <v>715</v>
      </c>
      <c r="K1015" s="7" t="s">
        <v>784</v>
      </c>
      <c r="L1015" s="7" t="s">
        <v>7744</v>
      </c>
      <c r="M1015" s="7">
        <v>5.3310000000000004</v>
      </c>
      <c r="N1015" s="7">
        <v>10.235528</v>
      </c>
      <c r="O1015" s="7" t="s">
        <v>23</v>
      </c>
    </row>
    <row r="1016" spans="1:15" x14ac:dyDescent="0.25">
      <c r="A1016" s="2">
        <f t="shared" si="15"/>
        <v>1014</v>
      </c>
      <c r="B1016" s="7" t="s">
        <v>789</v>
      </c>
      <c r="C1016" s="7" t="s">
        <v>790</v>
      </c>
      <c r="D1016" s="7" t="s">
        <v>789</v>
      </c>
      <c r="E1016" s="7" t="s">
        <v>131</v>
      </c>
      <c r="F1016" s="7" t="s">
        <v>791</v>
      </c>
      <c r="G1016" s="8" t="s">
        <v>18</v>
      </c>
      <c r="H1016" s="7" t="s">
        <v>28</v>
      </c>
      <c r="I1016" s="7" t="s">
        <v>522</v>
      </c>
      <c r="J1016" s="7" t="s">
        <v>792</v>
      </c>
      <c r="K1016" s="7" t="s">
        <v>793</v>
      </c>
      <c r="L1016" s="7" t="s">
        <v>7744</v>
      </c>
      <c r="M1016" s="7">
        <v>5.4916972222222222</v>
      </c>
      <c r="N1016" s="7">
        <v>9.8496083333333342</v>
      </c>
      <c r="O1016" s="7" t="s">
        <v>23</v>
      </c>
    </row>
    <row r="1017" spans="1:15" x14ac:dyDescent="0.25">
      <c r="A1017" s="2">
        <f t="shared" si="15"/>
        <v>1015</v>
      </c>
      <c r="B1017" s="7" t="s">
        <v>1022</v>
      </c>
      <c r="C1017" s="7" t="s">
        <v>1023</v>
      </c>
      <c r="D1017" s="7" t="s">
        <v>1022</v>
      </c>
      <c r="E1017" s="7" t="s">
        <v>131</v>
      </c>
      <c r="F1017" s="7" t="s">
        <v>1024</v>
      </c>
      <c r="G1017" s="17" t="s">
        <v>7747</v>
      </c>
      <c r="H1017" s="7" t="s">
        <v>28</v>
      </c>
      <c r="I1017" s="7" t="s">
        <v>522</v>
      </c>
      <c r="J1017" s="7" t="s">
        <v>246</v>
      </c>
      <c r="K1017" s="7" t="s">
        <v>1025</v>
      </c>
      <c r="L1017" s="7" t="s">
        <v>7744</v>
      </c>
      <c r="M1017" s="7">
        <v>5.5122429999999998</v>
      </c>
      <c r="N1017" s="7">
        <v>10.11599</v>
      </c>
      <c r="O1017" s="7" t="s">
        <v>23</v>
      </c>
    </row>
    <row r="1018" spans="1:15" x14ac:dyDescent="0.25">
      <c r="A1018" s="2">
        <f t="shared" si="15"/>
        <v>1016</v>
      </c>
      <c r="B1018" s="7" t="s">
        <v>1044</v>
      </c>
      <c r="C1018" s="7" t="s">
        <v>1045</v>
      </c>
      <c r="D1018" s="7" t="s">
        <v>1044</v>
      </c>
      <c r="E1018" s="7" t="s">
        <v>26</v>
      </c>
      <c r="F1018" s="7" t="s">
        <v>1046</v>
      </c>
      <c r="G1018" s="8" t="s">
        <v>36</v>
      </c>
      <c r="H1018" s="7" t="s">
        <v>28</v>
      </c>
      <c r="I1018" s="7" t="s">
        <v>241</v>
      </c>
      <c r="J1018" s="7" t="s">
        <v>365</v>
      </c>
      <c r="K1018" s="7" t="s">
        <v>1047</v>
      </c>
      <c r="L1018" s="7" t="s">
        <v>7744</v>
      </c>
      <c r="M1018" s="7">
        <v>5.7041111109999996</v>
      </c>
      <c r="N1018" s="7">
        <v>9.9773333330000007</v>
      </c>
      <c r="O1018" s="7" t="s">
        <v>23</v>
      </c>
    </row>
    <row r="1019" spans="1:15" x14ac:dyDescent="0.25">
      <c r="A1019" s="2">
        <f t="shared" si="15"/>
        <v>1017</v>
      </c>
      <c r="B1019" s="7" t="s">
        <v>1048</v>
      </c>
      <c r="C1019" s="7" t="s">
        <v>1049</v>
      </c>
      <c r="D1019" s="7" t="s">
        <v>1048</v>
      </c>
      <c r="E1019" s="7" t="s">
        <v>131</v>
      </c>
      <c r="F1019" s="7" t="s">
        <v>1050</v>
      </c>
      <c r="G1019" s="17" t="s">
        <v>7747</v>
      </c>
      <c r="H1019" s="7" t="s">
        <v>28</v>
      </c>
      <c r="I1019" s="7" t="s">
        <v>165</v>
      </c>
      <c r="J1019" s="7" t="s">
        <v>715</v>
      </c>
      <c r="K1019" s="7" t="s">
        <v>1050</v>
      </c>
      <c r="L1019" s="7" t="s">
        <v>7744</v>
      </c>
      <c r="M1019" s="7">
        <v>5.1741700000000002</v>
      </c>
      <c r="N1019" s="7">
        <v>10.206289999999999</v>
      </c>
      <c r="O1019" s="7" t="s">
        <v>23</v>
      </c>
    </row>
    <row r="1020" spans="1:15" x14ac:dyDescent="0.25">
      <c r="A1020" s="2">
        <f t="shared" si="15"/>
        <v>1018</v>
      </c>
      <c r="B1020" s="7" t="s">
        <v>1079</v>
      </c>
      <c r="C1020" s="7" t="s">
        <v>1080</v>
      </c>
      <c r="D1020" s="7" t="s">
        <v>1079</v>
      </c>
      <c r="E1020" s="7" t="s">
        <v>131</v>
      </c>
      <c r="F1020" s="7" t="s">
        <v>1081</v>
      </c>
      <c r="G1020" s="17" t="s">
        <v>7747</v>
      </c>
      <c r="H1020" s="7" t="s">
        <v>28</v>
      </c>
      <c r="I1020" s="7" t="s">
        <v>165</v>
      </c>
      <c r="J1020" s="7" t="s">
        <v>715</v>
      </c>
      <c r="K1020" s="7" t="s">
        <v>714</v>
      </c>
      <c r="L1020" s="7" t="s">
        <v>7744</v>
      </c>
      <c r="M1020" s="7">
        <v>5.2362780000000004</v>
      </c>
      <c r="N1020" s="7">
        <v>10.082167</v>
      </c>
      <c r="O1020" s="7" t="s">
        <v>23</v>
      </c>
    </row>
    <row r="1021" spans="1:15" x14ac:dyDescent="0.25">
      <c r="A1021" s="2">
        <f t="shared" si="15"/>
        <v>1019</v>
      </c>
      <c r="B1021" s="7" t="s">
        <v>1115</v>
      </c>
      <c r="C1021" s="7" t="s">
        <v>1116</v>
      </c>
      <c r="D1021" s="7" t="s">
        <v>1115</v>
      </c>
      <c r="E1021" s="7" t="s">
        <v>131</v>
      </c>
      <c r="F1021" s="7" t="s">
        <v>1117</v>
      </c>
      <c r="G1021" s="8" t="s">
        <v>18</v>
      </c>
      <c r="H1021" s="7" t="s">
        <v>28</v>
      </c>
      <c r="I1021" s="7" t="s">
        <v>245</v>
      </c>
      <c r="J1021" s="7" t="s">
        <v>761</v>
      </c>
      <c r="K1021" s="7" t="s">
        <v>1118</v>
      </c>
      <c r="L1021" s="7" t="s">
        <v>7744</v>
      </c>
      <c r="M1021" s="7">
        <v>5.6288320000000001</v>
      </c>
      <c r="N1021" s="7">
        <v>10.200196999999999</v>
      </c>
      <c r="O1021" s="7" t="s">
        <v>23</v>
      </c>
    </row>
    <row r="1022" spans="1:15" x14ac:dyDescent="0.25">
      <c r="A1022" s="2">
        <f t="shared" si="15"/>
        <v>1020</v>
      </c>
      <c r="B1022" s="7" t="s">
        <v>1136</v>
      </c>
      <c r="C1022" s="7" t="s">
        <v>1137</v>
      </c>
      <c r="D1022" s="7" t="s">
        <v>1136</v>
      </c>
      <c r="E1022" s="7" t="s">
        <v>131</v>
      </c>
      <c r="F1022" s="7" t="s">
        <v>1138</v>
      </c>
      <c r="G1022" s="17" t="s">
        <v>7747</v>
      </c>
      <c r="H1022" s="7" t="s">
        <v>28</v>
      </c>
      <c r="I1022" s="7" t="s">
        <v>522</v>
      </c>
      <c r="J1022" s="7" t="s">
        <v>246</v>
      </c>
      <c r="K1022" s="7" t="s">
        <v>1139</v>
      </c>
      <c r="L1022" s="7" t="s">
        <v>7744</v>
      </c>
      <c r="M1022" s="7">
        <v>5.4617779999999998</v>
      </c>
      <c r="N1022" s="7">
        <v>10.098777999999999</v>
      </c>
      <c r="O1022" s="7" t="s">
        <v>23</v>
      </c>
    </row>
    <row r="1023" spans="1:15" x14ac:dyDescent="0.25">
      <c r="A1023" s="2">
        <f t="shared" si="15"/>
        <v>1021</v>
      </c>
      <c r="B1023" s="7" t="s">
        <v>1708</v>
      </c>
      <c r="C1023" s="7" t="s">
        <v>1709</v>
      </c>
      <c r="D1023" s="7" t="s">
        <v>1708</v>
      </c>
      <c r="E1023" s="7" t="s">
        <v>131</v>
      </c>
      <c r="F1023" s="7" t="s">
        <v>1710</v>
      </c>
      <c r="G1023" s="17" t="s">
        <v>7747</v>
      </c>
      <c r="H1023" s="7" t="s">
        <v>19</v>
      </c>
      <c r="I1023" s="7" t="s">
        <v>165</v>
      </c>
      <c r="J1023" s="7" t="s">
        <v>715</v>
      </c>
      <c r="K1023" s="7" t="s">
        <v>1710</v>
      </c>
      <c r="L1023" s="7" t="s">
        <v>7744</v>
      </c>
      <c r="M1023" s="7">
        <v>5.2679859999999996</v>
      </c>
      <c r="N1023" s="7">
        <v>10.222806</v>
      </c>
      <c r="O1023" s="7" t="s">
        <v>23</v>
      </c>
    </row>
    <row r="1024" spans="1:15" x14ac:dyDescent="0.25">
      <c r="A1024" s="2">
        <f t="shared" si="15"/>
        <v>1022</v>
      </c>
      <c r="B1024" s="7" t="s">
        <v>1949</v>
      </c>
      <c r="C1024" s="7" t="s">
        <v>1950</v>
      </c>
      <c r="D1024" s="7" t="s">
        <v>1949</v>
      </c>
      <c r="E1024" s="7" t="s">
        <v>131</v>
      </c>
      <c r="F1024" s="7" t="s">
        <v>1951</v>
      </c>
      <c r="G1024" s="17" t="s">
        <v>7747</v>
      </c>
      <c r="H1024" s="7" t="s">
        <v>28</v>
      </c>
      <c r="I1024" s="7" t="s">
        <v>522</v>
      </c>
      <c r="J1024" s="7" t="s">
        <v>246</v>
      </c>
      <c r="K1024" s="7" t="s">
        <v>523</v>
      </c>
      <c r="L1024" s="7" t="s">
        <v>7744</v>
      </c>
      <c r="M1024" s="7">
        <v>5.4608109999999996</v>
      </c>
      <c r="N1024" s="7">
        <v>10.0741</v>
      </c>
      <c r="O1024" s="7" t="s">
        <v>23</v>
      </c>
    </row>
    <row r="1025" spans="1:15" x14ac:dyDescent="0.25">
      <c r="A1025" s="2">
        <f t="shared" si="15"/>
        <v>1023</v>
      </c>
      <c r="B1025" s="7" t="s">
        <v>2227</v>
      </c>
      <c r="C1025" s="7" t="s">
        <v>2228</v>
      </c>
      <c r="D1025" s="7" t="s">
        <v>2227</v>
      </c>
      <c r="E1025" s="7" t="s">
        <v>131</v>
      </c>
      <c r="F1025" s="7" t="s">
        <v>2229</v>
      </c>
      <c r="G1025" s="17" t="s">
        <v>7747</v>
      </c>
      <c r="H1025" s="7" t="s">
        <v>19</v>
      </c>
      <c r="I1025" s="7" t="s">
        <v>522</v>
      </c>
      <c r="J1025" s="7" t="s">
        <v>246</v>
      </c>
      <c r="K1025" s="7" t="s">
        <v>1139</v>
      </c>
      <c r="L1025" s="7" t="s">
        <v>7744</v>
      </c>
      <c r="M1025" s="7">
        <v>5.4957219999999998</v>
      </c>
      <c r="N1025" s="7">
        <v>10.099610999999999</v>
      </c>
      <c r="O1025" s="7" t="s">
        <v>23</v>
      </c>
    </row>
    <row r="1026" spans="1:15" x14ac:dyDescent="0.25">
      <c r="A1026" s="2">
        <f t="shared" si="15"/>
        <v>1024</v>
      </c>
      <c r="B1026" s="7" t="s">
        <v>2247</v>
      </c>
      <c r="C1026" s="7" t="s">
        <v>2248</v>
      </c>
      <c r="D1026" s="7" t="s">
        <v>2247</v>
      </c>
      <c r="E1026" s="7" t="s">
        <v>131</v>
      </c>
      <c r="F1026" s="7" t="s">
        <v>2249</v>
      </c>
      <c r="G1026" s="17" t="s">
        <v>7747</v>
      </c>
      <c r="H1026" s="7" t="s">
        <v>28</v>
      </c>
      <c r="I1026" s="7" t="s">
        <v>522</v>
      </c>
      <c r="J1026" s="7" t="s">
        <v>246</v>
      </c>
      <c r="K1026" s="7" t="s">
        <v>523</v>
      </c>
      <c r="L1026" s="7" t="s">
        <v>7744</v>
      </c>
      <c r="M1026" s="7">
        <v>5.4285399999999999</v>
      </c>
      <c r="N1026" s="7">
        <v>10.044180000000001</v>
      </c>
      <c r="O1026" s="7" t="s">
        <v>23</v>
      </c>
    </row>
    <row r="1027" spans="1:15" x14ac:dyDescent="0.25">
      <c r="A1027" s="2">
        <f t="shared" si="15"/>
        <v>1025</v>
      </c>
      <c r="B1027" s="7" t="s">
        <v>2285</v>
      </c>
      <c r="C1027" s="7" t="s">
        <v>2286</v>
      </c>
      <c r="D1027" s="7" t="s">
        <v>2285</v>
      </c>
      <c r="E1027" s="7" t="s">
        <v>131</v>
      </c>
      <c r="F1027" s="7" t="s">
        <v>2287</v>
      </c>
      <c r="G1027" s="17" t="s">
        <v>7747</v>
      </c>
      <c r="H1027" s="7" t="s">
        <v>28</v>
      </c>
      <c r="I1027" s="7" t="s">
        <v>245</v>
      </c>
      <c r="J1027" s="7" t="s">
        <v>761</v>
      </c>
      <c r="K1027" s="7" t="s">
        <v>1118</v>
      </c>
      <c r="L1027" s="7" t="s">
        <v>7744</v>
      </c>
      <c r="M1027" s="7">
        <v>5.585</v>
      </c>
      <c r="N1027" s="7">
        <v>10.204806</v>
      </c>
      <c r="O1027" s="7" t="s">
        <v>23</v>
      </c>
    </row>
    <row r="1028" spans="1:15" x14ac:dyDescent="0.25">
      <c r="A1028" s="2">
        <f t="shared" si="15"/>
        <v>1026</v>
      </c>
      <c r="B1028" s="7" t="s">
        <v>2337</v>
      </c>
      <c r="C1028" s="7" t="s">
        <v>2338</v>
      </c>
      <c r="D1028" s="7" t="s">
        <v>2337</v>
      </c>
      <c r="E1028" s="7" t="s">
        <v>131</v>
      </c>
      <c r="F1028" s="7" t="s">
        <v>2339</v>
      </c>
      <c r="G1028" s="17" t="s">
        <v>7747</v>
      </c>
      <c r="H1028" s="7" t="s">
        <v>19</v>
      </c>
      <c r="I1028" s="7" t="s">
        <v>522</v>
      </c>
      <c r="J1028" s="7" t="s">
        <v>246</v>
      </c>
      <c r="K1028" s="7" t="s">
        <v>523</v>
      </c>
      <c r="L1028" s="7" t="s">
        <v>7744</v>
      </c>
      <c r="M1028" s="7">
        <v>5.4562400000000002</v>
      </c>
      <c r="N1028" s="7">
        <v>10.01366</v>
      </c>
      <c r="O1028" s="7" t="s">
        <v>23</v>
      </c>
    </row>
    <row r="1029" spans="1:15" x14ac:dyDescent="0.25">
      <c r="A1029" s="2">
        <f t="shared" ref="A1029:A1092" si="16">+A1028+1</f>
        <v>1027</v>
      </c>
      <c r="B1029" s="7" t="s">
        <v>2465</v>
      </c>
      <c r="C1029" s="7" t="s">
        <v>2466</v>
      </c>
      <c r="D1029" s="7" t="s">
        <v>2465</v>
      </c>
      <c r="E1029" s="7" t="s">
        <v>131</v>
      </c>
      <c r="F1029" s="7" t="s">
        <v>2467</v>
      </c>
      <c r="G1029" s="8" t="s">
        <v>18</v>
      </c>
      <c r="H1029" s="7" t="s">
        <v>19</v>
      </c>
      <c r="I1029" s="7" t="s">
        <v>522</v>
      </c>
      <c r="J1029" s="7" t="s">
        <v>792</v>
      </c>
      <c r="K1029" s="7" t="s">
        <v>2468</v>
      </c>
      <c r="L1029" s="7" t="s">
        <v>7744</v>
      </c>
      <c r="M1029" s="7">
        <v>5.5274679999999998</v>
      </c>
      <c r="N1029" s="7">
        <v>9.9452499999999997</v>
      </c>
      <c r="O1029" s="7" t="s">
        <v>23</v>
      </c>
    </row>
    <row r="1030" spans="1:15" x14ac:dyDescent="0.25">
      <c r="A1030" s="2">
        <f t="shared" si="16"/>
        <v>1028</v>
      </c>
      <c r="B1030" s="7" t="s">
        <v>2469</v>
      </c>
      <c r="C1030" s="7" t="s">
        <v>2470</v>
      </c>
      <c r="D1030" s="7" t="s">
        <v>2469</v>
      </c>
      <c r="E1030" s="7" t="s">
        <v>131</v>
      </c>
      <c r="F1030" s="7" t="s">
        <v>2471</v>
      </c>
      <c r="G1030" s="8" t="s">
        <v>18</v>
      </c>
      <c r="H1030" s="7" t="s">
        <v>19</v>
      </c>
      <c r="I1030" s="7" t="s">
        <v>522</v>
      </c>
      <c r="J1030" s="7" t="s">
        <v>792</v>
      </c>
      <c r="K1030" s="7" t="s">
        <v>793</v>
      </c>
      <c r="L1030" s="7" t="s">
        <v>7744</v>
      </c>
      <c r="M1030" s="7">
        <v>5.4878900000000002</v>
      </c>
      <c r="N1030" s="7">
        <v>9.8759499999999996</v>
      </c>
      <c r="O1030" s="7" t="s">
        <v>23</v>
      </c>
    </row>
    <row r="1031" spans="1:15" x14ac:dyDescent="0.25">
      <c r="A1031" s="2">
        <f t="shared" si="16"/>
        <v>1029</v>
      </c>
      <c r="B1031" s="7" t="s">
        <v>2484</v>
      </c>
      <c r="C1031" s="7" t="s">
        <v>2485</v>
      </c>
      <c r="D1031" s="7" t="s">
        <v>2484</v>
      </c>
      <c r="E1031" s="7" t="s">
        <v>131</v>
      </c>
      <c r="F1031" s="7" t="s">
        <v>2486</v>
      </c>
      <c r="G1031" s="17" t="s">
        <v>7747</v>
      </c>
      <c r="H1031" s="7" t="s">
        <v>28</v>
      </c>
      <c r="I1031" s="7" t="s">
        <v>522</v>
      </c>
      <c r="J1031" s="7" t="s">
        <v>246</v>
      </c>
      <c r="K1031" s="7" t="s">
        <v>523</v>
      </c>
      <c r="L1031" s="7" t="s">
        <v>7744</v>
      </c>
      <c r="M1031" s="7">
        <v>5.4548329999999998</v>
      </c>
      <c r="N1031" s="7">
        <v>10.057556</v>
      </c>
      <c r="O1031" s="7" t="s">
        <v>23</v>
      </c>
    </row>
    <row r="1032" spans="1:15" x14ac:dyDescent="0.25">
      <c r="A1032" s="2">
        <f t="shared" si="16"/>
        <v>1030</v>
      </c>
      <c r="B1032" s="7" t="s">
        <v>2503</v>
      </c>
      <c r="C1032" s="7" t="s">
        <v>2504</v>
      </c>
      <c r="D1032" s="7" t="s">
        <v>2503</v>
      </c>
      <c r="E1032" s="7" t="s">
        <v>131</v>
      </c>
      <c r="F1032" s="7" t="s">
        <v>2505</v>
      </c>
      <c r="G1032" s="17" t="s">
        <v>7747</v>
      </c>
      <c r="H1032" s="7" t="s">
        <v>28</v>
      </c>
      <c r="I1032" s="7" t="s">
        <v>522</v>
      </c>
      <c r="J1032" s="7" t="s">
        <v>246</v>
      </c>
      <c r="K1032" s="7" t="s">
        <v>523</v>
      </c>
      <c r="L1032" s="7" t="s">
        <v>7744</v>
      </c>
      <c r="M1032" s="7">
        <v>5.447667</v>
      </c>
      <c r="N1032" s="7">
        <v>10.062111</v>
      </c>
      <c r="O1032" s="7" t="s">
        <v>613</v>
      </c>
    </row>
    <row r="1033" spans="1:15" x14ac:dyDescent="0.25">
      <c r="A1033" s="2">
        <f t="shared" si="16"/>
        <v>1031</v>
      </c>
      <c r="B1033" s="7" t="s">
        <v>2699</v>
      </c>
      <c r="C1033" s="7" t="s">
        <v>2700</v>
      </c>
      <c r="D1033" s="7" t="s">
        <v>2699</v>
      </c>
      <c r="E1033" s="7" t="s">
        <v>131</v>
      </c>
      <c r="F1033" s="7" t="s">
        <v>2701</v>
      </c>
      <c r="G1033" s="8" t="s">
        <v>18</v>
      </c>
      <c r="H1033" s="7" t="s">
        <v>19</v>
      </c>
      <c r="I1033" s="7" t="s">
        <v>522</v>
      </c>
      <c r="J1033" s="7" t="s">
        <v>246</v>
      </c>
      <c r="K1033" s="7" t="s">
        <v>2702</v>
      </c>
      <c r="L1033" s="7" t="s">
        <v>7744</v>
      </c>
      <c r="M1033" s="7">
        <v>5.51159</v>
      </c>
      <c r="N1033" s="7">
        <v>9.9698600000000006</v>
      </c>
      <c r="O1033" s="7" t="s">
        <v>23</v>
      </c>
    </row>
    <row r="1034" spans="1:15" x14ac:dyDescent="0.25">
      <c r="A1034" s="2">
        <f t="shared" si="16"/>
        <v>1032</v>
      </c>
      <c r="B1034" s="7" t="s">
        <v>2703</v>
      </c>
      <c r="C1034" s="7" t="s">
        <v>2704</v>
      </c>
      <c r="D1034" s="7" t="s">
        <v>2703</v>
      </c>
      <c r="E1034" s="7" t="s">
        <v>131</v>
      </c>
      <c r="F1034" s="7" t="s">
        <v>2471</v>
      </c>
      <c r="G1034" s="8" t="s">
        <v>18</v>
      </c>
      <c r="H1034" s="7" t="s">
        <v>19</v>
      </c>
      <c r="I1034" s="7" t="s">
        <v>522</v>
      </c>
      <c r="J1034" s="7" t="s">
        <v>792</v>
      </c>
      <c r="K1034" s="7" t="s">
        <v>793</v>
      </c>
      <c r="L1034" s="7" t="s">
        <v>7744</v>
      </c>
      <c r="M1034" s="7">
        <v>5.4909166669999996</v>
      </c>
      <c r="N1034" s="7">
        <v>9.8782499999999995</v>
      </c>
      <c r="O1034" s="7" t="s">
        <v>23</v>
      </c>
    </row>
    <row r="1035" spans="1:15" x14ac:dyDescent="0.25">
      <c r="A1035" s="2">
        <f t="shared" si="16"/>
        <v>1033</v>
      </c>
      <c r="B1035" s="7" t="s">
        <v>2748</v>
      </c>
      <c r="C1035" s="7" t="s">
        <v>2749</v>
      </c>
      <c r="D1035" s="7" t="s">
        <v>2748</v>
      </c>
      <c r="E1035" s="7" t="s">
        <v>131</v>
      </c>
      <c r="F1035" s="7" t="s">
        <v>2750</v>
      </c>
      <c r="G1035" s="17" t="s">
        <v>7747</v>
      </c>
      <c r="H1035" s="7" t="s">
        <v>28</v>
      </c>
      <c r="I1035" s="7" t="s">
        <v>522</v>
      </c>
      <c r="J1035" s="7" t="s">
        <v>246</v>
      </c>
      <c r="K1035" s="7" t="s">
        <v>1139</v>
      </c>
      <c r="L1035" s="7" t="s">
        <v>7744</v>
      </c>
      <c r="M1035" s="7">
        <v>5.4893109999999998</v>
      </c>
      <c r="N1035" s="7">
        <v>10.181917</v>
      </c>
      <c r="O1035" s="7" t="s">
        <v>23</v>
      </c>
    </row>
    <row r="1036" spans="1:15" x14ac:dyDescent="0.25">
      <c r="A1036" s="2">
        <f t="shared" si="16"/>
        <v>1034</v>
      </c>
      <c r="B1036" s="7" t="s">
        <v>2950</v>
      </c>
      <c r="C1036" s="7" t="s">
        <v>2951</v>
      </c>
      <c r="D1036" s="7" t="s">
        <v>2950</v>
      </c>
      <c r="E1036" s="7" t="s">
        <v>131</v>
      </c>
      <c r="F1036" s="7" t="s">
        <v>2952</v>
      </c>
      <c r="G1036" s="17" t="s">
        <v>7747</v>
      </c>
      <c r="H1036" s="7" t="s">
        <v>28</v>
      </c>
      <c r="I1036" s="7" t="s">
        <v>522</v>
      </c>
      <c r="J1036" s="7" t="s">
        <v>246</v>
      </c>
      <c r="K1036" s="7" t="s">
        <v>523</v>
      </c>
      <c r="L1036" s="7" t="s">
        <v>7744</v>
      </c>
      <c r="M1036" s="7">
        <v>5.439667</v>
      </c>
      <c r="N1036" s="7">
        <v>10.046082999999999</v>
      </c>
      <c r="O1036" s="7" t="s">
        <v>23</v>
      </c>
    </row>
    <row r="1037" spans="1:15" x14ac:dyDescent="0.25">
      <c r="A1037" s="2">
        <f t="shared" si="16"/>
        <v>1035</v>
      </c>
      <c r="B1037" s="7" t="s">
        <v>3338</v>
      </c>
      <c r="C1037" s="7" t="s">
        <v>3339</v>
      </c>
      <c r="D1037" s="7" t="s">
        <v>3338</v>
      </c>
      <c r="E1037" s="7" t="s">
        <v>131</v>
      </c>
      <c r="F1037" s="7" t="s">
        <v>3340</v>
      </c>
      <c r="G1037" s="17" t="s">
        <v>7747</v>
      </c>
      <c r="H1037" s="7" t="s">
        <v>19</v>
      </c>
      <c r="I1037" s="7" t="s">
        <v>522</v>
      </c>
      <c r="J1037" s="7" t="s">
        <v>246</v>
      </c>
      <c r="K1037" s="7" t="s">
        <v>523</v>
      </c>
      <c r="L1037" s="7" t="s">
        <v>7744</v>
      </c>
      <c r="M1037" s="7">
        <v>5.4567500000000004</v>
      </c>
      <c r="N1037" s="7">
        <v>10.048971999999999</v>
      </c>
      <c r="O1037" s="7" t="s">
        <v>23</v>
      </c>
    </row>
    <row r="1038" spans="1:15" x14ac:dyDescent="0.25">
      <c r="A1038" s="2">
        <f t="shared" si="16"/>
        <v>1036</v>
      </c>
      <c r="B1038" s="7" t="s">
        <v>3439</v>
      </c>
      <c r="C1038" s="7" t="s">
        <v>3440</v>
      </c>
      <c r="D1038" s="7" t="s">
        <v>3439</v>
      </c>
      <c r="E1038" s="7" t="s">
        <v>131</v>
      </c>
      <c r="F1038" s="7" t="s">
        <v>3441</v>
      </c>
      <c r="G1038" s="17" t="s">
        <v>7747</v>
      </c>
      <c r="H1038" s="7" t="s">
        <v>28</v>
      </c>
      <c r="I1038" s="7" t="s">
        <v>522</v>
      </c>
      <c r="J1038" s="7" t="s">
        <v>246</v>
      </c>
      <c r="K1038" s="7" t="s">
        <v>523</v>
      </c>
      <c r="L1038" s="7" t="s">
        <v>7744</v>
      </c>
      <c r="M1038" s="7">
        <v>5.44536</v>
      </c>
      <c r="N1038" s="7">
        <v>10.053900000000001</v>
      </c>
      <c r="O1038" s="7" t="s">
        <v>613</v>
      </c>
    </row>
    <row r="1039" spans="1:15" x14ac:dyDescent="0.25">
      <c r="A1039" s="2">
        <f t="shared" si="16"/>
        <v>1037</v>
      </c>
      <c r="B1039" s="7" t="s">
        <v>3553</v>
      </c>
      <c r="C1039" s="7" t="s">
        <v>3554</v>
      </c>
      <c r="D1039" s="7" t="s">
        <v>3553</v>
      </c>
      <c r="E1039" s="7" t="s">
        <v>131</v>
      </c>
      <c r="F1039" s="7" t="s">
        <v>3555</v>
      </c>
      <c r="G1039" s="17" t="s">
        <v>7747</v>
      </c>
      <c r="H1039" s="7" t="s">
        <v>28</v>
      </c>
      <c r="I1039" s="7" t="s">
        <v>165</v>
      </c>
      <c r="J1039" s="7" t="s">
        <v>715</v>
      </c>
      <c r="K1039" s="7" t="s">
        <v>1710</v>
      </c>
      <c r="L1039" s="7" t="s">
        <v>7744</v>
      </c>
      <c r="M1039" s="7">
        <v>5.2760280000000002</v>
      </c>
      <c r="N1039" s="7">
        <v>10.165222</v>
      </c>
      <c r="O1039" s="7" t="s">
        <v>23</v>
      </c>
    </row>
    <row r="1040" spans="1:15" x14ac:dyDescent="0.25">
      <c r="A1040" s="2">
        <f t="shared" si="16"/>
        <v>1038</v>
      </c>
      <c r="B1040" s="7" t="s">
        <v>3588</v>
      </c>
      <c r="C1040" s="7" t="s">
        <v>3589</v>
      </c>
      <c r="D1040" s="7" t="s">
        <v>3588</v>
      </c>
      <c r="E1040" s="7" t="s">
        <v>131</v>
      </c>
      <c r="F1040" s="7" t="s">
        <v>165</v>
      </c>
      <c r="G1040" s="17" t="s">
        <v>7747</v>
      </c>
      <c r="H1040" s="7" t="s">
        <v>19</v>
      </c>
      <c r="I1040" s="7" t="s">
        <v>165</v>
      </c>
      <c r="J1040" s="7" t="s">
        <v>715</v>
      </c>
      <c r="K1040" s="7" t="s">
        <v>165</v>
      </c>
      <c r="L1040" s="7" t="s">
        <v>7744</v>
      </c>
      <c r="M1040" s="7">
        <v>5.1617699999999997</v>
      </c>
      <c r="N1040" s="7">
        <v>10.18488</v>
      </c>
      <c r="O1040" s="7" t="s">
        <v>23</v>
      </c>
    </row>
    <row r="1041" spans="1:15" x14ac:dyDescent="0.25">
      <c r="A1041" s="2">
        <f t="shared" si="16"/>
        <v>1039</v>
      </c>
      <c r="B1041" s="7" t="s">
        <v>3783</v>
      </c>
      <c r="C1041" s="7" t="s">
        <v>3784</v>
      </c>
      <c r="D1041" s="7" t="s">
        <v>3783</v>
      </c>
      <c r="E1041" s="7" t="s">
        <v>131</v>
      </c>
      <c r="F1041" s="7" t="s">
        <v>3785</v>
      </c>
      <c r="G1041" s="17" t="s">
        <v>7747</v>
      </c>
      <c r="H1041" s="7" t="s">
        <v>28</v>
      </c>
      <c r="I1041" s="7" t="s">
        <v>522</v>
      </c>
      <c r="J1041" s="7" t="s">
        <v>246</v>
      </c>
      <c r="K1041" s="7" t="s">
        <v>523</v>
      </c>
      <c r="L1041" s="7" t="s">
        <v>7744</v>
      </c>
      <c r="M1041" s="7">
        <v>5.44109</v>
      </c>
      <c r="N1041" s="7">
        <v>10.05598</v>
      </c>
      <c r="O1041" s="7" t="s">
        <v>613</v>
      </c>
    </row>
    <row r="1042" spans="1:15" x14ac:dyDescent="0.25">
      <c r="A1042" s="2">
        <f t="shared" si="16"/>
        <v>1040</v>
      </c>
      <c r="B1042" s="7" t="s">
        <v>3791</v>
      </c>
      <c r="C1042" s="7" t="s">
        <v>3792</v>
      </c>
      <c r="D1042" s="7" t="s">
        <v>3791</v>
      </c>
      <c r="E1042" s="7" t="s">
        <v>131</v>
      </c>
      <c r="F1042" s="7" t="s">
        <v>165</v>
      </c>
      <c r="G1042" s="17" t="s">
        <v>7747</v>
      </c>
      <c r="H1042" s="7" t="s">
        <v>19</v>
      </c>
      <c r="I1042" s="7" t="s">
        <v>165</v>
      </c>
      <c r="J1042" s="7" t="s">
        <v>715</v>
      </c>
      <c r="K1042" s="7" t="s">
        <v>165</v>
      </c>
      <c r="L1042" s="7" t="s">
        <v>7744</v>
      </c>
      <c r="M1042" s="7">
        <v>5.1506990000000004</v>
      </c>
      <c r="N1042" s="7">
        <v>10.180562999999999</v>
      </c>
      <c r="O1042" s="7" t="s">
        <v>23</v>
      </c>
    </row>
    <row r="1043" spans="1:15" x14ac:dyDescent="0.25">
      <c r="A1043" s="2">
        <f t="shared" si="16"/>
        <v>1041</v>
      </c>
      <c r="B1043" s="7" t="s">
        <v>4130</v>
      </c>
      <c r="C1043" s="7" t="s">
        <v>4131</v>
      </c>
      <c r="D1043" s="7" t="s">
        <v>4130</v>
      </c>
      <c r="E1043" s="7" t="s">
        <v>131</v>
      </c>
      <c r="F1043" s="7" t="s">
        <v>4132</v>
      </c>
      <c r="G1043" s="17" t="s">
        <v>7747</v>
      </c>
      <c r="H1043" s="7" t="s">
        <v>28</v>
      </c>
      <c r="I1043" s="7" t="s">
        <v>522</v>
      </c>
      <c r="J1043" s="7" t="s">
        <v>246</v>
      </c>
      <c r="K1043" s="7" t="s">
        <v>523</v>
      </c>
      <c r="L1043" s="7" t="s">
        <v>7744</v>
      </c>
      <c r="M1043" s="7">
        <v>5.4336469999999997</v>
      </c>
      <c r="N1043" s="7">
        <v>10.042249999999999</v>
      </c>
      <c r="O1043" s="7" t="s">
        <v>23</v>
      </c>
    </row>
    <row r="1044" spans="1:15" x14ac:dyDescent="0.25">
      <c r="A1044" s="2">
        <f t="shared" si="16"/>
        <v>1042</v>
      </c>
      <c r="B1044" s="7" t="s">
        <v>4140</v>
      </c>
      <c r="C1044" s="7" t="s">
        <v>4141</v>
      </c>
      <c r="D1044" s="7" t="s">
        <v>4140</v>
      </c>
      <c r="E1044" s="7" t="s">
        <v>131</v>
      </c>
      <c r="F1044" s="7" t="s">
        <v>4142</v>
      </c>
      <c r="G1044" s="17" t="s">
        <v>7747</v>
      </c>
      <c r="H1044" s="7" t="s">
        <v>28</v>
      </c>
      <c r="I1044" s="7" t="s">
        <v>522</v>
      </c>
      <c r="J1044" s="7" t="s">
        <v>246</v>
      </c>
      <c r="K1044" s="7" t="s">
        <v>523</v>
      </c>
      <c r="L1044" s="7" t="s">
        <v>7744</v>
      </c>
      <c r="M1044" s="7">
        <v>5.4373800000000001</v>
      </c>
      <c r="N1044" s="7">
        <v>10.07267</v>
      </c>
      <c r="O1044" s="7" t="s">
        <v>23</v>
      </c>
    </row>
    <row r="1045" spans="1:15" x14ac:dyDescent="0.25">
      <c r="A1045" s="2">
        <f t="shared" si="16"/>
        <v>1043</v>
      </c>
      <c r="B1045" s="7" t="s">
        <v>4184</v>
      </c>
      <c r="C1045" s="7" t="s">
        <v>4185</v>
      </c>
      <c r="D1045" s="7" t="s">
        <v>4184</v>
      </c>
      <c r="E1045" s="7" t="s">
        <v>131</v>
      </c>
      <c r="F1045" s="7" t="s">
        <v>4186</v>
      </c>
      <c r="G1045" s="17" t="s">
        <v>7747</v>
      </c>
      <c r="H1045" s="7" t="s">
        <v>28</v>
      </c>
      <c r="I1045" s="7" t="s">
        <v>522</v>
      </c>
      <c r="J1045" s="7" t="s">
        <v>246</v>
      </c>
      <c r="K1045" s="7" t="s">
        <v>4187</v>
      </c>
      <c r="L1045" s="7" t="s">
        <v>7744</v>
      </c>
      <c r="M1045" s="7">
        <v>5.3126899999999999</v>
      </c>
      <c r="N1045" s="7">
        <v>10.00436</v>
      </c>
      <c r="O1045" s="7" t="s">
        <v>23</v>
      </c>
    </row>
    <row r="1046" spans="1:15" x14ac:dyDescent="0.25">
      <c r="A1046" s="2">
        <f t="shared" si="16"/>
        <v>1044</v>
      </c>
      <c r="B1046" s="7" t="s">
        <v>4188</v>
      </c>
      <c r="C1046" s="7" t="s">
        <v>4189</v>
      </c>
      <c r="D1046" s="7" t="s">
        <v>4188</v>
      </c>
      <c r="E1046" s="7" t="s">
        <v>131</v>
      </c>
      <c r="F1046" s="7" t="s">
        <v>4190</v>
      </c>
      <c r="G1046" s="17" t="s">
        <v>7747</v>
      </c>
      <c r="H1046" s="7" t="s">
        <v>28</v>
      </c>
      <c r="I1046" s="7" t="s">
        <v>522</v>
      </c>
      <c r="J1046" s="7" t="s">
        <v>246</v>
      </c>
      <c r="K1046" s="7" t="s">
        <v>1139</v>
      </c>
      <c r="L1046" s="7" t="s">
        <v>7744</v>
      </c>
      <c r="M1046" s="7">
        <v>5.4909999999999997</v>
      </c>
      <c r="N1046" s="7">
        <v>10.114056</v>
      </c>
      <c r="O1046" s="7" t="s">
        <v>23</v>
      </c>
    </row>
    <row r="1047" spans="1:15" x14ac:dyDescent="0.25">
      <c r="A1047" s="2">
        <f t="shared" si="16"/>
        <v>1045</v>
      </c>
      <c r="B1047" s="7" t="s">
        <v>4229</v>
      </c>
      <c r="C1047" s="7" t="s">
        <v>4230</v>
      </c>
      <c r="D1047" s="7" t="s">
        <v>4229</v>
      </c>
      <c r="E1047" s="7" t="s">
        <v>131</v>
      </c>
      <c r="F1047" s="7" t="s">
        <v>4231</v>
      </c>
      <c r="G1047" s="17" t="s">
        <v>7747</v>
      </c>
      <c r="H1047" s="7" t="s">
        <v>28</v>
      </c>
      <c r="I1047" s="7" t="s">
        <v>522</v>
      </c>
      <c r="J1047" s="7" t="s">
        <v>246</v>
      </c>
      <c r="K1047" s="7" t="s">
        <v>523</v>
      </c>
      <c r="L1047" s="7" t="s">
        <v>7744</v>
      </c>
      <c r="M1047" s="7">
        <v>5.4470919999999996</v>
      </c>
      <c r="N1047" s="7">
        <v>10.051793999999999</v>
      </c>
      <c r="O1047" s="7" t="s">
        <v>23</v>
      </c>
    </row>
    <row r="1048" spans="1:15" x14ac:dyDescent="0.25">
      <c r="A1048" s="2">
        <f t="shared" si="16"/>
        <v>1046</v>
      </c>
      <c r="B1048" s="7" t="s">
        <v>4243</v>
      </c>
      <c r="C1048" s="7" t="s">
        <v>4244</v>
      </c>
      <c r="D1048" s="7" t="s">
        <v>4243</v>
      </c>
      <c r="E1048" s="7" t="s">
        <v>131</v>
      </c>
      <c r="F1048" s="7" t="s">
        <v>4245</v>
      </c>
      <c r="G1048" s="17" t="s">
        <v>7747</v>
      </c>
      <c r="H1048" s="7" t="s">
        <v>28</v>
      </c>
      <c r="I1048" s="7" t="s">
        <v>522</v>
      </c>
      <c r="J1048" s="7" t="s">
        <v>246</v>
      </c>
      <c r="K1048" s="7" t="s">
        <v>4246</v>
      </c>
      <c r="L1048" s="7" t="s">
        <v>7744</v>
      </c>
      <c r="M1048" s="7">
        <v>5.36334</v>
      </c>
      <c r="N1048" s="7">
        <v>10.12088</v>
      </c>
      <c r="O1048" s="7" t="s">
        <v>23</v>
      </c>
    </row>
    <row r="1049" spans="1:15" x14ac:dyDescent="0.25">
      <c r="A1049" s="2">
        <f t="shared" si="16"/>
        <v>1047</v>
      </c>
      <c r="B1049" s="7" t="s">
        <v>4264</v>
      </c>
      <c r="C1049" s="7" t="s">
        <v>4265</v>
      </c>
      <c r="D1049" s="7" t="s">
        <v>4264</v>
      </c>
      <c r="E1049" s="7" t="s">
        <v>131</v>
      </c>
      <c r="F1049" s="7" t="s">
        <v>4266</v>
      </c>
      <c r="G1049" s="17" t="s">
        <v>7747</v>
      </c>
      <c r="H1049" s="7" t="s">
        <v>28</v>
      </c>
      <c r="I1049" s="7" t="s">
        <v>522</v>
      </c>
      <c r="J1049" s="7" t="s">
        <v>246</v>
      </c>
      <c r="K1049" s="7" t="s">
        <v>4187</v>
      </c>
      <c r="L1049" s="7" t="s">
        <v>7744</v>
      </c>
      <c r="M1049" s="7">
        <v>5.3854199999999999</v>
      </c>
      <c r="N1049" s="7">
        <v>9.9417600000000004</v>
      </c>
      <c r="O1049" s="7" t="s">
        <v>23</v>
      </c>
    </row>
    <row r="1050" spans="1:15" x14ac:dyDescent="0.25">
      <c r="A1050" s="2">
        <f t="shared" si="16"/>
        <v>1048</v>
      </c>
      <c r="B1050" s="7" t="s">
        <v>4273</v>
      </c>
      <c r="C1050" s="7" t="s">
        <v>4274</v>
      </c>
      <c r="D1050" s="7" t="s">
        <v>4273</v>
      </c>
      <c r="E1050" s="7" t="s">
        <v>131</v>
      </c>
      <c r="F1050" s="7" t="s">
        <v>4275</v>
      </c>
      <c r="G1050" s="17" t="s">
        <v>7747</v>
      </c>
      <c r="H1050" s="7" t="s">
        <v>28</v>
      </c>
      <c r="I1050" s="7" t="s">
        <v>245</v>
      </c>
      <c r="J1050" s="7" t="s">
        <v>761</v>
      </c>
      <c r="K1050" s="7" t="s">
        <v>4276</v>
      </c>
      <c r="L1050" s="7" t="s">
        <v>7744</v>
      </c>
      <c r="M1050" s="7">
        <v>5.6721500000000002</v>
      </c>
      <c r="N1050" s="7">
        <v>10.181699999999999</v>
      </c>
      <c r="O1050" s="7" t="s">
        <v>23</v>
      </c>
    </row>
    <row r="1051" spans="1:15" x14ac:dyDescent="0.25">
      <c r="A1051" s="2">
        <f t="shared" si="16"/>
        <v>1049</v>
      </c>
      <c r="B1051" s="7" t="s">
        <v>4295</v>
      </c>
      <c r="C1051" s="7" t="s">
        <v>4296</v>
      </c>
      <c r="D1051" s="7" t="s">
        <v>4295</v>
      </c>
      <c r="E1051" s="7" t="s">
        <v>131</v>
      </c>
      <c r="F1051" s="7" t="s">
        <v>4245</v>
      </c>
      <c r="G1051" s="17" t="s">
        <v>7747</v>
      </c>
      <c r="H1051" s="7" t="s">
        <v>28</v>
      </c>
      <c r="I1051" s="7" t="s">
        <v>522</v>
      </c>
      <c r="J1051" s="7" t="s">
        <v>246</v>
      </c>
      <c r="K1051" s="7" t="s">
        <v>4246</v>
      </c>
      <c r="L1051" s="7" t="s">
        <v>7744</v>
      </c>
      <c r="M1051" s="7">
        <v>5.3912779999999998</v>
      </c>
      <c r="N1051" s="7">
        <v>10.138278</v>
      </c>
      <c r="O1051" s="7" t="s">
        <v>23</v>
      </c>
    </row>
    <row r="1052" spans="1:15" x14ac:dyDescent="0.25">
      <c r="A1052" s="2">
        <f t="shared" si="16"/>
        <v>1050</v>
      </c>
      <c r="B1052" s="7" t="s">
        <v>4297</v>
      </c>
      <c r="C1052" s="7" t="s">
        <v>4298</v>
      </c>
      <c r="D1052" s="7" t="s">
        <v>4297</v>
      </c>
      <c r="E1052" s="7" t="s">
        <v>131</v>
      </c>
      <c r="F1052" s="7" t="s">
        <v>4299</v>
      </c>
      <c r="G1052" s="17" t="s">
        <v>7747</v>
      </c>
      <c r="H1052" s="7" t="s">
        <v>28</v>
      </c>
      <c r="I1052" s="7" t="s">
        <v>522</v>
      </c>
      <c r="J1052" s="7" t="s">
        <v>246</v>
      </c>
      <c r="K1052" s="7" t="s">
        <v>1139</v>
      </c>
      <c r="L1052" s="7" t="s">
        <v>7744</v>
      </c>
      <c r="M1052" s="7">
        <v>5.5244169999999997</v>
      </c>
      <c r="N1052" s="7">
        <v>10.135139000000001</v>
      </c>
      <c r="O1052" s="7" t="s">
        <v>23</v>
      </c>
    </row>
    <row r="1053" spans="1:15" x14ac:dyDescent="0.25">
      <c r="A1053" s="2">
        <f t="shared" si="16"/>
        <v>1051</v>
      </c>
      <c r="B1053" s="7" t="s">
        <v>4300</v>
      </c>
      <c r="C1053" s="7" t="s">
        <v>4301</v>
      </c>
      <c r="D1053" s="7" t="s">
        <v>4300</v>
      </c>
      <c r="E1053" s="7" t="s">
        <v>131</v>
      </c>
      <c r="F1053" s="7" t="s">
        <v>4275</v>
      </c>
      <c r="G1053" s="17" t="s">
        <v>7747</v>
      </c>
      <c r="H1053" s="7" t="s">
        <v>28</v>
      </c>
      <c r="I1053" s="7" t="s">
        <v>245</v>
      </c>
      <c r="J1053" s="7" t="s">
        <v>761</v>
      </c>
      <c r="K1053" s="7" t="s">
        <v>4276</v>
      </c>
      <c r="L1053" s="7" t="s">
        <v>7744</v>
      </c>
      <c r="M1053" s="7">
        <v>5.6772739999999997</v>
      </c>
      <c r="N1053" s="7">
        <v>10.207425000000001</v>
      </c>
      <c r="O1053" s="7" t="s">
        <v>23</v>
      </c>
    </row>
    <row r="1054" spans="1:15" x14ac:dyDescent="0.25">
      <c r="A1054" s="2">
        <f t="shared" si="16"/>
        <v>1052</v>
      </c>
      <c r="B1054" s="7" t="s">
        <v>4503</v>
      </c>
      <c r="C1054" s="7" t="s">
        <v>4504</v>
      </c>
      <c r="D1054" s="7" t="s">
        <v>4503</v>
      </c>
      <c r="E1054" s="7" t="s">
        <v>131</v>
      </c>
      <c r="F1054" s="7" t="s">
        <v>522</v>
      </c>
      <c r="G1054" s="17" t="s">
        <v>7747</v>
      </c>
      <c r="H1054" s="7" t="s">
        <v>19</v>
      </c>
      <c r="I1054" s="7" t="s">
        <v>522</v>
      </c>
      <c r="J1054" s="7" t="s">
        <v>246</v>
      </c>
      <c r="K1054" s="7" t="s">
        <v>523</v>
      </c>
      <c r="L1054" s="7" t="s">
        <v>7744</v>
      </c>
      <c r="M1054" s="7">
        <v>5.4523299999999999</v>
      </c>
      <c r="N1054" s="7">
        <v>10.065429999999999</v>
      </c>
      <c r="O1054" s="7" t="s">
        <v>23</v>
      </c>
    </row>
    <row r="1055" spans="1:15" x14ac:dyDescent="0.25">
      <c r="A1055" s="2">
        <f t="shared" si="16"/>
        <v>1053</v>
      </c>
      <c r="B1055" s="7" t="s">
        <v>4612</v>
      </c>
      <c r="C1055" s="7" t="s">
        <v>4613</v>
      </c>
      <c r="D1055" s="7" t="s">
        <v>4612</v>
      </c>
      <c r="E1055" s="7" t="s">
        <v>131</v>
      </c>
      <c r="F1055" s="7" t="s">
        <v>4186</v>
      </c>
      <c r="G1055" s="17" t="s">
        <v>7747</v>
      </c>
      <c r="H1055" s="7" t="s">
        <v>28</v>
      </c>
      <c r="I1055" s="7" t="s">
        <v>522</v>
      </c>
      <c r="J1055" s="7" t="s">
        <v>246</v>
      </c>
      <c r="K1055" s="7" t="s">
        <v>4187</v>
      </c>
      <c r="L1055" s="7" t="s">
        <v>7744</v>
      </c>
      <c r="M1055" s="7">
        <v>5.2833889999999997</v>
      </c>
      <c r="N1055" s="7">
        <v>9.9668060000000001</v>
      </c>
      <c r="O1055" s="7" t="s">
        <v>23</v>
      </c>
    </row>
    <row r="1056" spans="1:15" x14ac:dyDescent="0.25">
      <c r="A1056" s="2">
        <f t="shared" si="16"/>
        <v>1054</v>
      </c>
      <c r="B1056" s="7" t="s">
        <v>4859</v>
      </c>
      <c r="C1056" s="7" t="s">
        <v>4860</v>
      </c>
      <c r="D1056" s="7" t="s">
        <v>4859</v>
      </c>
      <c r="E1056" s="7" t="s">
        <v>131</v>
      </c>
      <c r="F1056" s="7" t="s">
        <v>2229</v>
      </c>
      <c r="G1056" s="17" t="s">
        <v>7747</v>
      </c>
      <c r="H1056" s="7" t="s">
        <v>28</v>
      </c>
      <c r="I1056" s="7" t="s">
        <v>522</v>
      </c>
      <c r="J1056" s="7" t="s">
        <v>246</v>
      </c>
      <c r="K1056" s="7" t="s">
        <v>1139</v>
      </c>
      <c r="L1056" s="7" t="s">
        <v>7744</v>
      </c>
      <c r="M1056" s="7">
        <v>5.5491999999999999</v>
      </c>
      <c r="N1056" s="7">
        <v>10.091670000000001</v>
      </c>
      <c r="O1056" s="7" t="s">
        <v>23</v>
      </c>
    </row>
    <row r="1057" spans="1:15" x14ac:dyDescent="0.25">
      <c r="A1057" s="2">
        <f t="shared" si="16"/>
        <v>1055</v>
      </c>
      <c r="B1057" s="7" t="s">
        <v>5003</v>
      </c>
      <c r="C1057" s="7" t="s">
        <v>5004</v>
      </c>
      <c r="D1057" s="7" t="s">
        <v>5003</v>
      </c>
      <c r="E1057" s="7" t="s">
        <v>131</v>
      </c>
      <c r="F1057" s="7" t="s">
        <v>5005</v>
      </c>
      <c r="G1057" s="17" t="s">
        <v>7747</v>
      </c>
      <c r="H1057" s="7" t="s">
        <v>28</v>
      </c>
      <c r="I1057" s="7" t="s">
        <v>522</v>
      </c>
      <c r="J1057" s="7" t="s">
        <v>246</v>
      </c>
      <c r="K1057" s="7" t="s">
        <v>523</v>
      </c>
      <c r="L1057" s="7" t="s">
        <v>7744</v>
      </c>
      <c r="M1057" s="7">
        <v>5.4560250000000003</v>
      </c>
      <c r="N1057" s="7">
        <v>10.050274999999999</v>
      </c>
      <c r="O1057" s="7" t="s">
        <v>23</v>
      </c>
    </row>
    <row r="1058" spans="1:15" x14ac:dyDescent="0.25">
      <c r="A1058" s="2">
        <f t="shared" si="16"/>
        <v>1056</v>
      </c>
      <c r="B1058" s="7" t="s">
        <v>5159</v>
      </c>
      <c r="C1058" s="7" t="s">
        <v>5160</v>
      </c>
      <c r="D1058" s="7" t="s">
        <v>5159</v>
      </c>
      <c r="E1058" s="7" t="s">
        <v>131</v>
      </c>
      <c r="F1058" s="7" t="s">
        <v>5161</v>
      </c>
      <c r="G1058" s="17" t="s">
        <v>7747</v>
      </c>
      <c r="H1058" s="7" t="s">
        <v>28</v>
      </c>
      <c r="I1058" s="7" t="s">
        <v>522</v>
      </c>
      <c r="J1058" s="7" t="s">
        <v>246</v>
      </c>
      <c r="K1058" s="7" t="s">
        <v>523</v>
      </c>
      <c r="L1058" s="7" t="s">
        <v>7744</v>
      </c>
      <c r="M1058" s="7">
        <v>5.4581390000000001</v>
      </c>
      <c r="N1058" s="7">
        <v>10.069471999999999</v>
      </c>
      <c r="O1058" s="7" t="s">
        <v>613</v>
      </c>
    </row>
    <row r="1059" spans="1:15" x14ac:dyDescent="0.25">
      <c r="A1059" s="2">
        <f t="shared" si="16"/>
        <v>1057</v>
      </c>
      <c r="B1059" s="7" t="s">
        <v>5356</v>
      </c>
      <c r="C1059" s="7" t="s">
        <v>5357</v>
      </c>
      <c r="D1059" s="7" t="s">
        <v>5356</v>
      </c>
      <c r="E1059" s="7" t="s">
        <v>131</v>
      </c>
      <c r="F1059" s="7" t="s">
        <v>5358</v>
      </c>
      <c r="G1059" s="17" t="s">
        <v>7747</v>
      </c>
      <c r="H1059" s="7" t="s">
        <v>28</v>
      </c>
      <c r="I1059" s="7" t="s">
        <v>165</v>
      </c>
      <c r="J1059" s="7" t="s">
        <v>715</v>
      </c>
      <c r="K1059" s="7" t="s">
        <v>165</v>
      </c>
      <c r="L1059" s="7" t="s">
        <v>7744</v>
      </c>
      <c r="M1059" s="7">
        <v>5.1577219999999997</v>
      </c>
      <c r="N1059" s="7">
        <v>10.178832999999999</v>
      </c>
      <c r="O1059" s="7" t="s">
        <v>613</v>
      </c>
    </row>
    <row r="1060" spans="1:15" x14ac:dyDescent="0.25">
      <c r="A1060" s="2">
        <f t="shared" si="16"/>
        <v>1058</v>
      </c>
      <c r="B1060" s="7" t="s">
        <v>6065</v>
      </c>
      <c r="C1060" s="7" t="s">
        <v>6066</v>
      </c>
      <c r="D1060" s="7" t="s">
        <v>6065</v>
      </c>
      <c r="E1060" s="7" t="s">
        <v>131</v>
      </c>
      <c r="F1060" s="7" t="s">
        <v>6067</v>
      </c>
      <c r="G1060" s="8" t="s">
        <v>36</v>
      </c>
      <c r="H1060" s="7" t="s">
        <v>28</v>
      </c>
      <c r="I1060" s="7" t="s">
        <v>522</v>
      </c>
      <c r="J1060" s="7" t="s">
        <v>792</v>
      </c>
      <c r="K1060" s="7" t="s">
        <v>6068</v>
      </c>
      <c r="L1060" s="7" t="s">
        <v>7744</v>
      </c>
      <c r="M1060" s="7">
        <v>5.6308360000000004</v>
      </c>
      <c r="N1060" s="7">
        <v>10.056381999999999</v>
      </c>
      <c r="O1060" s="7" t="s">
        <v>23</v>
      </c>
    </row>
    <row r="1061" spans="1:15" x14ac:dyDescent="0.25">
      <c r="A1061" s="2">
        <f t="shared" si="16"/>
        <v>1059</v>
      </c>
      <c r="B1061" s="7" t="s">
        <v>7080</v>
      </c>
      <c r="C1061" s="7" t="s">
        <v>7081</v>
      </c>
      <c r="D1061" s="7" t="s">
        <v>7080</v>
      </c>
      <c r="E1061" s="7" t="s">
        <v>131</v>
      </c>
      <c r="F1061" s="7" t="s">
        <v>7082</v>
      </c>
      <c r="G1061" s="17" t="s">
        <v>7747</v>
      </c>
      <c r="H1061" s="7" t="s">
        <v>28</v>
      </c>
      <c r="I1061" s="7" t="s">
        <v>165</v>
      </c>
      <c r="J1061" s="7" t="s">
        <v>715</v>
      </c>
      <c r="K1061" s="7" t="s">
        <v>1710</v>
      </c>
      <c r="L1061" s="7" t="s">
        <v>7744</v>
      </c>
      <c r="M1061" s="7">
        <v>5.2270430000000001</v>
      </c>
      <c r="N1061" s="7">
        <v>10.217421999999999</v>
      </c>
      <c r="O1061" s="7" t="s">
        <v>23</v>
      </c>
    </row>
    <row r="1062" spans="1:15" x14ac:dyDescent="0.25">
      <c r="A1062" s="2">
        <f t="shared" si="16"/>
        <v>1060</v>
      </c>
      <c r="B1062" s="7" t="s">
        <v>7284</v>
      </c>
      <c r="C1062" s="7" t="s">
        <v>7285</v>
      </c>
      <c r="D1062" s="7" t="s">
        <v>7284</v>
      </c>
      <c r="E1062" s="7" t="s">
        <v>131</v>
      </c>
      <c r="F1062" s="7" t="s">
        <v>7286</v>
      </c>
      <c r="G1062" s="17" t="s">
        <v>7747</v>
      </c>
      <c r="H1062" s="7" t="s">
        <v>28</v>
      </c>
      <c r="I1062" s="7" t="s">
        <v>522</v>
      </c>
      <c r="J1062" s="7" t="s">
        <v>246</v>
      </c>
      <c r="K1062" s="7" t="s">
        <v>4245</v>
      </c>
      <c r="L1062" s="7" t="s">
        <v>7744</v>
      </c>
      <c r="M1062" s="7">
        <v>5.3486700000000003</v>
      </c>
      <c r="N1062" s="7">
        <v>10.078150000000001</v>
      </c>
      <c r="O1062" s="7" t="s">
        <v>23</v>
      </c>
    </row>
    <row r="1063" spans="1:15" x14ac:dyDescent="0.25">
      <c r="A1063" s="2">
        <f t="shared" si="16"/>
        <v>1061</v>
      </c>
      <c r="B1063" s="7" t="s">
        <v>7326</v>
      </c>
      <c r="C1063" s="7" t="s">
        <v>7327</v>
      </c>
      <c r="D1063" s="7" t="s">
        <v>7326</v>
      </c>
      <c r="E1063" s="7" t="s">
        <v>131</v>
      </c>
      <c r="F1063" s="7" t="s">
        <v>7328</v>
      </c>
      <c r="G1063" s="17" t="s">
        <v>7747</v>
      </c>
      <c r="H1063" s="7" t="s">
        <v>28</v>
      </c>
      <c r="I1063" s="7" t="s">
        <v>7329</v>
      </c>
      <c r="J1063" s="7" t="s">
        <v>761</v>
      </c>
      <c r="K1063" s="7" t="s">
        <v>4276</v>
      </c>
      <c r="L1063" s="7" t="s">
        <v>7744</v>
      </c>
      <c r="M1063" s="7">
        <v>5.6365800000000004</v>
      </c>
      <c r="N1063" s="7">
        <v>10.13303</v>
      </c>
      <c r="O1063" s="7" t="s">
        <v>23</v>
      </c>
    </row>
    <row r="1064" spans="1:15" x14ac:dyDescent="0.25">
      <c r="A1064" s="2">
        <f t="shared" si="16"/>
        <v>1062</v>
      </c>
      <c r="B1064" s="7" t="s">
        <v>7330</v>
      </c>
      <c r="C1064" s="7" t="s">
        <v>7331</v>
      </c>
      <c r="D1064" s="7" t="s">
        <v>7330</v>
      </c>
      <c r="E1064" s="7" t="s">
        <v>131</v>
      </c>
      <c r="F1064" s="7" t="s">
        <v>7332</v>
      </c>
      <c r="G1064" s="17" t="s">
        <v>7747</v>
      </c>
      <c r="H1064" s="7" t="s">
        <v>28</v>
      </c>
      <c r="I1064" s="7" t="s">
        <v>7329</v>
      </c>
      <c r="J1064" s="7" t="s">
        <v>246</v>
      </c>
      <c r="K1064" s="7" t="s">
        <v>4245</v>
      </c>
      <c r="L1064" s="7" t="s">
        <v>7744</v>
      </c>
      <c r="M1064" s="7">
        <v>5.3838499999999998</v>
      </c>
      <c r="N1064" s="7">
        <v>10.17689</v>
      </c>
      <c r="O1064" s="7" t="s">
        <v>23</v>
      </c>
    </row>
    <row r="1065" spans="1:15" x14ac:dyDescent="0.25">
      <c r="A1065" s="2">
        <f t="shared" si="16"/>
        <v>1063</v>
      </c>
      <c r="B1065" s="7" t="s">
        <v>7555</v>
      </c>
      <c r="C1065" s="7" t="s">
        <v>7556</v>
      </c>
      <c r="D1065" s="7" t="s">
        <v>7555</v>
      </c>
      <c r="E1065" s="7" t="s">
        <v>131</v>
      </c>
      <c r="F1065" s="7" t="s">
        <v>7557</v>
      </c>
      <c r="G1065" s="17" t="s">
        <v>7747</v>
      </c>
      <c r="H1065" s="7" t="s">
        <v>28</v>
      </c>
      <c r="I1065" s="7" t="s">
        <v>522</v>
      </c>
      <c r="J1065" s="7" t="s">
        <v>2461</v>
      </c>
      <c r="K1065" s="7" t="s">
        <v>7558</v>
      </c>
      <c r="L1065" s="7" t="s">
        <v>7744</v>
      </c>
      <c r="M1065" s="7">
        <v>5.40808</v>
      </c>
      <c r="N1065" s="7">
        <v>10.08042</v>
      </c>
      <c r="O1065" s="7" t="s">
        <v>23</v>
      </c>
    </row>
    <row r="1066" spans="1:15" x14ac:dyDescent="0.25">
      <c r="A1066" s="2">
        <f t="shared" si="16"/>
        <v>1064</v>
      </c>
      <c r="B1066" s="7" t="s">
        <v>7559</v>
      </c>
      <c r="C1066" s="7" t="s">
        <v>7560</v>
      </c>
      <c r="D1066" s="7" t="s">
        <v>7559</v>
      </c>
      <c r="E1066" s="7" t="s">
        <v>131</v>
      </c>
      <c r="F1066" s="7" t="s">
        <v>7561</v>
      </c>
      <c r="G1066" s="17" t="s">
        <v>7747</v>
      </c>
      <c r="H1066" s="7" t="s">
        <v>28</v>
      </c>
      <c r="I1066" s="7" t="s">
        <v>7329</v>
      </c>
      <c r="J1066" s="7" t="s">
        <v>7562</v>
      </c>
      <c r="K1066" s="7" t="s">
        <v>2287</v>
      </c>
      <c r="L1066" s="7" t="s">
        <v>7744</v>
      </c>
      <c r="M1066" s="7">
        <v>5.54312</v>
      </c>
      <c r="N1066" s="7">
        <v>10.198320000000001</v>
      </c>
      <c r="O1066" s="7" t="s">
        <v>23</v>
      </c>
    </row>
    <row r="1067" spans="1:15" x14ac:dyDescent="0.25">
      <c r="A1067" s="2">
        <f t="shared" si="16"/>
        <v>1065</v>
      </c>
      <c r="B1067" s="7" t="s">
        <v>7581</v>
      </c>
      <c r="C1067" s="7" t="s">
        <v>7582</v>
      </c>
      <c r="D1067" s="7" t="s">
        <v>7581</v>
      </c>
      <c r="E1067" s="7" t="s">
        <v>131</v>
      </c>
      <c r="F1067" s="7" t="s">
        <v>7583</v>
      </c>
      <c r="G1067" s="17" t="s">
        <v>7747</v>
      </c>
      <c r="H1067" s="7" t="s">
        <v>28</v>
      </c>
      <c r="I1067" s="7" t="s">
        <v>165</v>
      </c>
      <c r="J1067" s="7" t="s">
        <v>1309</v>
      </c>
      <c r="K1067" s="7" t="s">
        <v>1310</v>
      </c>
      <c r="L1067" s="7" t="s">
        <v>7744</v>
      </c>
      <c r="M1067" s="7">
        <v>5.3600430000000001</v>
      </c>
      <c r="N1067" s="7">
        <v>10.010142999999999</v>
      </c>
      <c r="O1067" s="7" t="s">
        <v>23</v>
      </c>
    </row>
    <row r="1068" spans="1:15" x14ac:dyDescent="0.25">
      <c r="A1068" s="2">
        <f t="shared" si="16"/>
        <v>1066</v>
      </c>
      <c r="B1068" s="7" t="s">
        <v>7663</v>
      </c>
      <c r="C1068" s="7" t="s">
        <v>7664</v>
      </c>
      <c r="D1068" s="7" t="s">
        <v>7663</v>
      </c>
      <c r="E1068" s="10" t="s">
        <v>26</v>
      </c>
      <c r="F1068" s="7" t="s">
        <v>7665</v>
      </c>
      <c r="G1068" s="17" t="s">
        <v>7747</v>
      </c>
      <c r="H1068" s="7" t="s">
        <v>28</v>
      </c>
      <c r="I1068" s="7" t="s">
        <v>241</v>
      </c>
      <c r="J1068" s="7" t="s">
        <v>195</v>
      </c>
      <c r="K1068" s="7" t="s">
        <v>1010</v>
      </c>
      <c r="L1068" s="7" t="s">
        <v>7744</v>
      </c>
      <c r="M1068" s="10">
        <v>5.5950097000000003</v>
      </c>
      <c r="N1068" s="10">
        <v>10.17033</v>
      </c>
      <c r="O1068" s="7" t="s">
        <v>613</v>
      </c>
    </row>
    <row r="1069" spans="1:15" x14ac:dyDescent="0.25">
      <c r="A1069" s="2">
        <f t="shared" si="16"/>
        <v>1067</v>
      </c>
      <c r="B1069" s="7" t="s">
        <v>155</v>
      </c>
      <c r="C1069" s="7" t="s">
        <v>156</v>
      </c>
      <c r="D1069" s="7" t="s">
        <v>155</v>
      </c>
      <c r="E1069" s="7" t="s">
        <v>50</v>
      </c>
      <c r="F1069" s="7" t="s">
        <v>157</v>
      </c>
      <c r="G1069" s="17" t="s">
        <v>7747</v>
      </c>
      <c r="H1069" s="7" t="s">
        <v>28</v>
      </c>
      <c r="I1069" s="7" t="s">
        <v>158</v>
      </c>
      <c r="J1069" s="7" t="s">
        <v>159</v>
      </c>
      <c r="K1069" s="7" t="s">
        <v>160</v>
      </c>
      <c r="L1069" s="7" t="s">
        <v>7743</v>
      </c>
      <c r="M1069" s="7">
        <v>3.7805499999999999</v>
      </c>
      <c r="N1069" s="7">
        <v>10.515138</v>
      </c>
      <c r="O1069" s="7" t="s">
        <v>23</v>
      </c>
    </row>
    <row r="1070" spans="1:15" x14ac:dyDescent="0.25">
      <c r="A1070" s="2">
        <f t="shared" si="16"/>
        <v>1068</v>
      </c>
      <c r="B1070" s="7" t="s">
        <v>176</v>
      </c>
      <c r="C1070" s="7" t="s">
        <v>177</v>
      </c>
      <c r="D1070" s="7" t="s">
        <v>176</v>
      </c>
      <c r="E1070" s="7" t="s">
        <v>50</v>
      </c>
      <c r="F1070" s="7" t="s">
        <v>178</v>
      </c>
      <c r="G1070" s="17" t="s">
        <v>7747</v>
      </c>
      <c r="H1070" s="7" t="s">
        <v>28</v>
      </c>
      <c r="I1070" s="7" t="s">
        <v>179</v>
      </c>
      <c r="J1070" s="7" t="s">
        <v>159</v>
      </c>
      <c r="K1070" s="7" t="s">
        <v>160</v>
      </c>
      <c r="L1070" s="7" t="s">
        <v>7743</v>
      </c>
      <c r="M1070" s="7">
        <v>3.6912349999999998</v>
      </c>
      <c r="N1070" s="7">
        <v>10.384677999999999</v>
      </c>
      <c r="O1070" s="7" t="s">
        <v>23</v>
      </c>
    </row>
    <row r="1071" spans="1:15" x14ac:dyDescent="0.25">
      <c r="A1071" s="2">
        <f t="shared" si="16"/>
        <v>1069</v>
      </c>
      <c r="B1071" s="7" t="s">
        <v>197</v>
      </c>
      <c r="C1071" s="7" t="s">
        <v>198</v>
      </c>
      <c r="D1071" s="7" t="s">
        <v>197</v>
      </c>
      <c r="E1071" s="7" t="s">
        <v>50</v>
      </c>
      <c r="F1071" s="7" t="s">
        <v>199</v>
      </c>
      <c r="G1071" s="17" t="s">
        <v>7747</v>
      </c>
      <c r="H1071" s="7" t="s">
        <v>28</v>
      </c>
      <c r="I1071" s="7" t="s">
        <v>161</v>
      </c>
      <c r="J1071" s="7" t="s">
        <v>159</v>
      </c>
      <c r="K1071" s="7" t="s">
        <v>200</v>
      </c>
      <c r="L1071" s="7" t="s">
        <v>7743</v>
      </c>
      <c r="M1071" s="7">
        <v>3.9419400000000002</v>
      </c>
      <c r="N1071" s="7">
        <v>10.047345</v>
      </c>
      <c r="O1071" s="7" t="s">
        <v>23</v>
      </c>
    </row>
    <row r="1072" spans="1:15" x14ac:dyDescent="0.25">
      <c r="A1072" s="2">
        <f t="shared" si="16"/>
        <v>1070</v>
      </c>
      <c r="B1072" s="7" t="s">
        <v>201</v>
      </c>
      <c r="C1072" s="7" t="s">
        <v>202</v>
      </c>
      <c r="D1072" s="7" t="s">
        <v>201</v>
      </c>
      <c r="E1072" s="7" t="s">
        <v>50</v>
      </c>
      <c r="F1072" s="7" t="s">
        <v>203</v>
      </c>
      <c r="G1072" s="17" t="s">
        <v>7747</v>
      </c>
      <c r="H1072" s="7" t="s">
        <v>19</v>
      </c>
      <c r="I1072" s="7" t="s">
        <v>161</v>
      </c>
      <c r="J1072" s="7" t="s">
        <v>159</v>
      </c>
      <c r="K1072" s="7" t="s">
        <v>204</v>
      </c>
      <c r="L1072" s="7" t="s">
        <v>7743</v>
      </c>
      <c r="M1072" s="7">
        <v>3.94814</v>
      </c>
      <c r="N1072" s="7">
        <v>10.024179999999999</v>
      </c>
      <c r="O1072" s="7" t="s">
        <v>23</v>
      </c>
    </row>
    <row r="1073" spans="1:15" x14ac:dyDescent="0.25">
      <c r="A1073" s="2">
        <f t="shared" si="16"/>
        <v>1071</v>
      </c>
      <c r="B1073" s="7" t="s">
        <v>205</v>
      </c>
      <c r="C1073" s="7" t="s">
        <v>206</v>
      </c>
      <c r="D1073" s="7" t="s">
        <v>205</v>
      </c>
      <c r="E1073" s="7" t="s">
        <v>50</v>
      </c>
      <c r="F1073" s="7" t="s">
        <v>207</v>
      </c>
      <c r="G1073" s="17" t="s">
        <v>7747</v>
      </c>
      <c r="H1073" s="7" t="s">
        <v>28</v>
      </c>
      <c r="I1073" s="7" t="s">
        <v>158</v>
      </c>
      <c r="J1073" s="7" t="s">
        <v>208</v>
      </c>
      <c r="K1073" s="7" t="s">
        <v>209</v>
      </c>
      <c r="L1073" s="7" t="s">
        <v>7743</v>
      </c>
      <c r="M1073" s="7">
        <v>3.8074680000000001</v>
      </c>
      <c r="N1073" s="7">
        <v>10.616434999999999</v>
      </c>
      <c r="O1073" s="7" t="s">
        <v>23</v>
      </c>
    </row>
    <row r="1074" spans="1:15" x14ac:dyDescent="0.25">
      <c r="A1074" s="2">
        <f t="shared" si="16"/>
        <v>1072</v>
      </c>
      <c r="B1074" s="7" t="s">
        <v>228</v>
      </c>
      <c r="C1074" s="7" t="s">
        <v>229</v>
      </c>
      <c r="D1074" s="7" t="s">
        <v>228</v>
      </c>
      <c r="E1074" s="7" t="s">
        <v>50</v>
      </c>
      <c r="F1074" s="7" t="s">
        <v>230</v>
      </c>
      <c r="G1074" s="17" t="s">
        <v>7747</v>
      </c>
      <c r="H1074" s="7" t="s">
        <v>28</v>
      </c>
      <c r="I1074" s="7" t="s">
        <v>158</v>
      </c>
      <c r="J1074" s="7" t="s">
        <v>159</v>
      </c>
      <c r="K1074" s="7" t="s">
        <v>160</v>
      </c>
      <c r="L1074" s="7" t="s">
        <v>7743</v>
      </c>
      <c r="M1074" s="7">
        <v>4.1061699999999997</v>
      </c>
      <c r="N1074" s="7">
        <v>10.556979999999999</v>
      </c>
      <c r="O1074" s="7" t="s">
        <v>23</v>
      </c>
    </row>
    <row r="1075" spans="1:15" x14ac:dyDescent="0.25">
      <c r="A1075" s="2">
        <f t="shared" si="16"/>
        <v>1073</v>
      </c>
      <c r="B1075" s="7" t="s">
        <v>350</v>
      </c>
      <c r="C1075" s="7" t="s">
        <v>351</v>
      </c>
      <c r="D1075" s="7" t="s">
        <v>350</v>
      </c>
      <c r="E1075" s="7" t="s">
        <v>50</v>
      </c>
      <c r="F1075" s="7" t="s">
        <v>352</v>
      </c>
      <c r="G1075" s="17" t="s">
        <v>7747</v>
      </c>
      <c r="H1075" s="7" t="s">
        <v>28</v>
      </c>
      <c r="I1075" s="7" t="s">
        <v>158</v>
      </c>
      <c r="J1075" s="7" t="s">
        <v>159</v>
      </c>
      <c r="K1075" s="7" t="s">
        <v>160</v>
      </c>
      <c r="L1075" s="7" t="s">
        <v>7743</v>
      </c>
      <c r="M1075" s="7">
        <v>4.09274</v>
      </c>
      <c r="N1075" s="7">
        <v>10.66999</v>
      </c>
      <c r="O1075" s="7" t="s">
        <v>23</v>
      </c>
    </row>
    <row r="1076" spans="1:15" x14ac:dyDescent="0.25">
      <c r="A1076" s="2">
        <f t="shared" si="16"/>
        <v>1074</v>
      </c>
      <c r="B1076" s="7" t="s">
        <v>376</v>
      </c>
      <c r="C1076" s="7" t="s">
        <v>377</v>
      </c>
      <c r="D1076" s="7" t="s">
        <v>376</v>
      </c>
      <c r="E1076" s="7" t="s">
        <v>50</v>
      </c>
      <c r="F1076" s="7" t="s">
        <v>378</v>
      </c>
      <c r="G1076" s="17" t="s">
        <v>7747</v>
      </c>
      <c r="H1076" s="7" t="s">
        <v>28</v>
      </c>
      <c r="I1076" s="7" t="s">
        <v>161</v>
      </c>
      <c r="J1076" s="7" t="s">
        <v>159</v>
      </c>
      <c r="K1076" s="7" t="s">
        <v>379</v>
      </c>
      <c r="L1076" s="7" t="s">
        <v>7743</v>
      </c>
      <c r="M1076" s="7">
        <v>3.9013789999999999</v>
      </c>
      <c r="N1076" s="7">
        <v>10.066253</v>
      </c>
      <c r="O1076" s="7" t="s">
        <v>23</v>
      </c>
    </row>
    <row r="1077" spans="1:15" x14ac:dyDescent="0.25">
      <c r="A1077" s="2">
        <f t="shared" si="16"/>
        <v>1075</v>
      </c>
      <c r="B1077" s="7" t="s">
        <v>384</v>
      </c>
      <c r="C1077" s="7" t="s">
        <v>385</v>
      </c>
      <c r="D1077" s="7" t="s">
        <v>384</v>
      </c>
      <c r="E1077" s="7" t="s">
        <v>50</v>
      </c>
      <c r="F1077" s="7" t="s">
        <v>386</v>
      </c>
      <c r="G1077" s="17" t="s">
        <v>7747</v>
      </c>
      <c r="H1077" s="7" t="s">
        <v>28</v>
      </c>
      <c r="I1077" s="7" t="s">
        <v>158</v>
      </c>
      <c r="J1077" s="7" t="s">
        <v>159</v>
      </c>
      <c r="K1077" s="7" t="s">
        <v>160</v>
      </c>
      <c r="L1077" s="7" t="s">
        <v>7743</v>
      </c>
      <c r="M1077" s="7">
        <v>4.0791180000000002</v>
      </c>
      <c r="N1077" s="7">
        <v>10.380034999999999</v>
      </c>
      <c r="O1077" s="7" t="s">
        <v>23</v>
      </c>
    </row>
    <row r="1078" spans="1:15" x14ac:dyDescent="0.25">
      <c r="A1078" s="2">
        <f t="shared" si="16"/>
        <v>1076</v>
      </c>
      <c r="B1078" s="7" t="s">
        <v>390</v>
      </c>
      <c r="C1078" s="7" t="s">
        <v>391</v>
      </c>
      <c r="D1078" s="7" t="s">
        <v>390</v>
      </c>
      <c r="E1078" s="7" t="s">
        <v>50</v>
      </c>
      <c r="F1078" s="7" t="s">
        <v>392</v>
      </c>
      <c r="G1078" s="17" t="s">
        <v>7747</v>
      </c>
      <c r="H1078" s="7" t="s">
        <v>28</v>
      </c>
      <c r="I1078" s="7" t="s">
        <v>158</v>
      </c>
      <c r="J1078" s="7" t="s">
        <v>159</v>
      </c>
      <c r="K1078" s="7" t="s">
        <v>160</v>
      </c>
      <c r="L1078" s="7" t="s">
        <v>7743</v>
      </c>
      <c r="M1078" s="7">
        <v>4.2172219999999996</v>
      </c>
      <c r="N1078" s="7">
        <v>10.714528</v>
      </c>
      <c r="O1078" s="7" t="s">
        <v>23</v>
      </c>
    </row>
    <row r="1079" spans="1:15" x14ac:dyDescent="0.25">
      <c r="A1079" s="2">
        <f t="shared" si="16"/>
        <v>1077</v>
      </c>
      <c r="B1079" s="7" t="s">
        <v>428</v>
      </c>
      <c r="C1079" s="7" t="s">
        <v>429</v>
      </c>
      <c r="D1079" s="7" t="s">
        <v>428</v>
      </c>
      <c r="E1079" s="7" t="s">
        <v>50</v>
      </c>
      <c r="F1079" s="7" t="s">
        <v>430</v>
      </c>
      <c r="G1079" s="17" t="s">
        <v>7747</v>
      </c>
      <c r="H1079" s="7" t="s">
        <v>28</v>
      </c>
      <c r="I1079" s="7" t="s">
        <v>179</v>
      </c>
      <c r="J1079" s="7" t="s">
        <v>159</v>
      </c>
      <c r="K1079" s="7" t="s">
        <v>160</v>
      </c>
      <c r="L1079" s="7" t="s">
        <v>7743</v>
      </c>
      <c r="M1079" s="7">
        <v>3.6185559999999999</v>
      </c>
      <c r="N1079" s="7">
        <v>10.257845</v>
      </c>
      <c r="O1079" s="7" t="s">
        <v>23</v>
      </c>
    </row>
    <row r="1080" spans="1:15" x14ac:dyDescent="0.25">
      <c r="A1080" s="2">
        <f t="shared" si="16"/>
        <v>1078</v>
      </c>
      <c r="B1080" s="7" t="s">
        <v>588</v>
      </c>
      <c r="C1080" s="7" t="s">
        <v>589</v>
      </c>
      <c r="D1080" s="7" t="s">
        <v>588</v>
      </c>
      <c r="E1080" s="7" t="s">
        <v>50</v>
      </c>
      <c r="F1080" s="7" t="s">
        <v>590</v>
      </c>
      <c r="G1080" s="17" t="s">
        <v>7747</v>
      </c>
      <c r="H1080" s="7" t="s">
        <v>28</v>
      </c>
      <c r="I1080" s="7" t="s">
        <v>179</v>
      </c>
      <c r="J1080" s="7" t="s">
        <v>159</v>
      </c>
      <c r="K1080" s="7" t="s">
        <v>160</v>
      </c>
      <c r="L1080" s="7" t="s">
        <v>7743</v>
      </c>
      <c r="M1080" s="7">
        <v>3.716129</v>
      </c>
      <c r="N1080" s="7">
        <v>10.319081000000001</v>
      </c>
      <c r="O1080" s="7" t="s">
        <v>23</v>
      </c>
    </row>
    <row r="1081" spans="1:15" x14ac:dyDescent="0.25">
      <c r="A1081" s="2">
        <f t="shared" si="16"/>
        <v>1079</v>
      </c>
      <c r="B1081" s="7" t="s">
        <v>640</v>
      </c>
      <c r="C1081" s="7" t="s">
        <v>641</v>
      </c>
      <c r="D1081" s="7" t="s">
        <v>640</v>
      </c>
      <c r="E1081" s="7" t="s">
        <v>50</v>
      </c>
      <c r="F1081" s="7" t="s">
        <v>642</v>
      </c>
      <c r="G1081" s="17" t="s">
        <v>7747</v>
      </c>
      <c r="H1081" s="7" t="s">
        <v>28</v>
      </c>
      <c r="I1081" s="7" t="s">
        <v>158</v>
      </c>
      <c r="J1081" s="7" t="s">
        <v>159</v>
      </c>
      <c r="K1081" s="7" t="s">
        <v>160</v>
      </c>
      <c r="L1081" s="7" t="s">
        <v>7743</v>
      </c>
      <c r="M1081" s="7">
        <v>3.9553600000000002</v>
      </c>
      <c r="N1081" s="7">
        <v>10.552778</v>
      </c>
      <c r="O1081" s="7" t="s">
        <v>23</v>
      </c>
    </row>
    <row r="1082" spans="1:15" x14ac:dyDescent="0.25">
      <c r="A1082" s="2">
        <f t="shared" si="16"/>
        <v>1080</v>
      </c>
      <c r="B1082" s="7" t="s">
        <v>693</v>
      </c>
      <c r="C1082" s="7" t="s">
        <v>694</v>
      </c>
      <c r="D1082" s="7" t="s">
        <v>693</v>
      </c>
      <c r="E1082" s="7" t="s">
        <v>50</v>
      </c>
      <c r="F1082" s="7" t="s">
        <v>695</v>
      </c>
      <c r="G1082" s="17" t="s">
        <v>7747</v>
      </c>
      <c r="H1082" s="7" t="s">
        <v>28</v>
      </c>
      <c r="I1082" s="7" t="s">
        <v>179</v>
      </c>
      <c r="J1082" s="7" t="s">
        <v>159</v>
      </c>
      <c r="K1082" s="7" t="s">
        <v>200</v>
      </c>
      <c r="L1082" s="7" t="s">
        <v>7743</v>
      </c>
      <c r="M1082" s="7">
        <v>3.9530370000000001</v>
      </c>
      <c r="N1082" s="7">
        <v>10.115176</v>
      </c>
      <c r="O1082" s="7" t="s">
        <v>23</v>
      </c>
    </row>
    <row r="1083" spans="1:15" x14ac:dyDescent="0.25">
      <c r="A1083" s="2">
        <f t="shared" si="16"/>
        <v>1081</v>
      </c>
      <c r="B1083" s="7" t="s">
        <v>828</v>
      </c>
      <c r="C1083" s="7" t="s">
        <v>829</v>
      </c>
      <c r="D1083" s="7" t="s">
        <v>828</v>
      </c>
      <c r="E1083" s="7" t="s">
        <v>50</v>
      </c>
      <c r="F1083" s="7" t="s">
        <v>830</v>
      </c>
      <c r="G1083" s="17" t="s">
        <v>7747</v>
      </c>
      <c r="H1083" s="7" t="s">
        <v>28</v>
      </c>
      <c r="I1083" s="7" t="s">
        <v>179</v>
      </c>
      <c r="J1083" s="7" t="s">
        <v>293</v>
      </c>
      <c r="K1083" s="7" t="s">
        <v>831</v>
      </c>
      <c r="L1083" s="7" t="s">
        <v>7743</v>
      </c>
      <c r="M1083" s="7">
        <v>3.4252600000000002</v>
      </c>
      <c r="N1083" s="7">
        <v>10.125589</v>
      </c>
      <c r="O1083" s="7" t="s">
        <v>23</v>
      </c>
    </row>
    <row r="1084" spans="1:15" x14ac:dyDescent="0.25">
      <c r="A1084" s="2">
        <f t="shared" si="16"/>
        <v>1082</v>
      </c>
      <c r="B1084" s="7" t="s">
        <v>835</v>
      </c>
      <c r="C1084" s="7" t="s">
        <v>836</v>
      </c>
      <c r="D1084" s="7" t="s">
        <v>835</v>
      </c>
      <c r="E1084" s="7" t="s">
        <v>50</v>
      </c>
      <c r="F1084" s="7" t="s">
        <v>837</v>
      </c>
      <c r="G1084" s="17" t="s">
        <v>7747</v>
      </c>
      <c r="H1084" s="7" t="s">
        <v>28</v>
      </c>
      <c r="I1084" s="7" t="s">
        <v>179</v>
      </c>
      <c r="J1084" s="7" t="s">
        <v>159</v>
      </c>
      <c r="K1084" s="7" t="s">
        <v>204</v>
      </c>
      <c r="L1084" s="7" t="s">
        <v>7743</v>
      </c>
      <c r="M1084" s="7">
        <v>3.7838690000000001</v>
      </c>
      <c r="N1084" s="7">
        <v>10.13499</v>
      </c>
      <c r="O1084" s="7" t="s">
        <v>23</v>
      </c>
    </row>
    <row r="1085" spans="1:15" x14ac:dyDescent="0.25">
      <c r="A1085" s="2">
        <f t="shared" si="16"/>
        <v>1083</v>
      </c>
      <c r="B1085" s="7" t="s">
        <v>838</v>
      </c>
      <c r="C1085" s="7" t="s">
        <v>839</v>
      </c>
      <c r="D1085" s="7" t="s">
        <v>838</v>
      </c>
      <c r="E1085" s="7" t="s">
        <v>50</v>
      </c>
      <c r="F1085" s="7" t="s">
        <v>840</v>
      </c>
      <c r="G1085" s="17" t="s">
        <v>7747</v>
      </c>
      <c r="H1085" s="7" t="s">
        <v>19</v>
      </c>
      <c r="I1085" s="7" t="s">
        <v>179</v>
      </c>
      <c r="J1085" s="7" t="s">
        <v>159</v>
      </c>
      <c r="K1085" s="7" t="s">
        <v>160</v>
      </c>
      <c r="L1085" s="7" t="s">
        <v>7743</v>
      </c>
      <c r="M1085" s="7">
        <v>3.8247209999999998</v>
      </c>
      <c r="N1085" s="7">
        <v>10.369883</v>
      </c>
      <c r="O1085" s="7" t="s">
        <v>23</v>
      </c>
    </row>
    <row r="1086" spans="1:15" x14ac:dyDescent="0.25">
      <c r="A1086" s="2">
        <f t="shared" si="16"/>
        <v>1084</v>
      </c>
      <c r="B1086" s="7" t="s">
        <v>889</v>
      </c>
      <c r="C1086" s="7" t="s">
        <v>890</v>
      </c>
      <c r="D1086" s="7" t="s">
        <v>889</v>
      </c>
      <c r="E1086" s="7" t="s">
        <v>50</v>
      </c>
      <c r="F1086" s="7" t="s">
        <v>891</v>
      </c>
      <c r="G1086" s="17" t="s">
        <v>7747</v>
      </c>
      <c r="H1086" s="7" t="s">
        <v>28</v>
      </c>
      <c r="I1086" s="7" t="s">
        <v>161</v>
      </c>
      <c r="J1086" s="7" t="s">
        <v>159</v>
      </c>
      <c r="K1086" s="7" t="s">
        <v>892</v>
      </c>
      <c r="L1086" s="7" t="s">
        <v>7743</v>
      </c>
      <c r="M1086" s="7">
        <v>3.8541669999999999</v>
      </c>
      <c r="N1086" s="7">
        <v>9.9666669999999993</v>
      </c>
      <c r="O1086" s="7" t="s">
        <v>23</v>
      </c>
    </row>
    <row r="1087" spans="1:15" x14ac:dyDescent="0.25">
      <c r="A1087" s="2">
        <f t="shared" si="16"/>
        <v>1085</v>
      </c>
      <c r="B1087" s="7" t="s">
        <v>974</v>
      </c>
      <c r="C1087" s="7" t="s">
        <v>975</v>
      </c>
      <c r="D1087" s="7" t="s">
        <v>974</v>
      </c>
      <c r="E1087" s="7" t="s">
        <v>50</v>
      </c>
      <c r="F1087" s="7" t="s">
        <v>976</v>
      </c>
      <c r="G1087" s="17" t="s">
        <v>7747</v>
      </c>
      <c r="H1087" s="7" t="s">
        <v>28</v>
      </c>
      <c r="I1087" s="7" t="s">
        <v>158</v>
      </c>
      <c r="J1087" s="7" t="s">
        <v>159</v>
      </c>
      <c r="K1087" s="7" t="s">
        <v>160</v>
      </c>
      <c r="L1087" s="7" t="s">
        <v>7743</v>
      </c>
      <c r="M1087" s="7">
        <v>3.9260830000000002</v>
      </c>
      <c r="N1087" s="7">
        <v>10.587415</v>
      </c>
      <c r="O1087" s="7" t="s">
        <v>23</v>
      </c>
    </row>
    <row r="1088" spans="1:15" x14ac:dyDescent="0.25">
      <c r="A1088" s="2">
        <f t="shared" si="16"/>
        <v>1086</v>
      </c>
      <c r="B1088" s="7" t="s">
        <v>1165</v>
      </c>
      <c r="C1088" s="7" t="s">
        <v>1166</v>
      </c>
      <c r="D1088" s="7" t="s">
        <v>1165</v>
      </c>
      <c r="E1088" s="7" t="s">
        <v>50</v>
      </c>
      <c r="F1088" s="7" t="s">
        <v>1167</v>
      </c>
      <c r="G1088" s="17" t="s">
        <v>7747</v>
      </c>
      <c r="H1088" s="7" t="s">
        <v>28</v>
      </c>
      <c r="I1088" s="7" t="s">
        <v>179</v>
      </c>
      <c r="J1088" s="7" t="s">
        <v>159</v>
      </c>
      <c r="K1088" s="7" t="s">
        <v>204</v>
      </c>
      <c r="L1088" s="7" t="s">
        <v>7743</v>
      </c>
      <c r="M1088" s="7">
        <v>3.636644</v>
      </c>
      <c r="N1088" s="7">
        <v>10.114884999999999</v>
      </c>
      <c r="O1088" s="7" t="s">
        <v>23</v>
      </c>
    </row>
    <row r="1089" spans="1:15" x14ac:dyDescent="0.25">
      <c r="A1089" s="2">
        <f t="shared" si="16"/>
        <v>1087</v>
      </c>
      <c r="B1089" s="7" t="s">
        <v>1293</v>
      </c>
      <c r="C1089" s="7" t="s">
        <v>1294</v>
      </c>
      <c r="D1089" s="7" t="s">
        <v>1293</v>
      </c>
      <c r="E1089" s="7" t="s">
        <v>50</v>
      </c>
      <c r="F1089" s="7" t="s">
        <v>1295</v>
      </c>
      <c r="G1089" s="17" t="s">
        <v>7747</v>
      </c>
      <c r="H1089" s="7" t="s">
        <v>28</v>
      </c>
      <c r="I1089" s="7" t="s">
        <v>158</v>
      </c>
      <c r="J1089" s="7" t="s">
        <v>159</v>
      </c>
      <c r="K1089" s="7" t="s">
        <v>160</v>
      </c>
      <c r="L1089" s="7" t="s">
        <v>7743</v>
      </c>
      <c r="M1089" s="7">
        <v>3.9650099999999999</v>
      </c>
      <c r="N1089" s="7">
        <v>10.59965</v>
      </c>
      <c r="O1089" s="7" t="s">
        <v>23</v>
      </c>
    </row>
    <row r="1090" spans="1:15" x14ac:dyDescent="0.25">
      <c r="A1090" s="2">
        <f t="shared" si="16"/>
        <v>1088</v>
      </c>
      <c r="B1090" s="7" t="s">
        <v>1316</v>
      </c>
      <c r="C1090" s="7" t="s">
        <v>1317</v>
      </c>
      <c r="D1090" s="7" t="s">
        <v>1316</v>
      </c>
      <c r="E1090" s="7" t="s">
        <v>50</v>
      </c>
      <c r="F1090" s="7" t="s">
        <v>1318</v>
      </c>
      <c r="G1090" s="17" t="s">
        <v>7747</v>
      </c>
      <c r="H1090" s="7" t="s">
        <v>28</v>
      </c>
      <c r="I1090" s="7" t="s">
        <v>161</v>
      </c>
      <c r="J1090" s="7" t="s">
        <v>159</v>
      </c>
      <c r="K1090" s="7" t="s">
        <v>204</v>
      </c>
      <c r="L1090" s="7" t="s">
        <v>7743</v>
      </c>
      <c r="M1090" s="7">
        <v>3.7772220000000001</v>
      </c>
      <c r="N1090" s="7">
        <v>10.089778000000001</v>
      </c>
      <c r="O1090" s="7" t="s">
        <v>23</v>
      </c>
    </row>
    <row r="1091" spans="1:15" x14ac:dyDescent="0.25">
      <c r="A1091" s="2">
        <f t="shared" si="16"/>
        <v>1089</v>
      </c>
      <c r="B1091" s="7" t="s">
        <v>1510</v>
      </c>
      <c r="C1091" s="7" t="s">
        <v>1511</v>
      </c>
      <c r="D1091" s="7" t="s">
        <v>1510</v>
      </c>
      <c r="E1091" s="7" t="s">
        <v>50</v>
      </c>
      <c r="F1091" s="7" t="s">
        <v>1512</v>
      </c>
      <c r="G1091" s="17" t="s">
        <v>7747</v>
      </c>
      <c r="H1091" s="7" t="s">
        <v>28</v>
      </c>
      <c r="I1091" s="7" t="s">
        <v>179</v>
      </c>
      <c r="J1091" s="7" t="s">
        <v>159</v>
      </c>
      <c r="K1091" s="7" t="s">
        <v>204</v>
      </c>
      <c r="L1091" s="7" t="s">
        <v>7743</v>
      </c>
      <c r="M1091" s="7">
        <v>3.7468119999999998</v>
      </c>
      <c r="N1091" s="7">
        <v>10.154757</v>
      </c>
      <c r="O1091" s="7" t="s">
        <v>23</v>
      </c>
    </row>
    <row r="1092" spans="1:15" x14ac:dyDescent="0.25">
      <c r="A1092" s="2">
        <f t="shared" si="16"/>
        <v>1090</v>
      </c>
      <c r="B1092" s="7" t="s">
        <v>1544</v>
      </c>
      <c r="C1092" s="7" t="s">
        <v>1545</v>
      </c>
      <c r="D1092" s="7" t="s">
        <v>1544</v>
      </c>
      <c r="E1092" s="7" t="s">
        <v>50</v>
      </c>
      <c r="F1092" s="7" t="s">
        <v>1546</v>
      </c>
      <c r="G1092" s="17" t="s">
        <v>7747</v>
      </c>
      <c r="H1092" s="7" t="s">
        <v>28</v>
      </c>
      <c r="I1092" s="7" t="s">
        <v>179</v>
      </c>
      <c r="J1092" s="7" t="s">
        <v>159</v>
      </c>
      <c r="K1092" s="7" t="s">
        <v>204</v>
      </c>
      <c r="L1092" s="7" t="s">
        <v>7743</v>
      </c>
      <c r="M1092" s="7">
        <v>3.9781939999999998</v>
      </c>
      <c r="N1092" s="7">
        <v>10.107250000000001</v>
      </c>
      <c r="O1092" s="7" t="s">
        <v>23</v>
      </c>
    </row>
    <row r="1093" spans="1:15" x14ac:dyDescent="0.25">
      <c r="A1093" s="2">
        <f t="shared" ref="A1093:A1156" si="17">+A1092+1</f>
        <v>1091</v>
      </c>
      <c r="B1093" s="7" t="s">
        <v>1692</v>
      </c>
      <c r="C1093" s="7" t="s">
        <v>1693</v>
      </c>
      <c r="D1093" s="7" t="s">
        <v>1692</v>
      </c>
      <c r="E1093" s="7" t="s">
        <v>50</v>
      </c>
      <c r="F1093" s="7" t="s">
        <v>1694</v>
      </c>
      <c r="G1093" s="17" t="s">
        <v>7747</v>
      </c>
      <c r="H1093" s="7" t="s">
        <v>19</v>
      </c>
      <c r="I1093" s="7" t="s">
        <v>179</v>
      </c>
      <c r="J1093" s="7" t="s">
        <v>159</v>
      </c>
      <c r="K1093" s="7" t="s">
        <v>160</v>
      </c>
      <c r="L1093" s="7" t="s">
        <v>7743</v>
      </c>
      <c r="M1093" s="7">
        <v>3.8074170000000001</v>
      </c>
      <c r="N1093" s="7">
        <v>10.268306000000001</v>
      </c>
      <c r="O1093" s="7" t="s">
        <v>23</v>
      </c>
    </row>
    <row r="1094" spans="1:15" x14ac:dyDescent="0.25">
      <c r="A1094" s="2">
        <f t="shared" si="17"/>
        <v>1092</v>
      </c>
      <c r="B1094" s="7" t="s">
        <v>1722</v>
      </c>
      <c r="C1094" s="7" t="s">
        <v>1723</v>
      </c>
      <c r="D1094" s="7" t="s">
        <v>1722</v>
      </c>
      <c r="E1094" s="7" t="s">
        <v>50</v>
      </c>
      <c r="F1094" s="7" t="s">
        <v>1724</v>
      </c>
      <c r="G1094" s="17" t="s">
        <v>7747</v>
      </c>
      <c r="H1094" s="7" t="s">
        <v>19</v>
      </c>
      <c r="I1094" s="7" t="s">
        <v>158</v>
      </c>
      <c r="J1094" s="7" t="s">
        <v>159</v>
      </c>
      <c r="K1094" s="7" t="s">
        <v>160</v>
      </c>
      <c r="L1094" s="7" t="s">
        <v>7743</v>
      </c>
      <c r="M1094" s="7">
        <v>4.0831929999999996</v>
      </c>
      <c r="N1094" s="7">
        <v>10.394762999999999</v>
      </c>
      <c r="O1094" s="7" t="s">
        <v>23</v>
      </c>
    </row>
    <row r="1095" spans="1:15" x14ac:dyDescent="0.25">
      <c r="A1095" s="2">
        <f t="shared" si="17"/>
        <v>1093</v>
      </c>
      <c r="B1095" s="7" t="s">
        <v>1740</v>
      </c>
      <c r="C1095" s="7" t="s">
        <v>1741</v>
      </c>
      <c r="D1095" s="7" t="s">
        <v>1740</v>
      </c>
      <c r="E1095" s="7" t="s">
        <v>50</v>
      </c>
      <c r="F1095" s="7" t="s">
        <v>1742</v>
      </c>
      <c r="G1095" s="17" t="s">
        <v>7747</v>
      </c>
      <c r="H1095" s="7" t="s">
        <v>19</v>
      </c>
      <c r="I1095" s="7" t="s">
        <v>158</v>
      </c>
      <c r="J1095" s="7" t="s">
        <v>159</v>
      </c>
      <c r="K1095" s="7" t="s">
        <v>160</v>
      </c>
      <c r="L1095" s="7" t="s">
        <v>7743</v>
      </c>
      <c r="M1095" s="7">
        <v>3.8649640000000001</v>
      </c>
      <c r="N1095" s="7">
        <v>10.556219</v>
      </c>
      <c r="O1095" s="7" t="s">
        <v>23</v>
      </c>
    </row>
    <row r="1096" spans="1:15" hidden="1" x14ac:dyDescent="0.25">
      <c r="A1096" s="2">
        <f t="shared" si="17"/>
        <v>1094</v>
      </c>
      <c r="B1096" s="7" t="s">
        <v>1759</v>
      </c>
      <c r="C1096" s="7" t="s">
        <v>1760</v>
      </c>
      <c r="D1096" s="7" t="s">
        <v>1759</v>
      </c>
      <c r="E1096" s="7" t="s">
        <v>182</v>
      </c>
      <c r="F1096" s="7" t="s">
        <v>1761</v>
      </c>
      <c r="G1096" s="17" t="s">
        <v>7747</v>
      </c>
      <c r="H1096" s="7" t="s">
        <v>28</v>
      </c>
      <c r="I1096" s="7" t="s">
        <v>600</v>
      </c>
      <c r="J1096" s="7" t="s">
        <v>208</v>
      </c>
      <c r="K1096" s="7" t="s">
        <v>1762</v>
      </c>
      <c r="L1096" s="7" t="s">
        <v>7743</v>
      </c>
      <c r="M1096" s="7">
        <v>3.6532520000000002</v>
      </c>
      <c r="N1096" s="7">
        <v>10.78265</v>
      </c>
      <c r="O1096" s="7" t="s">
        <v>23</v>
      </c>
    </row>
    <row r="1097" spans="1:15" hidden="1" x14ac:dyDescent="0.25">
      <c r="A1097" s="2">
        <f t="shared" si="17"/>
        <v>1095</v>
      </c>
      <c r="B1097" s="7" t="s">
        <v>1855</v>
      </c>
      <c r="C1097" s="7" t="s">
        <v>1856</v>
      </c>
      <c r="D1097" s="7" t="s">
        <v>1855</v>
      </c>
      <c r="E1097" s="7" t="s">
        <v>182</v>
      </c>
      <c r="F1097" s="7" t="s">
        <v>1857</v>
      </c>
      <c r="G1097" s="17" t="s">
        <v>7747</v>
      </c>
      <c r="H1097" s="7" t="s">
        <v>28</v>
      </c>
      <c r="I1097" s="7" t="s">
        <v>600</v>
      </c>
      <c r="J1097" s="7" t="s">
        <v>208</v>
      </c>
      <c r="K1097" s="7" t="s">
        <v>1858</v>
      </c>
      <c r="L1097" s="7" t="s">
        <v>7743</v>
      </c>
      <c r="M1097" s="7">
        <v>3.6668050000000001</v>
      </c>
      <c r="N1097" s="7">
        <v>10.561719999999999</v>
      </c>
      <c r="O1097" s="7" t="s">
        <v>23</v>
      </c>
    </row>
    <row r="1098" spans="1:15" x14ac:dyDescent="0.25">
      <c r="A1098" s="2">
        <f t="shared" si="17"/>
        <v>1096</v>
      </c>
      <c r="B1098" s="7" t="s">
        <v>1938</v>
      </c>
      <c r="C1098" s="7" t="s">
        <v>1939</v>
      </c>
      <c r="D1098" s="7" t="s">
        <v>1938</v>
      </c>
      <c r="E1098" s="7" t="s">
        <v>50</v>
      </c>
      <c r="F1098" s="7" t="s">
        <v>1940</v>
      </c>
      <c r="G1098" s="17" t="s">
        <v>7747</v>
      </c>
      <c r="H1098" s="7" t="s">
        <v>19</v>
      </c>
      <c r="I1098" s="7" t="s">
        <v>179</v>
      </c>
      <c r="J1098" s="7" t="s">
        <v>159</v>
      </c>
      <c r="K1098" s="7" t="s">
        <v>204</v>
      </c>
      <c r="L1098" s="7" t="s">
        <v>7743</v>
      </c>
      <c r="M1098" s="7">
        <v>3.5781909999999999</v>
      </c>
      <c r="N1098" s="7">
        <v>10.101203</v>
      </c>
      <c r="O1098" s="7" t="s">
        <v>23</v>
      </c>
    </row>
    <row r="1099" spans="1:15" x14ac:dyDescent="0.25">
      <c r="A1099" s="2">
        <f t="shared" si="17"/>
        <v>1097</v>
      </c>
      <c r="B1099" s="7" t="s">
        <v>2086</v>
      </c>
      <c r="C1099" s="7" t="s">
        <v>2087</v>
      </c>
      <c r="D1099" s="7" t="s">
        <v>2086</v>
      </c>
      <c r="E1099" s="7" t="s">
        <v>50</v>
      </c>
      <c r="F1099" s="7" t="s">
        <v>2088</v>
      </c>
      <c r="G1099" s="17" t="s">
        <v>7747</v>
      </c>
      <c r="H1099" s="7" t="s">
        <v>28</v>
      </c>
      <c r="I1099" s="7" t="s">
        <v>161</v>
      </c>
      <c r="J1099" s="7" t="s">
        <v>159</v>
      </c>
      <c r="K1099" s="7" t="s">
        <v>204</v>
      </c>
      <c r="L1099" s="7" t="s">
        <v>7743</v>
      </c>
      <c r="M1099" s="7">
        <v>3.7931560000000002</v>
      </c>
      <c r="N1099" s="7">
        <v>10.139751</v>
      </c>
      <c r="O1099" s="7" t="s">
        <v>23</v>
      </c>
    </row>
    <row r="1100" spans="1:15" x14ac:dyDescent="0.25">
      <c r="A1100" s="2">
        <f t="shared" si="17"/>
        <v>1098</v>
      </c>
      <c r="B1100" s="7" t="s">
        <v>2250</v>
      </c>
      <c r="C1100" s="7" t="s">
        <v>2251</v>
      </c>
      <c r="D1100" s="7" t="s">
        <v>2250</v>
      </c>
      <c r="E1100" s="7" t="s">
        <v>50</v>
      </c>
      <c r="F1100" s="7" t="s">
        <v>2252</v>
      </c>
      <c r="G1100" s="17" t="s">
        <v>7747</v>
      </c>
      <c r="H1100" s="7" t="s">
        <v>19</v>
      </c>
      <c r="I1100" s="7" t="s">
        <v>179</v>
      </c>
      <c r="J1100" s="7" t="s">
        <v>293</v>
      </c>
      <c r="K1100" s="7" t="s">
        <v>831</v>
      </c>
      <c r="L1100" s="7" t="s">
        <v>7743</v>
      </c>
      <c r="M1100" s="7">
        <v>3.5059900000000002</v>
      </c>
      <c r="N1100" s="7">
        <v>10.1189</v>
      </c>
      <c r="O1100" s="7" t="s">
        <v>23</v>
      </c>
    </row>
    <row r="1101" spans="1:15" x14ac:dyDescent="0.25">
      <c r="A1101" s="2">
        <f t="shared" si="17"/>
        <v>1099</v>
      </c>
      <c r="B1101" s="7" t="s">
        <v>2260</v>
      </c>
      <c r="C1101" s="7" t="s">
        <v>2261</v>
      </c>
      <c r="D1101" s="7" t="s">
        <v>2260</v>
      </c>
      <c r="E1101" s="7" t="s">
        <v>50</v>
      </c>
      <c r="F1101" s="7" t="s">
        <v>2262</v>
      </c>
      <c r="G1101" s="17" t="s">
        <v>7747</v>
      </c>
      <c r="H1101" s="7" t="s">
        <v>28</v>
      </c>
      <c r="I1101" s="7" t="s">
        <v>161</v>
      </c>
      <c r="J1101" s="7" t="s">
        <v>159</v>
      </c>
      <c r="K1101" s="7" t="s">
        <v>204</v>
      </c>
      <c r="L1101" s="7" t="s">
        <v>7743</v>
      </c>
      <c r="M1101" s="7">
        <v>3.7951839999999999</v>
      </c>
      <c r="N1101" s="7">
        <v>10.127643000000001</v>
      </c>
      <c r="O1101" s="7" t="s">
        <v>613</v>
      </c>
    </row>
    <row r="1102" spans="1:15" x14ac:dyDescent="0.25">
      <c r="A1102" s="2">
        <f t="shared" si="17"/>
        <v>1100</v>
      </c>
      <c r="B1102" s="7" t="s">
        <v>2435</v>
      </c>
      <c r="C1102" s="7" t="s">
        <v>2436</v>
      </c>
      <c r="D1102" s="7" t="s">
        <v>2435</v>
      </c>
      <c r="E1102" s="7" t="s">
        <v>50</v>
      </c>
      <c r="F1102" s="7" t="s">
        <v>2437</v>
      </c>
      <c r="G1102" s="17" t="s">
        <v>7747</v>
      </c>
      <c r="H1102" s="7" t="s">
        <v>19</v>
      </c>
      <c r="I1102" s="7" t="s">
        <v>161</v>
      </c>
      <c r="J1102" s="7" t="s">
        <v>159</v>
      </c>
      <c r="K1102" s="7" t="s">
        <v>204</v>
      </c>
      <c r="L1102" s="7" t="s">
        <v>7743</v>
      </c>
      <c r="M1102" s="7">
        <v>3.7844470000000001</v>
      </c>
      <c r="N1102" s="7">
        <v>10.117222</v>
      </c>
      <c r="O1102" s="7" t="s">
        <v>23</v>
      </c>
    </row>
    <row r="1103" spans="1:15" x14ac:dyDescent="0.25">
      <c r="A1103" s="2">
        <f t="shared" si="17"/>
        <v>1101</v>
      </c>
      <c r="B1103" s="7" t="s">
        <v>2438</v>
      </c>
      <c r="C1103" s="7" t="s">
        <v>2439</v>
      </c>
      <c r="D1103" s="7" t="s">
        <v>2438</v>
      </c>
      <c r="E1103" s="7" t="s">
        <v>50</v>
      </c>
      <c r="F1103" s="7" t="s">
        <v>892</v>
      </c>
      <c r="G1103" s="17" t="s">
        <v>7747</v>
      </c>
      <c r="H1103" s="7" t="s">
        <v>19</v>
      </c>
      <c r="I1103" s="7" t="s">
        <v>161</v>
      </c>
      <c r="J1103" s="7" t="s">
        <v>159</v>
      </c>
      <c r="K1103" s="7" t="s">
        <v>2440</v>
      </c>
      <c r="L1103" s="7" t="s">
        <v>7743</v>
      </c>
      <c r="M1103" s="7">
        <v>3.749228</v>
      </c>
      <c r="N1103" s="7">
        <v>10.018192000000001</v>
      </c>
      <c r="O1103" s="7" t="s">
        <v>23</v>
      </c>
    </row>
    <row r="1104" spans="1:15" x14ac:dyDescent="0.25">
      <c r="A1104" s="2">
        <f t="shared" si="17"/>
        <v>1102</v>
      </c>
      <c r="B1104" s="7" t="s">
        <v>2984</v>
      </c>
      <c r="C1104" s="7" t="s">
        <v>2985</v>
      </c>
      <c r="D1104" s="7" t="s">
        <v>2984</v>
      </c>
      <c r="E1104" s="7" t="s">
        <v>50</v>
      </c>
      <c r="F1104" s="7" t="s">
        <v>2986</v>
      </c>
      <c r="G1104" s="17" t="s">
        <v>7747</v>
      </c>
      <c r="H1104" s="7" t="s">
        <v>19</v>
      </c>
      <c r="I1104" s="7" t="s">
        <v>158</v>
      </c>
      <c r="J1104" s="7" t="s">
        <v>159</v>
      </c>
      <c r="K1104" s="7" t="s">
        <v>160</v>
      </c>
      <c r="L1104" s="7" t="s">
        <v>7743</v>
      </c>
      <c r="M1104" s="7">
        <v>3.8707690000000001</v>
      </c>
      <c r="N1104" s="7">
        <v>10.558999999999999</v>
      </c>
      <c r="O1104" s="7" t="s">
        <v>23</v>
      </c>
    </row>
    <row r="1105" spans="1:15" x14ac:dyDescent="0.25">
      <c r="A1105" s="2">
        <f t="shared" si="17"/>
        <v>1103</v>
      </c>
      <c r="B1105" s="7" t="s">
        <v>3105</v>
      </c>
      <c r="C1105" s="7" t="s">
        <v>3106</v>
      </c>
      <c r="D1105" s="7" t="s">
        <v>3105</v>
      </c>
      <c r="E1105" s="7" t="s">
        <v>50</v>
      </c>
      <c r="F1105" s="7" t="s">
        <v>3107</v>
      </c>
      <c r="G1105" s="17" t="s">
        <v>7747</v>
      </c>
      <c r="H1105" s="7" t="s">
        <v>28</v>
      </c>
      <c r="I1105" s="7" t="s">
        <v>179</v>
      </c>
      <c r="J1105" s="7" t="s">
        <v>159</v>
      </c>
      <c r="K1105" s="7" t="s">
        <v>379</v>
      </c>
      <c r="L1105" s="7" t="s">
        <v>7743</v>
      </c>
      <c r="M1105" s="7">
        <v>3.8302399999999999</v>
      </c>
      <c r="N1105" s="7">
        <v>10.108243999999999</v>
      </c>
      <c r="O1105" s="7" t="s">
        <v>23</v>
      </c>
    </row>
    <row r="1106" spans="1:15" x14ac:dyDescent="0.25">
      <c r="A1106" s="2">
        <f t="shared" si="17"/>
        <v>1104</v>
      </c>
      <c r="B1106" s="7" t="s">
        <v>3108</v>
      </c>
      <c r="C1106" s="7" t="s">
        <v>3109</v>
      </c>
      <c r="D1106" s="7" t="s">
        <v>3108</v>
      </c>
      <c r="E1106" s="7" t="s">
        <v>50</v>
      </c>
      <c r="F1106" s="7" t="s">
        <v>3110</v>
      </c>
      <c r="G1106" s="17" t="s">
        <v>7747</v>
      </c>
      <c r="H1106" s="7" t="s">
        <v>28</v>
      </c>
      <c r="I1106" s="7" t="s">
        <v>161</v>
      </c>
      <c r="J1106" s="7" t="s">
        <v>159</v>
      </c>
      <c r="K1106" s="7" t="s">
        <v>204</v>
      </c>
      <c r="L1106" s="7" t="s">
        <v>7743</v>
      </c>
      <c r="M1106" s="7">
        <v>3.7687110000000001</v>
      </c>
      <c r="N1106" s="7">
        <v>10.126277999999999</v>
      </c>
      <c r="O1106" s="7" t="s">
        <v>23</v>
      </c>
    </row>
    <row r="1107" spans="1:15" x14ac:dyDescent="0.25">
      <c r="A1107" s="2">
        <f t="shared" si="17"/>
        <v>1105</v>
      </c>
      <c r="B1107" s="7" t="s">
        <v>3126</v>
      </c>
      <c r="C1107" s="7" t="s">
        <v>3127</v>
      </c>
      <c r="D1107" s="7" t="s">
        <v>3126</v>
      </c>
      <c r="E1107" s="7" t="s">
        <v>50</v>
      </c>
      <c r="F1107" s="7" t="s">
        <v>3128</v>
      </c>
      <c r="G1107" s="17" t="s">
        <v>7747</v>
      </c>
      <c r="H1107" s="7" t="s">
        <v>28</v>
      </c>
      <c r="I1107" s="7" t="s">
        <v>158</v>
      </c>
      <c r="J1107" s="7" t="s">
        <v>159</v>
      </c>
      <c r="K1107" s="7" t="s">
        <v>160</v>
      </c>
      <c r="L1107" s="7" t="s">
        <v>7743</v>
      </c>
      <c r="M1107" s="7">
        <v>3.8722639999999999</v>
      </c>
      <c r="N1107" s="7">
        <v>10.638496999999999</v>
      </c>
      <c r="O1107" s="7" t="s">
        <v>23</v>
      </c>
    </row>
    <row r="1108" spans="1:15" x14ac:dyDescent="0.25">
      <c r="A1108" s="2">
        <f t="shared" si="17"/>
        <v>1106</v>
      </c>
      <c r="B1108" s="7" t="s">
        <v>3206</v>
      </c>
      <c r="C1108" s="7" t="s">
        <v>3207</v>
      </c>
      <c r="D1108" s="7" t="s">
        <v>3206</v>
      </c>
      <c r="E1108" s="7" t="s">
        <v>50</v>
      </c>
      <c r="F1108" s="7" t="s">
        <v>3208</v>
      </c>
      <c r="G1108" s="17" t="s">
        <v>7747</v>
      </c>
      <c r="H1108" s="7" t="s">
        <v>19</v>
      </c>
      <c r="I1108" s="7" t="s">
        <v>179</v>
      </c>
      <c r="J1108" s="7" t="s">
        <v>159</v>
      </c>
      <c r="K1108" s="7" t="s">
        <v>204</v>
      </c>
      <c r="L1108" s="7" t="s">
        <v>7743</v>
      </c>
      <c r="M1108" s="7">
        <v>3.783061</v>
      </c>
      <c r="N1108" s="7">
        <v>10.149889999999999</v>
      </c>
      <c r="O1108" s="7" t="s">
        <v>23</v>
      </c>
    </row>
    <row r="1109" spans="1:15" x14ac:dyDescent="0.25">
      <c r="A1109" s="2">
        <f t="shared" si="17"/>
        <v>1107</v>
      </c>
      <c r="B1109" s="7" t="s">
        <v>3513</v>
      </c>
      <c r="C1109" s="7" t="s">
        <v>3514</v>
      </c>
      <c r="D1109" s="7" t="s">
        <v>3513</v>
      </c>
      <c r="E1109" s="7" t="s">
        <v>50</v>
      </c>
      <c r="F1109" s="7" t="s">
        <v>892</v>
      </c>
      <c r="G1109" s="17" t="s">
        <v>7747</v>
      </c>
      <c r="H1109" s="7" t="s">
        <v>19</v>
      </c>
      <c r="I1109" s="7" t="s">
        <v>161</v>
      </c>
      <c r="J1109" s="7" t="s">
        <v>159</v>
      </c>
      <c r="K1109" s="7" t="s">
        <v>2440</v>
      </c>
      <c r="L1109" s="7" t="s">
        <v>7743</v>
      </c>
      <c r="M1109" s="7">
        <v>3.7462420000000001</v>
      </c>
      <c r="N1109" s="7">
        <v>10.020697999999999</v>
      </c>
      <c r="O1109" s="7" t="s">
        <v>23</v>
      </c>
    </row>
    <row r="1110" spans="1:15" x14ac:dyDescent="0.25">
      <c r="A1110" s="2">
        <f t="shared" si="17"/>
        <v>1108</v>
      </c>
      <c r="B1110" s="7" t="s">
        <v>4094</v>
      </c>
      <c r="C1110" s="7" t="s">
        <v>4095</v>
      </c>
      <c r="D1110" s="7" t="s">
        <v>4094</v>
      </c>
      <c r="E1110" s="7" t="s">
        <v>50</v>
      </c>
      <c r="F1110" s="7" t="s">
        <v>4096</v>
      </c>
      <c r="G1110" s="17" t="s">
        <v>7747</v>
      </c>
      <c r="H1110" s="7" t="s">
        <v>19</v>
      </c>
      <c r="I1110" s="7" t="s">
        <v>158</v>
      </c>
      <c r="J1110" s="7" t="s">
        <v>159</v>
      </c>
      <c r="K1110" s="7" t="s">
        <v>160</v>
      </c>
      <c r="L1110" s="7" t="s">
        <v>7743</v>
      </c>
      <c r="M1110" s="7">
        <v>4.2466670000000004</v>
      </c>
      <c r="N1110" s="7">
        <v>10.614333</v>
      </c>
      <c r="O1110" s="7" t="s">
        <v>23</v>
      </c>
    </row>
    <row r="1111" spans="1:15" x14ac:dyDescent="0.25">
      <c r="A1111" s="2">
        <f t="shared" si="17"/>
        <v>1109</v>
      </c>
      <c r="B1111" s="7" t="s">
        <v>4097</v>
      </c>
      <c r="C1111" s="7" t="s">
        <v>4098</v>
      </c>
      <c r="D1111" s="7" t="s">
        <v>4097</v>
      </c>
      <c r="E1111" s="7" t="s">
        <v>50</v>
      </c>
      <c r="F1111" s="7" t="s">
        <v>4099</v>
      </c>
      <c r="G1111" s="17" t="s">
        <v>7747</v>
      </c>
      <c r="H1111" s="7" t="s">
        <v>19</v>
      </c>
      <c r="I1111" s="7" t="s">
        <v>158</v>
      </c>
      <c r="J1111" s="7" t="s">
        <v>159</v>
      </c>
      <c r="K1111" s="7" t="s">
        <v>160</v>
      </c>
      <c r="L1111" s="7" t="s">
        <v>7743</v>
      </c>
      <c r="M1111" s="7">
        <v>4.0325369999999996</v>
      </c>
      <c r="N1111" s="7">
        <v>10.566267</v>
      </c>
      <c r="O1111" s="7" t="s">
        <v>23</v>
      </c>
    </row>
    <row r="1112" spans="1:15" x14ac:dyDescent="0.25">
      <c r="A1112" s="2">
        <f t="shared" si="17"/>
        <v>1110</v>
      </c>
      <c r="B1112" s="7" t="s">
        <v>4286</v>
      </c>
      <c r="C1112" s="7" t="s">
        <v>4287</v>
      </c>
      <c r="D1112" s="7" t="s">
        <v>4286</v>
      </c>
      <c r="E1112" s="7" t="s">
        <v>50</v>
      </c>
      <c r="F1112" s="7" t="s">
        <v>4288</v>
      </c>
      <c r="G1112" s="17" t="s">
        <v>7747</v>
      </c>
      <c r="H1112" s="7" t="s">
        <v>28</v>
      </c>
      <c r="I1112" s="7" t="s">
        <v>158</v>
      </c>
      <c r="J1112" s="7" t="s">
        <v>159</v>
      </c>
      <c r="K1112" s="7" t="s">
        <v>160</v>
      </c>
      <c r="L1112" s="7" t="s">
        <v>7743</v>
      </c>
      <c r="M1112" s="7">
        <v>4.1101669999999997</v>
      </c>
      <c r="N1112" s="7">
        <v>10.546028</v>
      </c>
      <c r="O1112" s="7" t="s">
        <v>23</v>
      </c>
    </row>
    <row r="1113" spans="1:15" x14ac:dyDescent="0.25">
      <c r="A1113" s="2">
        <f t="shared" si="17"/>
        <v>1111</v>
      </c>
      <c r="B1113" s="7" t="s">
        <v>4342</v>
      </c>
      <c r="C1113" s="7" t="s">
        <v>4343</v>
      </c>
      <c r="D1113" s="7" t="s">
        <v>4342</v>
      </c>
      <c r="E1113" s="7" t="s">
        <v>50</v>
      </c>
      <c r="F1113" s="7" t="s">
        <v>4344</v>
      </c>
      <c r="G1113" s="17" t="s">
        <v>7747</v>
      </c>
      <c r="H1113" s="7" t="s">
        <v>28</v>
      </c>
      <c r="I1113" s="7" t="s">
        <v>179</v>
      </c>
      <c r="J1113" s="7" t="s">
        <v>159</v>
      </c>
      <c r="K1113" s="7" t="s">
        <v>204</v>
      </c>
      <c r="L1113" s="7" t="s">
        <v>7743</v>
      </c>
      <c r="M1113" s="7">
        <v>3.7939590000000001</v>
      </c>
      <c r="N1113" s="7">
        <v>10.215351</v>
      </c>
      <c r="O1113" s="7" t="s">
        <v>23</v>
      </c>
    </row>
    <row r="1114" spans="1:15" x14ac:dyDescent="0.25">
      <c r="A1114" s="2">
        <f t="shared" si="17"/>
        <v>1112</v>
      </c>
      <c r="B1114" s="7" t="s">
        <v>4373</v>
      </c>
      <c r="C1114" s="7" t="s">
        <v>4374</v>
      </c>
      <c r="D1114" s="7" t="s">
        <v>4373</v>
      </c>
      <c r="E1114" s="7" t="s">
        <v>50</v>
      </c>
      <c r="F1114" s="7" t="s">
        <v>4375</v>
      </c>
      <c r="G1114" s="17" t="s">
        <v>7747</v>
      </c>
      <c r="H1114" s="7" t="s">
        <v>28</v>
      </c>
      <c r="I1114" s="7" t="s">
        <v>161</v>
      </c>
      <c r="J1114" s="7" t="s">
        <v>159</v>
      </c>
      <c r="K1114" s="7" t="s">
        <v>204</v>
      </c>
      <c r="L1114" s="7" t="s">
        <v>7743</v>
      </c>
      <c r="M1114" s="7">
        <v>3.801892</v>
      </c>
      <c r="N1114" s="7">
        <v>10.119653</v>
      </c>
      <c r="O1114" s="7" t="s">
        <v>23</v>
      </c>
    </row>
    <row r="1115" spans="1:15" x14ac:dyDescent="0.25">
      <c r="A1115" s="2">
        <f t="shared" si="17"/>
        <v>1113</v>
      </c>
      <c r="B1115" s="7" t="s">
        <v>4386</v>
      </c>
      <c r="C1115" s="7" t="s">
        <v>4387</v>
      </c>
      <c r="D1115" s="7" t="s">
        <v>4386</v>
      </c>
      <c r="E1115" s="7" t="s">
        <v>50</v>
      </c>
      <c r="F1115" s="7" t="s">
        <v>4388</v>
      </c>
      <c r="G1115" s="17" t="s">
        <v>7747</v>
      </c>
      <c r="H1115" s="7" t="s">
        <v>19</v>
      </c>
      <c r="I1115" s="7" t="s">
        <v>161</v>
      </c>
      <c r="J1115" s="7" t="s">
        <v>159</v>
      </c>
      <c r="K1115" s="7" t="s">
        <v>4388</v>
      </c>
      <c r="L1115" s="7" t="s">
        <v>7743</v>
      </c>
      <c r="M1115" s="7">
        <v>3.6417169999999999</v>
      </c>
      <c r="N1115" s="7">
        <v>9.7915969999999994</v>
      </c>
      <c r="O1115" s="7" t="s">
        <v>23</v>
      </c>
    </row>
    <row r="1116" spans="1:15" x14ac:dyDescent="0.25">
      <c r="A1116" s="2">
        <f t="shared" si="17"/>
        <v>1114</v>
      </c>
      <c r="B1116" s="7" t="s">
        <v>4395</v>
      </c>
      <c r="C1116" s="7" t="s">
        <v>4396</v>
      </c>
      <c r="D1116" s="7" t="s">
        <v>4395</v>
      </c>
      <c r="E1116" s="7" t="s">
        <v>50</v>
      </c>
      <c r="F1116" s="7" t="s">
        <v>209</v>
      </c>
      <c r="G1116" s="17" t="s">
        <v>7747</v>
      </c>
      <c r="H1116" s="7" t="s">
        <v>28</v>
      </c>
      <c r="I1116" s="7" t="s">
        <v>158</v>
      </c>
      <c r="J1116" s="7" t="s">
        <v>208</v>
      </c>
      <c r="K1116" s="7" t="s">
        <v>209</v>
      </c>
      <c r="L1116" s="7" t="s">
        <v>7743</v>
      </c>
      <c r="M1116" s="7">
        <v>3.9958360000000002</v>
      </c>
      <c r="N1116" s="7">
        <v>10.718959</v>
      </c>
      <c r="O1116" s="7" t="s">
        <v>23</v>
      </c>
    </row>
    <row r="1117" spans="1:15" x14ac:dyDescent="0.25">
      <c r="A1117" s="2">
        <f t="shared" si="17"/>
        <v>1115</v>
      </c>
      <c r="B1117" s="7" t="s">
        <v>4412</v>
      </c>
      <c r="C1117" s="7" t="s">
        <v>4413</v>
      </c>
      <c r="D1117" s="7" t="s">
        <v>4412</v>
      </c>
      <c r="E1117" s="7" t="s">
        <v>50</v>
      </c>
      <c r="F1117" s="7" t="s">
        <v>4414</v>
      </c>
      <c r="G1117" s="17" t="s">
        <v>7747</v>
      </c>
      <c r="H1117" s="7" t="s">
        <v>19</v>
      </c>
      <c r="I1117" s="7" t="s">
        <v>161</v>
      </c>
      <c r="J1117" s="7" t="s">
        <v>159</v>
      </c>
      <c r="K1117" s="7" t="s">
        <v>379</v>
      </c>
      <c r="L1117" s="7" t="s">
        <v>7743</v>
      </c>
      <c r="M1117" s="7">
        <v>3.8239540000000001</v>
      </c>
      <c r="N1117" s="7">
        <v>10.094893000000001</v>
      </c>
      <c r="O1117" s="7" t="s">
        <v>23</v>
      </c>
    </row>
    <row r="1118" spans="1:15" x14ac:dyDescent="0.25">
      <c r="A1118" s="2">
        <f t="shared" si="17"/>
        <v>1116</v>
      </c>
      <c r="B1118" s="7" t="s">
        <v>4430</v>
      </c>
      <c r="C1118" s="7" t="s">
        <v>4431</v>
      </c>
      <c r="D1118" s="7" t="s">
        <v>4430</v>
      </c>
      <c r="E1118" s="7" t="s">
        <v>50</v>
      </c>
      <c r="F1118" s="7" t="s">
        <v>4432</v>
      </c>
      <c r="G1118" s="17" t="s">
        <v>7747</v>
      </c>
      <c r="H1118" s="7" t="s">
        <v>28</v>
      </c>
      <c r="I1118" s="7" t="s">
        <v>161</v>
      </c>
      <c r="J1118" s="7" t="s">
        <v>159</v>
      </c>
      <c r="K1118" s="7" t="s">
        <v>379</v>
      </c>
      <c r="L1118" s="7" t="s">
        <v>7743</v>
      </c>
      <c r="M1118" s="7">
        <v>3.8042500000000001</v>
      </c>
      <c r="N1118" s="7">
        <v>10.085861</v>
      </c>
      <c r="O1118" s="7" t="s">
        <v>23</v>
      </c>
    </row>
    <row r="1119" spans="1:15" hidden="1" x14ac:dyDescent="0.25">
      <c r="A1119" s="2">
        <f t="shared" si="17"/>
        <v>1117</v>
      </c>
      <c r="B1119" s="7" t="s">
        <v>4587</v>
      </c>
      <c r="C1119" s="7" t="s">
        <v>4588</v>
      </c>
      <c r="D1119" s="7" t="s">
        <v>4587</v>
      </c>
      <c r="E1119" s="7" t="s">
        <v>182</v>
      </c>
      <c r="F1119" s="7" t="s">
        <v>4589</v>
      </c>
      <c r="G1119" s="17" t="s">
        <v>7747</v>
      </c>
      <c r="H1119" s="7" t="s">
        <v>19</v>
      </c>
      <c r="I1119" s="7" t="s">
        <v>600</v>
      </c>
      <c r="J1119" s="7" t="s">
        <v>208</v>
      </c>
      <c r="K1119" s="7" t="s">
        <v>1762</v>
      </c>
      <c r="L1119" s="7" t="s">
        <v>7743</v>
      </c>
      <c r="M1119" s="7">
        <v>3.63991</v>
      </c>
      <c r="N1119" s="7">
        <v>10.768879999999999</v>
      </c>
      <c r="O1119" s="7" t="s">
        <v>23</v>
      </c>
    </row>
    <row r="1120" spans="1:15" x14ac:dyDescent="0.25">
      <c r="A1120" s="2">
        <f t="shared" si="17"/>
        <v>1118</v>
      </c>
      <c r="B1120" s="7" t="s">
        <v>4590</v>
      </c>
      <c r="C1120" s="7" t="s">
        <v>4591</v>
      </c>
      <c r="D1120" s="7" t="s">
        <v>4590</v>
      </c>
      <c r="E1120" s="7" t="s">
        <v>50</v>
      </c>
      <c r="F1120" s="7" t="s">
        <v>4592</v>
      </c>
      <c r="G1120" s="17" t="s">
        <v>7747</v>
      </c>
      <c r="H1120" s="7" t="s">
        <v>28</v>
      </c>
      <c r="I1120" s="7" t="s">
        <v>158</v>
      </c>
      <c r="J1120" s="7" t="s">
        <v>159</v>
      </c>
      <c r="K1120" s="7" t="s">
        <v>160</v>
      </c>
      <c r="L1120" s="7" t="s">
        <v>7743</v>
      </c>
      <c r="M1120" s="7">
        <v>4.1044099999999997</v>
      </c>
      <c r="N1120" s="7">
        <v>10.46823</v>
      </c>
      <c r="O1120" s="7" t="s">
        <v>23</v>
      </c>
    </row>
    <row r="1121" spans="1:15" x14ac:dyDescent="0.25">
      <c r="A1121" s="2">
        <f t="shared" si="17"/>
        <v>1119</v>
      </c>
      <c r="B1121" s="7" t="s">
        <v>4593</v>
      </c>
      <c r="C1121" s="7" t="s">
        <v>4594</v>
      </c>
      <c r="D1121" s="7" t="s">
        <v>4593</v>
      </c>
      <c r="E1121" s="7" t="s">
        <v>50</v>
      </c>
      <c r="F1121" s="7" t="s">
        <v>4595</v>
      </c>
      <c r="G1121" s="17" t="s">
        <v>7747</v>
      </c>
      <c r="H1121" s="7" t="s">
        <v>19</v>
      </c>
      <c r="I1121" s="7" t="s">
        <v>161</v>
      </c>
      <c r="J1121" s="7" t="s">
        <v>159</v>
      </c>
      <c r="K1121" s="7" t="s">
        <v>4388</v>
      </c>
      <c r="L1121" s="7" t="s">
        <v>7743</v>
      </c>
      <c r="M1121" s="7">
        <v>3.640587</v>
      </c>
      <c r="N1121" s="7">
        <v>9.7927649999999993</v>
      </c>
      <c r="O1121" s="7" t="s">
        <v>23</v>
      </c>
    </row>
    <row r="1122" spans="1:15" x14ac:dyDescent="0.25">
      <c r="A1122" s="2">
        <f t="shared" si="17"/>
        <v>1120</v>
      </c>
      <c r="B1122" s="7" t="s">
        <v>4653</v>
      </c>
      <c r="C1122" s="7" t="s">
        <v>4654</v>
      </c>
      <c r="D1122" s="7" t="s">
        <v>4653</v>
      </c>
      <c r="E1122" s="7" t="s">
        <v>50</v>
      </c>
      <c r="F1122" s="7" t="s">
        <v>4655</v>
      </c>
      <c r="G1122" s="17" t="s">
        <v>7747</v>
      </c>
      <c r="H1122" s="7" t="s">
        <v>28</v>
      </c>
      <c r="I1122" s="7" t="s">
        <v>158</v>
      </c>
      <c r="J1122" s="7" t="s">
        <v>159</v>
      </c>
      <c r="K1122" s="7" t="s">
        <v>160</v>
      </c>
      <c r="L1122" s="7" t="s">
        <v>7743</v>
      </c>
      <c r="M1122" s="7">
        <v>3.9975499999999999</v>
      </c>
      <c r="N1122" s="7">
        <v>10.589460000000001</v>
      </c>
      <c r="O1122" s="7" t="s">
        <v>23</v>
      </c>
    </row>
    <row r="1123" spans="1:15" x14ac:dyDescent="0.25">
      <c r="A1123" s="2">
        <f t="shared" si="17"/>
        <v>1121</v>
      </c>
      <c r="B1123" s="7" t="s">
        <v>4853</v>
      </c>
      <c r="C1123" s="7" t="s">
        <v>4854</v>
      </c>
      <c r="D1123" s="7" t="s">
        <v>4853</v>
      </c>
      <c r="E1123" s="7" t="s">
        <v>50</v>
      </c>
      <c r="F1123" s="7" t="s">
        <v>4855</v>
      </c>
      <c r="G1123" s="17" t="s">
        <v>7747</v>
      </c>
      <c r="H1123" s="7" t="s">
        <v>19</v>
      </c>
      <c r="I1123" s="7" t="s">
        <v>158</v>
      </c>
      <c r="J1123" s="7" t="s">
        <v>208</v>
      </c>
      <c r="K1123" s="7" t="s">
        <v>209</v>
      </c>
      <c r="L1123" s="7" t="s">
        <v>7743</v>
      </c>
      <c r="M1123" s="7">
        <v>3.8874879999999998</v>
      </c>
      <c r="N1123" s="7">
        <v>10.703383000000001</v>
      </c>
      <c r="O1123" s="7" t="s">
        <v>23</v>
      </c>
    </row>
    <row r="1124" spans="1:15" x14ac:dyDescent="0.25">
      <c r="A1124" s="2">
        <f t="shared" si="17"/>
        <v>1122</v>
      </c>
      <c r="B1124" s="7" t="s">
        <v>5956</v>
      </c>
      <c r="C1124" s="7" t="s">
        <v>5957</v>
      </c>
      <c r="D1124" s="7" t="s">
        <v>5956</v>
      </c>
      <c r="E1124" s="7" t="s">
        <v>50</v>
      </c>
      <c r="F1124" s="7" t="s">
        <v>5958</v>
      </c>
      <c r="G1124" s="17" t="s">
        <v>7747</v>
      </c>
      <c r="H1124" s="7" t="s">
        <v>28</v>
      </c>
      <c r="I1124" s="7" t="s">
        <v>161</v>
      </c>
      <c r="J1124" s="7" t="s">
        <v>159</v>
      </c>
      <c r="K1124" s="7" t="s">
        <v>4388</v>
      </c>
      <c r="L1124" s="7" t="s">
        <v>7743</v>
      </c>
      <c r="M1124" s="7">
        <v>3.7500330000000002</v>
      </c>
      <c r="N1124" s="7">
        <v>9.8677580000000003</v>
      </c>
      <c r="O1124" s="7" t="s">
        <v>23</v>
      </c>
    </row>
    <row r="1125" spans="1:15" hidden="1" x14ac:dyDescent="0.25">
      <c r="A1125" s="2">
        <f t="shared" si="17"/>
        <v>1123</v>
      </c>
      <c r="B1125" s="7" t="s">
        <v>6100</v>
      </c>
      <c r="C1125" s="7" t="s">
        <v>6101</v>
      </c>
      <c r="D1125" s="7" t="s">
        <v>6100</v>
      </c>
      <c r="E1125" s="7" t="s">
        <v>182</v>
      </c>
      <c r="F1125" s="7" t="s">
        <v>6102</v>
      </c>
      <c r="G1125" s="17" t="s">
        <v>7747</v>
      </c>
      <c r="H1125" s="7" t="s">
        <v>28</v>
      </c>
      <c r="I1125" s="7" t="s">
        <v>600</v>
      </c>
      <c r="J1125" s="7" t="s">
        <v>208</v>
      </c>
      <c r="K1125" s="7" t="s">
        <v>1762</v>
      </c>
      <c r="L1125" s="7" t="s">
        <v>7743</v>
      </c>
      <c r="M1125" s="7">
        <v>3.8844599999999998</v>
      </c>
      <c r="N1125" s="7">
        <v>10.799630000000001</v>
      </c>
      <c r="O1125" s="7" t="s">
        <v>23</v>
      </c>
    </row>
    <row r="1126" spans="1:15" x14ac:dyDescent="0.25">
      <c r="A1126" s="2">
        <f t="shared" si="17"/>
        <v>1124</v>
      </c>
      <c r="B1126" s="7" t="s">
        <v>6106</v>
      </c>
      <c r="C1126" s="7" t="s">
        <v>6107</v>
      </c>
      <c r="D1126" s="7" t="s">
        <v>6106</v>
      </c>
      <c r="E1126" s="7" t="s">
        <v>50</v>
      </c>
      <c r="F1126" s="7" t="s">
        <v>6108</v>
      </c>
      <c r="G1126" s="17" t="s">
        <v>7747</v>
      </c>
      <c r="H1126" s="7" t="s">
        <v>28</v>
      </c>
      <c r="I1126" s="7" t="s">
        <v>179</v>
      </c>
      <c r="J1126" s="7" t="s">
        <v>159</v>
      </c>
      <c r="K1126" s="7" t="s">
        <v>204</v>
      </c>
      <c r="L1126" s="7" t="s">
        <v>7743</v>
      </c>
      <c r="M1126" s="7">
        <v>3.7651889999999999</v>
      </c>
      <c r="N1126" s="7">
        <v>10.169776000000001</v>
      </c>
      <c r="O1126" s="7" t="s">
        <v>23</v>
      </c>
    </row>
    <row r="1127" spans="1:15" hidden="1" x14ac:dyDescent="0.25">
      <c r="A1127" s="2">
        <f t="shared" si="17"/>
        <v>1125</v>
      </c>
      <c r="B1127" s="7" t="s">
        <v>6123</v>
      </c>
      <c r="C1127" s="7" t="s">
        <v>6124</v>
      </c>
      <c r="D1127" s="7" t="s">
        <v>6123</v>
      </c>
      <c r="E1127" s="7" t="s">
        <v>182</v>
      </c>
      <c r="F1127" s="7" t="s">
        <v>6125</v>
      </c>
      <c r="G1127" s="17" t="s">
        <v>7747</v>
      </c>
      <c r="H1127" s="7" t="s">
        <v>28</v>
      </c>
      <c r="I1127" s="7" t="s">
        <v>600</v>
      </c>
      <c r="J1127" s="7" t="s">
        <v>208</v>
      </c>
      <c r="K1127" s="7" t="s">
        <v>1762</v>
      </c>
      <c r="L1127" s="7" t="s">
        <v>7743</v>
      </c>
      <c r="M1127" s="7">
        <v>3.4575830000000001</v>
      </c>
      <c r="N1127" s="7">
        <v>10.524722000000001</v>
      </c>
      <c r="O1127" s="7" t="s">
        <v>23</v>
      </c>
    </row>
    <row r="1128" spans="1:15" x14ac:dyDescent="0.25">
      <c r="A1128" s="2">
        <f t="shared" si="17"/>
        <v>1126</v>
      </c>
      <c r="B1128" s="7" t="s">
        <v>6194</v>
      </c>
      <c r="C1128" s="7" t="s">
        <v>6195</v>
      </c>
      <c r="D1128" s="7" t="s">
        <v>6194</v>
      </c>
      <c r="E1128" s="7" t="s">
        <v>50</v>
      </c>
      <c r="F1128" s="7" t="s">
        <v>6196</v>
      </c>
      <c r="G1128" s="17" t="s">
        <v>7747</v>
      </c>
      <c r="H1128" s="7" t="s">
        <v>19</v>
      </c>
      <c r="I1128" s="7" t="s">
        <v>161</v>
      </c>
      <c r="J1128" s="7" t="s">
        <v>159</v>
      </c>
      <c r="K1128" s="7" t="s">
        <v>200</v>
      </c>
      <c r="L1128" s="7" t="s">
        <v>7743</v>
      </c>
      <c r="M1128" s="7">
        <v>3.9483329999999999</v>
      </c>
      <c r="N1128" s="7">
        <v>10.007605999999999</v>
      </c>
      <c r="O1128" s="7" t="s">
        <v>23</v>
      </c>
    </row>
    <row r="1129" spans="1:15" x14ac:dyDescent="0.25">
      <c r="A1129" s="2">
        <f t="shared" si="17"/>
        <v>1127</v>
      </c>
      <c r="B1129" s="7" t="s">
        <v>6228</v>
      </c>
      <c r="C1129" s="7" t="s">
        <v>6229</v>
      </c>
      <c r="D1129" s="7" t="s">
        <v>6228</v>
      </c>
      <c r="E1129" s="7" t="s">
        <v>50</v>
      </c>
      <c r="F1129" s="7" t="s">
        <v>6230</v>
      </c>
      <c r="G1129" s="17" t="s">
        <v>7747</v>
      </c>
      <c r="H1129" s="7" t="s">
        <v>28</v>
      </c>
      <c r="I1129" s="7" t="s">
        <v>179</v>
      </c>
      <c r="J1129" s="7" t="s">
        <v>159</v>
      </c>
      <c r="K1129" s="7" t="s">
        <v>160</v>
      </c>
      <c r="L1129" s="7" t="s">
        <v>7743</v>
      </c>
      <c r="M1129" s="7">
        <v>3.8302520000000002</v>
      </c>
      <c r="N1129" s="7">
        <v>10.397161000000001</v>
      </c>
      <c r="O1129" s="7" t="s">
        <v>23</v>
      </c>
    </row>
    <row r="1130" spans="1:15" x14ac:dyDescent="0.25">
      <c r="A1130" s="2">
        <f t="shared" si="17"/>
        <v>1128</v>
      </c>
      <c r="B1130" s="7" t="s">
        <v>6231</v>
      </c>
      <c r="C1130" s="7" t="s">
        <v>6232</v>
      </c>
      <c r="D1130" s="7" t="s">
        <v>6231</v>
      </c>
      <c r="E1130" s="7" t="s">
        <v>50</v>
      </c>
      <c r="F1130" s="7" t="s">
        <v>6233</v>
      </c>
      <c r="G1130" s="17" t="s">
        <v>7747</v>
      </c>
      <c r="H1130" s="7" t="s">
        <v>19</v>
      </c>
      <c r="I1130" s="7" t="s">
        <v>158</v>
      </c>
      <c r="J1130" s="7" t="s">
        <v>159</v>
      </c>
      <c r="K1130" s="7" t="s">
        <v>160</v>
      </c>
      <c r="L1130" s="7" t="s">
        <v>7743</v>
      </c>
      <c r="M1130" s="7">
        <v>3.8355000000000001</v>
      </c>
      <c r="N1130" s="7">
        <v>10.4977</v>
      </c>
      <c r="O1130" s="7" t="s">
        <v>23</v>
      </c>
    </row>
    <row r="1131" spans="1:15" x14ac:dyDescent="0.25">
      <c r="A1131" s="2">
        <f t="shared" si="17"/>
        <v>1129</v>
      </c>
      <c r="B1131" s="7" t="s">
        <v>6234</v>
      </c>
      <c r="C1131" s="7" t="s">
        <v>6235</v>
      </c>
      <c r="D1131" s="7" t="s">
        <v>6234</v>
      </c>
      <c r="E1131" s="7" t="s">
        <v>50</v>
      </c>
      <c r="F1131" s="7" t="s">
        <v>6236</v>
      </c>
      <c r="G1131" s="17" t="s">
        <v>7747</v>
      </c>
      <c r="H1131" s="7" t="s">
        <v>19</v>
      </c>
      <c r="I1131" s="7" t="s">
        <v>158</v>
      </c>
      <c r="J1131" s="7" t="s">
        <v>159</v>
      </c>
      <c r="K1131" s="7" t="s">
        <v>160</v>
      </c>
      <c r="L1131" s="7" t="s">
        <v>7743</v>
      </c>
      <c r="M1131" s="7">
        <v>3.8444219999999998</v>
      </c>
      <c r="N1131" s="7">
        <v>10.457443</v>
      </c>
      <c r="O1131" s="7" t="s">
        <v>23</v>
      </c>
    </row>
    <row r="1132" spans="1:15" x14ac:dyDescent="0.25">
      <c r="A1132" s="2">
        <f t="shared" si="17"/>
        <v>1130</v>
      </c>
      <c r="B1132" s="7" t="s">
        <v>6274</v>
      </c>
      <c r="C1132" s="7" t="s">
        <v>6275</v>
      </c>
      <c r="D1132" s="7" t="s">
        <v>6274</v>
      </c>
      <c r="E1132" s="7" t="s">
        <v>50</v>
      </c>
      <c r="F1132" s="7" t="s">
        <v>6276</v>
      </c>
      <c r="G1132" s="17" t="s">
        <v>7747</v>
      </c>
      <c r="H1132" s="7" t="s">
        <v>28</v>
      </c>
      <c r="I1132" s="7" t="s">
        <v>161</v>
      </c>
      <c r="J1132" s="7" t="s">
        <v>159</v>
      </c>
      <c r="K1132" s="7" t="s">
        <v>204</v>
      </c>
      <c r="L1132" s="7" t="s">
        <v>7743</v>
      </c>
      <c r="M1132" s="7">
        <v>3.9605000000000001</v>
      </c>
      <c r="N1132" s="7">
        <v>9.9641389999999994</v>
      </c>
      <c r="O1132" s="7" t="s">
        <v>23</v>
      </c>
    </row>
    <row r="1133" spans="1:15" hidden="1" x14ac:dyDescent="0.25">
      <c r="A1133" s="2">
        <f t="shared" si="17"/>
        <v>1131</v>
      </c>
      <c r="B1133" s="7" t="s">
        <v>6358</v>
      </c>
      <c r="C1133" s="7" t="s">
        <v>6359</v>
      </c>
      <c r="D1133" s="7" t="s">
        <v>6358</v>
      </c>
      <c r="E1133" s="7" t="s">
        <v>250</v>
      </c>
      <c r="F1133" s="7" t="s">
        <v>6360</v>
      </c>
      <c r="G1133" s="17" t="s">
        <v>7747</v>
      </c>
      <c r="H1133" s="7" t="s">
        <v>28</v>
      </c>
      <c r="I1133" s="7" t="s">
        <v>311</v>
      </c>
      <c r="J1133" s="7" t="s">
        <v>293</v>
      </c>
      <c r="K1133" s="7" t="s">
        <v>6360</v>
      </c>
      <c r="L1133" s="7" t="s">
        <v>7743</v>
      </c>
      <c r="M1133" s="7">
        <v>3.2478889999999998</v>
      </c>
      <c r="N1133" s="7">
        <v>10.720444000000001</v>
      </c>
      <c r="O1133" s="7" t="s">
        <v>23</v>
      </c>
    </row>
    <row r="1134" spans="1:15" x14ac:dyDescent="0.25">
      <c r="A1134" s="2">
        <f t="shared" si="17"/>
        <v>1132</v>
      </c>
      <c r="B1134" s="7" t="s">
        <v>6464</v>
      </c>
      <c r="C1134" s="7" t="s">
        <v>6465</v>
      </c>
      <c r="D1134" s="7" t="s">
        <v>6464</v>
      </c>
      <c r="E1134" s="7" t="s">
        <v>50</v>
      </c>
      <c r="F1134" s="7" t="s">
        <v>6466</v>
      </c>
      <c r="G1134" s="17" t="s">
        <v>7747</v>
      </c>
      <c r="H1134" s="7" t="s">
        <v>28</v>
      </c>
      <c r="I1134" s="7" t="s">
        <v>161</v>
      </c>
      <c r="J1134" s="7" t="s">
        <v>159</v>
      </c>
      <c r="K1134" s="7" t="s">
        <v>204</v>
      </c>
      <c r="L1134" s="7" t="s">
        <v>7743</v>
      </c>
      <c r="M1134" s="7">
        <v>3.8410890000000002</v>
      </c>
      <c r="N1134" s="7">
        <v>10.089219</v>
      </c>
      <c r="O1134" s="7" t="s">
        <v>23</v>
      </c>
    </row>
    <row r="1135" spans="1:15" x14ac:dyDescent="0.25">
      <c r="A1135" s="2">
        <f t="shared" si="17"/>
        <v>1133</v>
      </c>
      <c r="B1135" s="7" t="s">
        <v>6640</v>
      </c>
      <c r="C1135" s="7" t="s">
        <v>6641</v>
      </c>
      <c r="D1135" s="7" t="s">
        <v>6640</v>
      </c>
      <c r="E1135" s="7" t="s">
        <v>50</v>
      </c>
      <c r="F1135" s="7" t="s">
        <v>6642</v>
      </c>
      <c r="G1135" s="17" t="s">
        <v>7747</v>
      </c>
      <c r="H1135" s="7" t="s">
        <v>28</v>
      </c>
      <c r="I1135" s="7" t="s">
        <v>158</v>
      </c>
      <c r="J1135" s="7" t="s">
        <v>159</v>
      </c>
      <c r="K1135" s="7" t="s">
        <v>160</v>
      </c>
      <c r="L1135" s="7" t="s">
        <v>7743</v>
      </c>
      <c r="M1135" s="7">
        <v>4.1410400000000003</v>
      </c>
      <c r="N1135" s="7">
        <v>10.48052</v>
      </c>
      <c r="O1135" s="7" t="s">
        <v>23</v>
      </c>
    </row>
    <row r="1136" spans="1:15" x14ac:dyDescent="0.25">
      <c r="A1136" s="2">
        <f t="shared" si="17"/>
        <v>1134</v>
      </c>
      <c r="B1136" s="7" t="s">
        <v>7644</v>
      </c>
      <c r="C1136" s="7" t="s">
        <v>7645</v>
      </c>
      <c r="D1136" s="7" t="s">
        <v>7644</v>
      </c>
      <c r="E1136" s="7" t="s">
        <v>50</v>
      </c>
      <c r="F1136" s="7" t="s">
        <v>7646</v>
      </c>
      <c r="G1136" s="17" t="s">
        <v>7747</v>
      </c>
      <c r="H1136" s="7" t="s">
        <v>28</v>
      </c>
      <c r="I1136" s="7" t="s">
        <v>161</v>
      </c>
      <c r="J1136" s="7" t="s">
        <v>7647</v>
      </c>
      <c r="K1136" s="7" t="s">
        <v>204</v>
      </c>
      <c r="L1136" s="7" t="s">
        <v>7743</v>
      </c>
      <c r="M1136" s="7">
        <v>3.7916799999999999</v>
      </c>
      <c r="N1136" s="7">
        <v>10.117620000000001</v>
      </c>
      <c r="O1136" s="7" t="s">
        <v>23</v>
      </c>
    </row>
    <row r="1137" spans="1:15" hidden="1" x14ac:dyDescent="0.25">
      <c r="A1137" s="2">
        <f t="shared" si="17"/>
        <v>1135</v>
      </c>
      <c r="B1137" s="7" t="s">
        <v>168</v>
      </c>
      <c r="C1137" s="7" t="s">
        <v>169</v>
      </c>
      <c r="D1137" s="7" t="s">
        <v>168</v>
      </c>
      <c r="E1137" s="7" t="s">
        <v>170</v>
      </c>
      <c r="F1137" s="7" t="s">
        <v>171</v>
      </c>
      <c r="G1137" s="17" t="s">
        <v>7747</v>
      </c>
      <c r="H1137" s="7" t="s">
        <v>28</v>
      </c>
      <c r="I1137" s="7" t="s">
        <v>172</v>
      </c>
      <c r="J1137" s="7" t="s">
        <v>173</v>
      </c>
      <c r="K1137" s="7" t="s">
        <v>174</v>
      </c>
      <c r="L1137" s="7" t="s">
        <v>175</v>
      </c>
      <c r="M1137" s="7">
        <v>9.7704140000000006</v>
      </c>
      <c r="N1137" s="7">
        <v>13.738884000000001</v>
      </c>
      <c r="O1137" s="7" t="s">
        <v>23</v>
      </c>
    </row>
    <row r="1138" spans="1:15" hidden="1" x14ac:dyDescent="0.25">
      <c r="A1138" s="2">
        <f t="shared" si="17"/>
        <v>1136</v>
      </c>
      <c r="B1138" s="7" t="s">
        <v>231</v>
      </c>
      <c r="C1138" s="7" t="s">
        <v>232</v>
      </c>
      <c r="D1138" s="7" t="s">
        <v>231</v>
      </c>
      <c r="E1138" s="7" t="s">
        <v>170</v>
      </c>
      <c r="F1138" s="7" t="s">
        <v>233</v>
      </c>
      <c r="G1138" s="17" t="s">
        <v>7747</v>
      </c>
      <c r="H1138" s="7" t="s">
        <v>28</v>
      </c>
      <c r="I1138" s="7" t="s">
        <v>234</v>
      </c>
      <c r="J1138" s="7" t="s">
        <v>235</v>
      </c>
      <c r="K1138" s="7" t="s">
        <v>236</v>
      </c>
      <c r="L1138" s="7" t="s">
        <v>175</v>
      </c>
      <c r="M1138" s="7">
        <v>8.4725570000000001</v>
      </c>
      <c r="N1138" s="7">
        <v>13.242718999999999</v>
      </c>
      <c r="O1138" s="7" t="s">
        <v>23</v>
      </c>
    </row>
    <row r="1139" spans="1:15" hidden="1" x14ac:dyDescent="0.25">
      <c r="A1139" s="2">
        <f t="shared" si="17"/>
        <v>1137</v>
      </c>
      <c r="B1139" s="7" t="s">
        <v>255</v>
      </c>
      <c r="C1139" s="7" t="s">
        <v>256</v>
      </c>
      <c r="D1139" s="7" t="s">
        <v>255</v>
      </c>
      <c r="E1139" s="7" t="s">
        <v>170</v>
      </c>
      <c r="F1139" s="7" t="s">
        <v>257</v>
      </c>
      <c r="G1139" s="17" t="s">
        <v>7747</v>
      </c>
      <c r="H1139" s="7" t="s">
        <v>28</v>
      </c>
      <c r="I1139" s="7" t="s">
        <v>234</v>
      </c>
      <c r="J1139" s="7" t="s">
        <v>258</v>
      </c>
      <c r="K1139" s="7" t="s">
        <v>259</v>
      </c>
      <c r="L1139" s="7" t="s">
        <v>175</v>
      </c>
      <c r="M1139" s="7">
        <v>9.3108419999999992</v>
      </c>
      <c r="N1139" s="7">
        <v>13.669119999999999</v>
      </c>
      <c r="O1139" s="7" t="s">
        <v>23</v>
      </c>
    </row>
    <row r="1140" spans="1:15" hidden="1" x14ac:dyDescent="0.25">
      <c r="A1140" s="2">
        <f t="shared" si="17"/>
        <v>1138</v>
      </c>
      <c r="B1140" s="7" t="s">
        <v>729</v>
      </c>
      <c r="C1140" s="7" t="s">
        <v>730</v>
      </c>
      <c r="D1140" s="7" t="s">
        <v>729</v>
      </c>
      <c r="E1140" s="7" t="s">
        <v>170</v>
      </c>
      <c r="F1140" s="7" t="s">
        <v>731</v>
      </c>
      <c r="G1140" s="17" t="s">
        <v>7747</v>
      </c>
      <c r="H1140" s="7" t="s">
        <v>28</v>
      </c>
      <c r="I1140" s="7" t="s">
        <v>234</v>
      </c>
      <c r="J1140" s="7" t="s">
        <v>732</v>
      </c>
      <c r="K1140" s="7" t="s">
        <v>733</v>
      </c>
      <c r="L1140" s="7" t="s">
        <v>175</v>
      </c>
      <c r="M1140" s="7">
        <v>9.4622899999999994</v>
      </c>
      <c r="N1140" s="7">
        <v>14.149609999999999</v>
      </c>
      <c r="O1140" s="7" t="s">
        <v>23</v>
      </c>
    </row>
    <row r="1141" spans="1:15" hidden="1" x14ac:dyDescent="0.25">
      <c r="A1141" s="2">
        <f t="shared" si="17"/>
        <v>1139</v>
      </c>
      <c r="B1141" s="7" t="s">
        <v>746</v>
      </c>
      <c r="C1141" s="7" t="s">
        <v>747</v>
      </c>
      <c r="D1141" s="7" t="s">
        <v>746</v>
      </c>
      <c r="E1141" s="7" t="s">
        <v>170</v>
      </c>
      <c r="F1141" s="7" t="s">
        <v>748</v>
      </c>
      <c r="G1141" s="17" t="s">
        <v>7747</v>
      </c>
      <c r="H1141" s="7" t="s">
        <v>28</v>
      </c>
      <c r="I1141" s="7" t="s">
        <v>234</v>
      </c>
      <c r="J1141" s="7" t="s">
        <v>732</v>
      </c>
      <c r="K1141" s="7" t="s">
        <v>733</v>
      </c>
      <c r="L1141" s="7" t="s">
        <v>175</v>
      </c>
      <c r="M1141" s="7">
        <v>8.6510010000000008</v>
      </c>
      <c r="N1141" s="7">
        <v>14.98808</v>
      </c>
      <c r="O1141" s="7" t="s">
        <v>23</v>
      </c>
    </row>
    <row r="1142" spans="1:15" hidden="1" x14ac:dyDescent="0.25">
      <c r="A1142" s="2">
        <f t="shared" si="17"/>
        <v>1140</v>
      </c>
      <c r="B1142" s="7" t="s">
        <v>801</v>
      </c>
      <c r="C1142" s="7" t="s">
        <v>802</v>
      </c>
      <c r="D1142" s="7" t="s">
        <v>801</v>
      </c>
      <c r="E1142" s="7" t="s">
        <v>170</v>
      </c>
      <c r="F1142" s="7" t="s">
        <v>803</v>
      </c>
      <c r="G1142" s="17" t="s">
        <v>7747</v>
      </c>
      <c r="H1142" s="7" t="s">
        <v>19</v>
      </c>
      <c r="I1142" s="7" t="s">
        <v>172</v>
      </c>
      <c r="J1142" s="7" t="s">
        <v>173</v>
      </c>
      <c r="K1142" s="7" t="s">
        <v>803</v>
      </c>
      <c r="L1142" s="7" t="s">
        <v>175</v>
      </c>
      <c r="M1142" s="7">
        <v>9.7076019999999996</v>
      </c>
      <c r="N1142" s="7">
        <v>13.92479</v>
      </c>
      <c r="O1142" s="7" t="s">
        <v>23</v>
      </c>
    </row>
    <row r="1143" spans="1:15" hidden="1" x14ac:dyDescent="0.25">
      <c r="A1143" s="2">
        <f t="shared" si="17"/>
        <v>1141</v>
      </c>
      <c r="B1143" s="7" t="s">
        <v>854</v>
      </c>
      <c r="C1143" s="7" t="s">
        <v>855</v>
      </c>
      <c r="D1143" s="7" t="s">
        <v>854</v>
      </c>
      <c r="E1143" s="7" t="s">
        <v>170</v>
      </c>
      <c r="F1143" s="7" t="s">
        <v>856</v>
      </c>
      <c r="G1143" s="17" t="s">
        <v>7747</v>
      </c>
      <c r="H1143" s="7" t="s">
        <v>28</v>
      </c>
      <c r="I1143" s="7" t="s">
        <v>172</v>
      </c>
      <c r="J1143" s="7" t="s">
        <v>173</v>
      </c>
      <c r="K1143" s="7" t="s">
        <v>174</v>
      </c>
      <c r="L1143" s="7" t="s">
        <v>175</v>
      </c>
      <c r="M1143" s="7">
        <v>9.9863949999999999</v>
      </c>
      <c r="N1143" s="7">
        <v>13.516673000000001</v>
      </c>
      <c r="O1143" s="7" t="s">
        <v>23</v>
      </c>
    </row>
    <row r="1144" spans="1:15" hidden="1" x14ac:dyDescent="0.25">
      <c r="A1144" s="2">
        <f t="shared" si="17"/>
        <v>1142</v>
      </c>
      <c r="B1144" s="7" t="s">
        <v>857</v>
      </c>
      <c r="C1144" s="7" t="s">
        <v>858</v>
      </c>
      <c r="D1144" s="7" t="s">
        <v>857</v>
      </c>
      <c r="E1144" s="7" t="s">
        <v>170</v>
      </c>
      <c r="F1144" s="7" t="s">
        <v>859</v>
      </c>
      <c r="G1144" s="17" t="s">
        <v>7747</v>
      </c>
      <c r="H1144" s="7" t="s">
        <v>28</v>
      </c>
      <c r="I1144" s="7" t="s">
        <v>172</v>
      </c>
      <c r="J1144" s="7" t="s">
        <v>173</v>
      </c>
      <c r="K1144" s="7" t="s">
        <v>174</v>
      </c>
      <c r="L1144" s="7" t="s">
        <v>175</v>
      </c>
      <c r="M1144" s="7">
        <v>10.062537000000001</v>
      </c>
      <c r="N1144" s="7">
        <v>13.311543</v>
      </c>
      <c r="O1144" s="7" t="s">
        <v>23</v>
      </c>
    </row>
    <row r="1145" spans="1:15" hidden="1" x14ac:dyDescent="0.25">
      <c r="A1145" s="2">
        <f t="shared" si="17"/>
        <v>1143</v>
      </c>
      <c r="B1145" s="7" t="s">
        <v>882</v>
      </c>
      <c r="C1145" s="7" t="s">
        <v>883</v>
      </c>
      <c r="D1145" s="7" t="s">
        <v>882</v>
      </c>
      <c r="E1145" s="7" t="s">
        <v>170</v>
      </c>
      <c r="F1145" s="7" t="s">
        <v>884</v>
      </c>
      <c r="G1145" s="17" t="s">
        <v>7747</v>
      </c>
      <c r="H1145" s="7" t="s">
        <v>19</v>
      </c>
      <c r="I1145" s="7" t="s">
        <v>234</v>
      </c>
      <c r="J1145" s="7" t="s">
        <v>258</v>
      </c>
      <c r="K1145" s="7" t="s">
        <v>885</v>
      </c>
      <c r="L1145" s="7" t="s">
        <v>175</v>
      </c>
      <c r="M1145" s="7">
        <v>8.7860829999999996</v>
      </c>
      <c r="N1145" s="7">
        <v>13.516278</v>
      </c>
      <c r="O1145" s="7" t="s">
        <v>23</v>
      </c>
    </row>
    <row r="1146" spans="1:15" hidden="1" x14ac:dyDescent="0.25">
      <c r="A1146" s="2">
        <f t="shared" si="17"/>
        <v>1144</v>
      </c>
      <c r="B1146" s="7" t="s">
        <v>886</v>
      </c>
      <c r="C1146" s="7" t="s">
        <v>887</v>
      </c>
      <c r="D1146" s="7" t="s">
        <v>886</v>
      </c>
      <c r="E1146" s="7" t="s">
        <v>170</v>
      </c>
      <c r="F1146" s="7" t="s">
        <v>888</v>
      </c>
      <c r="G1146" s="17" t="s">
        <v>7747</v>
      </c>
      <c r="H1146" s="7" t="s">
        <v>19</v>
      </c>
      <c r="I1146" s="7" t="s">
        <v>172</v>
      </c>
      <c r="J1146" s="7" t="s">
        <v>258</v>
      </c>
      <c r="K1146" s="7" t="s">
        <v>259</v>
      </c>
      <c r="L1146" s="7" t="s">
        <v>175</v>
      </c>
      <c r="M1146" s="7">
        <v>9.4424499999999991</v>
      </c>
      <c r="N1146" s="7">
        <v>13.61087</v>
      </c>
      <c r="O1146" s="7" t="s">
        <v>23</v>
      </c>
    </row>
    <row r="1147" spans="1:15" hidden="1" x14ac:dyDescent="0.25">
      <c r="A1147" s="2">
        <f t="shared" si="17"/>
        <v>1145</v>
      </c>
      <c r="B1147" s="7" t="s">
        <v>926</v>
      </c>
      <c r="C1147" s="7" t="s">
        <v>927</v>
      </c>
      <c r="D1147" s="7" t="s">
        <v>926</v>
      </c>
      <c r="E1147" s="7" t="s">
        <v>170</v>
      </c>
      <c r="F1147" s="7" t="s">
        <v>928</v>
      </c>
      <c r="G1147" s="17" t="s">
        <v>7747</v>
      </c>
      <c r="H1147" s="7" t="s">
        <v>28</v>
      </c>
      <c r="I1147" s="7" t="s">
        <v>234</v>
      </c>
      <c r="J1147" s="7" t="s">
        <v>258</v>
      </c>
      <c r="K1147" s="7" t="s">
        <v>929</v>
      </c>
      <c r="L1147" s="7" t="s">
        <v>175</v>
      </c>
      <c r="M1147" s="7">
        <v>9.4142600000000005</v>
      </c>
      <c r="N1147" s="7">
        <v>14.112159999999999</v>
      </c>
      <c r="O1147" s="7" t="s">
        <v>23</v>
      </c>
    </row>
    <row r="1148" spans="1:15" hidden="1" x14ac:dyDescent="0.25">
      <c r="A1148" s="2">
        <f t="shared" si="17"/>
        <v>1146</v>
      </c>
      <c r="B1148" s="7" t="s">
        <v>930</v>
      </c>
      <c r="C1148" s="7" t="s">
        <v>931</v>
      </c>
      <c r="D1148" s="7" t="s">
        <v>930</v>
      </c>
      <c r="E1148" s="7" t="s">
        <v>170</v>
      </c>
      <c r="F1148" s="7" t="s">
        <v>932</v>
      </c>
      <c r="G1148" s="17" t="s">
        <v>7747</v>
      </c>
      <c r="H1148" s="7" t="s">
        <v>28</v>
      </c>
      <c r="I1148" s="7" t="s">
        <v>172</v>
      </c>
      <c r="J1148" s="7" t="s">
        <v>173</v>
      </c>
      <c r="K1148" s="7" t="s">
        <v>174</v>
      </c>
      <c r="L1148" s="7" t="s">
        <v>175</v>
      </c>
      <c r="M1148" s="7">
        <v>9.5552799999999998</v>
      </c>
      <c r="N1148" s="7">
        <v>13.761900000000001</v>
      </c>
      <c r="O1148" s="7" t="s">
        <v>23</v>
      </c>
    </row>
    <row r="1149" spans="1:15" hidden="1" x14ac:dyDescent="0.25">
      <c r="A1149" s="2">
        <f t="shared" si="17"/>
        <v>1147</v>
      </c>
      <c r="B1149" s="7" t="s">
        <v>1026</v>
      </c>
      <c r="C1149" s="7" t="s">
        <v>1027</v>
      </c>
      <c r="D1149" s="7" t="s">
        <v>1026</v>
      </c>
      <c r="E1149" s="7" t="s">
        <v>170</v>
      </c>
      <c r="F1149" s="7" t="s">
        <v>1028</v>
      </c>
      <c r="G1149" s="17" t="s">
        <v>7747</v>
      </c>
      <c r="H1149" s="7" t="s">
        <v>19</v>
      </c>
      <c r="I1149" s="7" t="s">
        <v>172</v>
      </c>
      <c r="J1149" s="7" t="s">
        <v>258</v>
      </c>
      <c r="K1149" s="7" t="s">
        <v>1028</v>
      </c>
      <c r="L1149" s="7" t="s">
        <v>175</v>
      </c>
      <c r="M1149" s="7">
        <v>9.6715400000000002</v>
      </c>
      <c r="N1149" s="7">
        <v>13.374079999999999</v>
      </c>
      <c r="O1149" s="7" t="s">
        <v>23</v>
      </c>
    </row>
    <row r="1150" spans="1:15" hidden="1" x14ac:dyDescent="0.25">
      <c r="A1150" s="2">
        <f t="shared" si="17"/>
        <v>1148</v>
      </c>
      <c r="B1150" s="7" t="s">
        <v>1029</v>
      </c>
      <c r="C1150" s="7" t="s">
        <v>1030</v>
      </c>
      <c r="D1150" s="7" t="s">
        <v>1029</v>
      </c>
      <c r="E1150" s="7" t="s">
        <v>170</v>
      </c>
      <c r="F1150" s="7" t="s">
        <v>1031</v>
      </c>
      <c r="G1150" s="17" t="s">
        <v>7747</v>
      </c>
      <c r="H1150" s="7" t="s">
        <v>28</v>
      </c>
      <c r="I1150" s="7" t="s">
        <v>172</v>
      </c>
      <c r="J1150" s="7" t="s">
        <v>258</v>
      </c>
      <c r="K1150" s="7" t="s">
        <v>1032</v>
      </c>
      <c r="L1150" s="7" t="s">
        <v>175</v>
      </c>
      <c r="M1150" s="7">
        <v>9.3455829999999995</v>
      </c>
      <c r="N1150" s="7">
        <v>12.973027999999999</v>
      </c>
      <c r="O1150" s="7" t="s">
        <v>23</v>
      </c>
    </row>
    <row r="1151" spans="1:15" hidden="1" x14ac:dyDescent="0.25">
      <c r="A1151" s="2">
        <f t="shared" si="17"/>
        <v>1149</v>
      </c>
      <c r="B1151" s="7" t="s">
        <v>1193</v>
      </c>
      <c r="C1151" s="7" t="s">
        <v>1194</v>
      </c>
      <c r="D1151" s="7" t="s">
        <v>1193</v>
      </c>
      <c r="E1151" s="7" t="s">
        <v>170</v>
      </c>
      <c r="F1151" s="7" t="s">
        <v>1195</v>
      </c>
      <c r="G1151" s="17" t="s">
        <v>7747</v>
      </c>
      <c r="H1151" s="7" t="s">
        <v>28</v>
      </c>
      <c r="I1151" s="7" t="s">
        <v>234</v>
      </c>
      <c r="J1151" s="7" t="s">
        <v>258</v>
      </c>
      <c r="K1151" s="7" t="s">
        <v>1196</v>
      </c>
      <c r="L1151" s="7" t="s">
        <v>175</v>
      </c>
      <c r="M1151" s="7">
        <v>9.2890499999999996</v>
      </c>
      <c r="N1151" s="7">
        <v>13.709720000000001</v>
      </c>
      <c r="O1151" s="7" t="s">
        <v>23</v>
      </c>
    </row>
    <row r="1152" spans="1:15" hidden="1" x14ac:dyDescent="0.25">
      <c r="A1152" s="2">
        <f t="shared" si="17"/>
        <v>1150</v>
      </c>
      <c r="B1152" s="7" t="s">
        <v>1222</v>
      </c>
      <c r="C1152" s="7" t="s">
        <v>1223</v>
      </c>
      <c r="D1152" s="7" t="s">
        <v>1222</v>
      </c>
      <c r="E1152" s="7" t="s">
        <v>170</v>
      </c>
      <c r="F1152" s="7" t="s">
        <v>1224</v>
      </c>
      <c r="G1152" s="17" t="s">
        <v>7747</v>
      </c>
      <c r="H1152" s="7" t="s">
        <v>28</v>
      </c>
      <c r="I1152" s="7" t="s">
        <v>234</v>
      </c>
      <c r="J1152" s="7" t="s">
        <v>258</v>
      </c>
      <c r="K1152" s="7" t="s">
        <v>885</v>
      </c>
      <c r="L1152" s="7" t="s">
        <v>175</v>
      </c>
      <c r="M1152" s="7">
        <v>8.9180609999999998</v>
      </c>
      <c r="N1152" s="7">
        <v>13.514075</v>
      </c>
      <c r="O1152" s="7" t="s">
        <v>23</v>
      </c>
    </row>
    <row r="1153" spans="1:15" hidden="1" x14ac:dyDescent="0.25">
      <c r="A1153" s="2">
        <f t="shared" si="17"/>
        <v>1151</v>
      </c>
      <c r="B1153" s="7" t="s">
        <v>1244</v>
      </c>
      <c r="C1153" s="7" t="s">
        <v>1245</v>
      </c>
      <c r="D1153" s="7" t="s">
        <v>1244</v>
      </c>
      <c r="E1153" s="7" t="s">
        <v>170</v>
      </c>
      <c r="F1153" s="7" t="s">
        <v>1246</v>
      </c>
      <c r="G1153" s="17" t="s">
        <v>7747</v>
      </c>
      <c r="H1153" s="7" t="s">
        <v>28</v>
      </c>
      <c r="I1153" s="7" t="s">
        <v>234</v>
      </c>
      <c r="J1153" s="7" t="s">
        <v>258</v>
      </c>
      <c r="K1153" s="7" t="s">
        <v>929</v>
      </c>
      <c r="L1153" s="7" t="s">
        <v>175</v>
      </c>
      <c r="M1153" s="7">
        <v>9.0045280000000005</v>
      </c>
      <c r="N1153" s="7">
        <v>14.250972000000001</v>
      </c>
      <c r="O1153" s="7" t="s">
        <v>23</v>
      </c>
    </row>
    <row r="1154" spans="1:15" hidden="1" x14ac:dyDescent="0.25">
      <c r="A1154" s="2">
        <f t="shared" si="17"/>
        <v>1152</v>
      </c>
      <c r="B1154" s="7" t="s">
        <v>1263</v>
      </c>
      <c r="C1154" s="7" t="s">
        <v>1264</v>
      </c>
      <c r="D1154" s="7" t="s">
        <v>1263</v>
      </c>
      <c r="E1154" s="7" t="s">
        <v>170</v>
      </c>
      <c r="F1154" s="7" t="s">
        <v>1265</v>
      </c>
      <c r="G1154" s="17" t="s">
        <v>7747</v>
      </c>
      <c r="H1154" s="7" t="s">
        <v>28</v>
      </c>
      <c r="I1154" s="7" t="s">
        <v>234</v>
      </c>
      <c r="J1154" s="7" t="s">
        <v>258</v>
      </c>
      <c r="K1154" s="7" t="s">
        <v>929</v>
      </c>
      <c r="L1154" s="7" t="s">
        <v>175</v>
      </c>
      <c r="M1154" s="7">
        <v>9.3400099999999995</v>
      </c>
      <c r="N1154" s="7">
        <v>14.21495</v>
      </c>
      <c r="O1154" s="7" t="s">
        <v>23</v>
      </c>
    </row>
    <row r="1155" spans="1:15" hidden="1" x14ac:dyDescent="0.25">
      <c r="A1155" s="2">
        <f t="shared" si="17"/>
        <v>1153</v>
      </c>
      <c r="B1155" s="7" t="s">
        <v>1266</v>
      </c>
      <c r="C1155" s="7" t="s">
        <v>1267</v>
      </c>
      <c r="D1155" s="7" t="s">
        <v>1266</v>
      </c>
      <c r="E1155" s="7" t="s">
        <v>170</v>
      </c>
      <c r="F1155" s="7" t="s">
        <v>1268</v>
      </c>
      <c r="G1155" s="17" t="s">
        <v>7747</v>
      </c>
      <c r="H1155" s="7" t="s">
        <v>28</v>
      </c>
      <c r="I1155" s="7" t="s">
        <v>172</v>
      </c>
      <c r="J1155" s="7" t="s">
        <v>173</v>
      </c>
      <c r="K1155" s="7" t="s">
        <v>174</v>
      </c>
      <c r="L1155" s="7" t="s">
        <v>175</v>
      </c>
      <c r="M1155" s="7">
        <v>9.8282880000000006</v>
      </c>
      <c r="N1155" s="7">
        <v>13.829748</v>
      </c>
      <c r="O1155" s="7" t="s">
        <v>23</v>
      </c>
    </row>
    <row r="1156" spans="1:15" hidden="1" x14ac:dyDescent="0.25">
      <c r="A1156" s="2">
        <f t="shared" si="17"/>
        <v>1154</v>
      </c>
      <c r="B1156" s="7" t="s">
        <v>1278</v>
      </c>
      <c r="C1156" s="7" t="s">
        <v>1279</v>
      </c>
      <c r="D1156" s="7" t="s">
        <v>1278</v>
      </c>
      <c r="E1156" s="7" t="s">
        <v>170</v>
      </c>
      <c r="F1156" s="7" t="s">
        <v>1280</v>
      </c>
      <c r="G1156" s="17" t="s">
        <v>7747</v>
      </c>
      <c r="H1156" s="7" t="s">
        <v>28</v>
      </c>
      <c r="I1156" s="7" t="s">
        <v>234</v>
      </c>
      <c r="J1156" s="7" t="s">
        <v>258</v>
      </c>
      <c r="K1156" s="7" t="s">
        <v>885</v>
      </c>
      <c r="L1156" s="7" t="s">
        <v>175</v>
      </c>
      <c r="M1156" s="7">
        <v>8.3912999999999993</v>
      </c>
      <c r="N1156" s="7">
        <v>13.712896000000001</v>
      </c>
      <c r="O1156" s="7" t="s">
        <v>23</v>
      </c>
    </row>
    <row r="1157" spans="1:15" hidden="1" x14ac:dyDescent="0.25">
      <c r="A1157" s="2">
        <f t="shared" ref="A1157:A1220" si="18">+A1156+1</f>
        <v>1155</v>
      </c>
      <c r="B1157" s="7" t="s">
        <v>1290</v>
      </c>
      <c r="C1157" s="7" t="s">
        <v>1291</v>
      </c>
      <c r="D1157" s="7" t="s">
        <v>1290</v>
      </c>
      <c r="E1157" s="7" t="s">
        <v>170</v>
      </c>
      <c r="F1157" s="7" t="s">
        <v>1292</v>
      </c>
      <c r="G1157" s="17" t="s">
        <v>7747</v>
      </c>
      <c r="H1157" s="7" t="s">
        <v>28</v>
      </c>
      <c r="I1157" s="7" t="s">
        <v>234</v>
      </c>
      <c r="J1157" s="7" t="s">
        <v>258</v>
      </c>
      <c r="K1157" s="7" t="s">
        <v>885</v>
      </c>
      <c r="L1157" s="7" t="s">
        <v>175</v>
      </c>
      <c r="M1157" s="7">
        <v>8.6520390000000003</v>
      </c>
      <c r="N1157" s="7">
        <v>13.528034999999999</v>
      </c>
      <c r="O1157" s="7" t="s">
        <v>23</v>
      </c>
    </row>
    <row r="1158" spans="1:15" hidden="1" x14ac:dyDescent="0.25">
      <c r="A1158" s="2">
        <f t="shared" si="18"/>
        <v>1156</v>
      </c>
      <c r="B1158" s="7" t="s">
        <v>1379</v>
      </c>
      <c r="C1158" s="7" t="s">
        <v>1380</v>
      </c>
      <c r="D1158" s="7" t="s">
        <v>1379</v>
      </c>
      <c r="E1158" s="7" t="s">
        <v>170</v>
      </c>
      <c r="F1158" s="7" t="s">
        <v>1381</v>
      </c>
      <c r="G1158" s="17" t="s">
        <v>7747</v>
      </c>
      <c r="H1158" s="7" t="s">
        <v>28</v>
      </c>
      <c r="I1158" s="7" t="s">
        <v>234</v>
      </c>
      <c r="J1158" s="7" t="s">
        <v>258</v>
      </c>
      <c r="K1158" s="7" t="s">
        <v>885</v>
      </c>
      <c r="L1158" s="7" t="s">
        <v>175</v>
      </c>
      <c r="M1158" s="7">
        <v>9.2292670000000001</v>
      </c>
      <c r="N1158" s="7">
        <v>13.444817</v>
      </c>
      <c r="O1158" s="7" t="s">
        <v>23</v>
      </c>
    </row>
    <row r="1159" spans="1:15" hidden="1" x14ac:dyDescent="0.25">
      <c r="A1159" s="2">
        <f t="shared" si="18"/>
        <v>1157</v>
      </c>
      <c r="B1159" s="7" t="s">
        <v>1494</v>
      </c>
      <c r="C1159" s="7" t="s">
        <v>1495</v>
      </c>
      <c r="D1159" s="7" t="s">
        <v>1494</v>
      </c>
      <c r="E1159" s="7" t="s">
        <v>170</v>
      </c>
      <c r="F1159" s="7" t="s">
        <v>1496</v>
      </c>
      <c r="G1159" s="17" t="s">
        <v>7747</v>
      </c>
      <c r="H1159" s="7" t="s">
        <v>28</v>
      </c>
      <c r="I1159" s="7" t="s">
        <v>172</v>
      </c>
      <c r="J1159" s="7" t="s">
        <v>173</v>
      </c>
      <c r="K1159" s="7" t="s">
        <v>174</v>
      </c>
      <c r="L1159" s="7" t="s">
        <v>175</v>
      </c>
      <c r="M1159" s="7">
        <v>9.7834730000000008</v>
      </c>
      <c r="N1159" s="7">
        <v>13.854317</v>
      </c>
      <c r="O1159" s="7" t="s">
        <v>23</v>
      </c>
    </row>
    <row r="1160" spans="1:15" hidden="1" x14ac:dyDescent="0.25">
      <c r="A1160" s="2">
        <f t="shared" si="18"/>
        <v>1158</v>
      </c>
      <c r="B1160" s="7" t="s">
        <v>1497</v>
      </c>
      <c r="C1160" s="7" t="s">
        <v>1498</v>
      </c>
      <c r="D1160" s="7" t="s">
        <v>1497</v>
      </c>
      <c r="E1160" s="7" t="s">
        <v>170</v>
      </c>
      <c r="F1160" s="7" t="s">
        <v>1499</v>
      </c>
      <c r="G1160" s="17" t="s">
        <v>7747</v>
      </c>
      <c r="H1160" s="7" t="s">
        <v>28</v>
      </c>
      <c r="I1160" s="7" t="s">
        <v>172</v>
      </c>
      <c r="J1160" s="7" t="s">
        <v>173</v>
      </c>
      <c r="K1160" s="7" t="s">
        <v>737</v>
      </c>
      <c r="L1160" s="7" t="s">
        <v>175</v>
      </c>
      <c r="M1160" s="7">
        <v>10.148694000000001</v>
      </c>
      <c r="N1160" s="7">
        <v>13.459277999999999</v>
      </c>
      <c r="O1160" s="7" t="s">
        <v>23</v>
      </c>
    </row>
    <row r="1161" spans="1:15" hidden="1" x14ac:dyDescent="0.25">
      <c r="A1161" s="2">
        <f t="shared" si="18"/>
        <v>1159</v>
      </c>
      <c r="B1161" s="7" t="s">
        <v>1647</v>
      </c>
      <c r="C1161" s="7" t="s">
        <v>1648</v>
      </c>
      <c r="D1161" s="7" t="s">
        <v>1647</v>
      </c>
      <c r="E1161" s="7" t="s">
        <v>170</v>
      </c>
      <c r="F1161" s="7" t="s">
        <v>1649</v>
      </c>
      <c r="G1161" s="17" t="s">
        <v>7747</v>
      </c>
      <c r="H1161" s="7" t="s">
        <v>19</v>
      </c>
      <c r="I1161" s="7" t="s">
        <v>234</v>
      </c>
      <c r="J1161" s="7" t="s">
        <v>258</v>
      </c>
      <c r="K1161" s="7" t="s">
        <v>885</v>
      </c>
      <c r="L1161" s="7" t="s">
        <v>175</v>
      </c>
      <c r="M1161" s="7">
        <v>9.0586470000000006</v>
      </c>
      <c r="N1161" s="7">
        <v>13.661389</v>
      </c>
      <c r="O1161" s="7" t="s">
        <v>23</v>
      </c>
    </row>
    <row r="1162" spans="1:15" hidden="1" x14ac:dyDescent="0.25">
      <c r="A1162" s="2">
        <f t="shared" si="18"/>
        <v>1160</v>
      </c>
      <c r="B1162" s="7" t="s">
        <v>1680</v>
      </c>
      <c r="C1162" s="7" t="s">
        <v>1681</v>
      </c>
      <c r="D1162" s="7" t="s">
        <v>1680</v>
      </c>
      <c r="E1162" s="7" t="s">
        <v>170</v>
      </c>
      <c r="F1162" s="7" t="s">
        <v>1682</v>
      </c>
      <c r="G1162" s="17" t="s">
        <v>7747</v>
      </c>
      <c r="H1162" s="7" t="s">
        <v>19</v>
      </c>
      <c r="I1162" s="7" t="s">
        <v>172</v>
      </c>
      <c r="J1162" s="7" t="s">
        <v>173</v>
      </c>
      <c r="K1162" s="7" t="s">
        <v>174</v>
      </c>
      <c r="L1162" s="7" t="s">
        <v>175</v>
      </c>
      <c r="M1162" s="7">
        <v>9.9730779999999992</v>
      </c>
      <c r="N1162" s="7">
        <v>13.609007</v>
      </c>
      <c r="O1162" s="7" t="s">
        <v>23</v>
      </c>
    </row>
    <row r="1163" spans="1:15" hidden="1" x14ac:dyDescent="0.25">
      <c r="A1163" s="2">
        <f t="shared" si="18"/>
        <v>1161</v>
      </c>
      <c r="B1163" s="7" t="s">
        <v>1695</v>
      </c>
      <c r="C1163" s="7" t="s">
        <v>1696</v>
      </c>
      <c r="D1163" s="7" t="s">
        <v>1695</v>
      </c>
      <c r="E1163" s="7" t="s">
        <v>170</v>
      </c>
      <c r="F1163" s="7" t="s">
        <v>1697</v>
      </c>
      <c r="G1163" s="17" t="s">
        <v>7747</v>
      </c>
      <c r="H1163" s="7" t="s">
        <v>28</v>
      </c>
      <c r="I1163" s="7" t="s">
        <v>172</v>
      </c>
      <c r="J1163" s="7" t="s">
        <v>258</v>
      </c>
      <c r="K1163" s="7" t="s">
        <v>1697</v>
      </c>
      <c r="L1163" s="7" t="s">
        <v>175</v>
      </c>
      <c r="M1163" s="7">
        <v>9.4146900000000002</v>
      </c>
      <c r="N1163" s="7">
        <v>13.360329999999999</v>
      </c>
      <c r="O1163" s="7" t="s">
        <v>23</v>
      </c>
    </row>
    <row r="1164" spans="1:15" hidden="1" x14ac:dyDescent="0.25">
      <c r="A1164" s="2">
        <f t="shared" si="18"/>
        <v>1162</v>
      </c>
      <c r="B1164" s="7" t="s">
        <v>1792</v>
      </c>
      <c r="C1164" s="7" t="s">
        <v>1793</v>
      </c>
      <c r="D1164" s="7" t="s">
        <v>1792</v>
      </c>
      <c r="E1164" s="7" t="s">
        <v>170</v>
      </c>
      <c r="F1164" s="7" t="s">
        <v>236</v>
      </c>
      <c r="G1164" s="17" t="s">
        <v>7747</v>
      </c>
      <c r="H1164" s="7" t="s">
        <v>28</v>
      </c>
      <c r="I1164" s="7" t="s">
        <v>234</v>
      </c>
      <c r="J1164" s="7" t="s">
        <v>1794</v>
      </c>
      <c r="K1164" s="7" t="s">
        <v>1795</v>
      </c>
      <c r="L1164" s="7" t="s">
        <v>175</v>
      </c>
      <c r="M1164" s="7">
        <v>8.5042969999999993</v>
      </c>
      <c r="N1164" s="7">
        <v>13.23978</v>
      </c>
      <c r="O1164" s="7" t="s">
        <v>23</v>
      </c>
    </row>
    <row r="1165" spans="1:15" hidden="1" x14ac:dyDescent="0.25">
      <c r="A1165" s="2">
        <f t="shared" si="18"/>
        <v>1163</v>
      </c>
      <c r="B1165" s="7" t="s">
        <v>1905</v>
      </c>
      <c r="C1165" s="7" t="s">
        <v>1906</v>
      </c>
      <c r="D1165" s="7" t="s">
        <v>1905</v>
      </c>
      <c r="E1165" s="7" t="s">
        <v>170</v>
      </c>
      <c r="F1165" s="7" t="s">
        <v>1907</v>
      </c>
      <c r="G1165" s="17" t="s">
        <v>7747</v>
      </c>
      <c r="H1165" s="7" t="s">
        <v>28</v>
      </c>
      <c r="I1165" s="7" t="s">
        <v>234</v>
      </c>
      <c r="J1165" s="7" t="s">
        <v>258</v>
      </c>
      <c r="K1165" s="7" t="s">
        <v>885</v>
      </c>
      <c r="L1165" s="7" t="s">
        <v>175</v>
      </c>
      <c r="M1165" s="7">
        <v>9.0536670000000008</v>
      </c>
      <c r="N1165" s="7">
        <v>13.662860999999999</v>
      </c>
      <c r="O1165" s="7" t="s">
        <v>23</v>
      </c>
    </row>
    <row r="1166" spans="1:15" hidden="1" x14ac:dyDescent="0.25">
      <c r="A1166" s="2">
        <f t="shared" si="18"/>
        <v>1164</v>
      </c>
      <c r="B1166" s="7" t="s">
        <v>1921</v>
      </c>
      <c r="C1166" s="7" t="s">
        <v>1922</v>
      </c>
      <c r="D1166" s="7" t="s">
        <v>1921</v>
      </c>
      <c r="E1166" s="7" t="s">
        <v>170</v>
      </c>
      <c r="F1166" s="7" t="s">
        <v>1923</v>
      </c>
      <c r="G1166" s="17" t="s">
        <v>7747</v>
      </c>
      <c r="H1166" s="7" t="s">
        <v>28</v>
      </c>
      <c r="I1166" s="7" t="s">
        <v>172</v>
      </c>
      <c r="J1166" s="7" t="s">
        <v>258</v>
      </c>
      <c r="K1166" s="7" t="s">
        <v>1924</v>
      </c>
      <c r="L1166" s="7" t="s">
        <v>175</v>
      </c>
      <c r="M1166" s="7">
        <v>9.3229100000000003</v>
      </c>
      <c r="N1166" s="7">
        <v>13.391579999999999</v>
      </c>
      <c r="O1166" s="7" t="s">
        <v>23</v>
      </c>
    </row>
    <row r="1167" spans="1:15" hidden="1" x14ac:dyDescent="0.25">
      <c r="A1167" s="2">
        <f t="shared" si="18"/>
        <v>1165</v>
      </c>
      <c r="B1167" s="7" t="s">
        <v>1925</v>
      </c>
      <c r="C1167" s="7" t="s">
        <v>1926</v>
      </c>
      <c r="D1167" s="7" t="s">
        <v>1925</v>
      </c>
      <c r="E1167" s="7" t="s">
        <v>170</v>
      </c>
      <c r="F1167" s="7" t="s">
        <v>1927</v>
      </c>
      <c r="G1167" s="17" t="s">
        <v>7747</v>
      </c>
      <c r="H1167" s="7" t="s">
        <v>28</v>
      </c>
      <c r="I1167" s="7" t="s">
        <v>234</v>
      </c>
      <c r="J1167" s="7" t="s">
        <v>258</v>
      </c>
      <c r="K1167" s="7" t="s">
        <v>885</v>
      </c>
      <c r="L1167" s="7" t="s">
        <v>175</v>
      </c>
      <c r="M1167" s="7">
        <v>9.2792499999999993</v>
      </c>
      <c r="N1167" s="7">
        <v>13.461779999999999</v>
      </c>
      <c r="O1167" s="7" t="s">
        <v>23</v>
      </c>
    </row>
    <row r="1168" spans="1:15" hidden="1" x14ac:dyDescent="0.25">
      <c r="A1168" s="2">
        <f t="shared" si="18"/>
        <v>1166</v>
      </c>
      <c r="B1168" s="7" t="s">
        <v>2025</v>
      </c>
      <c r="C1168" s="7" t="s">
        <v>2026</v>
      </c>
      <c r="D1168" s="7" t="s">
        <v>2025</v>
      </c>
      <c r="E1168" s="7" t="s">
        <v>170</v>
      </c>
      <c r="F1168" s="7" t="s">
        <v>2027</v>
      </c>
      <c r="G1168" s="17" t="s">
        <v>7747</v>
      </c>
      <c r="H1168" s="7" t="s">
        <v>19</v>
      </c>
      <c r="I1168" s="7" t="s">
        <v>234</v>
      </c>
      <c r="J1168" s="7" t="s">
        <v>732</v>
      </c>
      <c r="K1168" s="7" t="s">
        <v>2028</v>
      </c>
      <c r="L1168" s="7" t="s">
        <v>175</v>
      </c>
      <c r="M1168" s="7">
        <v>8.3998609999999996</v>
      </c>
      <c r="N1168" s="7">
        <v>14.189083</v>
      </c>
      <c r="O1168" s="7" t="s">
        <v>23</v>
      </c>
    </row>
    <row r="1169" spans="1:15" hidden="1" x14ac:dyDescent="0.25">
      <c r="A1169" s="2">
        <f t="shared" si="18"/>
        <v>1167</v>
      </c>
      <c r="B1169" s="7" t="s">
        <v>2029</v>
      </c>
      <c r="C1169" s="7" t="s">
        <v>2030</v>
      </c>
      <c r="D1169" s="7" t="s">
        <v>2029</v>
      </c>
      <c r="E1169" s="7" t="s">
        <v>170</v>
      </c>
      <c r="F1169" s="7" t="s">
        <v>2027</v>
      </c>
      <c r="G1169" s="17" t="s">
        <v>7747</v>
      </c>
      <c r="H1169" s="7" t="s">
        <v>19</v>
      </c>
      <c r="I1169" s="7" t="s">
        <v>234</v>
      </c>
      <c r="J1169" s="7" t="s">
        <v>732</v>
      </c>
      <c r="K1169" s="7" t="s">
        <v>2028</v>
      </c>
      <c r="L1169" s="7" t="s">
        <v>175</v>
      </c>
      <c r="M1169" s="7">
        <v>8.4028600000000004</v>
      </c>
      <c r="N1169" s="7">
        <v>14.191879999999999</v>
      </c>
      <c r="O1169" s="7" t="s">
        <v>23</v>
      </c>
    </row>
    <row r="1170" spans="1:15" hidden="1" x14ac:dyDescent="0.25">
      <c r="A1170" s="2">
        <f t="shared" si="18"/>
        <v>1168</v>
      </c>
      <c r="B1170" s="7" t="s">
        <v>2134</v>
      </c>
      <c r="C1170" s="7" t="s">
        <v>2135</v>
      </c>
      <c r="D1170" s="7" t="s">
        <v>2134</v>
      </c>
      <c r="E1170" s="7" t="s">
        <v>170</v>
      </c>
      <c r="F1170" s="7" t="s">
        <v>856</v>
      </c>
      <c r="G1170" s="17" t="s">
        <v>7747</v>
      </c>
      <c r="H1170" s="7" t="s">
        <v>28</v>
      </c>
      <c r="I1170" s="7" t="s">
        <v>172</v>
      </c>
      <c r="J1170" s="7" t="s">
        <v>173</v>
      </c>
      <c r="K1170" s="7" t="s">
        <v>174</v>
      </c>
      <c r="L1170" s="7" t="s">
        <v>175</v>
      </c>
      <c r="M1170" s="7">
        <v>9.9926670000000009</v>
      </c>
      <c r="N1170" s="7">
        <v>13.523194</v>
      </c>
      <c r="O1170" s="7" t="s">
        <v>23</v>
      </c>
    </row>
    <row r="1171" spans="1:15" hidden="1" x14ac:dyDescent="0.25">
      <c r="A1171" s="2">
        <f t="shared" si="18"/>
        <v>1169</v>
      </c>
      <c r="B1171" s="7" t="s">
        <v>2309</v>
      </c>
      <c r="C1171" s="7" t="s">
        <v>2310</v>
      </c>
      <c r="D1171" s="7" t="s">
        <v>2309</v>
      </c>
      <c r="E1171" s="7" t="s">
        <v>170</v>
      </c>
      <c r="F1171" s="7" t="s">
        <v>2311</v>
      </c>
      <c r="G1171" s="17" t="s">
        <v>7747</v>
      </c>
      <c r="H1171" s="7" t="s">
        <v>19</v>
      </c>
      <c r="I1171" s="7" t="s">
        <v>234</v>
      </c>
      <c r="J1171" s="7" t="s">
        <v>258</v>
      </c>
      <c r="K1171" s="7" t="s">
        <v>2312</v>
      </c>
      <c r="L1171" s="7" t="s">
        <v>175</v>
      </c>
      <c r="M1171" s="7">
        <v>9.0570350000000008</v>
      </c>
      <c r="N1171" s="7">
        <v>13.508862000000001</v>
      </c>
      <c r="O1171" s="7" t="s">
        <v>23</v>
      </c>
    </row>
    <row r="1172" spans="1:15" hidden="1" x14ac:dyDescent="0.25">
      <c r="A1172" s="2">
        <f t="shared" si="18"/>
        <v>1170</v>
      </c>
      <c r="B1172" s="7" t="s">
        <v>2377</v>
      </c>
      <c r="C1172" s="7" t="s">
        <v>2378</v>
      </c>
      <c r="D1172" s="7" t="s">
        <v>2377</v>
      </c>
      <c r="E1172" s="7" t="s">
        <v>170</v>
      </c>
      <c r="F1172" s="7" t="s">
        <v>2379</v>
      </c>
      <c r="G1172" s="17" t="s">
        <v>7747</v>
      </c>
      <c r="H1172" s="7" t="s">
        <v>19</v>
      </c>
      <c r="I1172" s="7" t="s">
        <v>172</v>
      </c>
      <c r="J1172" s="7" t="s">
        <v>258</v>
      </c>
      <c r="K1172" s="7" t="s">
        <v>2380</v>
      </c>
      <c r="L1172" s="7" t="s">
        <v>175</v>
      </c>
      <c r="M1172" s="7">
        <v>9.3062590000000007</v>
      </c>
      <c r="N1172" s="7">
        <v>13.395085999999999</v>
      </c>
      <c r="O1172" s="7" t="s">
        <v>23</v>
      </c>
    </row>
    <row r="1173" spans="1:15" hidden="1" x14ac:dyDescent="0.25">
      <c r="A1173" s="2">
        <f t="shared" si="18"/>
        <v>1171</v>
      </c>
      <c r="B1173" s="7" t="s">
        <v>2423</v>
      </c>
      <c r="C1173" s="7" t="s">
        <v>2424</v>
      </c>
      <c r="D1173" s="7" t="s">
        <v>2423</v>
      </c>
      <c r="E1173" s="7" t="s">
        <v>170</v>
      </c>
      <c r="F1173" s="7" t="s">
        <v>2425</v>
      </c>
      <c r="G1173" s="17" t="s">
        <v>7747</v>
      </c>
      <c r="H1173" s="7" t="s">
        <v>28</v>
      </c>
      <c r="I1173" s="7" t="s">
        <v>172</v>
      </c>
      <c r="J1173" s="7" t="s">
        <v>258</v>
      </c>
      <c r="K1173" s="7" t="s">
        <v>1924</v>
      </c>
      <c r="L1173" s="7" t="s">
        <v>175</v>
      </c>
      <c r="M1173" s="7">
        <v>9.3444099999999999</v>
      </c>
      <c r="N1173" s="7">
        <v>13.41315</v>
      </c>
      <c r="O1173" s="7" t="s">
        <v>23</v>
      </c>
    </row>
    <row r="1174" spans="1:15" hidden="1" x14ac:dyDescent="0.25">
      <c r="A1174" s="2">
        <f t="shared" si="18"/>
        <v>1172</v>
      </c>
      <c r="B1174" s="7" t="s">
        <v>2506</v>
      </c>
      <c r="C1174" s="7" t="s">
        <v>2507</v>
      </c>
      <c r="D1174" s="7" t="s">
        <v>2506</v>
      </c>
      <c r="E1174" s="7" t="s">
        <v>170</v>
      </c>
      <c r="F1174" s="7" t="s">
        <v>2508</v>
      </c>
      <c r="G1174" s="17" t="s">
        <v>7747</v>
      </c>
      <c r="H1174" s="7" t="s">
        <v>28</v>
      </c>
      <c r="I1174" s="7" t="s">
        <v>172</v>
      </c>
      <c r="J1174" s="7" t="s">
        <v>258</v>
      </c>
      <c r="K1174" s="7" t="s">
        <v>2509</v>
      </c>
      <c r="L1174" s="7" t="s">
        <v>175</v>
      </c>
      <c r="M1174" s="7">
        <v>9.3560289999999995</v>
      </c>
      <c r="N1174" s="7">
        <v>13.420088</v>
      </c>
      <c r="O1174" s="7" t="s">
        <v>23</v>
      </c>
    </row>
    <row r="1175" spans="1:15" hidden="1" x14ac:dyDescent="0.25">
      <c r="A1175" s="2">
        <f t="shared" si="18"/>
        <v>1173</v>
      </c>
      <c r="B1175" s="7" t="s">
        <v>2510</v>
      </c>
      <c r="C1175" s="7" t="s">
        <v>2511</v>
      </c>
      <c r="D1175" s="7" t="s">
        <v>2510</v>
      </c>
      <c r="E1175" s="7" t="s">
        <v>170</v>
      </c>
      <c r="F1175" s="7" t="s">
        <v>2512</v>
      </c>
      <c r="G1175" s="17" t="s">
        <v>7747</v>
      </c>
      <c r="H1175" s="7" t="s">
        <v>28</v>
      </c>
      <c r="I1175" s="7" t="s">
        <v>172</v>
      </c>
      <c r="J1175" s="7" t="s">
        <v>258</v>
      </c>
      <c r="K1175" s="7" t="s">
        <v>2380</v>
      </c>
      <c r="L1175" s="7" t="s">
        <v>175</v>
      </c>
      <c r="M1175" s="7">
        <v>9.3041599999999995</v>
      </c>
      <c r="N1175" s="7">
        <v>13.349320000000001</v>
      </c>
      <c r="O1175" s="7" t="s">
        <v>23</v>
      </c>
    </row>
    <row r="1176" spans="1:15" hidden="1" x14ac:dyDescent="0.25">
      <c r="A1176" s="2">
        <f t="shared" si="18"/>
        <v>1174</v>
      </c>
      <c r="B1176" s="7" t="s">
        <v>2563</v>
      </c>
      <c r="C1176" s="7" t="s">
        <v>2564</v>
      </c>
      <c r="D1176" s="7" t="s">
        <v>2563</v>
      </c>
      <c r="E1176" s="7" t="s">
        <v>170</v>
      </c>
      <c r="F1176" s="7" t="s">
        <v>2565</v>
      </c>
      <c r="G1176" s="17" t="s">
        <v>7747</v>
      </c>
      <c r="H1176" s="7" t="s">
        <v>28</v>
      </c>
      <c r="I1176" s="7" t="s">
        <v>172</v>
      </c>
      <c r="J1176" s="7" t="s">
        <v>258</v>
      </c>
      <c r="K1176" s="7" t="s">
        <v>2509</v>
      </c>
      <c r="L1176" s="7" t="s">
        <v>175</v>
      </c>
      <c r="M1176" s="7">
        <v>9.3620280000000005</v>
      </c>
      <c r="N1176" s="7">
        <v>13.434443999999999</v>
      </c>
      <c r="O1176" s="7" t="s">
        <v>23</v>
      </c>
    </row>
    <row r="1177" spans="1:15" hidden="1" x14ac:dyDescent="0.25">
      <c r="A1177" s="2">
        <f t="shared" si="18"/>
        <v>1175</v>
      </c>
      <c r="B1177" s="7" t="s">
        <v>2619</v>
      </c>
      <c r="C1177" s="7" t="s">
        <v>2620</v>
      </c>
      <c r="D1177" s="7" t="s">
        <v>2619</v>
      </c>
      <c r="E1177" s="7" t="s">
        <v>170</v>
      </c>
      <c r="F1177" s="7" t="s">
        <v>2621</v>
      </c>
      <c r="G1177" s="17" t="s">
        <v>7747</v>
      </c>
      <c r="H1177" s="7" t="s">
        <v>28</v>
      </c>
      <c r="I1177" s="7" t="s">
        <v>172</v>
      </c>
      <c r="J1177" s="7" t="s">
        <v>258</v>
      </c>
      <c r="K1177" s="7" t="s">
        <v>1924</v>
      </c>
      <c r="L1177" s="7" t="s">
        <v>175</v>
      </c>
      <c r="M1177" s="7">
        <v>9.3294149999999991</v>
      </c>
      <c r="N1177" s="7">
        <v>13.403572</v>
      </c>
      <c r="O1177" s="7" t="s">
        <v>23</v>
      </c>
    </row>
    <row r="1178" spans="1:15" hidden="1" x14ac:dyDescent="0.25">
      <c r="A1178" s="2">
        <f t="shared" si="18"/>
        <v>1176</v>
      </c>
      <c r="B1178" s="7" t="s">
        <v>2625</v>
      </c>
      <c r="C1178" s="7" t="s">
        <v>2626</v>
      </c>
      <c r="D1178" s="7" t="s">
        <v>2625</v>
      </c>
      <c r="E1178" s="7" t="s">
        <v>170</v>
      </c>
      <c r="F1178" s="7" t="s">
        <v>2627</v>
      </c>
      <c r="G1178" s="17" t="s">
        <v>7747</v>
      </c>
      <c r="H1178" s="7" t="s">
        <v>28</v>
      </c>
      <c r="I1178" s="7" t="s">
        <v>172</v>
      </c>
      <c r="J1178" s="7" t="s">
        <v>258</v>
      </c>
      <c r="K1178" s="7" t="s">
        <v>2380</v>
      </c>
      <c r="L1178" s="7" t="s">
        <v>175</v>
      </c>
      <c r="M1178" s="7">
        <v>9.2959099999999992</v>
      </c>
      <c r="N1178" s="7">
        <v>13.384449999999999</v>
      </c>
      <c r="O1178" s="7" t="s">
        <v>23</v>
      </c>
    </row>
    <row r="1179" spans="1:15" hidden="1" x14ac:dyDescent="0.25">
      <c r="A1179" s="2">
        <f t="shared" si="18"/>
        <v>1177</v>
      </c>
      <c r="B1179" s="7" t="s">
        <v>2629</v>
      </c>
      <c r="C1179" s="7" t="s">
        <v>2630</v>
      </c>
      <c r="D1179" s="7" t="s">
        <v>2629</v>
      </c>
      <c r="E1179" s="7" t="s">
        <v>170</v>
      </c>
      <c r="F1179" s="7" t="s">
        <v>2631</v>
      </c>
      <c r="G1179" s="17" t="s">
        <v>7747</v>
      </c>
      <c r="H1179" s="7" t="s">
        <v>28</v>
      </c>
      <c r="I1179" s="7" t="s">
        <v>172</v>
      </c>
      <c r="J1179" s="7" t="s">
        <v>258</v>
      </c>
      <c r="K1179" s="7" t="s">
        <v>1924</v>
      </c>
      <c r="L1179" s="7" t="s">
        <v>175</v>
      </c>
      <c r="M1179" s="7">
        <v>9.3508200000000006</v>
      </c>
      <c r="N1179" s="7">
        <v>13.39307</v>
      </c>
      <c r="O1179" s="7" t="s">
        <v>23</v>
      </c>
    </row>
    <row r="1180" spans="1:15" hidden="1" x14ac:dyDescent="0.25">
      <c r="A1180" s="2">
        <f t="shared" si="18"/>
        <v>1178</v>
      </c>
      <c r="B1180" s="7" t="s">
        <v>2736</v>
      </c>
      <c r="C1180" s="7" t="s">
        <v>2737</v>
      </c>
      <c r="D1180" s="7" t="s">
        <v>2736</v>
      </c>
      <c r="E1180" s="7" t="s">
        <v>170</v>
      </c>
      <c r="F1180" s="7" t="s">
        <v>2738</v>
      </c>
      <c r="G1180" s="17" t="s">
        <v>7747</v>
      </c>
      <c r="H1180" s="7" t="s">
        <v>28</v>
      </c>
      <c r="I1180" s="7" t="s">
        <v>172</v>
      </c>
      <c r="J1180" s="7" t="s">
        <v>258</v>
      </c>
      <c r="K1180" s="7" t="s">
        <v>2380</v>
      </c>
      <c r="L1180" s="7" t="s">
        <v>175</v>
      </c>
      <c r="M1180" s="7">
        <v>9.3056999999999999</v>
      </c>
      <c r="N1180" s="7">
        <v>13.347701000000001</v>
      </c>
      <c r="O1180" s="7" t="s">
        <v>23</v>
      </c>
    </row>
    <row r="1181" spans="1:15" hidden="1" x14ac:dyDescent="0.25">
      <c r="A1181" s="2">
        <f t="shared" si="18"/>
        <v>1179</v>
      </c>
      <c r="B1181" s="7" t="s">
        <v>2801</v>
      </c>
      <c r="C1181" s="7" t="s">
        <v>2802</v>
      </c>
      <c r="D1181" s="7" t="s">
        <v>2801</v>
      </c>
      <c r="E1181" s="7" t="s">
        <v>170</v>
      </c>
      <c r="F1181" s="7" t="s">
        <v>2803</v>
      </c>
      <c r="G1181" s="17" t="s">
        <v>7747</v>
      </c>
      <c r="H1181" s="7" t="s">
        <v>28</v>
      </c>
      <c r="I1181" s="7" t="s">
        <v>234</v>
      </c>
      <c r="J1181" s="7" t="s">
        <v>258</v>
      </c>
      <c r="K1181" s="7" t="s">
        <v>2804</v>
      </c>
      <c r="L1181" s="7" t="s">
        <v>175</v>
      </c>
      <c r="M1181" s="7">
        <v>9.2665670000000002</v>
      </c>
      <c r="N1181" s="7">
        <v>13.459228</v>
      </c>
      <c r="O1181" s="7" t="s">
        <v>23</v>
      </c>
    </row>
    <row r="1182" spans="1:15" hidden="1" x14ac:dyDescent="0.25">
      <c r="A1182" s="2">
        <f t="shared" si="18"/>
        <v>1180</v>
      </c>
      <c r="B1182" s="7" t="s">
        <v>2922</v>
      </c>
      <c r="C1182" s="7" t="s">
        <v>2923</v>
      </c>
      <c r="D1182" s="7" t="s">
        <v>2922</v>
      </c>
      <c r="E1182" s="7" t="s">
        <v>170</v>
      </c>
      <c r="F1182" s="7" t="s">
        <v>1697</v>
      </c>
      <c r="G1182" s="17" t="s">
        <v>7747</v>
      </c>
      <c r="H1182" s="7" t="s">
        <v>28</v>
      </c>
      <c r="I1182" s="7" t="s">
        <v>172</v>
      </c>
      <c r="J1182" s="7" t="s">
        <v>258</v>
      </c>
      <c r="K1182" s="7" t="s">
        <v>1697</v>
      </c>
      <c r="L1182" s="7" t="s">
        <v>175</v>
      </c>
      <c r="M1182" s="7">
        <v>9.4324580000000005</v>
      </c>
      <c r="N1182" s="7">
        <v>13.365505000000001</v>
      </c>
      <c r="O1182" s="7" t="s">
        <v>23</v>
      </c>
    </row>
    <row r="1183" spans="1:15" hidden="1" x14ac:dyDescent="0.25">
      <c r="A1183" s="2">
        <f t="shared" si="18"/>
        <v>1181</v>
      </c>
      <c r="B1183" s="7" t="s">
        <v>2938</v>
      </c>
      <c r="C1183" s="7" t="s">
        <v>2939</v>
      </c>
      <c r="D1183" s="7" t="s">
        <v>2938</v>
      </c>
      <c r="E1183" s="7" t="s">
        <v>170</v>
      </c>
      <c r="F1183" s="7" t="s">
        <v>2940</v>
      </c>
      <c r="G1183" s="17" t="s">
        <v>7747</v>
      </c>
      <c r="H1183" s="7" t="s">
        <v>28</v>
      </c>
      <c r="I1183" s="7" t="s">
        <v>172</v>
      </c>
      <c r="J1183" s="7" t="s">
        <v>258</v>
      </c>
      <c r="K1183" s="7" t="s">
        <v>2380</v>
      </c>
      <c r="L1183" s="7" t="s">
        <v>175</v>
      </c>
      <c r="M1183" s="7">
        <v>9.2873059999999992</v>
      </c>
      <c r="N1183" s="7">
        <v>13.379111</v>
      </c>
      <c r="O1183" s="7" t="s">
        <v>23</v>
      </c>
    </row>
    <row r="1184" spans="1:15" hidden="1" x14ac:dyDescent="0.25">
      <c r="A1184" s="2">
        <f t="shared" si="18"/>
        <v>1182</v>
      </c>
      <c r="B1184" s="7" t="s">
        <v>2947</v>
      </c>
      <c r="C1184" s="7" t="s">
        <v>2948</v>
      </c>
      <c r="D1184" s="7" t="s">
        <v>2947</v>
      </c>
      <c r="E1184" s="7" t="s">
        <v>170</v>
      </c>
      <c r="F1184" s="7" t="s">
        <v>2949</v>
      </c>
      <c r="G1184" s="17" t="s">
        <v>7747</v>
      </c>
      <c r="H1184" s="7" t="s">
        <v>28</v>
      </c>
      <c r="I1184" s="7" t="s">
        <v>234</v>
      </c>
      <c r="J1184" s="7" t="s">
        <v>258</v>
      </c>
      <c r="K1184" s="7" t="s">
        <v>2312</v>
      </c>
      <c r="L1184" s="7" t="s">
        <v>175</v>
      </c>
      <c r="M1184" s="7">
        <v>9.0198610000000006</v>
      </c>
      <c r="N1184" s="7">
        <v>13.507444</v>
      </c>
      <c r="O1184" s="7" t="s">
        <v>23</v>
      </c>
    </row>
    <row r="1185" spans="1:15" hidden="1" x14ac:dyDescent="0.25">
      <c r="A1185" s="2">
        <f t="shared" si="18"/>
        <v>1183</v>
      </c>
      <c r="B1185" s="7" t="s">
        <v>2978</v>
      </c>
      <c r="C1185" s="7" t="s">
        <v>2979</v>
      </c>
      <c r="D1185" s="7" t="s">
        <v>2978</v>
      </c>
      <c r="E1185" s="7" t="s">
        <v>170</v>
      </c>
      <c r="F1185" s="7" t="s">
        <v>2980</v>
      </c>
      <c r="G1185" s="17" t="s">
        <v>7747</v>
      </c>
      <c r="H1185" s="7" t="s">
        <v>28</v>
      </c>
      <c r="I1185" s="7" t="s">
        <v>172</v>
      </c>
      <c r="J1185" s="7" t="s">
        <v>258</v>
      </c>
      <c r="K1185" s="7" t="s">
        <v>2380</v>
      </c>
      <c r="L1185" s="7" t="s">
        <v>175</v>
      </c>
      <c r="M1185" s="7">
        <v>9.3103649999999991</v>
      </c>
      <c r="N1185" s="7">
        <v>13.405493</v>
      </c>
      <c r="O1185" s="7" t="s">
        <v>23</v>
      </c>
    </row>
    <row r="1186" spans="1:15" hidden="1" x14ac:dyDescent="0.25">
      <c r="A1186" s="2">
        <f t="shared" si="18"/>
        <v>1184</v>
      </c>
      <c r="B1186" s="7" t="s">
        <v>3046</v>
      </c>
      <c r="C1186" s="7" t="s">
        <v>3047</v>
      </c>
      <c r="D1186" s="7" t="s">
        <v>3046</v>
      </c>
      <c r="E1186" s="7" t="s">
        <v>170</v>
      </c>
      <c r="F1186" s="7" t="s">
        <v>3048</v>
      </c>
      <c r="G1186" s="17" t="s">
        <v>7747</v>
      </c>
      <c r="H1186" s="7" t="s">
        <v>28</v>
      </c>
      <c r="I1186" s="7" t="s">
        <v>172</v>
      </c>
      <c r="J1186" s="7" t="s">
        <v>258</v>
      </c>
      <c r="K1186" s="7" t="s">
        <v>1924</v>
      </c>
      <c r="L1186" s="7" t="s">
        <v>175</v>
      </c>
      <c r="M1186" s="7">
        <v>9.3627280000000006</v>
      </c>
      <c r="N1186" s="7">
        <v>13.407992</v>
      </c>
      <c r="O1186" s="7" t="s">
        <v>23</v>
      </c>
    </row>
    <row r="1187" spans="1:15" hidden="1" x14ac:dyDescent="0.25">
      <c r="A1187" s="2">
        <f t="shared" si="18"/>
        <v>1185</v>
      </c>
      <c r="B1187" s="7" t="s">
        <v>3052</v>
      </c>
      <c r="C1187" s="7" t="s">
        <v>3053</v>
      </c>
      <c r="D1187" s="7" t="s">
        <v>3052</v>
      </c>
      <c r="E1187" s="7" t="s">
        <v>170</v>
      </c>
      <c r="F1187" s="7" t="s">
        <v>3054</v>
      </c>
      <c r="G1187" s="17" t="s">
        <v>7747</v>
      </c>
      <c r="H1187" s="7" t="s">
        <v>28</v>
      </c>
      <c r="I1187" s="7" t="s">
        <v>172</v>
      </c>
      <c r="J1187" s="7" t="s">
        <v>258</v>
      </c>
      <c r="K1187" s="7" t="s">
        <v>2380</v>
      </c>
      <c r="L1187" s="7" t="s">
        <v>175</v>
      </c>
      <c r="M1187" s="7">
        <v>9.3131109999999993</v>
      </c>
      <c r="N1187" s="7">
        <v>13.403028000000001</v>
      </c>
      <c r="O1187" s="7" t="s">
        <v>23</v>
      </c>
    </row>
    <row r="1188" spans="1:15" hidden="1" x14ac:dyDescent="0.25">
      <c r="A1188" s="2">
        <f t="shared" si="18"/>
        <v>1186</v>
      </c>
      <c r="B1188" s="7" t="s">
        <v>3058</v>
      </c>
      <c r="C1188" s="7" t="s">
        <v>3059</v>
      </c>
      <c r="D1188" s="7" t="s">
        <v>3058</v>
      </c>
      <c r="E1188" s="7" t="s">
        <v>170</v>
      </c>
      <c r="F1188" s="7" t="s">
        <v>3060</v>
      </c>
      <c r="G1188" s="17" t="s">
        <v>7747</v>
      </c>
      <c r="H1188" s="7" t="s">
        <v>28</v>
      </c>
      <c r="I1188" s="7" t="s">
        <v>172</v>
      </c>
      <c r="J1188" s="7" t="s">
        <v>258</v>
      </c>
      <c r="K1188" s="7" t="s">
        <v>2380</v>
      </c>
      <c r="L1188" s="7" t="s">
        <v>175</v>
      </c>
      <c r="M1188" s="7">
        <v>9.3164169999999995</v>
      </c>
      <c r="N1188" s="7">
        <v>13.352499999999999</v>
      </c>
      <c r="O1188" s="7" t="s">
        <v>23</v>
      </c>
    </row>
    <row r="1189" spans="1:15" hidden="1" x14ac:dyDescent="0.25">
      <c r="A1189" s="2">
        <f t="shared" si="18"/>
        <v>1187</v>
      </c>
      <c r="B1189" s="7" t="s">
        <v>3067</v>
      </c>
      <c r="C1189" s="7" t="s">
        <v>3068</v>
      </c>
      <c r="D1189" s="7" t="s">
        <v>3067</v>
      </c>
      <c r="E1189" s="7" t="s">
        <v>170</v>
      </c>
      <c r="F1189" s="7" t="s">
        <v>3069</v>
      </c>
      <c r="G1189" s="17" t="s">
        <v>7747</v>
      </c>
      <c r="H1189" s="7" t="s">
        <v>19</v>
      </c>
      <c r="I1189" s="7" t="s">
        <v>172</v>
      </c>
      <c r="J1189" s="7" t="s">
        <v>258</v>
      </c>
      <c r="K1189" s="7" t="s">
        <v>2380</v>
      </c>
      <c r="L1189" s="7" t="s">
        <v>175</v>
      </c>
      <c r="M1189" s="7">
        <v>9.3272300000000001</v>
      </c>
      <c r="N1189" s="7">
        <v>13.384819999999999</v>
      </c>
      <c r="O1189" s="7" t="s">
        <v>23</v>
      </c>
    </row>
    <row r="1190" spans="1:15" hidden="1" x14ac:dyDescent="0.25">
      <c r="A1190" s="2">
        <f t="shared" si="18"/>
        <v>1188</v>
      </c>
      <c r="B1190" s="7" t="s">
        <v>3076</v>
      </c>
      <c r="C1190" s="7" t="s">
        <v>3077</v>
      </c>
      <c r="D1190" s="7" t="s">
        <v>3076</v>
      </c>
      <c r="E1190" s="7" t="s">
        <v>170</v>
      </c>
      <c r="F1190" s="7" t="s">
        <v>2628</v>
      </c>
      <c r="G1190" s="17" t="s">
        <v>7747</v>
      </c>
      <c r="H1190" s="7" t="s">
        <v>19</v>
      </c>
      <c r="I1190" s="7" t="s">
        <v>172</v>
      </c>
      <c r="J1190" s="7" t="s">
        <v>258</v>
      </c>
      <c r="K1190" s="7" t="s">
        <v>2380</v>
      </c>
      <c r="L1190" s="7" t="s">
        <v>175</v>
      </c>
      <c r="M1190" s="7">
        <v>9.2974119999999996</v>
      </c>
      <c r="N1190" s="7">
        <v>13.389400999999999</v>
      </c>
      <c r="O1190" s="7" t="s">
        <v>613</v>
      </c>
    </row>
    <row r="1191" spans="1:15" hidden="1" x14ac:dyDescent="0.25">
      <c r="A1191" s="2">
        <f t="shared" si="18"/>
        <v>1189</v>
      </c>
      <c r="B1191" s="7" t="s">
        <v>3096</v>
      </c>
      <c r="C1191" s="7" t="s">
        <v>3097</v>
      </c>
      <c r="D1191" s="7" t="s">
        <v>3096</v>
      </c>
      <c r="E1191" s="7" t="s">
        <v>170</v>
      </c>
      <c r="F1191" s="7" t="s">
        <v>259</v>
      </c>
      <c r="G1191" s="17" t="s">
        <v>7747</v>
      </c>
      <c r="H1191" s="7" t="s">
        <v>19</v>
      </c>
      <c r="I1191" s="7" t="s">
        <v>234</v>
      </c>
      <c r="J1191" s="7" t="s">
        <v>258</v>
      </c>
      <c r="K1191" s="7" t="s">
        <v>259</v>
      </c>
      <c r="L1191" s="7" t="s">
        <v>175</v>
      </c>
      <c r="M1191" s="7">
        <v>9.4025560000000006</v>
      </c>
      <c r="N1191" s="7">
        <v>13.515582999999999</v>
      </c>
      <c r="O1191" s="7" t="s">
        <v>23</v>
      </c>
    </row>
    <row r="1192" spans="1:15" hidden="1" x14ac:dyDescent="0.25">
      <c r="A1192" s="2">
        <f t="shared" si="18"/>
        <v>1190</v>
      </c>
      <c r="B1192" s="7" t="s">
        <v>3114</v>
      </c>
      <c r="C1192" s="7" t="s">
        <v>3115</v>
      </c>
      <c r="D1192" s="7" t="s">
        <v>3114</v>
      </c>
      <c r="E1192" s="7" t="s">
        <v>170</v>
      </c>
      <c r="F1192" s="7" t="s">
        <v>3116</v>
      </c>
      <c r="G1192" s="17" t="s">
        <v>7747</v>
      </c>
      <c r="H1192" s="7" t="s">
        <v>19</v>
      </c>
      <c r="I1192" s="7" t="s">
        <v>172</v>
      </c>
      <c r="J1192" s="7" t="s">
        <v>258</v>
      </c>
      <c r="K1192" s="7" t="s">
        <v>2380</v>
      </c>
      <c r="L1192" s="7" t="s">
        <v>175</v>
      </c>
      <c r="M1192" s="7">
        <v>9.3164719999999992</v>
      </c>
      <c r="N1192" s="7">
        <v>13.365722</v>
      </c>
      <c r="O1192" s="7" t="s">
        <v>23</v>
      </c>
    </row>
    <row r="1193" spans="1:15" hidden="1" x14ac:dyDescent="0.25">
      <c r="A1193" s="2">
        <f t="shared" si="18"/>
        <v>1191</v>
      </c>
      <c r="B1193" s="7" t="s">
        <v>3117</v>
      </c>
      <c r="C1193" s="7" t="s">
        <v>3118</v>
      </c>
      <c r="D1193" s="7" t="s">
        <v>3117</v>
      </c>
      <c r="E1193" s="7" t="s">
        <v>170</v>
      </c>
      <c r="F1193" s="7" t="s">
        <v>3119</v>
      </c>
      <c r="G1193" s="17" t="s">
        <v>7747</v>
      </c>
      <c r="H1193" s="7" t="s">
        <v>28</v>
      </c>
      <c r="I1193" s="7" t="s">
        <v>172</v>
      </c>
      <c r="J1193" s="7" t="s">
        <v>258</v>
      </c>
      <c r="K1193" s="7" t="s">
        <v>2380</v>
      </c>
      <c r="L1193" s="7" t="s">
        <v>175</v>
      </c>
      <c r="M1193" s="7">
        <v>9.3025629999999992</v>
      </c>
      <c r="N1193" s="7">
        <v>13.399675</v>
      </c>
      <c r="O1193" s="7" t="s">
        <v>23</v>
      </c>
    </row>
    <row r="1194" spans="1:15" hidden="1" x14ac:dyDescent="0.25">
      <c r="A1194" s="2">
        <f t="shared" si="18"/>
        <v>1192</v>
      </c>
      <c r="B1194" s="7" t="s">
        <v>3144</v>
      </c>
      <c r="C1194" s="7" t="s">
        <v>3145</v>
      </c>
      <c r="D1194" s="7" t="s">
        <v>3144</v>
      </c>
      <c r="E1194" s="7" t="s">
        <v>170</v>
      </c>
      <c r="F1194" s="7" t="s">
        <v>3146</v>
      </c>
      <c r="G1194" s="17" t="s">
        <v>7747</v>
      </c>
      <c r="H1194" s="7" t="s">
        <v>19</v>
      </c>
      <c r="I1194" s="7" t="s">
        <v>172</v>
      </c>
      <c r="J1194" s="7" t="s">
        <v>258</v>
      </c>
      <c r="K1194" s="7" t="s">
        <v>3147</v>
      </c>
      <c r="L1194" s="7" t="s">
        <v>175</v>
      </c>
      <c r="M1194" s="7">
        <v>9.3194800000000004</v>
      </c>
      <c r="N1194" s="7">
        <v>13.405810000000001</v>
      </c>
      <c r="O1194" s="7" t="s">
        <v>23</v>
      </c>
    </row>
    <row r="1195" spans="1:15" hidden="1" x14ac:dyDescent="0.25">
      <c r="A1195" s="2">
        <f t="shared" si="18"/>
        <v>1193</v>
      </c>
      <c r="B1195" s="7" t="s">
        <v>3185</v>
      </c>
      <c r="C1195" s="7" t="s">
        <v>3186</v>
      </c>
      <c r="D1195" s="7" t="s">
        <v>3185</v>
      </c>
      <c r="E1195" s="7" t="s">
        <v>170</v>
      </c>
      <c r="F1195" s="7" t="s">
        <v>3187</v>
      </c>
      <c r="G1195" s="17" t="s">
        <v>7747</v>
      </c>
      <c r="H1195" s="7" t="s">
        <v>28</v>
      </c>
      <c r="I1195" s="7" t="s">
        <v>172</v>
      </c>
      <c r="J1195" s="7" t="s">
        <v>258</v>
      </c>
      <c r="K1195" s="7" t="s">
        <v>1924</v>
      </c>
      <c r="L1195" s="7" t="s">
        <v>175</v>
      </c>
      <c r="M1195" s="7">
        <v>9.3479880000000009</v>
      </c>
      <c r="N1195" s="7">
        <v>13.424056</v>
      </c>
      <c r="O1195" s="7" t="s">
        <v>23</v>
      </c>
    </row>
    <row r="1196" spans="1:15" hidden="1" x14ac:dyDescent="0.25">
      <c r="A1196" s="2">
        <f t="shared" si="18"/>
        <v>1194</v>
      </c>
      <c r="B1196" s="7" t="s">
        <v>3209</v>
      </c>
      <c r="C1196" s="7" t="s">
        <v>3210</v>
      </c>
      <c r="D1196" s="7" t="s">
        <v>3209</v>
      </c>
      <c r="E1196" s="7" t="s">
        <v>170</v>
      </c>
      <c r="F1196" s="7" t="s">
        <v>3211</v>
      </c>
      <c r="G1196" s="17" t="s">
        <v>7747</v>
      </c>
      <c r="H1196" s="7" t="s">
        <v>28</v>
      </c>
      <c r="I1196" s="7" t="s">
        <v>234</v>
      </c>
      <c r="J1196" s="7" t="s">
        <v>258</v>
      </c>
      <c r="K1196" s="7" t="s">
        <v>885</v>
      </c>
      <c r="L1196" s="7" t="s">
        <v>175</v>
      </c>
      <c r="M1196" s="7">
        <v>9.0506919999999997</v>
      </c>
      <c r="N1196" s="7">
        <v>13.667622</v>
      </c>
      <c r="O1196" s="7" t="s">
        <v>23</v>
      </c>
    </row>
    <row r="1197" spans="1:15" hidden="1" x14ac:dyDescent="0.25">
      <c r="A1197" s="2">
        <f t="shared" si="18"/>
        <v>1195</v>
      </c>
      <c r="B1197" s="7" t="s">
        <v>3316</v>
      </c>
      <c r="C1197" s="7" t="s">
        <v>3317</v>
      </c>
      <c r="D1197" s="7" t="s">
        <v>3316</v>
      </c>
      <c r="E1197" s="7" t="s">
        <v>170</v>
      </c>
      <c r="F1197" s="7" t="s">
        <v>3318</v>
      </c>
      <c r="G1197" s="17" t="s">
        <v>7747</v>
      </c>
      <c r="H1197" s="7" t="s">
        <v>28</v>
      </c>
      <c r="I1197" s="7" t="s">
        <v>172</v>
      </c>
      <c r="J1197" s="7" t="s">
        <v>173</v>
      </c>
      <c r="K1197" s="7" t="s">
        <v>803</v>
      </c>
      <c r="L1197" s="7" t="s">
        <v>175</v>
      </c>
      <c r="M1197" s="7">
        <v>9.7562169999999995</v>
      </c>
      <c r="N1197" s="7">
        <v>13.964062</v>
      </c>
      <c r="O1197" s="7" t="s">
        <v>23</v>
      </c>
    </row>
    <row r="1198" spans="1:15" hidden="1" x14ac:dyDescent="0.25">
      <c r="A1198" s="2">
        <f t="shared" si="18"/>
        <v>1196</v>
      </c>
      <c r="B1198" s="7" t="s">
        <v>3383</v>
      </c>
      <c r="C1198" s="7" t="s">
        <v>3384</v>
      </c>
      <c r="D1198" s="7" t="s">
        <v>3383</v>
      </c>
      <c r="E1198" s="7" t="s">
        <v>170</v>
      </c>
      <c r="F1198" s="7" t="s">
        <v>3385</v>
      </c>
      <c r="G1198" s="17" t="s">
        <v>7747</v>
      </c>
      <c r="H1198" s="7" t="s">
        <v>28</v>
      </c>
      <c r="I1198" s="7" t="s">
        <v>172</v>
      </c>
      <c r="J1198" s="7" t="s">
        <v>258</v>
      </c>
      <c r="K1198" s="7" t="s">
        <v>2380</v>
      </c>
      <c r="L1198" s="7" t="s">
        <v>175</v>
      </c>
      <c r="M1198" s="7">
        <v>9.2996390000000009</v>
      </c>
      <c r="N1198" s="7">
        <v>13.394708</v>
      </c>
      <c r="O1198" s="7" t="s">
        <v>23</v>
      </c>
    </row>
    <row r="1199" spans="1:15" hidden="1" x14ac:dyDescent="0.25">
      <c r="A1199" s="2">
        <f t="shared" si="18"/>
        <v>1197</v>
      </c>
      <c r="B1199" s="7" t="s">
        <v>3395</v>
      </c>
      <c r="C1199" s="7" t="s">
        <v>3396</v>
      </c>
      <c r="D1199" s="7" t="s">
        <v>3395</v>
      </c>
      <c r="E1199" s="7" t="s">
        <v>170</v>
      </c>
      <c r="F1199" s="7" t="s">
        <v>3116</v>
      </c>
      <c r="G1199" s="17" t="s">
        <v>7747</v>
      </c>
      <c r="H1199" s="7" t="s">
        <v>28</v>
      </c>
      <c r="I1199" s="7" t="s">
        <v>172</v>
      </c>
      <c r="J1199" s="7" t="s">
        <v>258</v>
      </c>
      <c r="K1199" s="7" t="s">
        <v>2380</v>
      </c>
      <c r="L1199" s="7" t="s">
        <v>175</v>
      </c>
      <c r="M1199" s="7">
        <v>9.3053299999999997</v>
      </c>
      <c r="N1199" s="7">
        <v>13.362425</v>
      </c>
      <c r="O1199" s="7" t="s">
        <v>23</v>
      </c>
    </row>
    <row r="1200" spans="1:15" hidden="1" x14ac:dyDescent="0.25">
      <c r="A1200" s="2">
        <f t="shared" si="18"/>
        <v>1198</v>
      </c>
      <c r="B1200" s="7" t="s">
        <v>3397</v>
      </c>
      <c r="C1200" s="7" t="s">
        <v>3398</v>
      </c>
      <c r="D1200" s="7" t="s">
        <v>3397</v>
      </c>
      <c r="E1200" s="7" t="s">
        <v>170</v>
      </c>
      <c r="F1200" s="7" t="s">
        <v>3399</v>
      </c>
      <c r="G1200" s="17" t="s">
        <v>7747</v>
      </c>
      <c r="H1200" s="7" t="s">
        <v>28</v>
      </c>
      <c r="I1200" s="7" t="s">
        <v>234</v>
      </c>
      <c r="J1200" s="7" t="s">
        <v>258</v>
      </c>
      <c r="K1200" s="7" t="s">
        <v>2804</v>
      </c>
      <c r="L1200" s="7" t="s">
        <v>175</v>
      </c>
      <c r="M1200" s="7">
        <v>9.3142499999999995</v>
      </c>
      <c r="N1200" s="7">
        <v>13.409056</v>
      </c>
      <c r="O1200" s="7" t="s">
        <v>23</v>
      </c>
    </row>
    <row r="1201" spans="1:15" hidden="1" x14ac:dyDescent="0.25">
      <c r="A1201" s="2">
        <f t="shared" si="18"/>
        <v>1199</v>
      </c>
      <c r="B1201" s="7" t="s">
        <v>3400</v>
      </c>
      <c r="C1201" s="7" t="s">
        <v>3401</v>
      </c>
      <c r="D1201" s="7" t="s">
        <v>3400</v>
      </c>
      <c r="E1201" s="7" t="s">
        <v>170</v>
      </c>
      <c r="F1201" s="7" t="s">
        <v>3402</v>
      </c>
      <c r="G1201" s="17" t="s">
        <v>7747</v>
      </c>
      <c r="H1201" s="7" t="s">
        <v>28</v>
      </c>
      <c r="I1201" s="7" t="s">
        <v>172</v>
      </c>
      <c r="J1201" s="7" t="s">
        <v>258</v>
      </c>
      <c r="K1201" s="7" t="s">
        <v>2380</v>
      </c>
      <c r="L1201" s="7" t="s">
        <v>175</v>
      </c>
      <c r="M1201" s="7">
        <v>9.3006779999999996</v>
      </c>
      <c r="N1201" s="7">
        <v>13.356493</v>
      </c>
      <c r="O1201" s="7" t="s">
        <v>23</v>
      </c>
    </row>
    <row r="1202" spans="1:15" hidden="1" x14ac:dyDescent="0.25">
      <c r="A1202" s="2">
        <f t="shared" si="18"/>
        <v>1200</v>
      </c>
      <c r="B1202" s="7" t="s">
        <v>3409</v>
      </c>
      <c r="C1202" s="7" t="s">
        <v>3410</v>
      </c>
      <c r="D1202" s="7" t="s">
        <v>3409</v>
      </c>
      <c r="E1202" s="7" t="s">
        <v>170</v>
      </c>
      <c r="F1202" s="7" t="s">
        <v>3411</v>
      </c>
      <c r="G1202" s="17" t="s">
        <v>7747</v>
      </c>
      <c r="H1202" s="7" t="s">
        <v>28</v>
      </c>
      <c r="I1202" s="7" t="s">
        <v>172</v>
      </c>
      <c r="J1202" s="7" t="s">
        <v>258</v>
      </c>
      <c r="K1202" s="7" t="s">
        <v>2380</v>
      </c>
      <c r="L1202" s="7" t="s">
        <v>175</v>
      </c>
      <c r="M1202" s="7">
        <v>9.2956649999999996</v>
      </c>
      <c r="N1202" s="7">
        <v>13.377577</v>
      </c>
      <c r="O1202" s="7" t="s">
        <v>23</v>
      </c>
    </row>
    <row r="1203" spans="1:15" hidden="1" x14ac:dyDescent="0.25">
      <c r="A1203" s="2">
        <f t="shared" si="18"/>
        <v>1201</v>
      </c>
      <c r="B1203" s="7" t="s">
        <v>3556</v>
      </c>
      <c r="C1203" s="7" t="s">
        <v>3557</v>
      </c>
      <c r="D1203" s="7" t="s">
        <v>3556</v>
      </c>
      <c r="E1203" s="7" t="s">
        <v>170</v>
      </c>
      <c r="F1203" s="7" t="s">
        <v>3558</v>
      </c>
      <c r="G1203" s="17" t="s">
        <v>7747</v>
      </c>
      <c r="H1203" s="7" t="s">
        <v>28</v>
      </c>
      <c r="I1203" s="7" t="s">
        <v>234</v>
      </c>
      <c r="J1203" s="7" t="s">
        <v>258</v>
      </c>
      <c r="K1203" s="7" t="s">
        <v>259</v>
      </c>
      <c r="L1203" s="7" t="s">
        <v>175</v>
      </c>
      <c r="M1203" s="7">
        <v>9.3851530000000007</v>
      </c>
      <c r="N1203" s="7">
        <v>13.505093</v>
      </c>
      <c r="O1203" s="7" t="s">
        <v>23</v>
      </c>
    </row>
    <row r="1204" spans="1:15" hidden="1" x14ac:dyDescent="0.25">
      <c r="A1204" s="2">
        <f t="shared" si="18"/>
        <v>1202</v>
      </c>
      <c r="B1204" s="7" t="s">
        <v>3571</v>
      </c>
      <c r="C1204" s="7" t="s">
        <v>3572</v>
      </c>
      <c r="D1204" s="7" t="s">
        <v>3571</v>
      </c>
      <c r="E1204" s="7" t="s">
        <v>170</v>
      </c>
      <c r="F1204" s="7" t="s">
        <v>3573</v>
      </c>
      <c r="G1204" s="17" t="s">
        <v>7747</v>
      </c>
      <c r="H1204" s="7" t="s">
        <v>28</v>
      </c>
      <c r="I1204" s="7" t="s">
        <v>172</v>
      </c>
      <c r="J1204" s="7" t="s">
        <v>258</v>
      </c>
      <c r="K1204" s="7" t="s">
        <v>1924</v>
      </c>
      <c r="L1204" s="7" t="s">
        <v>175</v>
      </c>
      <c r="M1204" s="7">
        <v>9.3464019999999994</v>
      </c>
      <c r="N1204" s="7">
        <v>13.39791</v>
      </c>
      <c r="O1204" s="7" t="s">
        <v>23</v>
      </c>
    </row>
    <row r="1205" spans="1:15" hidden="1" x14ac:dyDescent="0.25">
      <c r="A1205" s="2">
        <f t="shared" si="18"/>
        <v>1203</v>
      </c>
      <c r="B1205" s="7" t="s">
        <v>3683</v>
      </c>
      <c r="C1205" s="7" t="s">
        <v>3684</v>
      </c>
      <c r="D1205" s="7" t="s">
        <v>3683</v>
      </c>
      <c r="E1205" s="7" t="s">
        <v>170</v>
      </c>
      <c r="F1205" s="7" t="s">
        <v>3685</v>
      </c>
      <c r="G1205" s="17" t="s">
        <v>7747</v>
      </c>
      <c r="H1205" s="7" t="s">
        <v>28</v>
      </c>
      <c r="I1205" s="7" t="s">
        <v>172</v>
      </c>
      <c r="J1205" s="7" t="s">
        <v>258</v>
      </c>
      <c r="K1205" s="7" t="s">
        <v>1924</v>
      </c>
      <c r="L1205" s="7" t="s">
        <v>175</v>
      </c>
      <c r="M1205" s="7">
        <v>9.3129720000000002</v>
      </c>
      <c r="N1205" s="7">
        <v>13.39475</v>
      </c>
      <c r="O1205" s="7" t="s">
        <v>23</v>
      </c>
    </row>
    <row r="1206" spans="1:15" hidden="1" x14ac:dyDescent="0.25">
      <c r="A1206" s="2">
        <f t="shared" si="18"/>
        <v>1204</v>
      </c>
      <c r="B1206" s="7" t="s">
        <v>3757</v>
      </c>
      <c r="C1206" s="7" t="s">
        <v>3758</v>
      </c>
      <c r="D1206" s="7" t="s">
        <v>3757</v>
      </c>
      <c r="E1206" s="7" t="s">
        <v>170</v>
      </c>
      <c r="F1206" s="7" t="s">
        <v>3759</v>
      </c>
      <c r="G1206" s="17" t="s">
        <v>7747</v>
      </c>
      <c r="H1206" s="7" t="s">
        <v>28</v>
      </c>
      <c r="I1206" s="7" t="s">
        <v>234</v>
      </c>
      <c r="J1206" s="7" t="s">
        <v>258</v>
      </c>
      <c r="K1206" s="7" t="s">
        <v>1196</v>
      </c>
      <c r="L1206" s="7" t="s">
        <v>175</v>
      </c>
      <c r="M1206" s="7">
        <v>9.2561669999999996</v>
      </c>
      <c r="N1206" s="7">
        <v>13.776361</v>
      </c>
      <c r="O1206" s="7" t="s">
        <v>23</v>
      </c>
    </row>
    <row r="1207" spans="1:15" hidden="1" x14ac:dyDescent="0.25">
      <c r="A1207" s="2">
        <f t="shared" si="18"/>
        <v>1205</v>
      </c>
      <c r="B1207" s="7" t="s">
        <v>3835</v>
      </c>
      <c r="C1207" s="7" t="s">
        <v>3836</v>
      </c>
      <c r="D1207" s="7" t="s">
        <v>3835</v>
      </c>
      <c r="E1207" s="7" t="s">
        <v>170</v>
      </c>
      <c r="F1207" s="7" t="s">
        <v>3837</v>
      </c>
      <c r="G1207" s="17" t="s">
        <v>7747</v>
      </c>
      <c r="H1207" s="7" t="s">
        <v>19</v>
      </c>
      <c r="I1207" s="7" t="s">
        <v>172</v>
      </c>
      <c r="J1207" s="7" t="s">
        <v>258</v>
      </c>
      <c r="K1207" s="7" t="s">
        <v>1924</v>
      </c>
      <c r="L1207" s="7" t="s">
        <v>175</v>
      </c>
      <c r="M1207" s="7">
        <v>9.3443330000000007</v>
      </c>
      <c r="N1207" s="7">
        <v>13.413083</v>
      </c>
      <c r="O1207" s="7" t="s">
        <v>23</v>
      </c>
    </row>
    <row r="1208" spans="1:15" hidden="1" x14ac:dyDescent="0.25">
      <c r="A1208" s="2">
        <f t="shared" si="18"/>
        <v>1206</v>
      </c>
      <c r="B1208" s="7" t="s">
        <v>4043</v>
      </c>
      <c r="C1208" s="7" t="s">
        <v>4044</v>
      </c>
      <c r="D1208" s="7" t="s">
        <v>4043</v>
      </c>
      <c r="E1208" s="7" t="s">
        <v>170</v>
      </c>
      <c r="F1208" s="7" t="s">
        <v>4045</v>
      </c>
      <c r="G1208" s="17" t="s">
        <v>7747</v>
      </c>
      <c r="H1208" s="7" t="s">
        <v>28</v>
      </c>
      <c r="I1208" s="7" t="s">
        <v>172</v>
      </c>
      <c r="J1208" s="7" t="s">
        <v>173</v>
      </c>
      <c r="K1208" s="7" t="s">
        <v>737</v>
      </c>
      <c r="L1208" s="7" t="s">
        <v>175</v>
      </c>
      <c r="M1208" s="7">
        <v>10.167999999999999</v>
      </c>
      <c r="N1208" s="7">
        <v>13.519056000000001</v>
      </c>
      <c r="O1208" s="7" t="s">
        <v>23</v>
      </c>
    </row>
    <row r="1209" spans="1:15" hidden="1" x14ac:dyDescent="0.25">
      <c r="A1209" s="2">
        <f t="shared" si="18"/>
        <v>1207</v>
      </c>
      <c r="B1209" s="7" t="s">
        <v>4677</v>
      </c>
      <c r="C1209" s="7" t="s">
        <v>4678</v>
      </c>
      <c r="D1209" s="7" t="s">
        <v>4677</v>
      </c>
      <c r="E1209" s="7" t="s">
        <v>170</v>
      </c>
      <c r="F1209" s="7" t="s">
        <v>1649</v>
      </c>
      <c r="G1209" s="17" t="s">
        <v>7747</v>
      </c>
      <c r="H1209" s="7" t="s">
        <v>28</v>
      </c>
      <c r="I1209" s="7" t="s">
        <v>234</v>
      </c>
      <c r="J1209" s="7" t="s">
        <v>258</v>
      </c>
      <c r="K1209" s="7" t="s">
        <v>885</v>
      </c>
      <c r="L1209" s="7" t="s">
        <v>175</v>
      </c>
      <c r="M1209" s="7">
        <v>9.0595999999999997</v>
      </c>
      <c r="N1209" s="7">
        <v>13.677429999999999</v>
      </c>
      <c r="O1209" s="7" t="s">
        <v>23</v>
      </c>
    </row>
    <row r="1210" spans="1:15" hidden="1" x14ac:dyDescent="0.25">
      <c r="A1210" s="2">
        <f t="shared" si="18"/>
        <v>1208</v>
      </c>
      <c r="B1210" s="7" t="s">
        <v>4808</v>
      </c>
      <c r="C1210" s="7" t="s">
        <v>4809</v>
      </c>
      <c r="D1210" s="7" t="s">
        <v>4808</v>
      </c>
      <c r="E1210" s="7" t="s">
        <v>170</v>
      </c>
      <c r="F1210" s="7" t="s">
        <v>4810</v>
      </c>
      <c r="G1210" s="17" t="s">
        <v>7747</v>
      </c>
      <c r="H1210" s="7" t="s">
        <v>28</v>
      </c>
      <c r="I1210" s="7" t="s">
        <v>234</v>
      </c>
      <c r="J1210" s="7" t="s">
        <v>732</v>
      </c>
      <c r="K1210" s="7" t="s">
        <v>4811</v>
      </c>
      <c r="L1210" s="7" t="s">
        <v>175</v>
      </c>
      <c r="M1210" s="7">
        <v>8.6796819999999997</v>
      </c>
      <c r="N1210" s="7">
        <v>14.174804</v>
      </c>
      <c r="O1210" s="7" t="s">
        <v>23</v>
      </c>
    </row>
    <row r="1211" spans="1:15" hidden="1" x14ac:dyDescent="0.25">
      <c r="A1211" s="2">
        <f t="shared" si="18"/>
        <v>1209</v>
      </c>
      <c r="B1211" s="7" t="s">
        <v>4812</v>
      </c>
      <c r="C1211" s="7" t="s">
        <v>4813</v>
      </c>
      <c r="D1211" s="7" t="s">
        <v>4812</v>
      </c>
      <c r="E1211" s="7" t="s">
        <v>170</v>
      </c>
      <c r="F1211" s="7" t="s">
        <v>4814</v>
      </c>
      <c r="G1211" s="17" t="s">
        <v>7747</v>
      </c>
      <c r="H1211" s="7" t="s">
        <v>19</v>
      </c>
      <c r="I1211" s="7" t="s">
        <v>234</v>
      </c>
      <c r="J1211" s="7" t="s">
        <v>258</v>
      </c>
      <c r="K1211" s="7" t="s">
        <v>2312</v>
      </c>
      <c r="L1211" s="7" t="s">
        <v>175</v>
      </c>
      <c r="M1211" s="7">
        <v>9.0577279999999991</v>
      </c>
      <c r="N1211" s="7">
        <v>13.509881999999999</v>
      </c>
      <c r="O1211" s="7" t="s">
        <v>23</v>
      </c>
    </row>
    <row r="1212" spans="1:15" hidden="1" x14ac:dyDescent="0.25">
      <c r="A1212" s="2">
        <f t="shared" si="18"/>
        <v>1210</v>
      </c>
      <c r="B1212" s="7" t="s">
        <v>5119</v>
      </c>
      <c r="C1212" s="7" t="s">
        <v>5120</v>
      </c>
      <c r="D1212" s="7" t="s">
        <v>5119</v>
      </c>
      <c r="E1212" s="7" t="s">
        <v>170</v>
      </c>
      <c r="F1212" s="7" t="s">
        <v>5121</v>
      </c>
      <c r="G1212" s="17" t="s">
        <v>7747</v>
      </c>
      <c r="H1212" s="7" t="s">
        <v>28</v>
      </c>
      <c r="I1212" s="7" t="s">
        <v>172</v>
      </c>
      <c r="J1212" s="7" t="s">
        <v>258</v>
      </c>
      <c r="K1212" s="7" t="s">
        <v>5122</v>
      </c>
      <c r="L1212" s="7" t="s">
        <v>175</v>
      </c>
      <c r="M1212" s="7">
        <v>9.3059720000000006</v>
      </c>
      <c r="N1212" s="7">
        <v>13.405333000000001</v>
      </c>
      <c r="O1212" s="7" t="s">
        <v>23</v>
      </c>
    </row>
    <row r="1213" spans="1:15" hidden="1" x14ac:dyDescent="0.25">
      <c r="A1213" s="2">
        <f t="shared" si="18"/>
        <v>1211</v>
      </c>
      <c r="B1213" s="7" t="s">
        <v>5162</v>
      </c>
      <c r="C1213" s="7" t="s">
        <v>5163</v>
      </c>
      <c r="D1213" s="7" t="s">
        <v>5162</v>
      </c>
      <c r="E1213" s="7" t="s">
        <v>170</v>
      </c>
      <c r="F1213" s="7" t="s">
        <v>5164</v>
      </c>
      <c r="G1213" s="17" t="s">
        <v>7747</v>
      </c>
      <c r="H1213" s="7" t="s">
        <v>28</v>
      </c>
      <c r="I1213" s="7" t="s">
        <v>172</v>
      </c>
      <c r="J1213" s="7" t="s">
        <v>258</v>
      </c>
      <c r="K1213" s="7" t="s">
        <v>2380</v>
      </c>
      <c r="L1213" s="7" t="s">
        <v>175</v>
      </c>
      <c r="M1213" s="7">
        <v>9.2968609999999998</v>
      </c>
      <c r="N1213" s="7">
        <v>13.399917</v>
      </c>
      <c r="O1213" s="7" t="s">
        <v>23</v>
      </c>
    </row>
    <row r="1214" spans="1:15" hidden="1" x14ac:dyDescent="0.25">
      <c r="A1214" s="2">
        <f t="shared" si="18"/>
        <v>1212</v>
      </c>
      <c r="B1214" s="7" t="s">
        <v>5198</v>
      </c>
      <c r="C1214" s="7" t="s">
        <v>5199</v>
      </c>
      <c r="D1214" s="7" t="s">
        <v>5198</v>
      </c>
      <c r="E1214" s="7" t="s">
        <v>170</v>
      </c>
      <c r="F1214" s="7" t="s">
        <v>5200</v>
      </c>
      <c r="G1214" s="17" t="s">
        <v>7747</v>
      </c>
      <c r="H1214" s="7" t="s">
        <v>28</v>
      </c>
      <c r="I1214" s="7" t="s">
        <v>172</v>
      </c>
      <c r="J1214" s="7" t="s">
        <v>258</v>
      </c>
      <c r="K1214" s="7" t="s">
        <v>1924</v>
      </c>
      <c r="L1214" s="7" t="s">
        <v>175</v>
      </c>
      <c r="M1214" s="7">
        <v>9.3226940000000003</v>
      </c>
      <c r="N1214" s="7">
        <v>13.399694</v>
      </c>
      <c r="O1214" s="7" t="s">
        <v>23</v>
      </c>
    </row>
    <row r="1215" spans="1:15" hidden="1" x14ac:dyDescent="0.25">
      <c r="A1215" s="2">
        <f t="shared" si="18"/>
        <v>1213</v>
      </c>
      <c r="B1215" s="7" t="s">
        <v>5210</v>
      </c>
      <c r="C1215" s="7" t="s">
        <v>5211</v>
      </c>
      <c r="D1215" s="7" t="s">
        <v>5210</v>
      </c>
      <c r="E1215" s="7" t="s">
        <v>170</v>
      </c>
      <c r="F1215" s="7" t="s">
        <v>5212</v>
      </c>
      <c r="G1215" s="17" t="s">
        <v>7747</v>
      </c>
      <c r="H1215" s="7" t="s">
        <v>28</v>
      </c>
      <c r="I1215" s="7" t="s">
        <v>172</v>
      </c>
      <c r="J1215" s="7" t="s">
        <v>258</v>
      </c>
      <c r="K1215" s="7" t="s">
        <v>2380</v>
      </c>
      <c r="L1215" s="7" t="s">
        <v>175</v>
      </c>
      <c r="M1215" s="7">
        <v>9.3056959999999993</v>
      </c>
      <c r="N1215" s="7">
        <v>13.37848</v>
      </c>
      <c r="O1215" s="7" t="s">
        <v>23</v>
      </c>
    </row>
    <row r="1216" spans="1:15" hidden="1" x14ac:dyDescent="0.25">
      <c r="A1216" s="2">
        <f t="shared" si="18"/>
        <v>1214</v>
      </c>
      <c r="B1216" s="7" t="s">
        <v>5219</v>
      </c>
      <c r="C1216" s="7" t="s">
        <v>5220</v>
      </c>
      <c r="D1216" s="7" t="s">
        <v>5219</v>
      </c>
      <c r="E1216" s="7" t="s">
        <v>170</v>
      </c>
      <c r="F1216" s="7" t="s">
        <v>5221</v>
      </c>
      <c r="G1216" s="17" t="s">
        <v>7747</v>
      </c>
      <c r="H1216" s="7" t="s">
        <v>28</v>
      </c>
      <c r="I1216" s="7" t="s">
        <v>172</v>
      </c>
      <c r="J1216" s="7" t="s">
        <v>258</v>
      </c>
      <c r="K1216" s="7" t="s">
        <v>1924</v>
      </c>
      <c r="L1216" s="7" t="s">
        <v>175</v>
      </c>
      <c r="M1216" s="7">
        <v>9.3494440000000001</v>
      </c>
      <c r="N1216" s="7">
        <v>13.384028000000001</v>
      </c>
      <c r="O1216" s="7" t="s">
        <v>23</v>
      </c>
    </row>
    <row r="1217" spans="1:15" hidden="1" x14ac:dyDescent="0.25">
      <c r="A1217" s="2">
        <f t="shared" si="18"/>
        <v>1215</v>
      </c>
      <c r="B1217" s="7" t="s">
        <v>5222</v>
      </c>
      <c r="C1217" s="7" t="s">
        <v>5223</v>
      </c>
      <c r="D1217" s="7" t="s">
        <v>5222</v>
      </c>
      <c r="E1217" s="7" t="s">
        <v>170</v>
      </c>
      <c r="F1217" s="7" t="s">
        <v>5224</v>
      </c>
      <c r="G1217" s="17" t="s">
        <v>7747</v>
      </c>
      <c r="H1217" s="7" t="s">
        <v>28</v>
      </c>
      <c r="I1217" s="7" t="s">
        <v>234</v>
      </c>
      <c r="J1217" s="7" t="s">
        <v>258</v>
      </c>
      <c r="K1217" s="7" t="s">
        <v>5225</v>
      </c>
      <c r="L1217" s="7" t="s">
        <v>175</v>
      </c>
      <c r="M1217" s="7">
        <v>9.3334879999999991</v>
      </c>
      <c r="N1217" s="7">
        <v>13.418568</v>
      </c>
      <c r="O1217" s="7" t="s">
        <v>23</v>
      </c>
    </row>
    <row r="1218" spans="1:15" hidden="1" x14ac:dyDescent="0.25">
      <c r="A1218" s="2">
        <f t="shared" si="18"/>
        <v>1216</v>
      </c>
      <c r="B1218" s="7" t="s">
        <v>5299</v>
      </c>
      <c r="C1218" s="7" t="s">
        <v>5300</v>
      </c>
      <c r="D1218" s="7" t="s">
        <v>5299</v>
      </c>
      <c r="E1218" s="7" t="s">
        <v>170</v>
      </c>
      <c r="F1218" s="7" t="s">
        <v>5301</v>
      </c>
      <c r="G1218" s="17" t="s">
        <v>7747</v>
      </c>
      <c r="H1218" s="7" t="s">
        <v>28</v>
      </c>
      <c r="I1218" s="7" t="s">
        <v>172</v>
      </c>
      <c r="J1218" s="7" t="s">
        <v>258</v>
      </c>
      <c r="K1218" s="7" t="s">
        <v>2380</v>
      </c>
      <c r="L1218" s="7" t="s">
        <v>175</v>
      </c>
      <c r="M1218" s="7">
        <v>9.3156529999999993</v>
      </c>
      <c r="N1218" s="7">
        <v>13.349788</v>
      </c>
      <c r="O1218" s="7" t="s">
        <v>23</v>
      </c>
    </row>
    <row r="1219" spans="1:15" hidden="1" x14ac:dyDescent="0.25">
      <c r="A1219" s="2">
        <f t="shared" si="18"/>
        <v>1217</v>
      </c>
      <c r="B1219" s="7" t="s">
        <v>5861</v>
      </c>
      <c r="C1219" s="7" t="s">
        <v>5862</v>
      </c>
      <c r="D1219" s="7" t="s">
        <v>5861</v>
      </c>
      <c r="E1219" s="7" t="s">
        <v>170</v>
      </c>
      <c r="F1219" s="7" t="s">
        <v>5863</v>
      </c>
      <c r="G1219" s="17" t="s">
        <v>7747</v>
      </c>
      <c r="H1219" s="7" t="s">
        <v>28</v>
      </c>
      <c r="I1219" s="7" t="s">
        <v>234</v>
      </c>
      <c r="J1219" s="7" t="s">
        <v>258</v>
      </c>
      <c r="K1219" s="7" t="s">
        <v>5864</v>
      </c>
      <c r="L1219" s="7" t="s">
        <v>175</v>
      </c>
      <c r="M1219" s="7">
        <v>9.0101300000000002</v>
      </c>
      <c r="N1219" s="7">
        <v>13.23155</v>
      </c>
      <c r="O1219" s="7" t="s">
        <v>23</v>
      </c>
    </row>
    <row r="1220" spans="1:15" hidden="1" x14ac:dyDescent="0.25">
      <c r="A1220" s="2">
        <f t="shared" si="18"/>
        <v>1218</v>
      </c>
      <c r="B1220" s="7" t="s">
        <v>6028</v>
      </c>
      <c r="C1220" s="7" t="s">
        <v>6029</v>
      </c>
      <c r="D1220" s="7" t="s">
        <v>6028</v>
      </c>
      <c r="E1220" s="7" t="s">
        <v>170</v>
      </c>
      <c r="F1220" s="7" t="s">
        <v>884</v>
      </c>
      <c r="G1220" s="17" t="s">
        <v>7747</v>
      </c>
      <c r="H1220" s="7" t="s">
        <v>28</v>
      </c>
      <c r="I1220" s="7" t="s">
        <v>234</v>
      </c>
      <c r="J1220" s="7" t="s">
        <v>258</v>
      </c>
      <c r="K1220" s="7" t="s">
        <v>885</v>
      </c>
      <c r="L1220" s="7" t="s">
        <v>175</v>
      </c>
      <c r="M1220" s="7">
        <v>8.8020800000000001</v>
      </c>
      <c r="N1220" s="7">
        <v>13.511950000000001</v>
      </c>
      <c r="O1220" s="7" t="s">
        <v>23</v>
      </c>
    </row>
    <row r="1221" spans="1:15" hidden="1" x14ac:dyDescent="0.25">
      <c r="A1221" s="2">
        <f t="shared" ref="A1221:A1284" si="19">+A1220+1</f>
        <v>1219</v>
      </c>
      <c r="B1221" s="7" t="s">
        <v>6030</v>
      </c>
      <c r="C1221" s="7" t="s">
        <v>6031</v>
      </c>
      <c r="D1221" s="7" t="s">
        <v>6030</v>
      </c>
      <c r="E1221" s="7" t="s">
        <v>170</v>
      </c>
      <c r="F1221" s="7" t="s">
        <v>6032</v>
      </c>
      <c r="G1221" s="17" t="s">
        <v>7747</v>
      </c>
      <c r="H1221" s="7" t="s">
        <v>28</v>
      </c>
      <c r="I1221" s="7" t="s">
        <v>172</v>
      </c>
      <c r="J1221" s="7" t="s">
        <v>173</v>
      </c>
      <c r="K1221" s="7" t="s">
        <v>174</v>
      </c>
      <c r="L1221" s="7" t="s">
        <v>175</v>
      </c>
      <c r="M1221" s="7">
        <v>9.6369050000000005</v>
      </c>
      <c r="N1221" s="7">
        <v>13.804205</v>
      </c>
      <c r="O1221" s="7" t="s">
        <v>23</v>
      </c>
    </row>
    <row r="1222" spans="1:15" hidden="1" x14ac:dyDescent="0.25">
      <c r="A1222" s="2">
        <f t="shared" si="19"/>
        <v>1220</v>
      </c>
      <c r="B1222" s="7" t="s">
        <v>6197</v>
      </c>
      <c r="C1222" s="7" t="s">
        <v>6198</v>
      </c>
      <c r="D1222" s="7" t="s">
        <v>6197</v>
      </c>
      <c r="E1222" s="7" t="s">
        <v>170</v>
      </c>
      <c r="F1222" s="7" t="s">
        <v>6199</v>
      </c>
      <c r="G1222" s="17" t="s">
        <v>7747</v>
      </c>
      <c r="H1222" s="7" t="s">
        <v>28</v>
      </c>
      <c r="I1222" s="7" t="s">
        <v>234</v>
      </c>
      <c r="J1222" s="7" t="s">
        <v>258</v>
      </c>
      <c r="K1222" s="7" t="s">
        <v>2804</v>
      </c>
      <c r="L1222" s="7" t="s">
        <v>175</v>
      </c>
      <c r="M1222" s="7">
        <v>9.1783699999999993</v>
      </c>
      <c r="N1222" s="7">
        <v>13.51003</v>
      </c>
      <c r="O1222" s="7" t="s">
        <v>23</v>
      </c>
    </row>
    <row r="1223" spans="1:15" hidden="1" x14ac:dyDescent="0.25">
      <c r="A1223" s="2">
        <f t="shared" si="19"/>
        <v>1221</v>
      </c>
      <c r="B1223" s="7" t="s">
        <v>6200</v>
      </c>
      <c r="C1223" s="7" t="s">
        <v>6201</v>
      </c>
      <c r="D1223" s="7" t="s">
        <v>6200</v>
      </c>
      <c r="E1223" s="7" t="s">
        <v>170</v>
      </c>
      <c r="F1223" s="7" t="s">
        <v>6202</v>
      </c>
      <c r="G1223" s="17" t="s">
        <v>7747</v>
      </c>
      <c r="H1223" s="7" t="s">
        <v>19</v>
      </c>
      <c r="I1223" s="7" t="s">
        <v>172</v>
      </c>
      <c r="J1223" s="7" t="s">
        <v>173</v>
      </c>
      <c r="K1223" s="7" t="s">
        <v>174</v>
      </c>
      <c r="L1223" s="7" t="s">
        <v>175</v>
      </c>
      <c r="M1223" s="7">
        <v>9.7073889999999992</v>
      </c>
      <c r="N1223" s="7">
        <v>13.924194</v>
      </c>
      <c r="O1223" s="7" t="s">
        <v>23</v>
      </c>
    </row>
    <row r="1224" spans="1:15" hidden="1" x14ac:dyDescent="0.25">
      <c r="A1224" s="2">
        <f t="shared" si="19"/>
        <v>1222</v>
      </c>
      <c r="B1224" s="7" t="s">
        <v>6343</v>
      </c>
      <c r="C1224" s="7" t="s">
        <v>6344</v>
      </c>
      <c r="D1224" s="7" t="s">
        <v>6343</v>
      </c>
      <c r="E1224" s="7" t="s">
        <v>170</v>
      </c>
      <c r="F1224" s="7" t="s">
        <v>6345</v>
      </c>
      <c r="G1224" s="17" t="s">
        <v>7747</v>
      </c>
      <c r="H1224" s="7" t="s">
        <v>19</v>
      </c>
      <c r="I1224" s="7" t="s">
        <v>234</v>
      </c>
      <c r="J1224" s="7" t="s">
        <v>732</v>
      </c>
      <c r="K1224" s="7" t="s">
        <v>6346</v>
      </c>
      <c r="L1224" s="7" t="s">
        <v>175</v>
      </c>
      <c r="M1224" s="7">
        <v>8.4552060000000004</v>
      </c>
      <c r="N1224" s="7">
        <v>15.015413000000001</v>
      </c>
      <c r="O1224" s="7" t="s">
        <v>23</v>
      </c>
    </row>
    <row r="1225" spans="1:15" hidden="1" x14ac:dyDescent="0.25">
      <c r="A1225" s="2">
        <f t="shared" si="19"/>
        <v>1223</v>
      </c>
      <c r="B1225" s="7" t="s">
        <v>6417</v>
      </c>
      <c r="C1225" s="7" t="s">
        <v>6418</v>
      </c>
      <c r="D1225" s="7" t="s">
        <v>6417</v>
      </c>
      <c r="E1225" s="7" t="s">
        <v>170</v>
      </c>
      <c r="F1225" s="7" t="s">
        <v>6419</v>
      </c>
      <c r="G1225" s="17" t="s">
        <v>7747</v>
      </c>
      <c r="H1225" s="7" t="s">
        <v>28</v>
      </c>
      <c r="I1225" s="7" t="s">
        <v>234</v>
      </c>
      <c r="J1225" s="7" t="s">
        <v>732</v>
      </c>
      <c r="K1225" s="7" t="s">
        <v>885</v>
      </c>
      <c r="L1225" s="7" t="s">
        <v>175</v>
      </c>
      <c r="M1225" s="7">
        <v>8.4764479999999995</v>
      </c>
      <c r="N1225" s="7">
        <v>13.733148999999999</v>
      </c>
      <c r="O1225" s="7" t="s">
        <v>23</v>
      </c>
    </row>
    <row r="1226" spans="1:15" hidden="1" x14ac:dyDescent="0.25">
      <c r="A1226" s="2">
        <f t="shared" si="19"/>
        <v>1224</v>
      </c>
      <c r="B1226" s="7" t="s">
        <v>6423</v>
      </c>
      <c r="C1226" s="7" t="s">
        <v>6424</v>
      </c>
      <c r="D1226" s="7" t="s">
        <v>6423</v>
      </c>
      <c r="E1226" s="7" t="s">
        <v>170</v>
      </c>
      <c r="F1226" s="7" t="s">
        <v>6425</v>
      </c>
      <c r="G1226" s="17" t="s">
        <v>7747</v>
      </c>
      <c r="H1226" s="7" t="s">
        <v>19</v>
      </c>
      <c r="I1226" s="7" t="s">
        <v>234</v>
      </c>
      <c r="J1226" s="7" t="s">
        <v>258</v>
      </c>
      <c r="K1226" s="7" t="s">
        <v>885</v>
      </c>
      <c r="L1226" s="7" t="s">
        <v>175</v>
      </c>
      <c r="M1226" s="7">
        <v>8.5238139999999998</v>
      </c>
      <c r="N1226" s="7">
        <v>13.570183999999999</v>
      </c>
      <c r="O1226" s="7" t="s">
        <v>23</v>
      </c>
    </row>
    <row r="1227" spans="1:15" hidden="1" x14ac:dyDescent="0.25">
      <c r="A1227" s="2">
        <f t="shared" si="19"/>
        <v>1225</v>
      </c>
      <c r="B1227" s="7" t="s">
        <v>6426</v>
      </c>
      <c r="C1227" s="7" t="s">
        <v>6427</v>
      </c>
      <c r="D1227" s="7" t="s">
        <v>6426</v>
      </c>
      <c r="E1227" s="7" t="s">
        <v>170</v>
      </c>
      <c r="F1227" s="7" t="s">
        <v>6425</v>
      </c>
      <c r="G1227" s="17" t="s">
        <v>7747</v>
      </c>
      <c r="H1227" s="7" t="s">
        <v>19</v>
      </c>
      <c r="I1227" s="7" t="s">
        <v>234</v>
      </c>
      <c r="J1227" s="7" t="s">
        <v>258</v>
      </c>
      <c r="K1227" s="7" t="s">
        <v>885</v>
      </c>
      <c r="L1227" s="7" t="s">
        <v>175</v>
      </c>
      <c r="M1227" s="7">
        <v>8.5262390000000003</v>
      </c>
      <c r="N1227" s="7">
        <v>13.563013</v>
      </c>
      <c r="O1227" s="7" t="s">
        <v>23</v>
      </c>
    </row>
    <row r="1228" spans="1:15" hidden="1" x14ac:dyDescent="0.25">
      <c r="A1228" s="2">
        <f t="shared" si="19"/>
        <v>1226</v>
      </c>
      <c r="B1228" s="7" t="s">
        <v>6457</v>
      </c>
      <c r="C1228" s="7" t="s">
        <v>6458</v>
      </c>
      <c r="D1228" s="7" t="s">
        <v>6457</v>
      </c>
      <c r="E1228" s="7" t="s">
        <v>170</v>
      </c>
      <c r="F1228" s="7" t="s">
        <v>803</v>
      </c>
      <c r="G1228" s="17" t="s">
        <v>7747</v>
      </c>
      <c r="H1228" s="7" t="s">
        <v>19</v>
      </c>
      <c r="I1228" s="7" t="s">
        <v>172</v>
      </c>
      <c r="J1228" s="7" t="s">
        <v>173</v>
      </c>
      <c r="K1228" s="7" t="s">
        <v>174</v>
      </c>
      <c r="L1228" s="7" t="s">
        <v>175</v>
      </c>
      <c r="M1228" s="7">
        <v>9.7751169999999998</v>
      </c>
      <c r="N1228" s="7">
        <v>13.964725</v>
      </c>
      <c r="O1228" s="7" t="s">
        <v>23</v>
      </c>
    </row>
    <row r="1229" spans="1:15" hidden="1" x14ac:dyDescent="0.25">
      <c r="A1229" s="2">
        <f t="shared" si="19"/>
        <v>1227</v>
      </c>
      <c r="B1229" s="7" t="s">
        <v>6486</v>
      </c>
      <c r="C1229" s="7" t="s">
        <v>6487</v>
      </c>
      <c r="D1229" s="7" t="s">
        <v>6486</v>
      </c>
      <c r="E1229" s="7" t="s">
        <v>170</v>
      </c>
      <c r="F1229" s="7" t="s">
        <v>6488</v>
      </c>
      <c r="G1229" s="17" t="s">
        <v>7747</v>
      </c>
      <c r="H1229" s="7" t="s">
        <v>28</v>
      </c>
      <c r="I1229" s="7" t="s">
        <v>172</v>
      </c>
      <c r="J1229" s="7" t="s">
        <v>258</v>
      </c>
      <c r="K1229" s="7" t="s">
        <v>6488</v>
      </c>
      <c r="L1229" s="7" t="s">
        <v>175</v>
      </c>
      <c r="M1229" s="7">
        <v>9.7183329999999994</v>
      </c>
      <c r="N1229" s="7">
        <v>13.547833000000001</v>
      </c>
      <c r="O1229" s="7" t="s">
        <v>23</v>
      </c>
    </row>
    <row r="1230" spans="1:15" hidden="1" x14ac:dyDescent="0.25">
      <c r="A1230" s="2">
        <f t="shared" si="19"/>
        <v>1228</v>
      </c>
      <c r="B1230" s="7" t="s">
        <v>6489</v>
      </c>
      <c r="C1230" s="7" t="s">
        <v>6490</v>
      </c>
      <c r="D1230" s="7" t="s">
        <v>6489</v>
      </c>
      <c r="E1230" s="7" t="s">
        <v>170</v>
      </c>
      <c r="F1230" s="7" t="s">
        <v>6491</v>
      </c>
      <c r="G1230" s="17" t="s">
        <v>7747</v>
      </c>
      <c r="H1230" s="7" t="s">
        <v>28</v>
      </c>
      <c r="I1230" s="7" t="s">
        <v>172</v>
      </c>
      <c r="J1230" s="7" t="s">
        <v>258</v>
      </c>
      <c r="K1230" s="7" t="s">
        <v>6488</v>
      </c>
      <c r="L1230" s="7" t="s">
        <v>175</v>
      </c>
      <c r="M1230" s="7">
        <v>9.691058</v>
      </c>
      <c r="N1230" s="7">
        <v>13.535252</v>
      </c>
      <c r="O1230" s="7" t="s">
        <v>23</v>
      </c>
    </row>
    <row r="1231" spans="1:15" hidden="1" x14ac:dyDescent="0.25">
      <c r="A1231" s="2">
        <f t="shared" si="19"/>
        <v>1229</v>
      </c>
      <c r="B1231" s="7" t="s">
        <v>6510</v>
      </c>
      <c r="C1231" s="7" t="s">
        <v>6511</v>
      </c>
      <c r="D1231" s="7" t="s">
        <v>6510</v>
      </c>
      <c r="E1231" s="7" t="s">
        <v>170</v>
      </c>
      <c r="F1231" s="7" t="s">
        <v>6512</v>
      </c>
      <c r="G1231" s="17" t="s">
        <v>7747</v>
      </c>
      <c r="H1231" s="7" t="s">
        <v>28</v>
      </c>
      <c r="I1231" s="7" t="s">
        <v>234</v>
      </c>
      <c r="J1231" s="7" t="s">
        <v>1794</v>
      </c>
      <c r="K1231" s="7" t="s">
        <v>6513</v>
      </c>
      <c r="L1231" s="7" t="s">
        <v>175</v>
      </c>
      <c r="M1231" s="7">
        <v>8.6178690000000007</v>
      </c>
      <c r="N1231" s="7">
        <v>12.797643000000001</v>
      </c>
      <c r="O1231" s="7" t="s">
        <v>23</v>
      </c>
    </row>
    <row r="1232" spans="1:15" hidden="1" x14ac:dyDescent="0.25">
      <c r="A1232" s="2">
        <f t="shared" si="19"/>
        <v>1230</v>
      </c>
      <c r="B1232" s="7" t="s">
        <v>6539</v>
      </c>
      <c r="C1232" s="7" t="s">
        <v>6540</v>
      </c>
      <c r="D1232" s="7" t="s">
        <v>6539</v>
      </c>
      <c r="E1232" s="7" t="s">
        <v>170</v>
      </c>
      <c r="F1232" s="7" t="s">
        <v>6541</v>
      </c>
      <c r="G1232" s="17" t="s">
        <v>7747</v>
      </c>
      <c r="H1232" s="7" t="s">
        <v>28</v>
      </c>
      <c r="I1232" s="7" t="s">
        <v>234</v>
      </c>
      <c r="J1232" s="7" t="s">
        <v>258</v>
      </c>
      <c r="K1232" s="7" t="s">
        <v>929</v>
      </c>
      <c r="L1232" s="7" t="s">
        <v>175</v>
      </c>
      <c r="M1232" s="7">
        <v>9.3004719999999992</v>
      </c>
      <c r="N1232" s="7">
        <v>13.865055999999999</v>
      </c>
      <c r="O1232" s="7" t="s">
        <v>23</v>
      </c>
    </row>
    <row r="1233" spans="1:15" hidden="1" x14ac:dyDescent="0.25">
      <c r="A1233" s="2">
        <f t="shared" si="19"/>
        <v>1231</v>
      </c>
      <c r="B1233" s="7" t="s">
        <v>6554</v>
      </c>
      <c r="C1233" s="7" t="s">
        <v>6555</v>
      </c>
      <c r="D1233" s="7" t="s">
        <v>6554</v>
      </c>
      <c r="E1233" s="7" t="s">
        <v>170</v>
      </c>
      <c r="F1233" s="7" t="s">
        <v>6556</v>
      </c>
      <c r="G1233" s="17" t="s">
        <v>7747</v>
      </c>
      <c r="H1233" s="7" t="s">
        <v>28</v>
      </c>
      <c r="I1233" s="7" t="s">
        <v>234</v>
      </c>
      <c r="J1233" s="7" t="s">
        <v>258</v>
      </c>
      <c r="K1233" s="7" t="s">
        <v>5864</v>
      </c>
      <c r="L1233" s="7" t="s">
        <v>175</v>
      </c>
      <c r="M1233" s="7">
        <v>9.0915800000000004</v>
      </c>
      <c r="N1233" s="7">
        <v>12.957100000000001</v>
      </c>
      <c r="O1233" s="7" t="s">
        <v>23</v>
      </c>
    </row>
    <row r="1234" spans="1:15" hidden="1" x14ac:dyDescent="0.25">
      <c r="A1234" s="2">
        <f t="shared" si="19"/>
        <v>1232</v>
      </c>
      <c r="B1234" s="7" t="s">
        <v>6573</v>
      </c>
      <c r="C1234" s="7" t="s">
        <v>6574</v>
      </c>
      <c r="D1234" s="7" t="s">
        <v>6573</v>
      </c>
      <c r="E1234" s="7" t="s">
        <v>170</v>
      </c>
      <c r="F1234" s="7" t="s">
        <v>6575</v>
      </c>
      <c r="G1234" s="17" t="s">
        <v>7747</v>
      </c>
      <c r="H1234" s="7" t="s">
        <v>28</v>
      </c>
      <c r="I1234" s="7" t="s">
        <v>234</v>
      </c>
      <c r="J1234" s="7" t="s">
        <v>732</v>
      </c>
      <c r="K1234" s="7" t="s">
        <v>6576</v>
      </c>
      <c r="L1234" s="7" t="s">
        <v>175</v>
      </c>
      <c r="M1234" s="7">
        <v>9.1010600000000004</v>
      </c>
      <c r="N1234" s="7">
        <v>14.389408</v>
      </c>
      <c r="O1234" s="7" t="s">
        <v>23</v>
      </c>
    </row>
    <row r="1235" spans="1:15" hidden="1" x14ac:dyDescent="0.25">
      <c r="A1235" s="2">
        <f t="shared" si="19"/>
        <v>1233</v>
      </c>
      <c r="B1235" s="7" t="s">
        <v>6580</v>
      </c>
      <c r="C1235" s="7" t="s">
        <v>6581</v>
      </c>
      <c r="D1235" s="7" t="s">
        <v>6580</v>
      </c>
      <c r="E1235" s="7" t="s">
        <v>170</v>
      </c>
      <c r="F1235" s="7" t="s">
        <v>6582</v>
      </c>
      <c r="G1235" s="17" t="s">
        <v>7747</v>
      </c>
      <c r="H1235" s="7" t="s">
        <v>19</v>
      </c>
      <c r="I1235" s="7" t="s">
        <v>172</v>
      </c>
      <c r="J1235" s="7" t="s">
        <v>258</v>
      </c>
      <c r="K1235" s="7" t="s">
        <v>259</v>
      </c>
      <c r="L1235" s="7" t="s">
        <v>175</v>
      </c>
      <c r="M1235" s="7">
        <v>9.4451940000000008</v>
      </c>
      <c r="N1235" s="7">
        <v>13.61</v>
      </c>
      <c r="O1235" s="7" t="s">
        <v>23</v>
      </c>
    </row>
    <row r="1236" spans="1:15" hidden="1" x14ac:dyDescent="0.25">
      <c r="A1236" s="2">
        <f t="shared" si="19"/>
        <v>1234</v>
      </c>
      <c r="B1236" s="7" t="s">
        <v>6739</v>
      </c>
      <c r="C1236" s="7" t="s">
        <v>6740</v>
      </c>
      <c r="D1236" s="7" t="s">
        <v>6739</v>
      </c>
      <c r="E1236" s="7" t="s">
        <v>170</v>
      </c>
      <c r="F1236" s="7" t="s">
        <v>6741</v>
      </c>
      <c r="G1236" s="17" t="s">
        <v>7747</v>
      </c>
      <c r="H1236" s="7" t="s">
        <v>28</v>
      </c>
      <c r="I1236" s="7" t="s">
        <v>234</v>
      </c>
      <c r="J1236" s="7" t="s">
        <v>258</v>
      </c>
      <c r="K1236" s="7" t="s">
        <v>929</v>
      </c>
      <c r="L1236" s="7" t="s">
        <v>175</v>
      </c>
      <c r="M1236" s="7">
        <v>9.5308499999999992</v>
      </c>
      <c r="N1236" s="7">
        <v>14.057829</v>
      </c>
      <c r="O1236" s="7" t="s">
        <v>23</v>
      </c>
    </row>
    <row r="1237" spans="1:15" hidden="1" x14ac:dyDescent="0.25">
      <c r="A1237" s="2">
        <f t="shared" si="19"/>
        <v>1235</v>
      </c>
      <c r="B1237" s="7" t="s">
        <v>6776</v>
      </c>
      <c r="C1237" s="7" t="s">
        <v>6777</v>
      </c>
      <c r="D1237" s="7" t="s">
        <v>6776</v>
      </c>
      <c r="E1237" s="7" t="s">
        <v>170</v>
      </c>
      <c r="F1237" s="7" t="s">
        <v>6778</v>
      </c>
      <c r="G1237" s="17" t="s">
        <v>7747</v>
      </c>
      <c r="H1237" s="7" t="s">
        <v>28</v>
      </c>
      <c r="I1237" s="7" t="s">
        <v>172</v>
      </c>
      <c r="J1237" s="7" t="s">
        <v>258</v>
      </c>
      <c r="K1237" s="7" t="s">
        <v>2380</v>
      </c>
      <c r="L1237" s="7" t="s">
        <v>175</v>
      </c>
      <c r="M1237" s="7">
        <v>9.3188689999999994</v>
      </c>
      <c r="N1237" s="7">
        <v>13.224952999999999</v>
      </c>
      <c r="O1237" s="7" t="s">
        <v>23</v>
      </c>
    </row>
    <row r="1238" spans="1:15" hidden="1" x14ac:dyDescent="0.25">
      <c r="A1238" s="2">
        <f t="shared" si="19"/>
        <v>1236</v>
      </c>
      <c r="B1238" s="7" t="s">
        <v>6810</v>
      </c>
      <c r="C1238" s="7" t="s">
        <v>6811</v>
      </c>
      <c r="D1238" s="7" t="s">
        <v>6810</v>
      </c>
      <c r="E1238" s="7" t="s">
        <v>170</v>
      </c>
      <c r="F1238" s="7" t="s">
        <v>6812</v>
      </c>
      <c r="G1238" s="17" t="s">
        <v>7747</v>
      </c>
      <c r="H1238" s="7" t="s">
        <v>28</v>
      </c>
      <c r="I1238" s="7" t="s">
        <v>234</v>
      </c>
      <c r="J1238" s="7" t="s">
        <v>258</v>
      </c>
      <c r="K1238" s="7" t="s">
        <v>5864</v>
      </c>
      <c r="L1238" s="7" t="s">
        <v>175</v>
      </c>
      <c r="M1238" s="7">
        <v>9.0297389999999993</v>
      </c>
      <c r="N1238" s="7">
        <v>12.895968999999999</v>
      </c>
      <c r="O1238" s="7" t="s">
        <v>23</v>
      </c>
    </row>
    <row r="1239" spans="1:15" hidden="1" x14ac:dyDescent="0.25">
      <c r="A1239" s="2">
        <f t="shared" si="19"/>
        <v>1237</v>
      </c>
      <c r="B1239" s="7" t="s">
        <v>6813</v>
      </c>
      <c r="C1239" s="7" t="s">
        <v>6814</v>
      </c>
      <c r="D1239" s="7" t="s">
        <v>6813</v>
      </c>
      <c r="E1239" s="7" t="s">
        <v>170</v>
      </c>
      <c r="F1239" s="7" t="s">
        <v>6815</v>
      </c>
      <c r="G1239" s="17" t="s">
        <v>7747</v>
      </c>
      <c r="H1239" s="7" t="s">
        <v>28</v>
      </c>
      <c r="I1239" s="7" t="s">
        <v>172</v>
      </c>
      <c r="J1239" s="7" t="s">
        <v>258</v>
      </c>
      <c r="K1239" s="7" t="s">
        <v>1697</v>
      </c>
      <c r="L1239" s="7" t="s">
        <v>175</v>
      </c>
      <c r="M1239" s="7">
        <v>9.5479190000000003</v>
      </c>
      <c r="N1239" s="7">
        <v>13.22645</v>
      </c>
      <c r="O1239" s="7" t="s">
        <v>23</v>
      </c>
    </row>
    <row r="1240" spans="1:15" hidden="1" x14ac:dyDescent="0.25">
      <c r="A1240" s="2">
        <f t="shared" si="19"/>
        <v>1238</v>
      </c>
      <c r="B1240" s="7" t="s">
        <v>7117</v>
      </c>
      <c r="C1240" s="7" t="s">
        <v>7118</v>
      </c>
      <c r="D1240" s="7" t="s">
        <v>7117</v>
      </c>
      <c r="E1240" s="7" t="s">
        <v>170</v>
      </c>
      <c r="F1240" s="7" t="s">
        <v>7119</v>
      </c>
      <c r="G1240" s="17" t="s">
        <v>7747</v>
      </c>
      <c r="H1240" s="7" t="s">
        <v>28</v>
      </c>
      <c r="I1240" s="7" t="s">
        <v>234</v>
      </c>
      <c r="J1240" s="7" t="s">
        <v>258</v>
      </c>
      <c r="K1240" s="7" t="s">
        <v>2380</v>
      </c>
      <c r="L1240" s="7" t="s">
        <v>175</v>
      </c>
      <c r="M1240" s="7">
        <v>9.2866429999999998</v>
      </c>
      <c r="N1240" s="7">
        <v>13.373068999999999</v>
      </c>
      <c r="O1240" s="7" t="s">
        <v>23</v>
      </c>
    </row>
    <row r="1241" spans="1:15" hidden="1" x14ac:dyDescent="0.25">
      <c r="A1241" s="2">
        <f t="shared" si="19"/>
        <v>1239</v>
      </c>
      <c r="B1241" s="7" t="s">
        <v>7679</v>
      </c>
      <c r="C1241" s="7" t="s">
        <v>7680</v>
      </c>
      <c r="D1241" s="7" t="s">
        <v>7679</v>
      </c>
      <c r="E1241" s="7" t="s">
        <v>7681</v>
      </c>
      <c r="F1241" s="11" t="s">
        <v>7682</v>
      </c>
      <c r="G1241" s="17" t="s">
        <v>7747</v>
      </c>
      <c r="H1241" s="7" t="s">
        <v>28</v>
      </c>
      <c r="I1241" s="12" t="s">
        <v>172</v>
      </c>
      <c r="J1241" s="7" t="s">
        <v>7683</v>
      </c>
      <c r="K1241" s="7" t="s">
        <v>7684</v>
      </c>
      <c r="L1241" s="7" t="s">
        <v>175</v>
      </c>
      <c r="M1241" s="12">
        <v>10.05538</v>
      </c>
      <c r="N1241" s="12">
        <v>13.30456</v>
      </c>
      <c r="O1241" s="7" t="s">
        <v>23</v>
      </c>
    </row>
    <row r="1242" spans="1:15" hidden="1" x14ac:dyDescent="0.25">
      <c r="A1242" s="2">
        <f t="shared" si="19"/>
        <v>1240</v>
      </c>
      <c r="B1242" s="7" t="s">
        <v>7697</v>
      </c>
      <c r="C1242" s="7" t="s">
        <v>7698</v>
      </c>
      <c r="D1242" s="7" t="s">
        <v>7697</v>
      </c>
      <c r="E1242" s="7" t="s">
        <v>7681</v>
      </c>
      <c r="F1242" s="11" t="s">
        <v>7699</v>
      </c>
      <c r="G1242" s="17" t="s">
        <v>7747</v>
      </c>
      <c r="H1242" s="7" t="s">
        <v>28</v>
      </c>
      <c r="I1242" s="7" t="s">
        <v>172</v>
      </c>
      <c r="J1242" s="7" t="s">
        <v>258</v>
      </c>
      <c r="K1242" s="7" t="s">
        <v>7700</v>
      </c>
      <c r="L1242" s="7" t="s">
        <v>175</v>
      </c>
      <c r="M1242" s="12">
        <v>9.3144799999999996</v>
      </c>
      <c r="N1242" s="12">
        <v>13.383446660000001</v>
      </c>
      <c r="O1242" s="7" t="s">
        <v>23</v>
      </c>
    </row>
    <row r="1243" spans="1:15" hidden="1" x14ac:dyDescent="0.25">
      <c r="A1243" s="2">
        <f t="shared" si="19"/>
        <v>1241</v>
      </c>
      <c r="B1243" s="7" t="s">
        <v>14</v>
      </c>
      <c r="C1243" s="7" t="s">
        <v>15</v>
      </c>
      <c r="D1243" s="7" t="s">
        <v>14</v>
      </c>
      <c r="E1243" s="7" t="s">
        <v>16</v>
      </c>
      <c r="F1243" s="7" t="s">
        <v>17</v>
      </c>
      <c r="G1243" s="8" t="s">
        <v>18</v>
      </c>
      <c r="H1243" s="7" t="s">
        <v>19</v>
      </c>
      <c r="I1243" s="7" t="s">
        <v>20</v>
      </c>
      <c r="J1243" s="7" t="s">
        <v>21</v>
      </c>
      <c r="K1243" s="7" t="s">
        <v>22</v>
      </c>
      <c r="L1243" s="7" t="s">
        <v>20</v>
      </c>
      <c r="M1243" s="7">
        <v>11.678844</v>
      </c>
      <c r="N1243" s="7">
        <v>14.647365000000001</v>
      </c>
      <c r="O1243" s="7" t="s">
        <v>23</v>
      </c>
    </row>
    <row r="1244" spans="1:15" hidden="1" x14ac:dyDescent="0.25">
      <c r="A1244" s="2">
        <f t="shared" si="19"/>
        <v>1242</v>
      </c>
      <c r="B1244" s="7" t="s">
        <v>93</v>
      </c>
      <c r="C1244" s="7" t="s">
        <v>94</v>
      </c>
      <c r="D1244" s="7" t="s">
        <v>93</v>
      </c>
      <c r="E1244" s="7" t="s">
        <v>16</v>
      </c>
      <c r="F1244" s="7" t="s">
        <v>95</v>
      </c>
      <c r="G1244" s="8" t="s">
        <v>896</v>
      </c>
      <c r="H1244" s="7" t="s">
        <v>96</v>
      </c>
      <c r="I1244" s="7" t="s">
        <v>20</v>
      </c>
      <c r="J1244" s="7" t="s">
        <v>21</v>
      </c>
      <c r="K1244" s="7" t="s">
        <v>97</v>
      </c>
      <c r="L1244" s="7" t="s">
        <v>20</v>
      </c>
      <c r="M1244" s="7">
        <v>12.782965000000001</v>
      </c>
      <c r="N1244" s="7">
        <v>14.275828000000001</v>
      </c>
      <c r="O1244" s="7" t="s">
        <v>23</v>
      </c>
    </row>
    <row r="1245" spans="1:15" hidden="1" x14ac:dyDescent="0.25">
      <c r="A1245" s="2">
        <f t="shared" si="19"/>
        <v>1243</v>
      </c>
      <c r="B1245" s="7" t="s">
        <v>122</v>
      </c>
      <c r="C1245" s="7" t="s">
        <v>123</v>
      </c>
      <c r="D1245" s="7" t="s">
        <v>122</v>
      </c>
      <c r="E1245" s="7" t="s">
        <v>16</v>
      </c>
      <c r="F1245" s="7" t="s">
        <v>124</v>
      </c>
      <c r="G1245" s="8" t="s">
        <v>18</v>
      </c>
      <c r="H1245" s="7" t="s">
        <v>28</v>
      </c>
      <c r="I1245" s="7" t="s">
        <v>20</v>
      </c>
      <c r="J1245" s="7" t="s">
        <v>21</v>
      </c>
      <c r="K1245" s="7" t="s">
        <v>125</v>
      </c>
      <c r="L1245" s="7" t="s">
        <v>20</v>
      </c>
      <c r="M1245" s="7">
        <v>12.523403999999999</v>
      </c>
      <c r="N1245" s="7">
        <v>14.76322</v>
      </c>
      <c r="O1245" s="7" t="s">
        <v>23</v>
      </c>
    </row>
    <row r="1246" spans="1:15" hidden="1" x14ac:dyDescent="0.25">
      <c r="A1246" s="2">
        <f t="shared" si="19"/>
        <v>1244</v>
      </c>
      <c r="B1246" s="7" t="s">
        <v>601</v>
      </c>
      <c r="C1246" s="7" t="s">
        <v>602</v>
      </c>
      <c r="D1246" s="7" t="s">
        <v>601</v>
      </c>
      <c r="E1246" s="7" t="s">
        <v>16</v>
      </c>
      <c r="F1246" s="7" t="s">
        <v>603</v>
      </c>
      <c r="G1246" s="8" t="s">
        <v>18</v>
      </c>
      <c r="H1246" s="7" t="s">
        <v>19</v>
      </c>
      <c r="I1246" s="7" t="s">
        <v>20</v>
      </c>
      <c r="J1246" s="7" t="s">
        <v>21</v>
      </c>
      <c r="K1246" s="7" t="s">
        <v>604</v>
      </c>
      <c r="L1246" s="7" t="s">
        <v>20</v>
      </c>
      <c r="M1246" s="7">
        <v>12.179713</v>
      </c>
      <c r="N1246" s="7">
        <v>14.819786000000001</v>
      </c>
      <c r="O1246" s="7" t="s">
        <v>23</v>
      </c>
    </row>
    <row r="1247" spans="1:15" hidden="1" x14ac:dyDescent="0.25">
      <c r="A1247" s="2">
        <f t="shared" si="19"/>
        <v>1245</v>
      </c>
      <c r="B1247" s="7" t="s">
        <v>621</v>
      </c>
      <c r="C1247" s="7" t="s">
        <v>622</v>
      </c>
      <c r="D1247" s="7" t="s">
        <v>621</v>
      </c>
      <c r="E1247" s="7" t="s">
        <v>16</v>
      </c>
      <c r="F1247" s="7" t="s">
        <v>623</v>
      </c>
      <c r="G1247" s="8" t="s">
        <v>18</v>
      </c>
      <c r="H1247" s="7" t="s">
        <v>28</v>
      </c>
      <c r="I1247" s="7" t="s">
        <v>20</v>
      </c>
      <c r="J1247" s="7" t="s">
        <v>21</v>
      </c>
      <c r="K1247" s="7" t="s">
        <v>604</v>
      </c>
      <c r="L1247" s="7" t="s">
        <v>20</v>
      </c>
      <c r="M1247" s="7">
        <v>12.63542</v>
      </c>
      <c r="N1247" s="7">
        <v>14.472476</v>
      </c>
      <c r="O1247" s="7" t="s">
        <v>23</v>
      </c>
    </row>
    <row r="1248" spans="1:15" hidden="1" x14ac:dyDescent="0.25">
      <c r="A1248" s="2">
        <f t="shared" si="19"/>
        <v>1246</v>
      </c>
      <c r="B1248" s="7" t="s">
        <v>675</v>
      </c>
      <c r="C1248" s="7" t="s">
        <v>676</v>
      </c>
      <c r="D1248" s="7" t="s">
        <v>675</v>
      </c>
      <c r="E1248" s="7" t="s">
        <v>16</v>
      </c>
      <c r="F1248" s="7" t="s">
        <v>677</v>
      </c>
      <c r="G1248" s="17" t="s">
        <v>7747</v>
      </c>
      <c r="H1248" s="7" t="s">
        <v>28</v>
      </c>
      <c r="I1248" s="7" t="s">
        <v>20</v>
      </c>
      <c r="J1248" s="7" t="s">
        <v>21</v>
      </c>
      <c r="K1248" s="7" t="s">
        <v>678</v>
      </c>
      <c r="L1248" s="7" t="s">
        <v>20</v>
      </c>
      <c r="M1248" s="7">
        <v>12.077529</v>
      </c>
      <c r="N1248" s="7">
        <v>15.021146</v>
      </c>
      <c r="O1248" s="7" t="s">
        <v>23</v>
      </c>
    </row>
    <row r="1249" spans="1:15" hidden="1" x14ac:dyDescent="0.25">
      <c r="A1249" s="2">
        <f t="shared" si="19"/>
        <v>1247</v>
      </c>
      <c r="B1249" s="7" t="s">
        <v>727</v>
      </c>
      <c r="C1249" s="7" t="s">
        <v>728</v>
      </c>
      <c r="D1249" s="7" t="s">
        <v>727</v>
      </c>
      <c r="E1249" s="7" t="s">
        <v>16</v>
      </c>
      <c r="F1249" s="7" t="s">
        <v>97</v>
      </c>
      <c r="G1249" s="8" t="s">
        <v>18</v>
      </c>
      <c r="H1249" s="7" t="s">
        <v>28</v>
      </c>
      <c r="I1249" s="7" t="s">
        <v>20</v>
      </c>
      <c r="J1249" s="7" t="s">
        <v>21</v>
      </c>
      <c r="K1249" s="7" t="s">
        <v>97</v>
      </c>
      <c r="L1249" s="7" t="s">
        <v>20</v>
      </c>
      <c r="M1249" s="7">
        <v>12.692538000000001</v>
      </c>
      <c r="N1249" s="7">
        <v>14.313914</v>
      </c>
      <c r="O1249" s="7" t="s">
        <v>23</v>
      </c>
    </row>
    <row r="1250" spans="1:15" hidden="1" x14ac:dyDescent="0.25">
      <c r="A1250" s="2">
        <f t="shared" si="19"/>
        <v>1248</v>
      </c>
      <c r="B1250" s="7" t="s">
        <v>785</v>
      </c>
      <c r="C1250" s="7" t="s">
        <v>786</v>
      </c>
      <c r="D1250" s="7" t="s">
        <v>785</v>
      </c>
      <c r="E1250" s="7" t="s">
        <v>16</v>
      </c>
      <c r="F1250" s="7" t="s">
        <v>787</v>
      </c>
      <c r="G1250" s="8" t="s">
        <v>18</v>
      </c>
      <c r="H1250" s="7" t="s">
        <v>28</v>
      </c>
      <c r="I1250" s="7" t="s">
        <v>20</v>
      </c>
      <c r="J1250" s="7" t="s">
        <v>21</v>
      </c>
      <c r="K1250" s="7" t="s">
        <v>788</v>
      </c>
      <c r="L1250" s="7" t="s">
        <v>20</v>
      </c>
      <c r="M1250" s="7">
        <v>12.376275</v>
      </c>
      <c r="N1250" s="7">
        <v>14.224633000000001</v>
      </c>
      <c r="O1250" s="7" t="s">
        <v>23</v>
      </c>
    </row>
    <row r="1251" spans="1:15" hidden="1" x14ac:dyDescent="0.25">
      <c r="A1251" s="2">
        <f t="shared" si="19"/>
        <v>1249</v>
      </c>
      <c r="B1251" s="7" t="s">
        <v>906</v>
      </c>
      <c r="C1251" s="7" t="s">
        <v>907</v>
      </c>
      <c r="D1251" s="7" t="s">
        <v>906</v>
      </c>
      <c r="E1251" s="7" t="s">
        <v>16</v>
      </c>
      <c r="F1251" s="7" t="s">
        <v>908</v>
      </c>
      <c r="G1251" s="8" t="s">
        <v>18</v>
      </c>
      <c r="H1251" s="7" t="s">
        <v>28</v>
      </c>
      <c r="I1251" s="7" t="s">
        <v>20</v>
      </c>
      <c r="J1251" s="7" t="s">
        <v>21</v>
      </c>
      <c r="K1251" s="7" t="s">
        <v>909</v>
      </c>
      <c r="L1251" s="7" t="s">
        <v>20</v>
      </c>
      <c r="M1251" s="7">
        <v>12.879638890000001</v>
      </c>
      <c r="N1251" s="7">
        <v>14.29552778</v>
      </c>
      <c r="O1251" s="7" t="s">
        <v>23</v>
      </c>
    </row>
    <row r="1252" spans="1:15" hidden="1" x14ac:dyDescent="0.25">
      <c r="A1252" s="2">
        <f t="shared" si="19"/>
        <v>1250</v>
      </c>
      <c r="B1252" s="7" t="s">
        <v>913</v>
      </c>
      <c r="C1252" s="7" t="s">
        <v>914</v>
      </c>
      <c r="D1252" s="7" t="s">
        <v>913</v>
      </c>
      <c r="E1252" s="7" t="s">
        <v>16</v>
      </c>
      <c r="F1252" s="7" t="s">
        <v>915</v>
      </c>
      <c r="G1252" s="8" t="s">
        <v>18</v>
      </c>
      <c r="H1252" s="7" t="s">
        <v>19</v>
      </c>
      <c r="I1252" s="7" t="s">
        <v>20</v>
      </c>
      <c r="J1252" s="7" t="s">
        <v>21</v>
      </c>
      <c r="K1252" s="7" t="s">
        <v>916</v>
      </c>
      <c r="L1252" s="7" t="s">
        <v>20</v>
      </c>
      <c r="M1252" s="7">
        <v>11.919233</v>
      </c>
      <c r="N1252" s="7">
        <v>14.645765000000001</v>
      </c>
      <c r="O1252" s="7" t="s">
        <v>23</v>
      </c>
    </row>
    <row r="1253" spans="1:15" hidden="1" x14ac:dyDescent="0.25">
      <c r="A1253" s="2">
        <f t="shared" si="19"/>
        <v>1251</v>
      </c>
      <c r="B1253" s="7" t="s">
        <v>1036</v>
      </c>
      <c r="C1253" s="7" t="s">
        <v>1037</v>
      </c>
      <c r="D1253" s="7" t="s">
        <v>1036</v>
      </c>
      <c r="E1253" s="7" t="s">
        <v>16</v>
      </c>
      <c r="F1253" s="7" t="s">
        <v>1038</v>
      </c>
      <c r="G1253" s="8" t="s">
        <v>896</v>
      </c>
      <c r="H1253" s="7" t="s">
        <v>96</v>
      </c>
      <c r="I1253" s="7" t="s">
        <v>20</v>
      </c>
      <c r="J1253" s="7" t="s">
        <v>21</v>
      </c>
      <c r="K1253" s="7" t="s">
        <v>97</v>
      </c>
      <c r="L1253" s="7" t="s">
        <v>20</v>
      </c>
      <c r="M1253" s="7">
        <v>12.703429</v>
      </c>
      <c r="N1253" s="7">
        <v>14.218502000000001</v>
      </c>
      <c r="O1253" s="7" t="s">
        <v>23</v>
      </c>
    </row>
    <row r="1254" spans="1:15" hidden="1" x14ac:dyDescent="0.25">
      <c r="A1254" s="2">
        <f t="shared" si="19"/>
        <v>1252</v>
      </c>
      <c r="B1254" s="7" t="s">
        <v>1303</v>
      </c>
      <c r="C1254" s="7" t="s">
        <v>1304</v>
      </c>
      <c r="D1254" s="7" t="s">
        <v>1303</v>
      </c>
      <c r="E1254" s="7" t="s">
        <v>16</v>
      </c>
      <c r="F1254" s="7" t="s">
        <v>1305</v>
      </c>
      <c r="G1254" s="17" t="s">
        <v>7747</v>
      </c>
      <c r="H1254" s="7" t="s">
        <v>28</v>
      </c>
      <c r="I1254" s="7" t="s">
        <v>20</v>
      </c>
      <c r="J1254" s="7" t="s">
        <v>21</v>
      </c>
      <c r="K1254" s="7" t="s">
        <v>678</v>
      </c>
      <c r="L1254" s="7" t="s">
        <v>20</v>
      </c>
      <c r="M1254" s="7">
        <v>12.089765</v>
      </c>
      <c r="N1254" s="7">
        <v>15.012898</v>
      </c>
      <c r="O1254" s="7" t="s">
        <v>23</v>
      </c>
    </row>
    <row r="1255" spans="1:15" hidden="1" x14ac:dyDescent="0.25">
      <c r="A1255" s="2">
        <f t="shared" si="19"/>
        <v>1253</v>
      </c>
      <c r="B1255" s="7" t="s">
        <v>1348</v>
      </c>
      <c r="C1255" s="7" t="s">
        <v>1349</v>
      </c>
      <c r="D1255" s="7" t="s">
        <v>1348</v>
      </c>
      <c r="E1255" s="7" t="s">
        <v>16</v>
      </c>
      <c r="F1255" s="7" t="s">
        <v>1350</v>
      </c>
      <c r="G1255" s="17" t="s">
        <v>7747</v>
      </c>
      <c r="H1255" s="7" t="s">
        <v>28</v>
      </c>
      <c r="I1255" s="7" t="s">
        <v>20</v>
      </c>
      <c r="J1255" s="7" t="s">
        <v>21</v>
      </c>
      <c r="K1255" s="7" t="s">
        <v>678</v>
      </c>
      <c r="L1255" s="7" t="s">
        <v>20</v>
      </c>
      <c r="M1255" s="7">
        <v>12.067747000000001</v>
      </c>
      <c r="N1255" s="7">
        <v>15.017986000000001</v>
      </c>
      <c r="O1255" s="7" t="s">
        <v>23</v>
      </c>
    </row>
    <row r="1256" spans="1:15" hidden="1" x14ac:dyDescent="0.25">
      <c r="A1256" s="2">
        <f t="shared" si="19"/>
        <v>1254</v>
      </c>
      <c r="B1256" s="7" t="s">
        <v>1911</v>
      </c>
      <c r="C1256" s="7" t="s">
        <v>1912</v>
      </c>
      <c r="D1256" s="7" t="s">
        <v>1911</v>
      </c>
      <c r="E1256" s="7" t="s">
        <v>16</v>
      </c>
      <c r="F1256" s="7" t="s">
        <v>1913</v>
      </c>
      <c r="G1256" s="17" t="s">
        <v>7747</v>
      </c>
      <c r="H1256" s="7" t="s">
        <v>28</v>
      </c>
      <c r="I1256" s="7" t="s">
        <v>20</v>
      </c>
      <c r="J1256" s="7" t="s">
        <v>21</v>
      </c>
      <c r="K1256" s="7" t="s">
        <v>678</v>
      </c>
      <c r="L1256" s="7" t="s">
        <v>20</v>
      </c>
      <c r="M1256" s="7">
        <v>12.071101000000001</v>
      </c>
      <c r="N1256" s="7">
        <v>15.036460999999999</v>
      </c>
      <c r="O1256" s="7" t="s">
        <v>23</v>
      </c>
    </row>
    <row r="1257" spans="1:15" hidden="1" x14ac:dyDescent="0.25">
      <c r="A1257" s="2">
        <f t="shared" si="19"/>
        <v>1255</v>
      </c>
      <c r="B1257" s="7" t="s">
        <v>1914</v>
      </c>
      <c r="C1257" s="7" t="s">
        <v>1915</v>
      </c>
      <c r="D1257" s="7" t="s">
        <v>1914</v>
      </c>
      <c r="E1257" s="7" t="s">
        <v>16</v>
      </c>
      <c r="F1257" s="7" t="s">
        <v>1916</v>
      </c>
      <c r="G1257" s="17" t="s">
        <v>7747</v>
      </c>
      <c r="H1257" s="7" t="s">
        <v>28</v>
      </c>
      <c r="I1257" s="7" t="s">
        <v>20</v>
      </c>
      <c r="J1257" s="7" t="s">
        <v>21</v>
      </c>
      <c r="K1257" s="7" t="s">
        <v>678</v>
      </c>
      <c r="L1257" s="7" t="s">
        <v>20</v>
      </c>
      <c r="M1257" s="7">
        <v>12.085943</v>
      </c>
      <c r="N1257" s="7">
        <v>14.997490000000001</v>
      </c>
      <c r="O1257" s="7" t="s">
        <v>23</v>
      </c>
    </row>
    <row r="1258" spans="1:15" hidden="1" x14ac:dyDescent="0.25">
      <c r="A1258" s="2">
        <f t="shared" si="19"/>
        <v>1256</v>
      </c>
      <c r="B1258" s="7" t="s">
        <v>2014</v>
      </c>
      <c r="C1258" s="7" t="s">
        <v>2015</v>
      </c>
      <c r="D1258" s="7" t="s">
        <v>2014</v>
      </c>
      <c r="E1258" s="7" t="s">
        <v>16</v>
      </c>
      <c r="F1258" s="7" t="s">
        <v>2016</v>
      </c>
      <c r="G1258" s="8" t="s">
        <v>18</v>
      </c>
      <c r="H1258" s="7" t="s">
        <v>19</v>
      </c>
      <c r="I1258" s="7" t="s">
        <v>20</v>
      </c>
      <c r="J1258" s="7" t="s">
        <v>21</v>
      </c>
      <c r="K1258" s="7" t="s">
        <v>22</v>
      </c>
      <c r="L1258" s="7" t="s">
        <v>20</v>
      </c>
      <c r="M1258" s="7">
        <v>11.400370000000001</v>
      </c>
      <c r="N1258" s="7">
        <v>14.56962</v>
      </c>
      <c r="O1258" s="7" t="s">
        <v>23</v>
      </c>
    </row>
    <row r="1259" spans="1:15" hidden="1" x14ac:dyDescent="0.25">
      <c r="A1259" s="2">
        <f t="shared" si="19"/>
        <v>1257</v>
      </c>
      <c r="B1259" s="7" t="s">
        <v>2208</v>
      </c>
      <c r="C1259" s="7" t="s">
        <v>2209</v>
      </c>
      <c r="D1259" s="7" t="s">
        <v>2208</v>
      </c>
      <c r="E1259" s="7" t="s">
        <v>16</v>
      </c>
      <c r="F1259" s="7" t="s">
        <v>2016</v>
      </c>
      <c r="G1259" s="8" t="s">
        <v>18</v>
      </c>
      <c r="H1259" s="7" t="s">
        <v>19</v>
      </c>
      <c r="I1259" s="7" t="s">
        <v>20</v>
      </c>
      <c r="J1259" s="7" t="s">
        <v>21</v>
      </c>
      <c r="K1259" s="7" t="s">
        <v>22</v>
      </c>
      <c r="L1259" s="7" t="s">
        <v>20</v>
      </c>
      <c r="M1259" s="7">
        <v>11.395167000000001</v>
      </c>
      <c r="N1259" s="7">
        <v>14.564722</v>
      </c>
      <c r="O1259" s="7" t="s">
        <v>23</v>
      </c>
    </row>
    <row r="1260" spans="1:15" hidden="1" x14ac:dyDescent="0.25">
      <c r="A1260" s="2">
        <f t="shared" si="19"/>
        <v>1258</v>
      </c>
      <c r="B1260" s="7" t="s">
        <v>3028</v>
      </c>
      <c r="C1260" s="7" t="s">
        <v>3029</v>
      </c>
      <c r="D1260" s="7" t="s">
        <v>3028</v>
      </c>
      <c r="E1260" s="7" t="s">
        <v>16</v>
      </c>
      <c r="F1260" s="7" t="s">
        <v>3030</v>
      </c>
      <c r="G1260" s="17" t="s">
        <v>7747</v>
      </c>
      <c r="H1260" s="7" t="s">
        <v>28</v>
      </c>
      <c r="I1260" s="7" t="s">
        <v>20</v>
      </c>
      <c r="J1260" s="7" t="s">
        <v>21</v>
      </c>
      <c r="K1260" s="7" t="s">
        <v>678</v>
      </c>
      <c r="L1260" s="7" t="s">
        <v>20</v>
      </c>
      <c r="M1260" s="7">
        <v>12.067679999999999</v>
      </c>
      <c r="N1260" s="7">
        <v>15.047002000000001</v>
      </c>
      <c r="O1260" s="7" t="s">
        <v>23</v>
      </c>
    </row>
    <row r="1261" spans="1:15" hidden="1" x14ac:dyDescent="0.25">
      <c r="A1261" s="2">
        <f t="shared" si="19"/>
        <v>1259</v>
      </c>
      <c r="B1261" s="7" t="s">
        <v>3365</v>
      </c>
      <c r="C1261" s="7" t="s">
        <v>3366</v>
      </c>
      <c r="D1261" s="7" t="s">
        <v>3365</v>
      </c>
      <c r="E1261" s="7" t="s">
        <v>16</v>
      </c>
      <c r="F1261" s="7" t="s">
        <v>3367</v>
      </c>
      <c r="G1261" s="17" t="s">
        <v>7747</v>
      </c>
      <c r="H1261" s="7" t="s">
        <v>28</v>
      </c>
      <c r="I1261" s="7" t="s">
        <v>20</v>
      </c>
      <c r="J1261" s="7" t="s">
        <v>21</v>
      </c>
      <c r="K1261" s="7" t="s">
        <v>678</v>
      </c>
      <c r="L1261" s="7" t="s">
        <v>20</v>
      </c>
      <c r="M1261" s="7">
        <v>12.086238</v>
      </c>
      <c r="N1261" s="7">
        <v>15.024616999999999</v>
      </c>
      <c r="O1261" s="7" t="s">
        <v>23</v>
      </c>
    </row>
    <row r="1262" spans="1:15" hidden="1" x14ac:dyDescent="0.25">
      <c r="A1262" s="2">
        <f t="shared" si="19"/>
        <v>1260</v>
      </c>
      <c r="B1262" s="7" t="s">
        <v>3676</v>
      </c>
      <c r="C1262" s="7" t="s">
        <v>3677</v>
      </c>
      <c r="D1262" s="7" t="s">
        <v>3676</v>
      </c>
      <c r="E1262" s="7" t="s">
        <v>16</v>
      </c>
      <c r="F1262" s="7" t="s">
        <v>3678</v>
      </c>
      <c r="G1262" s="17" t="s">
        <v>7747</v>
      </c>
      <c r="H1262" s="7" t="s">
        <v>28</v>
      </c>
      <c r="I1262" s="7" t="s">
        <v>20</v>
      </c>
      <c r="J1262" s="7" t="s">
        <v>21</v>
      </c>
      <c r="K1262" s="7" t="s">
        <v>678</v>
      </c>
      <c r="L1262" s="7" t="s">
        <v>20</v>
      </c>
      <c r="M1262" s="7">
        <v>12.07192</v>
      </c>
      <c r="N1262" s="7">
        <v>15.016142</v>
      </c>
      <c r="O1262" s="7" t="s">
        <v>23</v>
      </c>
    </row>
    <row r="1263" spans="1:15" hidden="1" x14ac:dyDescent="0.25">
      <c r="A1263" s="2">
        <f t="shared" si="19"/>
        <v>1261</v>
      </c>
      <c r="B1263" s="7" t="s">
        <v>4602</v>
      </c>
      <c r="C1263" s="7" t="s">
        <v>4603</v>
      </c>
      <c r="D1263" s="7" t="s">
        <v>4602</v>
      </c>
      <c r="E1263" s="7" t="s">
        <v>16</v>
      </c>
      <c r="F1263" s="7" t="s">
        <v>20</v>
      </c>
      <c r="G1263" s="17" t="s">
        <v>7747</v>
      </c>
      <c r="H1263" s="7" t="s">
        <v>19</v>
      </c>
      <c r="I1263" s="7" t="s">
        <v>20</v>
      </c>
      <c r="J1263" s="7" t="s">
        <v>21</v>
      </c>
      <c r="K1263" s="7" t="s">
        <v>678</v>
      </c>
      <c r="L1263" s="7" t="s">
        <v>20</v>
      </c>
      <c r="M1263" s="7">
        <v>12.086157999999999</v>
      </c>
      <c r="N1263" s="7">
        <v>15.025897000000001</v>
      </c>
      <c r="O1263" s="7" t="s">
        <v>23</v>
      </c>
    </row>
    <row r="1264" spans="1:15" hidden="1" x14ac:dyDescent="0.25">
      <c r="A1264" s="2">
        <f t="shared" si="19"/>
        <v>1262</v>
      </c>
      <c r="B1264" s="7" t="s">
        <v>4604</v>
      </c>
      <c r="C1264" s="7" t="s">
        <v>4605</v>
      </c>
      <c r="D1264" s="7" t="s">
        <v>4604</v>
      </c>
      <c r="E1264" s="7" t="s">
        <v>16</v>
      </c>
      <c r="F1264" s="7" t="s">
        <v>4606</v>
      </c>
      <c r="G1264" s="17" t="s">
        <v>7747</v>
      </c>
      <c r="H1264" s="7" t="s">
        <v>19</v>
      </c>
      <c r="I1264" s="7" t="s">
        <v>20</v>
      </c>
      <c r="J1264" s="7" t="s">
        <v>21</v>
      </c>
      <c r="K1264" s="7" t="s">
        <v>678</v>
      </c>
      <c r="L1264" s="7" t="s">
        <v>20</v>
      </c>
      <c r="M1264" s="7">
        <v>12.103569999999999</v>
      </c>
      <c r="N1264" s="7">
        <v>15.028133</v>
      </c>
      <c r="O1264" s="7" t="s">
        <v>23</v>
      </c>
    </row>
    <row r="1265" spans="1:15" hidden="1" x14ac:dyDescent="0.25">
      <c r="A1265" s="2">
        <f t="shared" si="19"/>
        <v>1263</v>
      </c>
      <c r="B1265" s="7" t="s">
        <v>6167</v>
      </c>
      <c r="C1265" s="7" t="s">
        <v>6168</v>
      </c>
      <c r="D1265" s="7" t="s">
        <v>6167</v>
      </c>
      <c r="E1265" s="7" t="s">
        <v>16</v>
      </c>
      <c r="F1265" s="7" t="s">
        <v>17</v>
      </c>
      <c r="G1265" s="8" t="s">
        <v>18</v>
      </c>
      <c r="H1265" s="7" t="s">
        <v>19</v>
      </c>
      <c r="I1265" s="7" t="s">
        <v>20</v>
      </c>
      <c r="J1265" s="7" t="s">
        <v>21</v>
      </c>
      <c r="K1265" s="7" t="s">
        <v>22</v>
      </c>
      <c r="L1265" s="7" t="s">
        <v>20</v>
      </c>
      <c r="M1265" s="7">
        <v>11.680718000000001</v>
      </c>
      <c r="N1265" s="7">
        <v>14.645967000000001</v>
      </c>
      <c r="O1265" s="7" t="s">
        <v>23</v>
      </c>
    </row>
    <row r="1266" spans="1:15" hidden="1" x14ac:dyDescent="0.25">
      <c r="A1266" s="2">
        <f t="shared" si="19"/>
        <v>1264</v>
      </c>
      <c r="B1266" s="7" t="s">
        <v>6347</v>
      </c>
      <c r="C1266" s="7" t="s">
        <v>6348</v>
      </c>
      <c r="D1266" s="7" t="s">
        <v>6347</v>
      </c>
      <c r="E1266" s="7" t="s">
        <v>16</v>
      </c>
      <c r="F1266" s="7" t="s">
        <v>603</v>
      </c>
      <c r="G1266" s="8" t="s">
        <v>18</v>
      </c>
      <c r="H1266" s="7" t="s">
        <v>19</v>
      </c>
      <c r="I1266" s="7" t="s">
        <v>20</v>
      </c>
      <c r="J1266" s="7" t="s">
        <v>21</v>
      </c>
      <c r="K1266" s="7" t="s">
        <v>604</v>
      </c>
      <c r="L1266" s="7" t="s">
        <v>20</v>
      </c>
      <c r="M1266" s="7">
        <v>12.175777</v>
      </c>
      <c r="N1266" s="7">
        <v>14.821313999999999</v>
      </c>
      <c r="O1266" s="7" t="s">
        <v>23</v>
      </c>
    </row>
    <row r="1267" spans="1:15" hidden="1" x14ac:dyDescent="0.25">
      <c r="A1267" s="2">
        <f t="shared" si="19"/>
        <v>1265</v>
      </c>
      <c r="B1267" s="7" t="s">
        <v>6349</v>
      </c>
      <c r="C1267" s="7" t="s">
        <v>6350</v>
      </c>
      <c r="D1267" s="7" t="s">
        <v>6349</v>
      </c>
      <c r="E1267" s="7" t="s">
        <v>16</v>
      </c>
      <c r="F1267" s="7" t="s">
        <v>6351</v>
      </c>
      <c r="G1267" s="8" t="s">
        <v>18</v>
      </c>
      <c r="H1267" s="7" t="s">
        <v>19</v>
      </c>
      <c r="I1267" s="7" t="s">
        <v>20</v>
      </c>
      <c r="J1267" s="7" t="s">
        <v>21</v>
      </c>
      <c r="K1267" s="7" t="s">
        <v>604</v>
      </c>
      <c r="L1267" s="7" t="s">
        <v>20</v>
      </c>
      <c r="M1267" s="7">
        <v>12.569039999999999</v>
      </c>
      <c r="N1267" s="7">
        <v>14.455928</v>
      </c>
      <c r="O1267" s="7" t="s">
        <v>23</v>
      </c>
    </row>
    <row r="1268" spans="1:15" hidden="1" x14ac:dyDescent="0.25">
      <c r="A1268" s="2">
        <f t="shared" si="19"/>
        <v>1266</v>
      </c>
      <c r="B1268" s="7" t="s">
        <v>6352</v>
      </c>
      <c r="C1268" s="7" t="s">
        <v>6353</v>
      </c>
      <c r="D1268" s="7" t="s">
        <v>6352</v>
      </c>
      <c r="E1268" s="7" t="s">
        <v>16</v>
      </c>
      <c r="F1268" s="7" t="s">
        <v>6354</v>
      </c>
      <c r="G1268" s="8" t="s">
        <v>18</v>
      </c>
      <c r="H1268" s="7" t="s">
        <v>28</v>
      </c>
      <c r="I1268" s="7" t="s">
        <v>20</v>
      </c>
      <c r="J1268" s="7" t="s">
        <v>21</v>
      </c>
      <c r="K1268" s="7" t="s">
        <v>604</v>
      </c>
      <c r="L1268" s="7" t="s">
        <v>20</v>
      </c>
      <c r="M1268" s="7">
        <v>12.569879999999999</v>
      </c>
      <c r="N1268" s="7">
        <v>14.4557</v>
      </c>
      <c r="O1268" s="7" t="s">
        <v>23</v>
      </c>
    </row>
    <row r="1269" spans="1:15" hidden="1" x14ac:dyDescent="0.25">
      <c r="A1269" s="2">
        <f t="shared" si="19"/>
        <v>1267</v>
      </c>
      <c r="B1269" s="7" t="s">
        <v>6364</v>
      </c>
      <c r="C1269" s="7" t="s">
        <v>6365</v>
      </c>
      <c r="D1269" s="7" t="s">
        <v>6364</v>
      </c>
      <c r="E1269" s="7" t="s">
        <v>16</v>
      </c>
      <c r="F1269" s="7" t="s">
        <v>6366</v>
      </c>
      <c r="G1269" s="17" t="s">
        <v>7747</v>
      </c>
      <c r="H1269" s="7" t="s">
        <v>28</v>
      </c>
      <c r="I1269" s="7" t="s">
        <v>20</v>
      </c>
      <c r="J1269" s="7" t="s">
        <v>21</v>
      </c>
      <c r="K1269" s="7" t="s">
        <v>916</v>
      </c>
      <c r="L1269" s="7" t="s">
        <v>20</v>
      </c>
      <c r="M1269" s="7">
        <v>11.780021</v>
      </c>
      <c r="N1269" s="7">
        <v>15.094967</v>
      </c>
      <c r="O1269" s="7" t="s">
        <v>23</v>
      </c>
    </row>
    <row r="1270" spans="1:15" hidden="1" x14ac:dyDescent="0.25">
      <c r="A1270" s="2">
        <f t="shared" si="19"/>
        <v>1268</v>
      </c>
      <c r="B1270" s="7" t="s">
        <v>6389</v>
      </c>
      <c r="C1270" s="7" t="s">
        <v>6390</v>
      </c>
      <c r="D1270" s="7" t="s">
        <v>6389</v>
      </c>
      <c r="E1270" s="7" t="s">
        <v>16</v>
      </c>
      <c r="F1270" s="7" t="s">
        <v>6391</v>
      </c>
      <c r="G1270" s="8" t="s">
        <v>18</v>
      </c>
      <c r="H1270" s="7" t="s">
        <v>28</v>
      </c>
      <c r="I1270" s="7" t="s">
        <v>20</v>
      </c>
      <c r="J1270" s="7" t="s">
        <v>21</v>
      </c>
      <c r="K1270" s="7" t="s">
        <v>909</v>
      </c>
      <c r="L1270" s="7" t="s">
        <v>20</v>
      </c>
      <c r="M1270" s="7">
        <v>12.948046</v>
      </c>
      <c r="N1270" s="7">
        <v>14.503704000000001</v>
      </c>
      <c r="O1270" s="7" t="s">
        <v>23</v>
      </c>
    </row>
    <row r="1271" spans="1:15" hidden="1" x14ac:dyDescent="0.25">
      <c r="A1271" s="2">
        <f t="shared" si="19"/>
        <v>1269</v>
      </c>
      <c r="B1271" s="7" t="s">
        <v>6428</v>
      </c>
      <c r="C1271" s="7" t="s">
        <v>6429</v>
      </c>
      <c r="D1271" s="7" t="s">
        <v>6428</v>
      </c>
      <c r="E1271" s="7" t="s">
        <v>16</v>
      </c>
      <c r="F1271" s="7" t="s">
        <v>6430</v>
      </c>
      <c r="G1271" s="8" t="s">
        <v>18</v>
      </c>
      <c r="H1271" s="7" t="s">
        <v>19</v>
      </c>
      <c r="I1271" s="7" t="s">
        <v>20</v>
      </c>
      <c r="J1271" s="7" t="s">
        <v>21</v>
      </c>
      <c r="K1271" s="7" t="s">
        <v>6431</v>
      </c>
      <c r="L1271" s="7" t="s">
        <v>20</v>
      </c>
      <c r="M1271" s="7">
        <v>12.377625</v>
      </c>
      <c r="N1271" s="7">
        <v>14.902457999999999</v>
      </c>
      <c r="O1271" s="7" t="s">
        <v>23</v>
      </c>
    </row>
    <row r="1272" spans="1:15" hidden="1" x14ac:dyDescent="0.25">
      <c r="A1272" s="2">
        <f t="shared" si="19"/>
        <v>1270</v>
      </c>
      <c r="B1272" s="7" t="s">
        <v>6454</v>
      </c>
      <c r="C1272" s="7" t="s">
        <v>6455</v>
      </c>
      <c r="D1272" s="7" t="s">
        <v>6454</v>
      </c>
      <c r="E1272" s="7" t="s">
        <v>16</v>
      </c>
      <c r="F1272" s="7" t="s">
        <v>6456</v>
      </c>
      <c r="G1272" s="8" t="s">
        <v>18</v>
      </c>
      <c r="H1272" s="7" t="s">
        <v>28</v>
      </c>
      <c r="I1272" s="7" t="s">
        <v>20</v>
      </c>
      <c r="J1272" s="7" t="s">
        <v>21</v>
      </c>
      <c r="K1272" s="7" t="s">
        <v>788</v>
      </c>
      <c r="L1272" s="7" t="s">
        <v>20</v>
      </c>
      <c r="M1272" s="7">
        <v>12.383851999999999</v>
      </c>
      <c r="N1272" s="7">
        <v>14.228597000000001</v>
      </c>
      <c r="O1272" s="7" t="s">
        <v>23</v>
      </c>
    </row>
    <row r="1273" spans="1:15" hidden="1" x14ac:dyDescent="0.25">
      <c r="A1273" s="2">
        <f t="shared" si="19"/>
        <v>1271</v>
      </c>
      <c r="B1273" s="7" t="s">
        <v>6498</v>
      </c>
      <c r="C1273" s="7" t="s">
        <v>6499</v>
      </c>
      <c r="D1273" s="7" t="s">
        <v>6498</v>
      </c>
      <c r="E1273" s="7" t="s">
        <v>16</v>
      </c>
      <c r="F1273" s="7" t="s">
        <v>6500</v>
      </c>
      <c r="G1273" s="8" t="s">
        <v>18</v>
      </c>
      <c r="H1273" s="7" t="s">
        <v>28</v>
      </c>
      <c r="I1273" s="7" t="s">
        <v>20</v>
      </c>
      <c r="J1273" s="7" t="s">
        <v>21</v>
      </c>
      <c r="K1273" s="7" t="s">
        <v>909</v>
      </c>
      <c r="L1273" s="7" t="s">
        <v>20</v>
      </c>
      <c r="M1273" s="7">
        <v>12.876939999999999</v>
      </c>
      <c r="N1273" s="7">
        <v>14.29622</v>
      </c>
      <c r="O1273" s="7" t="s">
        <v>23</v>
      </c>
    </row>
    <row r="1274" spans="1:15" hidden="1" x14ac:dyDescent="0.25">
      <c r="A1274" s="2">
        <f t="shared" si="19"/>
        <v>1272</v>
      </c>
      <c r="B1274" s="7" t="s">
        <v>6504</v>
      </c>
      <c r="C1274" s="7" t="s">
        <v>6505</v>
      </c>
      <c r="D1274" s="7" t="s">
        <v>6504</v>
      </c>
      <c r="E1274" s="7" t="s">
        <v>16</v>
      </c>
      <c r="F1274" s="7" t="s">
        <v>915</v>
      </c>
      <c r="G1274" s="8" t="s">
        <v>18</v>
      </c>
      <c r="H1274" s="7" t="s">
        <v>19</v>
      </c>
      <c r="I1274" s="7" t="s">
        <v>20</v>
      </c>
      <c r="J1274" s="7" t="s">
        <v>21</v>
      </c>
      <c r="K1274" s="7" t="s">
        <v>6506</v>
      </c>
      <c r="L1274" s="7" t="s">
        <v>20</v>
      </c>
      <c r="M1274" s="7">
        <v>11.918305999999999</v>
      </c>
      <c r="N1274" s="7">
        <v>14.646833000000001</v>
      </c>
      <c r="O1274" s="7" t="s">
        <v>23</v>
      </c>
    </row>
    <row r="1275" spans="1:15" hidden="1" x14ac:dyDescent="0.25">
      <c r="A1275" s="2">
        <f t="shared" si="19"/>
        <v>1273</v>
      </c>
      <c r="B1275" s="7" t="s">
        <v>6532</v>
      </c>
      <c r="C1275" s="7" t="s">
        <v>6533</v>
      </c>
      <c r="D1275" s="7" t="s">
        <v>6532</v>
      </c>
      <c r="E1275" s="7" t="s">
        <v>16</v>
      </c>
      <c r="F1275" s="7" t="s">
        <v>6534</v>
      </c>
      <c r="G1275" s="8" t="s">
        <v>18</v>
      </c>
      <c r="H1275" s="7" t="s">
        <v>28</v>
      </c>
      <c r="I1275" s="7" t="s">
        <v>20</v>
      </c>
      <c r="J1275" s="7" t="s">
        <v>21</v>
      </c>
      <c r="K1275" s="7" t="s">
        <v>6535</v>
      </c>
      <c r="L1275" s="7" t="s">
        <v>20</v>
      </c>
      <c r="M1275" s="7">
        <v>12.772729999999999</v>
      </c>
      <c r="N1275" s="7">
        <v>14.550547999999999</v>
      </c>
      <c r="O1275" s="7" t="s">
        <v>23</v>
      </c>
    </row>
    <row r="1276" spans="1:15" hidden="1" x14ac:dyDescent="0.25">
      <c r="A1276" s="2">
        <f t="shared" si="19"/>
        <v>1274</v>
      </c>
      <c r="B1276" s="7" t="s">
        <v>6595</v>
      </c>
      <c r="C1276" s="7" t="s">
        <v>6596</v>
      </c>
      <c r="D1276" s="7" t="s">
        <v>6595</v>
      </c>
      <c r="E1276" s="7" t="s">
        <v>16</v>
      </c>
      <c r="F1276" s="7" t="s">
        <v>6597</v>
      </c>
      <c r="G1276" s="8" t="s">
        <v>18</v>
      </c>
      <c r="H1276" s="7" t="s">
        <v>28</v>
      </c>
      <c r="I1276" s="7" t="s">
        <v>20</v>
      </c>
      <c r="J1276" s="7" t="s">
        <v>21</v>
      </c>
      <c r="K1276" s="7" t="s">
        <v>604</v>
      </c>
      <c r="L1276" s="7" t="s">
        <v>20</v>
      </c>
      <c r="M1276" s="7">
        <v>12.328417</v>
      </c>
      <c r="N1276" s="7">
        <v>14.558916999999999</v>
      </c>
      <c r="O1276" s="7" t="s">
        <v>23</v>
      </c>
    </row>
    <row r="1277" spans="1:15" hidden="1" x14ac:dyDescent="0.25">
      <c r="A1277" s="2">
        <f t="shared" si="19"/>
        <v>1275</v>
      </c>
      <c r="B1277" s="7" t="s">
        <v>6798</v>
      </c>
      <c r="C1277" s="7" t="s">
        <v>6799</v>
      </c>
      <c r="D1277" s="7" t="s">
        <v>6798</v>
      </c>
      <c r="E1277" s="7" t="s">
        <v>16</v>
      </c>
      <c r="F1277" s="7" t="s">
        <v>6800</v>
      </c>
      <c r="G1277" s="17" t="s">
        <v>7747</v>
      </c>
      <c r="H1277" s="7" t="s">
        <v>28</v>
      </c>
      <c r="I1277" s="7" t="s">
        <v>20</v>
      </c>
      <c r="J1277" s="7" t="s">
        <v>21</v>
      </c>
      <c r="K1277" s="7" t="s">
        <v>6735</v>
      </c>
      <c r="L1277" s="7" t="s">
        <v>20</v>
      </c>
      <c r="M1277" s="7">
        <v>11.263839000000001</v>
      </c>
      <c r="N1277" s="7">
        <v>14.966189</v>
      </c>
      <c r="O1277" s="7" t="s">
        <v>23</v>
      </c>
    </row>
    <row r="1278" spans="1:15" hidden="1" x14ac:dyDescent="0.25">
      <c r="A1278" s="2">
        <f t="shared" si="19"/>
        <v>1276</v>
      </c>
      <c r="B1278" s="7" t="s">
        <v>7041</v>
      </c>
      <c r="C1278" s="7" t="s">
        <v>7042</v>
      </c>
      <c r="D1278" s="7" t="s">
        <v>7041</v>
      </c>
      <c r="E1278" s="7" t="s">
        <v>16</v>
      </c>
      <c r="F1278" s="7" t="s">
        <v>7043</v>
      </c>
      <c r="G1278" s="8" t="s">
        <v>18</v>
      </c>
      <c r="H1278" s="7" t="s">
        <v>28</v>
      </c>
      <c r="I1278" s="7" t="s">
        <v>20</v>
      </c>
      <c r="J1278" s="7" t="s">
        <v>21</v>
      </c>
      <c r="K1278" s="7" t="s">
        <v>788</v>
      </c>
      <c r="L1278" s="7" t="s">
        <v>20</v>
      </c>
      <c r="M1278" s="7">
        <v>12.376993000000001</v>
      </c>
      <c r="N1278" s="7">
        <v>14.225045</v>
      </c>
      <c r="O1278" s="7" t="s">
        <v>23</v>
      </c>
    </row>
    <row r="1279" spans="1:15" hidden="1" x14ac:dyDescent="0.25">
      <c r="A1279" s="2">
        <f t="shared" si="19"/>
        <v>1277</v>
      </c>
      <c r="B1279" s="7" t="s">
        <v>7051</v>
      </c>
      <c r="C1279" s="7" t="s">
        <v>7052</v>
      </c>
      <c r="D1279" s="7" t="s">
        <v>7051</v>
      </c>
      <c r="E1279" s="7" t="s">
        <v>16</v>
      </c>
      <c r="F1279" s="7" t="s">
        <v>7053</v>
      </c>
      <c r="G1279" s="17" t="s">
        <v>7747</v>
      </c>
      <c r="H1279" s="7" t="s">
        <v>28</v>
      </c>
      <c r="I1279" s="7" t="s">
        <v>20</v>
      </c>
      <c r="J1279" s="7" t="s">
        <v>21</v>
      </c>
      <c r="K1279" s="7" t="s">
        <v>678</v>
      </c>
      <c r="L1279" s="7" t="s">
        <v>20</v>
      </c>
      <c r="M1279" s="7">
        <v>12.091393</v>
      </c>
      <c r="N1279" s="7">
        <v>15.027388</v>
      </c>
      <c r="O1279" s="7" t="s">
        <v>23</v>
      </c>
    </row>
    <row r="1280" spans="1:15" hidden="1" x14ac:dyDescent="0.25">
      <c r="A1280" s="2">
        <f t="shared" si="19"/>
        <v>1278</v>
      </c>
      <c r="B1280" s="7" t="s">
        <v>7120</v>
      </c>
      <c r="C1280" s="7" t="s">
        <v>7121</v>
      </c>
      <c r="D1280" s="7" t="s">
        <v>7120</v>
      </c>
      <c r="E1280" s="7" t="s">
        <v>7122</v>
      </c>
      <c r="F1280" s="7" t="s">
        <v>7123</v>
      </c>
      <c r="G1280" s="8" t="s">
        <v>18</v>
      </c>
      <c r="H1280" s="7" t="s">
        <v>28</v>
      </c>
      <c r="I1280" s="7" t="s">
        <v>20</v>
      </c>
      <c r="J1280" s="7" t="s">
        <v>21</v>
      </c>
      <c r="K1280" s="7" t="s">
        <v>6534</v>
      </c>
      <c r="L1280" s="7" t="s">
        <v>20</v>
      </c>
      <c r="M1280" s="7">
        <v>12.77101</v>
      </c>
      <c r="N1280" s="7">
        <v>14.556908</v>
      </c>
      <c r="O1280" s="7" t="s">
        <v>23</v>
      </c>
    </row>
    <row r="1281" spans="1:15" hidden="1" x14ac:dyDescent="0.25">
      <c r="A1281" s="2">
        <f t="shared" si="19"/>
        <v>1279</v>
      </c>
      <c r="B1281" s="7" t="s">
        <v>7174</v>
      </c>
      <c r="C1281" s="7" t="s">
        <v>7175</v>
      </c>
      <c r="D1281" s="7" t="s">
        <v>7174</v>
      </c>
      <c r="E1281" s="7" t="s">
        <v>16</v>
      </c>
      <c r="F1281" s="7" t="s">
        <v>7176</v>
      </c>
      <c r="G1281" s="8" t="s">
        <v>18</v>
      </c>
      <c r="H1281" s="7" t="s">
        <v>28</v>
      </c>
      <c r="I1281" s="7" t="s">
        <v>20</v>
      </c>
      <c r="J1281" s="7" t="s">
        <v>21</v>
      </c>
      <c r="K1281" s="7" t="s">
        <v>6354</v>
      </c>
      <c r="L1281" s="7" t="s">
        <v>20</v>
      </c>
      <c r="M1281" s="7">
        <v>12.108675</v>
      </c>
      <c r="N1281" s="7">
        <v>14.713543</v>
      </c>
      <c r="O1281" s="7" t="s">
        <v>23</v>
      </c>
    </row>
    <row r="1282" spans="1:15" hidden="1" x14ac:dyDescent="0.25">
      <c r="A1282" s="2">
        <f t="shared" si="19"/>
        <v>1280</v>
      </c>
      <c r="B1282" s="7" t="s">
        <v>7304</v>
      </c>
      <c r="C1282" s="7" t="s">
        <v>7305</v>
      </c>
      <c r="D1282" s="7" t="s">
        <v>7304</v>
      </c>
      <c r="E1282" s="7" t="s">
        <v>16</v>
      </c>
      <c r="F1282" s="7" t="s">
        <v>7306</v>
      </c>
      <c r="G1282" s="8" t="s">
        <v>18</v>
      </c>
      <c r="H1282" s="7" t="s">
        <v>28</v>
      </c>
      <c r="I1282" s="7" t="s">
        <v>20</v>
      </c>
      <c r="J1282" s="7" t="s">
        <v>21</v>
      </c>
      <c r="K1282" s="7" t="s">
        <v>604</v>
      </c>
      <c r="L1282" s="7" t="s">
        <v>20</v>
      </c>
      <c r="M1282" s="7">
        <v>12.092575</v>
      </c>
      <c r="N1282" s="7">
        <v>14.839464</v>
      </c>
      <c r="O1282" s="7" t="s">
        <v>23</v>
      </c>
    </row>
    <row r="1283" spans="1:15" hidden="1" x14ac:dyDescent="0.25">
      <c r="A1283" s="2">
        <f t="shared" si="19"/>
        <v>1281</v>
      </c>
      <c r="B1283" s="7" t="s">
        <v>7310</v>
      </c>
      <c r="C1283" s="7" t="s">
        <v>7311</v>
      </c>
      <c r="D1283" s="7" t="s">
        <v>7310</v>
      </c>
      <c r="E1283" s="7" t="s">
        <v>16</v>
      </c>
      <c r="F1283" s="7" t="s">
        <v>7312</v>
      </c>
      <c r="G1283" s="8" t="s">
        <v>18</v>
      </c>
      <c r="H1283" s="7" t="s">
        <v>28</v>
      </c>
      <c r="I1283" s="7" t="s">
        <v>20</v>
      </c>
      <c r="J1283" s="7" t="s">
        <v>21</v>
      </c>
      <c r="K1283" s="7" t="s">
        <v>916</v>
      </c>
      <c r="L1283" s="7" t="s">
        <v>20</v>
      </c>
      <c r="M1283" s="7">
        <v>11.901233</v>
      </c>
      <c r="N1283" s="7">
        <v>15.034781000000001</v>
      </c>
      <c r="O1283" s="7" t="s">
        <v>23</v>
      </c>
    </row>
    <row r="1284" spans="1:15" hidden="1" x14ac:dyDescent="0.25">
      <c r="A1284" s="2">
        <f t="shared" si="19"/>
        <v>1282</v>
      </c>
      <c r="B1284" s="7" t="s">
        <v>7512</v>
      </c>
      <c r="C1284" s="7" t="s">
        <v>7513</v>
      </c>
      <c r="D1284" s="7" t="s">
        <v>7512</v>
      </c>
      <c r="E1284" s="7" t="s">
        <v>16</v>
      </c>
      <c r="F1284" s="7" t="s">
        <v>7514</v>
      </c>
      <c r="G1284" s="17" t="s">
        <v>7747</v>
      </c>
      <c r="H1284" s="7" t="s">
        <v>28</v>
      </c>
      <c r="I1284" s="7" t="s">
        <v>20</v>
      </c>
      <c r="J1284" s="7" t="s">
        <v>21</v>
      </c>
      <c r="K1284" s="7" t="s">
        <v>7515</v>
      </c>
      <c r="L1284" s="7" t="s">
        <v>20</v>
      </c>
      <c r="M1284" s="7">
        <v>12.093688</v>
      </c>
      <c r="N1284" s="7">
        <v>15.015834</v>
      </c>
      <c r="O1284" s="7" t="s">
        <v>23</v>
      </c>
    </row>
    <row r="1285" spans="1:15" hidden="1" x14ac:dyDescent="0.25">
      <c r="A1285" s="2">
        <f t="shared" ref="A1285:A1348" si="20">+A1284+1</f>
        <v>1283</v>
      </c>
      <c r="B1285" s="7" t="s">
        <v>7726</v>
      </c>
      <c r="C1285" s="7" t="s">
        <v>7727</v>
      </c>
      <c r="D1285" s="7" t="s">
        <v>7726</v>
      </c>
      <c r="E1285" s="7" t="s">
        <v>16</v>
      </c>
      <c r="F1285" s="7" t="s">
        <v>7728</v>
      </c>
      <c r="G1285" s="17" t="s">
        <v>7747</v>
      </c>
      <c r="H1285" s="7" t="s">
        <v>28</v>
      </c>
      <c r="I1285" s="7" t="s">
        <v>20</v>
      </c>
      <c r="J1285" s="7" t="s">
        <v>21</v>
      </c>
      <c r="K1285" s="7" t="s">
        <v>7729</v>
      </c>
      <c r="L1285" s="7" t="s">
        <v>20</v>
      </c>
      <c r="M1285" s="7">
        <v>12.063889</v>
      </c>
      <c r="N1285" s="7">
        <v>15.02999</v>
      </c>
      <c r="O1285" s="7" t="s">
        <v>23</v>
      </c>
    </row>
    <row r="1286" spans="1:15" hidden="1" x14ac:dyDescent="0.25">
      <c r="A1286" s="2">
        <f t="shared" si="20"/>
        <v>1284</v>
      </c>
      <c r="B1286" s="7" t="s">
        <v>266</v>
      </c>
      <c r="C1286" s="7" t="s">
        <v>267</v>
      </c>
      <c r="D1286" s="7" t="s">
        <v>266</v>
      </c>
      <c r="E1286" s="7" t="s">
        <v>250</v>
      </c>
      <c r="F1286" s="7" t="s">
        <v>268</v>
      </c>
      <c r="G1286" s="17" t="s">
        <v>7747</v>
      </c>
      <c r="H1286" s="7" t="s">
        <v>28</v>
      </c>
      <c r="I1286" s="7" t="s">
        <v>269</v>
      </c>
      <c r="J1286" s="7" t="s">
        <v>270</v>
      </c>
      <c r="K1286" s="7" t="s">
        <v>271</v>
      </c>
      <c r="L1286" s="7" t="s">
        <v>7743</v>
      </c>
      <c r="M1286" s="7">
        <v>2.2116549999999999</v>
      </c>
      <c r="N1286" s="7">
        <v>11.095535</v>
      </c>
      <c r="O1286" s="7" t="s">
        <v>23</v>
      </c>
    </row>
    <row r="1287" spans="1:15" x14ac:dyDescent="0.25">
      <c r="A1287" s="2">
        <f t="shared" si="20"/>
        <v>1285</v>
      </c>
      <c r="B1287" s="7" t="s">
        <v>289</v>
      </c>
      <c r="C1287" s="7" t="s">
        <v>290</v>
      </c>
      <c r="D1287" s="7" t="s">
        <v>289</v>
      </c>
      <c r="E1287" s="7" t="s">
        <v>50</v>
      </c>
      <c r="F1287" s="7" t="s">
        <v>291</v>
      </c>
      <c r="G1287" s="17" t="s">
        <v>7747</v>
      </c>
      <c r="H1287" s="7" t="s">
        <v>28</v>
      </c>
      <c r="I1287" s="7" t="s">
        <v>292</v>
      </c>
      <c r="J1287" s="7" t="s">
        <v>293</v>
      </c>
      <c r="K1287" s="7" t="s">
        <v>292</v>
      </c>
      <c r="L1287" s="7" t="s">
        <v>7743</v>
      </c>
      <c r="M1287" s="7">
        <v>2.970367</v>
      </c>
      <c r="N1287" s="7">
        <v>9.9261110000000006</v>
      </c>
      <c r="O1287" s="7" t="s">
        <v>23</v>
      </c>
    </row>
    <row r="1288" spans="1:15" hidden="1" x14ac:dyDescent="0.25">
      <c r="A1288" s="2">
        <f t="shared" si="20"/>
        <v>1286</v>
      </c>
      <c r="B1288" s="7" t="s">
        <v>300</v>
      </c>
      <c r="C1288" s="7" t="s">
        <v>301</v>
      </c>
      <c r="D1288" s="7" t="s">
        <v>300</v>
      </c>
      <c r="E1288" s="7" t="s">
        <v>250</v>
      </c>
      <c r="F1288" s="7" t="s">
        <v>302</v>
      </c>
      <c r="G1288" s="17" t="s">
        <v>7747</v>
      </c>
      <c r="H1288" s="7" t="s">
        <v>28</v>
      </c>
      <c r="I1288" s="7" t="s">
        <v>269</v>
      </c>
      <c r="J1288" s="7" t="s">
        <v>270</v>
      </c>
      <c r="K1288" s="7" t="s">
        <v>303</v>
      </c>
      <c r="L1288" s="7" t="s">
        <v>7743</v>
      </c>
      <c r="M1288" s="7">
        <v>2.3549129999999998</v>
      </c>
      <c r="N1288" s="7">
        <v>10.639516</v>
      </c>
      <c r="O1288" s="7" t="s">
        <v>23</v>
      </c>
    </row>
    <row r="1289" spans="1:15" hidden="1" x14ac:dyDescent="0.25">
      <c r="A1289" s="2">
        <f t="shared" si="20"/>
        <v>1287</v>
      </c>
      <c r="B1289" s="7" t="s">
        <v>507</v>
      </c>
      <c r="C1289" s="7" t="s">
        <v>508</v>
      </c>
      <c r="D1289" s="7" t="s">
        <v>507</v>
      </c>
      <c r="E1289" s="7" t="s">
        <v>250</v>
      </c>
      <c r="F1289" s="7" t="s">
        <v>509</v>
      </c>
      <c r="G1289" s="17" t="s">
        <v>7747</v>
      </c>
      <c r="H1289" s="7" t="s">
        <v>28</v>
      </c>
      <c r="I1289" s="7" t="s">
        <v>269</v>
      </c>
      <c r="J1289" s="7" t="s">
        <v>270</v>
      </c>
      <c r="K1289" s="7" t="s">
        <v>303</v>
      </c>
      <c r="L1289" s="7" t="s">
        <v>7743</v>
      </c>
      <c r="M1289" s="7">
        <v>2.39046</v>
      </c>
      <c r="N1289" s="7">
        <v>10.368188</v>
      </c>
      <c r="O1289" s="7" t="s">
        <v>23</v>
      </c>
    </row>
    <row r="1290" spans="1:15" hidden="1" x14ac:dyDescent="0.25">
      <c r="A1290" s="2">
        <f t="shared" si="20"/>
        <v>1288</v>
      </c>
      <c r="B1290" s="7" t="s">
        <v>524</v>
      </c>
      <c r="C1290" s="7" t="s">
        <v>525</v>
      </c>
      <c r="D1290" s="7" t="s">
        <v>524</v>
      </c>
      <c r="E1290" s="7" t="s">
        <v>250</v>
      </c>
      <c r="F1290" s="7" t="s">
        <v>526</v>
      </c>
      <c r="G1290" s="17" t="s">
        <v>7747</v>
      </c>
      <c r="H1290" s="7" t="s">
        <v>28</v>
      </c>
      <c r="I1290" s="7" t="s">
        <v>311</v>
      </c>
      <c r="J1290" s="7" t="s">
        <v>293</v>
      </c>
      <c r="K1290" s="7" t="s">
        <v>527</v>
      </c>
      <c r="L1290" s="7" t="s">
        <v>7743</v>
      </c>
      <c r="M1290" s="7">
        <v>3.17</v>
      </c>
      <c r="N1290" s="7">
        <v>10.547110999999999</v>
      </c>
      <c r="O1290" s="7" t="s">
        <v>23</v>
      </c>
    </row>
    <row r="1291" spans="1:15" hidden="1" x14ac:dyDescent="0.25">
      <c r="A1291" s="2">
        <f t="shared" si="20"/>
        <v>1289</v>
      </c>
      <c r="B1291" s="7" t="s">
        <v>629</v>
      </c>
      <c r="C1291" s="7" t="s">
        <v>630</v>
      </c>
      <c r="D1291" s="7" t="s">
        <v>629</v>
      </c>
      <c r="E1291" s="7" t="s">
        <v>250</v>
      </c>
      <c r="F1291" s="7" t="s">
        <v>631</v>
      </c>
      <c r="G1291" s="17" t="s">
        <v>7747</v>
      </c>
      <c r="H1291" s="7" t="s">
        <v>28</v>
      </c>
      <c r="I1291" s="7" t="s">
        <v>269</v>
      </c>
      <c r="J1291" s="7" t="s">
        <v>270</v>
      </c>
      <c r="K1291" s="7" t="s">
        <v>303</v>
      </c>
      <c r="L1291" s="7" t="s">
        <v>7743</v>
      </c>
      <c r="M1291" s="7">
        <v>2.369596</v>
      </c>
      <c r="N1291" s="7">
        <v>10.628916</v>
      </c>
      <c r="O1291" s="7" t="s">
        <v>23</v>
      </c>
    </row>
    <row r="1292" spans="1:15" hidden="1" x14ac:dyDescent="0.25">
      <c r="A1292" s="2">
        <f t="shared" si="20"/>
        <v>1290</v>
      </c>
      <c r="B1292" s="7" t="s">
        <v>663</v>
      </c>
      <c r="C1292" s="7" t="s">
        <v>664</v>
      </c>
      <c r="D1292" s="7" t="s">
        <v>663</v>
      </c>
      <c r="E1292" s="7" t="s">
        <v>250</v>
      </c>
      <c r="F1292" s="7" t="s">
        <v>665</v>
      </c>
      <c r="G1292" s="17" t="s">
        <v>7747</v>
      </c>
      <c r="H1292" s="7" t="s">
        <v>28</v>
      </c>
      <c r="I1292" s="7" t="s">
        <v>269</v>
      </c>
      <c r="J1292" s="7" t="s">
        <v>270</v>
      </c>
      <c r="K1292" s="7" t="s">
        <v>666</v>
      </c>
      <c r="L1292" s="7" t="s">
        <v>7743</v>
      </c>
      <c r="M1292" s="7">
        <v>2.1936149999999999</v>
      </c>
      <c r="N1292" s="7">
        <v>11.339465000000001</v>
      </c>
      <c r="O1292" s="7" t="s">
        <v>23</v>
      </c>
    </row>
    <row r="1293" spans="1:15" x14ac:dyDescent="0.25">
      <c r="A1293" s="2">
        <f t="shared" si="20"/>
        <v>1291</v>
      </c>
      <c r="B1293" s="7" t="s">
        <v>671</v>
      </c>
      <c r="C1293" s="7" t="s">
        <v>672</v>
      </c>
      <c r="D1293" s="7" t="s">
        <v>671</v>
      </c>
      <c r="E1293" s="7" t="s">
        <v>50</v>
      </c>
      <c r="F1293" s="7" t="s">
        <v>673</v>
      </c>
      <c r="G1293" s="17" t="s">
        <v>7747</v>
      </c>
      <c r="H1293" s="7" t="s">
        <v>28</v>
      </c>
      <c r="I1293" s="7" t="s">
        <v>674</v>
      </c>
      <c r="J1293" s="7" t="s">
        <v>293</v>
      </c>
      <c r="K1293" s="7" t="s">
        <v>292</v>
      </c>
      <c r="L1293" s="7" t="s">
        <v>7743</v>
      </c>
      <c r="M1293" s="7">
        <v>3.0100370000000001</v>
      </c>
      <c r="N1293" s="7">
        <v>9.9548210000000008</v>
      </c>
      <c r="O1293" s="7" t="s">
        <v>23</v>
      </c>
    </row>
    <row r="1294" spans="1:15" x14ac:dyDescent="0.25">
      <c r="A1294" s="2">
        <f t="shared" si="20"/>
        <v>1292</v>
      </c>
      <c r="B1294" s="7" t="s">
        <v>968</v>
      </c>
      <c r="C1294" s="7" t="s">
        <v>969</v>
      </c>
      <c r="D1294" s="7" t="s">
        <v>968</v>
      </c>
      <c r="E1294" s="7" t="s">
        <v>50</v>
      </c>
      <c r="F1294" s="7" t="s">
        <v>970</v>
      </c>
      <c r="G1294" s="17" t="s">
        <v>7747</v>
      </c>
      <c r="H1294" s="7" t="s">
        <v>28</v>
      </c>
      <c r="I1294" s="7" t="s">
        <v>292</v>
      </c>
      <c r="J1294" s="7" t="s">
        <v>293</v>
      </c>
      <c r="K1294" s="7" t="s">
        <v>674</v>
      </c>
      <c r="L1294" s="7" t="s">
        <v>7743</v>
      </c>
      <c r="M1294" s="7">
        <v>2.9465699999999999</v>
      </c>
      <c r="N1294" s="7">
        <v>10.032095</v>
      </c>
      <c r="O1294" s="7" t="s">
        <v>23</v>
      </c>
    </row>
    <row r="1295" spans="1:15" hidden="1" x14ac:dyDescent="0.25">
      <c r="A1295" s="2">
        <f t="shared" si="20"/>
        <v>1293</v>
      </c>
      <c r="B1295" s="7" t="s">
        <v>1186</v>
      </c>
      <c r="C1295" s="7" t="s">
        <v>1187</v>
      </c>
      <c r="D1295" s="7" t="s">
        <v>1186</v>
      </c>
      <c r="E1295" s="7" t="s">
        <v>250</v>
      </c>
      <c r="F1295" s="7" t="s">
        <v>1188</v>
      </c>
      <c r="G1295" s="17" t="s">
        <v>7747</v>
      </c>
      <c r="H1295" s="7" t="s">
        <v>28</v>
      </c>
      <c r="I1295" s="7" t="s">
        <v>269</v>
      </c>
      <c r="J1295" s="7" t="s">
        <v>270</v>
      </c>
      <c r="K1295" s="7" t="s">
        <v>1189</v>
      </c>
      <c r="L1295" s="7" t="s">
        <v>7743</v>
      </c>
      <c r="M1295" s="7">
        <v>2.8360829999999999</v>
      </c>
      <c r="N1295" s="7">
        <v>10.552861</v>
      </c>
      <c r="O1295" s="7" t="s">
        <v>23</v>
      </c>
    </row>
    <row r="1296" spans="1:15" hidden="1" x14ac:dyDescent="0.25">
      <c r="A1296" s="2">
        <f t="shared" si="20"/>
        <v>1294</v>
      </c>
      <c r="B1296" s="7" t="s">
        <v>1197</v>
      </c>
      <c r="C1296" s="7" t="s">
        <v>1198</v>
      </c>
      <c r="D1296" s="7" t="s">
        <v>1197</v>
      </c>
      <c r="E1296" s="7" t="s">
        <v>250</v>
      </c>
      <c r="F1296" s="7" t="s">
        <v>1199</v>
      </c>
      <c r="G1296" s="17" t="s">
        <v>7747</v>
      </c>
      <c r="H1296" s="7" t="s">
        <v>28</v>
      </c>
      <c r="I1296" s="7" t="s">
        <v>311</v>
      </c>
      <c r="J1296" s="7" t="s">
        <v>293</v>
      </c>
      <c r="K1296" s="7" t="s">
        <v>1200</v>
      </c>
      <c r="L1296" s="7" t="s">
        <v>7743</v>
      </c>
      <c r="M1296" s="7">
        <v>3.0334140000000001</v>
      </c>
      <c r="N1296" s="7">
        <v>10.859489999999999</v>
      </c>
      <c r="O1296" s="7" t="s">
        <v>23</v>
      </c>
    </row>
    <row r="1297" spans="1:15" x14ac:dyDescent="0.25">
      <c r="A1297" s="2">
        <f t="shared" si="20"/>
        <v>1295</v>
      </c>
      <c r="B1297" s="7" t="s">
        <v>1323</v>
      </c>
      <c r="C1297" s="7" t="s">
        <v>1324</v>
      </c>
      <c r="D1297" s="7" t="s">
        <v>1323</v>
      </c>
      <c r="E1297" s="7" t="s">
        <v>50</v>
      </c>
      <c r="F1297" s="7" t="s">
        <v>1325</v>
      </c>
      <c r="G1297" s="17" t="s">
        <v>7747</v>
      </c>
      <c r="H1297" s="7" t="s">
        <v>28</v>
      </c>
      <c r="I1297" s="7" t="s">
        <v>674</v>
      </c>
      <c r="J1297" s="7" t="s">
        <v>293</v>
      </c>
      <c r="K1297" s="7" t="s">
        <v>292</v>
      </c>
      <c r="L1297" s="7" t="s">
        <v>7743</v>
      </c>
      <c r="M1297" s="7">
        <v>2.9651999999999998</v>
      </c>
      <c r="N1297" s="7">
        <v>9.9192400000000003</v>
      </c>
      <c r="O1297" s="7" t="s">
        <v>23</v>
      </c>
    </row>
    <row r="1298" spans="1:15" x14ac:dyDescent="0.25">
      <c r="A1298" s="2">
        <f t="shared" si="20"/>
        <v>1296</v>
      </c>
      <c r="B1298" s="7" t="s">
        <v>1485</v>
      </c>
      <c r="C1298" s="7" t="s">
        <v>1486</v>
      </c>
      <c r="D1298" s="7" t="s">
        <v>1485</v>
      </c>
      <c r="E1298" s="7" t="s">
        <v>50</v>
      </c>
      <c r="F1298" s="7" t="s">
        <v>1487</v>
      </c>
      <c r="G1298" s="17" t="s">
        <v>7747</v>
      </c>
      <c r="H1298" s="7" t="s">
        <v>28</v>
      </c>
      <c r="I1298" s="7" t="s">
        <v>674</v>
      </c>
      <c r="J1298" s="7" t="s">
        <v>293</v>
      </c>
      <c r="K1298" s="7" t="s">
        <v>292</v>
      </c>
      <c r="L1298" s="7" t="s">
        <v>7743</v>
      </c>
      <c r="M1298" s="7">
        <v>2.5851899999999999</v>
      </c>
      <c r="N1298" s="7">
        <v>10.056778</v>
      </c>
      <c r="O1298" s="7" t="s">
        <v>23</v>
      </c>
    </row>
    <row r="1299" spans="1:15" x14ac:dyDescent="0.25">
      <c r="A1299" s="2">
        <f t="shared" si="20"/>
        <v>1297</v>
      </c>
      <c r="B1299" s="7" t="s">
        <v>1517</v>
      </c>
      <c r="C1299" s="7" t="s">
        <v>1518</v>
      </c>
      <c r="D1299" s="7" t="s">
        <v>1517</v>
      </c>
      <c r="E1299" s="7" t="s">
        <v>50</v>
      </c>
      <c r="F1299" s="7" t="s">
        <v>1519</v>
      </c>
      <c r="G1299" s="17" t="s">
        <v>7747</v>
      </c>
      <c r="H1299" s="7" t="s">
        <v>28</v>
      </c>
      <c r="I1299" s="7" t="s">
        <v>674</v>
      </c>
      <c r="J1299" s="7" t="s">
        <v>293</v>
      </c>
      <c r="K1299" s="7" t="s">
        <v>292</v>
      </c>
      <c r="L1299" s="7" t="s">
        <v>7743</v>
      </c>
      <c r="M1299" s="7">
        <v>2.952474</v>
      </c>
      <c r="N1299" s="7">
        <v>9.9136550000000003</v>
      </c>
      <c r="O1299" s="7" t="s">
        <v>23</v>
      </c>
    </row>
    <row r="1300" spans="1:15" x14ac:dyDescent="0.25">
      <c r="A1300" s="2">
        <f t="shared" si="20"/>
        <v>1298</v>
      </c>
      <c r="B1300" s="7" t="s">
        <v>1600</v>
      </c>
      <c r="C1300" s="7" t="s">
        <v>1601</v>
      </c>
      <c r="D1300" s="7" t="s">
        <v>1600</v>
      </c>
      <c r="E1300" s="7" t="s">
        <v>50</v>
      </c>
      <c r="F1300" s="7" t="s">
        <v>1602</v>
      </c>
      <c r="G1300" s="17" t="s">
        <v>7747</v>
      </c>
      <c r="H1300" s="7" t="s">
        <v>28</v>
      </c>
      <c r="I1300" s="7" t="s">
        <v>674</v>
      </c>
      <c r="J1300" s="7" t="s">
        <v>293</v>
      </c>
      <c r="K1300" s="7" t="s">
        <v>292</v>
      </c>
      <c r="L1300" s="7" t="s">
        <v>7743</v>
      </c>
      <c r="M1300" s="7">
        <v>2.7722449999999998</v>
      </c>
      <c r="N1300" s="7">
        <v>10.131962</v>
      </c>
      <c r="O1300" s="7" t="s">
        <v>23</v>
      </c>
    </row>
    <row r="1301" spans="1:15" x14ac:dyDescent="0.25">
      <c r="A1301" s="2">
        <f t="shared" si="20"/>
        <v>1299</v>
      </c>
      <c r="B1301" s="7" t="s">
        <v>1622</v>
      </c>
      <c r="C1301" s="7" t="s">
        <v>1623</v>
      </c>
      <c r="D1301" s="7" t="s">
        <v>1622</v>
      </c>
      <c r="E1301" s="7" t="s">
        <v>50</v>
      </c>
      <c r="F1301" s="7" t="s">
        <v>1624</v>
      </c>
      <c r="G1301" s="17" t="s">
        <v>7747</v>
      </c>
      <c r="H1301" s="7" t="s">
        <v>19</v>
      </c>
      <c r="I1301" s="7" t="s">
        <v>674</v>
      </c>
      <c r="J1301" s="7" t="s">
        <v>293</v>
      </c>
      <c r="K1301" s="7" t="s">
        <v>292</v>
      </c>
      <c r="L1301" s="7" t="s">
        <v>7743</v>
      </c>
      <c r="M1301" s="7">
        <v>3.102147</v>
      </c>
      <c r="N1301" s="7">
        <v>9.9896390000000004</v>
      </c>
      <c r="O1301" s="7" t="s">
        <v>23</v>
      </c>
    </row>
    <row r="1302" spans="1:15" x14ac:dyDescent="0.25">
      <c r="A1302" s="2">
        <f t="shared" si="20"/>
        <v>1300</v>
      </c>
      <c r="B1302" s="7" t="s">
        <v>1822</v>
      </c>
      <c r="C1302" s="7" t="s">
        <v>1823</v>
      </c>
      <c r="D1302" s="7" t="s">
        <v>1822</v>
      </c>
      <c r="E1302" s="7" t="s">
        <v>50</v>
      </c>
      <c r="F1302" s="7" t="s">
        <v>1824</v>
      </c>
      <c r="G1302" s="17" t="s">
        <v>7747</v>
      </c>
      <c r="H1302" s="7" t="s">
        <v>19</v>
      </c>
      <c r="I1302" s="7" t="s">
        <v>674</v>
      </c>
      <c r="J1302" s="7" t="s">
        <v>293</v>
      </c>
      <c r="K1302" s="7" t="s">
        <v>292</v>
      </c>
      <c r="L1302" s="7" t="s">
        <v>7743</v>
      </c>
      <c r="M1302" s="7">
        <v>2.718181</v>
      </c>
      <c r="N1302" s="7">
        <v>10.065139</v>
      </c>
      <c r="O1302" s="7" t="s">
        <v>23</v>
      </c>
    </row>
    <row r="1303" spans="1:15" x14ac:dyDescent="0.25">
      <c r="A1303" s="2">
        <f t="shared" si="20"/>
        <v>1301</v>
      </c>
      <c r="B1303" s="7" t="s">
        <v>2203</v>
      </c>
      <c r="C1303" s="7" t="s">
        <v>2204</v>
      </c>
      <c r="D1303" s="7" t="s">
        <v>2203</v>
      </c>
      <c r="E1303" s="7" t="s">
        <v>50</v>
      </c>
      <c r="F1303" s="7" t="s">
        <v>2205</v>
      </c>
      <c r="G1303" s="17" t="s">
        <v>7747</v>
      </c>
      <c r="H1303" s="7" t="s">
        <v>19</v>
      </c>
      <c r="I1303" s="7" t="s">
        <v>158</v>
      </c>
      <c r="J1303" s="7" t="s">
        <v>293</v>
      </c>
      <c r="K1303" s="7" t="s">
        <v>831</v>
      </c>
      <c r="L1303" s="7" t="s">
        <v>7743</v>
      </c>
      <c r="M1303" s="7">
        <v>3.20106</v>
      </c>
      <c r="N1303" s="7">
        <v>10.0258</v>
      </c>
      <c r="O1303" s="7" t="s">
        <v>23</v>
      </c>
    </row>
    <row r="1304" spans="1:15" x14ac:dyDescent="0.25">
      <c r="A1304" s="2">
        <f t="shared" si="20"/>
        <v>1302</v>
      </c>
      <c r="B1304" s="7" t="s">
        <v>2238</v>
      </c>
      <c r="C1304" s="7" t="s">
        <v>2239</v>
      </c>
      <c r="D1304" s="7" t="s">
        <v>2238</v>
      </c>
      <c r="E1304" s="7" t="s">
        <v>50</v>
      </c>
      <c r="F1304" s="7" t="s">
        <v>2240</v>
      </c>
      <c r="G1304" s="17" t="s">
        <v>7747</v>
      </c>
      <c r="H1304" s="7" t="s">
        <v>19</v>
      </c>
      <c r="I1304" s="7" t="s">
        <v>292</v>
      </c>
      <c r="J1304" s="7" t="s">
        <v>293</v>
      </c>
      <c r="K1304" s="7" t="s">
        <v>674</v>
      </c>
      <c r="L1304" s="7" t="s">
        <v>7743</v>
      </c>
      <c r="M1304" s="7">
        <v>2.3775789999999999</v>
      </c>
      <c r="N1304" s="7">
        <v>9.8311259999999994</v>
      </c>
      <c r="O1304" s="7" t="s">
        <v>23</v>
      </c>
    </row>
    <row r="1305" spans="1:15" x14ac:dyDescent="0.25">
      <c r="A1305" s="2">
        <f t="shared" si="20"/>
        <v>1303</v>
      </c>
      <c r="B1305" s="7" t="s">
        <v>2272</v>
      </c>
      <c r="C1305" s="7" t="s">
        <v>2273</v>
      </c>
      <c r="D1305" s="7" t="s">
        <v>2272</v>
      </c>
      <c r="E1305" s="7" t="s">
        <v>50</v>
      </c>
      <c r="F1305" s="7" t="s">
        <v>2274</v>
      </c>
      <c r="G1305" s="17" t="s">
        <v>7747</v>
      </c>
      <c r="H1305" s="7" t="s">
        <v>19</v>
      </c>
      <c r="I1305" s="7" t="s">
        <v>158</v>
      </c>
      <c r="J1305" s="7" t="s">
        <v>293</v>
      </c>
      <c r="K1305" s="7" t="s">
        <v>831</v>
      </c>
      <c r="L1305" s="7" t="s">
        <v>7743</v>
      </c>
      <c r="M1305" s="7">
        <v>3.3063030000000002</v>
      </c>
      <c r="N1305" s="7">
        <v>10.082806</v>
      </c>
      <c r="O1305" s="7" t="s">
        <v>23</v>
      </c>
    </row>
    <row r="1306" spans="1:15" x14ac:dyDescent="0.25">
      <c r="A1306" s="2">
        <f t="shared" si="20"/>
        <v>1304</v>
      </c>
      <c r="B1306" s="7" t="s">
        <v>2340</v>
      </c>
      <c r="C1306" s="7" t="s">
        <v>2341</v>
      </c>
      <c r="D1306" s="7" t="s">
        <v>2340</v>
      </c>
      <c r="E1306" s="7" t="s">
        <v>50</v>
      </c>
      <c r="F1306" s="7" t="s">
        <v>2342</v>
      </c>
      <c r="G1306" s="17" t="s">
        <v>7747</v>
      </c>
      <c r="H1306" s="7" t="s">
        <v>19</v>
      </c>
      <c r="I1306" s="7" t="s">
        <v>292</v>
      </c>
      <c r="J1306" s="7" t="s">
        <v>293</v>
      </c>
      <c r="K1306" s="7" t="s">
        <v>292</v>
      </c>
      <c r="L1306" s="7" t="s">
        <v>7743</v>
      </c>
      <c r="M1306" s="7">
        <v>2.9310100000000001</v>
      </c>
      <c r="N1306" s="7">
        <v>9.9106199999999998</v>
      </c>
      <c r="O1306" s="7" t="s">
        <v>23</v>
      </c>
    </row>
    <row r="1307" spans="1:15" x14ac:dyDescent="0.25">
      <c r="A1307" s="2">
        <f t="shared" si="20"/>
        <v>1305</v>
      </c>
      <c r="B1307" s="7" t="s">
        <v>2719</v>
      </c>
      <c r="C1307" s="7" t="s">
        <v>2720</v>
      </c>
      <c r="D1307" s="7" t="s">
        <v>2719</v>
      </c>
      <c r="E1307" s="7" t="s">
        <v>50</v>
      </c>
      <c r="F1307" s="7" t="s">
        <v>2721</v>
      </c>
      <c r="G1307" s="17" t="s">
        <v>7747</v>
      </c>
      <c r="H1307" s="7" t="s">
        <v>19</v>
      </c>
      <c r="I1307" s="7" t="s">
        <v>674</v>
      </c>
      <c r="J1307" s="7" t="s">
        <v>293</v>
      </c>
      <c r="K1307" s="7" t="s">
        <v>292</v>
      </c>
      <c r="L1307" s="7" t="s">
        <v>7743</v>
      </c>
      <c r="M1307" s="7">
        <v>2.99478</v>
      </c>
      <c r="N1307" s="7">
        <v>9.9405289999999997</v>
      </c>
      <c r="O1307" s="7" t="s">
        <v>23</v>
      </c>
    </row>
    <row r="1308" spans="1:15" x14ac:dyDescent="0.25">
      <c r="A1308" s="2">
        <f t="shared" si="20"/>
        <v>1306</v>
      </c>
      <c r="B1308" s="7" t="s">
        <v>3914</v>
      </c>
      <c r="C1308" s="7" t="s">
        <v>3915</v>
      </c>
      <c r="D1308" s="7" t="s">
        <v>3914</v>
      </c>
      <c r="E1308" s="7" t="s">
        <v>50</v>
      </c>
      <c r="F1308" s="7" t="s">
        <v>3916</v>
      </c>
      <c r="G1308" s="17" t="s">
        <v>7747</v>
      </c>
      <c r="H1308" s="7" t="s">
        <v>28</v>
      </c>
      <c r="I1308" s="7" t="s">
        <v>292</v>
      </c>
      <c r="J1308" s="7" t="s">
        <v>293</v>
      </c>
      <c r="K1308" s="7" t="s">
        <v>674</v>
      </c>
      <c r="L1308" s="7" t="s">
        <v>7743</v>
      </c>
      <c r="M1308" s="7">
        <v>2.9504999999999999</v>
      </c>
      <c r="N1308" s="7">
        <v>9.9228330000000007</v>
      </c>
      <c r="O1308" s="7" t="s">
        <v>23</v>
      </c>
    </row>
    <row r="1309" spans="1:15" x14ac:dyDescent="0.25">
      <c r="A1309" s="2">
        <f t="shared" si="20"/>
        <v>1307</v>
      </c>
      <c r="B1309" s="7" t="s">
        <v>4162</v>
      </c>
      <c r="C1309" s="7" t="s">
        <v>4163</v>
      </c>
      <c r="D1309" s="7" t="s">
        <v>4162</v>
      </c>
      <c r="E1309" s="7" t="s">
        <v>50</v>
      </c>
      <c r="F1309" s="7" t="s">
        <v>4164</v>
      </c>
      <c r="G1309" s="17" t="s">
        <v>7747</v>
      </c>
      <c r="H1309" s="7" t="s">
        <v>28</v>
      </c>
      <c r="I1309" s="7" t="s">
        <v>674</v>
      </c>
      <c r="J1309" s="7" t="s">
        <v>293</v>
      </c>
      <c r="K1309" s="7" t="s">
        <v>292</v>
      </c>
      <c r="L1309" s="7" t="s">
        <v>7743</v>
      </c>
      <c r="M1309" s="7">
        <v>2.938577</v>
      </c>
      <c r="N1309" s="7">
        <v>9.9109739999999995</v>
      </c>
      <c r="O1309" s="7" t="s">
        <v>23</v>
      </c>
    </row>
    <row r="1310" spans="1:15" x14ac:dyDescent="0.25">
      <c r="A1310" s="2">
        <f t="shared" si="20"/>
        <v>1308</v>
      </c>
      <c r="B1310" s="7" t="s">
        <v>4277</v>
      </c>
      <c r="C1310" s="7" t="s">
        <v>4278</v>
      </c>
      <c r="D1310" s="7" t="s">
        <v>4277</v>
      </c>
      <c r="E1310" s="7" t="s">
        <v>50</v>
      </c>
      <c r="F1310" s="7" t="s">
        <v>4279</v>
      </c>
      <c r="G1310" s="17" t="s">
        <v>7747</v>
      </c>
      <c r="H1310" s="7" t="s">
        <v>28</v>
      </c>
      <c r="I1310" s="7" t="s">
        <v>674</v>
      </c>
      <c r="J1310" s="7" t="s">
        <v>293</v>
      </c>
      <c r="K1310" s="7" t="s">
        <v>292</v>
      </c>
      <c r="L1310" s="7" t="s">
        <v>7743</v>
      </c>
      <c r="M1310" s="7">
        <v>2.8532500000000001</v>
      </c>
      <c r="N1310" s="7">
        <v>9.9734719999999992</v>
      </c>
      <c r="O1310" s="7" t="s">
        <v>23</v>
      </c>
    </row>
    <row r="1311" spans="1:15" x14ac:dyDescent="0.25">
      <c r="A1311" s="2">
        <f t="shared" si="20"/>
        <v>1309</v>
      </c>
      <c r="B1311" s="7" t="s">
        <v>4283</v>
      </c>
      <c r="C1311" s="7" t="s">
        <v>4284</v>
      </c>
      <c r="D1311" s="7" t="s">
        <v>4283</v>
      </c>
      <c r="E1311" s="7" t="s">
        <v>50</v>
      </c>
      <c r="F1311" s="7" t="s">
        <v>4285</v>
      </c>
      <c r="G1311" s="17" t="s">
        <v>7747</v>
      </c>
      <c r="H1311" s="7" t="s">
        <v>28</v>
      </c>
      <c r="I1311" s="7" t="s">
        <v>674</v>
      </c>
      <c r="J1311" s="7" t="s">
        <v>293</v>
      </c>
      <c r="K1311" s="7" t="s">
        <v>292</v>
      </c>
      <c r="L1311" s="7" t="s">
        <v>7743</v>
      </c>
      <c r="M1311" s="7">
        <v>3.035139</v>
      </c>
      <c r="N1311" s="7">
        <v>9.9674110000000002</v>
      </c>
      <c r="O1311" s="7" t="s">
        <v>23</v>
      </c>
    </row>
    <row r="1312" spans="1:15" x14ac:dyDescent="0.25">
      <c r="A1312" s="2">
        <f t="shared" si="20"/>
        <v>1310</v>
      </c>
      <c r="B1312" s="7" t="s">
        <v>4500</v>
      </c>
      <c r="C1312" s="7" t="s">
        <v>4501</v>
      </c>
      <c r="D1312" s="7" t="s">
        <v>4500</v>
      </c>
      <c r="E1312" s="7" t="s">
        <v>50</v>
      </c>
      <c r="F1312" s="7" t="s">
        <v>4502</v>
      </c>
      <c r="G1312" s="17" t="s">
        <v>7747</v>
      </c>
      <c r="H1312" s="7" t="s">
        <v>19</v>
      </c>
      <c r="I1312" s="7" t="s">
        <v>292</v>
      </c>
      <c r="J1312" s="7" t="s">
        <v>293</v>
      </c>
      <c r="K1312" s="7" t="s">
        <v>292</v>
      </c>
      <c r="L1312" s="7" t="s">
        <v>7743</v>
      </c>
      <c r="M1312" s="7">
        <v>2.8532989999999998</v>
      </c>
      <c r="N1312" s="7">
        <v>9.8886040000000008</v>
      </c>
      <c r="O1312" s="7" t="s">
        <v>23</v>
      </c>
    </row>
    <row r="1313" spans="1:15" x14ac:dyDescent="0.25">
      <c r="A1313" s="2">
        <f t="shared" si="20"/>
        <v>1311</v>
      </c>
      <c r="B1313" s="7" t="s">
        <v>4561</v>
      </c>
      <c r="C1313" s="7" t="s">
        <v>4562</v>
      </c>
      <c r="D1313" s="7" t="s">
        <v>4561</v>
      </c>
      <c r="E1313" s="7" t="s">
        <v>50</v>
      </c>
      <c r="F1313" s="7" t="s">
        <v>4563</v>
      </c>
      <c r="G1313" s="17" t="s">
        <v>7747</v>
      </c>
      <c r="H1313" s="7" t="s">
        <v>28</v>
      </c>
      <c r="I1313" s="7" t="s">
        <v>292</v>
      </c>
      <c r="J1313" s="7" t="s">
        <v>293</v>
      </c>
      <c r="K1313" s="7" t="s">
        <v>292</v>
      </c>
      <c r="L1313" s="7" t="s">
        <v>7743</v>
      </c>
      <c r="M1313" s="7">
        <v>2.8885559999999999</v>
      </c>
      <c r="N1313" s="7">
        <v>9.9020829999999993</v>
      </c>
      <c r="O1313" s="7" t="s">
        <v>23</v>
      </c>
    </row>
    <row r="1314" spans="1:15" x14ac:dyDescent="0.25">
      <c r="A1314" s="2">
        <f t="shared" si="20"/>
        <v>1312</v>
      </c>
      <c r="B1314" s="7" t="s">
        <v>4662</v>
      </c>
      <c r="C1314" s="7" t="s">
        <v>4663</v>
      </c>
      <c r="D1314" s="7" t="s">
        <v>4662</v>
      </c>
      <c r="E1314" s="7" t="s">
        <v>50</v>
      </c>
      <c r="F1314" s="7" t="s">
        <v>4664</v>
      </c>
      <c r="G1314" s="17" t="s">
        <v>7747</v>
      </c>
      <c r="H1314" s="7" t="s">
        <v>28</v>
      </c>
      <c r="I1314" s="7" t="s">
        <v>674</v>
      </c>
      <c r="J1314" s="7" t="s">
        <v>293</v>
      </c>
      <c r="K1314" s="7" t="s">
        <v>292</v>
      </c>
      <c r="L1314" s="7" t="s">
        <v>7743</v>
      </c>
      <c r="M1314" s="7">
        <v>2.6881499999999998</v>
      </c>
      <c r="N1314" s="7">
        <v>10.070650000000001</v>
      </c>
      <c r="O1314" s="7" t="s">
        <v>23</v>
      </c>
    </row>
    <row r="1315" spans="1:15" x14ac:dyDescent="0.25">
      <c r="A1315" s="2">
        <f t="shared" si="20"/>
        <v>1313</v>
      </c>
      <c r="B1315" s="7" t="s">
        <v>4665</v>
      </c>
      <c r="C1315" s="7" t="s">
        <v>4666</v>
      </c>
      <c r="D1315" s="7" t="s">
        <v>4665</v>
      </c>
      <c r="E1315" s="7" t="s">
        <v>50</v>
      </c>
      <c r="F1315" s="7" t="s">
        <v>4667</v>
      </c>
      <c r="G1315" s="17" t="s">
        <v>7747</v>
      </c>
      <c r="H1315" s="7" t="s">
        <v>28</v>
      </c>
      <c r="I1315" s="7" t="s">
        <v>674</v>
      </c>
      <c r="J1315" s="7" t="s">
        <v>293</v>
      </c>
      <c r="K1315" s="7" t="s">
        <v>292</v>
      </c>
      <c r="L1315" s="7" t="s">
        <v>7743</v>
      </c>
      <c r="M1315" s="7">
        <v>2.6306889999999998</v>
      </c>
      <c r="N1315" s="7">
        <v>10.070092000000001</v>
      </c>
      <c r="O1315" s="7" t="s">
        <v>23</v>
      </c>
    </row>
    <row r="1316" spans="1:15" x14ac:dyDescent="0.25">
      <c r="A1316" s="2">
        <f t="shared" si="20"/>
        <v>1314</v>
      </c>
      <c r="B1316" s="7" t="s">
        <v>4719</v>
      </c>
      <c r="C1316" s="7" t="s">
        <v>4720</v>
      </c>
      <c r="D1316" s="7" t="s">
        <v>4719</v>
      </c>
      <c r="E1316" s="7" t="s">
        <v>50</v>
      </c>
      <c r="F1316" s="7" t="s">
        <v>4721</v>
      </c>
      <c r="G1316" s="17" t="s">
        <v>7747</v>
      </c>
      <c r="H1316" s="7" t="s">
        <v>19</v>
      </c>
      <c r="I1316" s="7" t="s">
        <v>292</v>
      </c>
      <c r="J1316" s="7" t="s">
        <v>293</v>
      </c>
      <c r="K1316" s="7" t="s">
        <v>292</v>
      </c>
      <c r="L1316" s="7" t="s">
        <v>7743</v>
      </c>
      <c r="M1316" s="7">
        <v>2.9329399999999999</v>
      </c>
      <c r="N1316" s="7">
        <v>9.9047499999999999</v>
      </c>
      <c r="O1316" s="7" t="s">
        <v>23</v>
      </c>
    </row>
    <row r="1317" spans="1:15" hidden="1" x14ac:dyDescent="0.25">
      <c r="A1317" s="2">
        <f t="shared" si="20"/>
        <v>1315</v>
      </c>
      <c r="B1317" s="7" t="s">
        <v>6096</v>
      </c>
      <c r="C1317" s="7" t="s">
        <v>6097</v>
      </c>
      <c r="D1317" s="7" t="s">
        <v>6096</v>
      </c>
      <c r="E1317" s="7" t="s">
        <v>250</v>
      </c>
      <c r="F1317" s="7" t="s">
        <v>6098</v>
      </c>
      <c r="G1317" s="17" t="s">
        <v>7747</v>
      </c>
      <c r="H1317" s="7" t="s">
        <v>28</v>
      </c>
      <c r="I1317" s="7" t="s">
        <v>269</v>
      </c>
      <c r="J1317" s="7" t="s">
        <v>270</v>
      </c>
      <c r="K1317" s="7" t="s">
        <v>6099</v>
      </c>
      <c r="L1317" s="7" t="s">
        <v>7743</v>
      </c>
      <c r="M1317" s="7">
        <v>2.5191759999999999</v>
      </c>
      <c r="N1317" s="7">
        <v>11.142772000000001</v>
      </c>
      <c r="O1317" s="7" t="s">
        <v>23</v>
      </c>
    </row>
    <row r="1318" spans="1:15" x14ac:dyDescent="0.25">
      <c r="A1318" s="2">
        <f t="shared" si="20"/>
        <v>1316</v>
      </c>
      <c r="B1318" s="7" t="s">
        <v>6109</v>
      </c>
      <c r="C1318" s="7" t="s">
        <v>6110</v>
      </c>
      <c r="D1318" s="7" t="s">
        <v>6109</v>
      </c>
      <c r="E1318" s="7" t="s">
        <v>50</v>
      </c>
      <c r="F1318" s="7" t="s">
        <v>2240</v>
      </c>
      <c r="G1318" s="17" t="s">
        <v>7747</v>
      </c>
      <c r="H1318" s="7" t="s">
        <v>28</v>
      </c>
      <c r="I1318" s="7" t="s">
        <v>292</v>
      </c>
      <c r="J1318" s="7" t="s">
        <v>293</v>
      </c>
      <c r="K1318" s="7" t="s">
        <v>292</v>
      </c>
      <c r="L1318" s="7" t="s">
        <v>7743</v>
      </c>
      <c r="M1318" s="7">
        <v>2.3787780000000001</v>
      </c>
      <c r="N1318" s="7">
        <v>9.8283609999999992</v>
      </c>
      <c r="O1318" s="7" t="s">
        <v>23</v>
      </c>
    </row>
    <row r="1319" spans="1:15" hidden="1" x14ac:dyDescent="0.25">
      <c r="A1319" s="2">
        <f t="shared" si="20"/>
        <v>1317</v>
      </c>
      <c r="B1319" s="7" t="s">
        <v>6117</v>
      </c>
      <c r="C1319" s="7" t="s">
        <v>6118</v>
      </c>
      <c r="D1319" s="7" t="s">
        <v>6117</v>
      </c>
      <c r="E1319" s="7" t="s">
        <v>250</v>
      </c>
      <c r="F1319" s="7" t="s">
        <v>6119</v>
      </c>
      <c r="G1319" s="17" t="s">
        <v>7747</v>
      </c>
      <c r="H1319" s="7" t="s">
        <v>28</v>
      </c>
      <c r="I1319" s="7" t="s">
        <v>269</v>
      </c>
      <c r="J1319" s="7" t="s">
        <v>270</v>
      </c>
      <c r="K1319" s="7" t="s">
        <v>6099</v>
      </c>
      <c r="L1319" s="7" t="s">
        <v>7743</v>
      </c>
      <c r="M1319" s="7">
        <v>2.6486230000000002</v>
      </c>
      <c r="N1319" s="7">
        <v>11.064057</v>
      </c>
      <c r="O1319" s="7" t="s">
        <v>23</v>
      </c>
    </row>
    <row r="1320" spans="1:15" hidden="1" x14ac:dyDescent="0.25">
      <c r="A1320" s="2">
        <f t="shared" si="20"/>
        <v>1318</v>
      </c>
      <c r="B1320" s="7" t="s">
        <v>6290</v>
      </c>
      <c r="C1320" s="7" t="s">
        <v>6291</v>
      </c>
      <c r="D1320" s="7" t="s">
        <v>6290</v>
      </c>
      <c r="E1320" s="7" t="s">
        <v>250</v>
      </c>
      <c r="F1320" s="7" t="s">
        <v>6292</v>
      </c>
      <c r="G1320" s="17" t="s">
        <v>7747</v>
      </c>
      <c r="H1320" s="7" t="s">
        <v>19</v>
      </c>
      <c r="I1320" s="7" t="s">
        <v>269</v>
      </c>
      <c r="J1320" s="7" t="s">
        <v>270</v>
      </c>
      <c r="K1320" s="7" t="s">
        <v>6099</v>
      </c>
      <c r="L1320" s="7" t="s">
        <v>7743</v>
      </c>
      <c r="M1320" s="7">
        <v>2.5399440000000002</v>
      </c>
      <c r="N1320" s="7">
        <v>11.024027999999999</v>
      </c>
      <c r="O1320" s="7" t="s">
        <v>23</v>
      </c>
    </row>
    <row r="1321" spans="1:15" hidden="1" x14ac:dyDescent="0.25">
      <c r="A1321" s="2">
        <f t="shared" si="20"/>
        <v>1319</v>
      </c>
      <c r="B1321" s="7" t="s">
        <v>6379</v>
      </c>
      <c r="C1321" s="7" t="s">
        <v>6380</v>
      </c>
      <c r="D1321" s="7" t="s">
        <v>6379</v>
      </c>
      <c r="E1321" s="7" t="s">
        <v>250</v>
      </c>
      <c r="F1321" s="7" t="s">
        <v>6381</v>
      </c>
      <c r="G1321" s="17" t="s">
        <v>7747</v>
      </c>
      <c r="H1321" s="7" t="s">
        <v>19</v>
      </c>
      <c r="I1321" s="7" t="s">
        <v>269</v>
      </c>
      <c r="J1321" s="7" t="s">
        <v>270</v>
      </c>
      <c r="K1321" s="7" t="s">
        <v>6382</v>
      </c>
      <c r="L1321" s="7" t="s">
        <v>7743</v>
      </c>
      <c r="M1321" s="7">
        <v>2.1808000000000001</v>
      </c>
      <c r="N1321" s="7">
        <v>11.335184</v>
      </c>
      <c r="O1321" s="7" t="s">
        <v>23</v>
      </c>
    </row>
    <row r="1322" spans="1:15" hidden="1" x14ac:dyDescent="0.25">
      <c r="A1322" s="2">
        <f t="shared" si="20"/>
        <v>1320</v>
      </c>
      <c r="B1322" s="7" t="s">
        <v>6383</v>
      </c>
      <c r="C1322" s="7" t="s">
        <v>6384</v>
      </c>
      <c r="D1322" s="7" t="s">
        <v>6383</v>
      </c>
      <c r="E1322" s="7" t="s">
        <v>250</v>
      </c>
      <c r="F1322" s="7" t="s">
        <v>6385</v>
      </c>
      <c r="G1322" s="17" t="s">
        <v>7747</v>
      </c>
      <c r="H1322" s="7" t="s">
        <v>28</v>
      </c>
      <c r="I1322" s="7" t="s">
        <v>269</v>
      </c>
      <c r="J1322" s="7" t="s">
        <v>270</v>
      </c>
      <c r="K1322" s="7" t="s">
        <v>6382</v>
      </c>
      <c r="L1322" s="7" t="s">
        <v>7743</v>
      </c>
      <c r="M1322" s="7">
        <v>2.1819109999999999</v>
      </c>
      <c r="N1322" s="7">
        <v>11.334358</v>
      </c>
      <c r="O1322" s="7" t="s">
        <v>23</v>
      </c>
    </row>
    <row r="1323" spans="1:15" x14ac:dyDescent="0.25">
      <c r="A1323" s="2">
        <f t="shared" si="20"/>
        <v>1321</v>
      </c>
      <c r="B1323" s="7" t="s">
        <v>6507</v>
      </c>
      <c r="C1323" s="7" t="s">
        <v>6508</v>
      </c>
      <c r="D1323" s="7" t="s">
        <v>6507</v>
      </c>
      <c r="E1323" s="7" t="s">
        <v>50</v>
      </c>
      <c r="F1323" s="7" t="s">
        <v>6509</v>
      </c>
      <c r="G1323" s="17" t="s">
        <v>7747</v>
      </c>
      <c r="H1323" s="7" t="s">
        <v>19</v>
      </c>
      <c r="I1323" s="7" t="s">
        <v>292</v>
      </c>
      <c r="J1323" s="7" t="s">
        <v>293</v>
      </c>
      <c r="K1323" s="7" t="s">
        <v>292</v>
      </c>
      <c r="L1323" s="7" t="s">
        <v>7743</v>
      </c>
      <c r="M1323" s="7">
        <v>2.61978</v>
      </c>
      <c r="N1323" s="7">
        <v>9.8464600000000004</v>
      </c>
      <c r="O1323" s="7" t="s">
        <v>23</v>
      </c>
    </row>
    <row r="1324" spans="1:15" hidden="1" x14ac:dyDescent="0.25">
      <c r="A1324" s="2">
        <f t="shared" si="20"/>
        <v>1322</v>
      </c>
      <c r="B1324" s="7" t="s">
        <v>6536</v>
      </c>
      <c r="C1324" s="7" t="s">
        <v>6537</v>
      </c>
      <c r="D1324" s="7" t="s">
        <v>6536</v>
      </c>
      <c r="E1324" s="7" t="s">
        <v>250</v>
      </c>
      <c r="F1324" s="7" t="s">
        <v>6538</v>
      </c>
      <c r="G1324" s="17" t="s">
        <v>7747</v>
      </c>
      <c r="H1324" s="7" t="s">
        <v>28</v>
      </c>
      <c r="I1324" s="7" t="s">
        <v>311</v>
      </c>
      <c r="J1324" s="7" t="s">
        <v>293</v>
      </c>
      <c r="K1324" s="7" t="s">
        <v>6538</v>
      </c>
      <c r="L1324" s="7" t="s">
        <v>7743</v>
      </c>
      <c r="M1324" s="7">
        <v>3.0897999999999999</v>
      </c>
      <c r="N1324" s="7">
        <v>10.412788000000001</v>
      </c>
      <c r="O1324" s="7" t="s">
        <v>23</v>
      </c>
    </row>
    <row r="1325" spans="1:15" x14ac:dyDescent="0.25">
      <c r="A1325" s="2">
        <f t="shared" si="20"/>
        <v>1323</v>
      </c>
      <c r="B1325" s="7" t="s">
        <v>6782</v>
      </c>
      <c r="C1325" s="7" t="s">
        <v>6783</v>
      </c>
      <c r="D1325" s="7" t="s">
        <v>6782</v>
      </c>
      <c r="E1325" s="7" t="s">
        <v>50</v>
      </c>
      <c r="F1325" s="7" t="s">
        <v>6784</v>
      </c>
      <c r="G1325" s="17" t="s">
        <v>7747</v>
      </c>
      <c r="H1325" s="7" t="s">
        <v>28</v>
      </c>
      <c r="I1325" s="7" t="s">
        <v>674</v>
      </c>
      <c r="J1325" s="7" t="s">
        <v>293</v>
      </c>
      <c r="K1325" s="7" t="s">
        <v>292</v>
      </c>
      <c r="L1325" s="7" t="s">
        <v>7743</v>
      </c>
      <c r="M1325" s="7">
        <v>2.96848</v>
      </c>
      <c r="N1325" s="7">
        <v>9.9149799999999999</v>
      </c>
      <c r="O1325" s="7" t="s">
        <v>23</v>
      </c>
    </row>
    <row r="1326" spans="1:15" hidden="1" x14ac:dyDescent="0.25">
      <c r="A1326" s="2">
        <f t="shared" si="20"/>
        <v>1324</v>
      </c>
      <c r="B1326" s="7" t="s">
        <v>6785</v>
      </c>
      <c r="C1326" s="7" t="s">
        <v>6786</v>
      </c>
      <c r="D1326" s="7" t="s">
        <v>6785</v>
      </c>
      <c r="E1326" s="7" t="s">
        <v>250</v>
      </c>
      <c r="F1326" s="7" t="s">
        <v>6787</v>
      </c>
      <c r="G1326" s="17" t="s">
        <v>7747</v>
      </c>
      <c r="H1326" s="7" t="s">
        <v>28</v>
      </c>
      <c r="I1326" s="7" t="s">
        <v>269</v>
      </c>
      <c r="J1326" s="7" t="s">
        <v>270</v>
      </c>
      <c r="K1326" s="7" t="s">
        <v>303</v>
      </c>
      <c r="L1326" s="7" t="s">
        <v>7743</v>
      </c>
      <c r="M1326" s="7">
        <v>2.4319999999999999</v>
      </c>
      <c r="N1326" s="7">
        <v>10.521583</v>
      </c>
      <c r="O1326" s="7" t="s">
        <v>23</v>
      </c>
    </row>
    <row r="1327" spans="1:15" x14ac:dyDescent="0.25">
      <c r="A1327" s="2">
        <f t="shared" si="20"/>
        <v>1325</v>
      </c>
      <c r="B1327" s="7" t="s">
        <v>6807</v>
      </c>
      <c r="C1327" s="7" t="s">
        <v>6808</v>
      </c>
      <c r="D1327" s="7" t="s">
        <v>6807</v>
      </c>
      <c r="E1327" s="7" t="s">
        <v>50</v>
      </c>
      <c r="F1327" s="7" t="s">
        <v>6809</v>
      </c>
      <c r="G1327" s="17" t="s">
        <v>7747</v>
      </c>
      <c r="H1327" s="7" t="s">
        <v>28</v>
      </c>
      <c r="I1327" s="7" t="s">
        <v>674</v>
      </c>
      <c r="J1327" s="7" t="s">
        <v>293</v>
      </c>
      <c r="K1327" s="7" t="s">
        <v>292</v>
      </c>
      <c r="L1327" s="7" t="s">
        <v>7743</v>
      </c>
      <c r="M1327" s="7">
        <v>2.9341390000000001</v>
      </c>
      <c r="N1327" s="7">
        <v>10.001721999999999</v>
      </c>
      <c r="O1327" s="7" t="s">
        <v>23</v>
      </c>
    </row>
    <row r="1328" spans="1:15" x14ac:dyDescent="0.25">
      <c r="A1328" s="2">
        <f t="shared" si="20"/>
        <v>1326</v>
      </c>
      <c r="B1328" s="7" t="s">
        <v>6816</v>
      </c>
      <c r="C1328" s="7" t="s">
        <v>6817</v>
      </c>
      <c r="D1328" s="7" t="s">
        <v>6816</v>
      </c>
      <c r="E1328" s="7" t="s">
        <v>50</v>
      </c>
      <c r="F1328" s="7" t="s">
        <v>6818</v>
      </c>
      <c r="G1328" s="17" t="s">
        <v>7747</v>
      </c>
      <c r="H1328" s="7" t="s">
        <v>28</v>
      </c>
      <c r="I1328" s="7" t="s">
        <v>292</v>
      </c>
      <c r="J1328" s="7" t="s">
        <v>293</v>
      </c>
      <c r="K1328" s="7" t="s">
        <v>674</v>
      </c>
      <c r="L1328" s="7" t="s">
        <v>7743</v>
      </c>
      <c r="M1328" s="7">
        <v>3.0541610000000001</v>
      </c>
      <c r="N1328" s="7">
        <v>10.110839</v>
      </c>
      <c r="O1328" s="7" t="s">
        <v>23</v>
      </c>
    </row>
    <row r="1329" spans="1:15" x14ac:dyDescent="0.25">
      <c r="A1329" s="2">
        <f t="shared" si="20"/>
        <v>1327</v>
      </c>
      <c r="B1329" s="7" t="s">
        <v>6887</v>
      </c>
      <c r="C1329" s="7" t="s">
        <v>6888</v>
      </c>
      <c r="D1329" s="7" t="s">
        <v>6887</v>
      </c>
      <c r="E1329" s="7" t="s">
        <v>50</v>
      </c>
      <c r="F1329" s="7" t="s">
        <v>6889</v>
      </c>
      <c r="G1329" s="17" t="s">
        <v>7747</v>
      </c>
      <c r="H1329" s="7" t="s">
        <v>28</v>
      </c>
      <c r="I1329" s="7" t="s">
        <v>292</v>
      </c>
      <c r="J1329" s="7" t="s">
        <v>293</v>
      </c>
      <c r="K1329" s="7" t="s">
        <v>292</v>
      </c>
      <c r="L1329" s="7" t="s">
        <v>7743</v>
      </c>
      <c r="M1329" s="7">
        <v>2.712663</v>
      </c>
      <c r="N1329" s="7">
        <v>9.8644879999999997</v>
      </c>
      <c r="O1329" s="7" t="s">
        <v>23</v>
      </c>
    </row>
    <row r="1330" spans="1:15" hidden="1" x14ac:dyDescent="0.25">
      <c r="A1330" s="2">
        <f t="shared" si="20"/>
        <v>1328</v>
      </c>
      <c r="B1330" s="7" t="s">
        <v>6912</v>
      </c>
      <c r="C1330" s="7" t="s">
        <v>6913</v>
      </c>
      <c r="D1330" s="7" t="s">
        <v>6912</v>
      </c>
      <c r="E1330" s="7" t="s">
        <v>250</v>
      </c>
      <c r="F1330" s="7" t="s">
        <v>6099</v>
      </c>
      <c r="G1330" s="17" t="s">
        <v>7747</v>
      </c>
      <c r="H1330" s="7" t="s">
        <v>19</v>
      </c>
      <c r="I1330" s="7" t="s">
        <v>269</v>
      </c>
      <c r="J1330" s="7" t="s">
        <v>270</v>
      </c>
      <c r="K1330" s="7" t="s">
        <v>269</v>
      </c>
      <c r="L1330" s="7" t="s">
        <v>7743</v>
      </c>
      <c r="M1330" s="7">
        <v>2.3863270000000001</v>
      </c>
      <c r="N1330" s="7">
        <v>11.264132</v>
      </c>
      <c r="O1330" s="7" t="s">
        <v>23</v>
      </c>
    </row>
    <row r="1331" spans="1:15" x14ac:dyDescent="0.25">
      <c r="A1331" s="2">
        <f t="shared" si="20"/>
        <v>1329</v>
      </c>
      <c r="B1331" s="7" t="s">
        <v>7094</v>
      </c>
      <c r="C1331" s="7" t="s">
        <v>7095</v>
      </c>
      <c r="D1331" s="7" t="s">
        <v>7094</v>
      </c>
      <c r="E1331" s="7" t="s">
        <v>50</v>
      </c>
      <c r="F1331" s="7" t="s">
        <v>7096</v>
      </c>
      <c r="G1331" s="17" t="s">
        <v>7747</v>
      </c>
      <c r="H1331" s="7" t="s">
        <v>28</v>
      </c>
      <c r="I1331" s="7" t="s">
        <v>292</v>
      </c>
      <c r="J1331" s="7" t="s">
        <v>293</v>
      </c>
      <c r="K1331" s="7" t="s">
        <v>292</v>
      </c>
      <c r="L1331" s="7" t="s">
        <v>7743</v>
      </c>
      <c r="M1331" s="7">
        <v>2.7548900000000001</v>
      </c>
      <c r="N1331" s="7">
        <v>9.880865</v>
      </c>
      <c r="O1331" s="7" t="s">
        <v>23</v>
      </c>
    </row>
    <row r="1332" spans="1:15" x14ac:dyDescent="0.25">
      <c r="A1332" s="2">
        <f t="shared" si="20"/>
        <v>1330</v>
      </c>
      <c r="B1332" s="7" t="s">
        <v>7266</v>
      </c>
      <c r="C1332" s="7" t="s">
        <v>7267</v>
      </c>
      <c r="D1332" s="7" t="s">
        <v>7266</v>
      </c>
      <c r="E1332" s="7" t="s">
        <v>50</v>
      </c>
      <c r="F1332" s="7" t="s">
        <v>7268</v>
      </c>
      <c r="G1332" s="17" t="s">
        <v>7747</v>
      </c>
      <c r="H1332" s="7" t="s">
        <v>28</v>
      </c>
      <c r="I1332" s="7" t="s">
        <v>292</v>
      </c>
      <c r="J1332" s="7" t="s">
        <v>293</v>
      </c>
      <c r="K1332" s="7" t="s">
        <v>292</v>
      </c>
      <c r="L1332" s="7" t="s">
        <v>7743</v>
      </c>
      <c r="M1332" s="7">
        <v>2.9455505</v>
      </c>
      <c r="N1332" s="7">
        <v>9.9166817999999992</v>
      </c>
      <c r="O1332" s="7" t="s">
        <v>23</v>
      </c>
    </row>
    <row r="1333" spans="1:15" x14ac:dyDescent="0.25">
      <c r="A1333" s="2">
        <f t="shared" si="20"/>
        <v>1331</v>
      </c>
      <c r="B1333" s="7" t="s">
        <v>7584</v>
      </c>
      <c r="C1333" s="7" t="s">
        <v>7585</v>
      </c>
      <c r="D1333" s="7" t="s">
        <v>7584</v>
      </c>
      <c r="E1333" s="7" t="s">
        <v>50</v>
      </c>
      <c r="F1333" s="7" t="s">
        <v>7586</v>
      </c>
      <c r="G1333" s="17" t="s">
        <v>7747</v>
      </c>
      <c r="H1333" s="7" t="s">
        <v>28</v>
      </c>
      <c r="I1333" s="7" t="s">
        <v>292</v>
      </c>
      <c r="J1333" s="7" t="s">
        <v>293</v>
      </c>
      <c r="K1333" s="7" t="s">
        <v>292</v>
      </c>
      <c r="L1333" s="7" t="s">
        <v>7743</v>
      </c>
      <c r="M1333" s="7">
        <v>3.010615</v>
      </c>
      <c r="N1333" s="7">
        <v>10.33207</v>
      </c>
      <c r="O1333" s="7" t="s">
        <v>23</v>
      </c>
    </row>
    <row r="1334" spans="1:15" x14ac:dyDescent="0.25">
      <c r="A1334" s="2">
        <f t="shared" si="20"/>
        <v>1332</v>
      </c>
      <c r="B1334" s="7" t="s">
        <v>7587</v>
      </c>
      <c r="C1334" s="7" t="s">
        <v>7588</v>
      </c>
      <c r="D1334" s="7" t="s">
        <v>7587</v>
      </c>
      <c r="E1334" s="7" t="s">
        <v>50</v>
      </c>
      <c r="F1334" s="7" t="s">
        <v>7589</v>
      </c>
      <c r="G1334" s="17" t="s">
        <v>7747</v>
      </c>
      <c r="H1334" s="7" t="s">
        <v>28</v>
      </c>
      <c r="I1334" s="7" t="s">
        <v>674</v>
      </c>
      <c r="J1334" s="7" t="s">
        <v>293</v>
      </c>
      <c r="K1334" s="7" t="s">
        <v>674</v>
      </c>
      <c r="L1334" s="7" t="s">
        <v>7743</v>
      </c>
      <c r="M1334" s="7">
        <v>2.6154999999999999</v>
      </c>
      <c r="N1334" s="7">
        <v>9.9518000000000004</v>
      </c>
      <c r="O1334" s="7" t="s">
        <v>23</v>
      </c>
    </row>
    <row r="1335" spans="1:15" hidden="1" x14ac:dyDescent="0.25">
      <c r="A1335" s="2">
        <f t="shared" si="20"/>
        <v>1333</v>
      </c>
      <c r="B1335" s="7" t="s">
        <v>7701</v>
      </c>
      <c r="C1335" s="7" t="s">
        <v>7702</v>
      </c>
      <c r="D1335" s="7" t="s">
        <v>7701</v>
      </c>
      <c r="E1335" s="7" t="s">
        <v>7703</v>
      </c>
      <c r="F1335" s="11" t="s">
        <v>7704</v>
      </c>
      <c r="G1335" s="17" t="s">
        <v>7747</v>
      </c>
      <c r="H1335" s="7" t="s">
        <v>28</v>
      </c>
      <c r="I1335" s="7"/>
      <c r="J1335" s="7" t="s">
        <v>293</v>
      </c>
      <c r="K1335" s="7" t="s">
        <v>7705</v>
      </c>
      <c r="L1335" s="7" t="s">
        <v>7743</v>
      </c>
      <c r="M1335" s="12">
        <v>2.9628230000000002</v>
      </c>
      <c r="N1335" s="12">
        <v>9.9211899999999993</v>
      </c>
      <c r="O1335" s="7" t="s">
        <v>23</v>
      </c>
    </row>
    <row r="1336" spans="1:15" x14ac:dyDescent="0.25">
      <c r="A1336" s="2">
        <f t="shared" si="20"/>
        <v>1334</v>
      </c>
      <c r="B1336" s="7" t="s">
        <v>105</v>
      </c>
      <c r="C1336" s="7" t="s">
        <v>106</v>
      </c>
      <c r="D1336" s="7" t="s">
        <v>105</v>
      </c>
      <c r="E1336" s="7" t="s">
        <v>34</v>
      </c>
      <c r="F1336" s="7" t="s">
        <v>107</v>
      </c>
      <c r="G1336" s="8" t="s">
        <v>18</v>
      </c>
      <c r="H1336" s="7" t="s">
        <v>28</v>
      </c>
      <c r="I1336" s="7" t="s">
        <v>108</v>
      </c>
      <c r="J1336" s="7" t="s">
        <v>109</v>
      </c>
      <c r="K1336" s="7" t="s">
        <v>110</v>
      </c>
      <c r="L1336" s="7" t="s">
        <v>108</v>
      </c>
      <c r="M1336" s="7">
        <v>4.68642</v>
      </c>
      <c r="N1336" s="7">
        <v>9.5138999999999996</v>
      </c>
      <c r="O1336" s="7" t="s">
        <v>23</v>
      </c>
    </row>
    <row r="1337" spans="1:15" x14ac:dyDescent="0.25">
      <c r="A1337" s="2">
        <f t="shared" si="20"/>
        <v>1335</v>
      </c>
      <c r="B1337" s="7" t="s">
        <v>187</v>
      </c>
      <c r="C1337" s="7" t="s">
        <v>188</v>
      </c>
      <c r="D1337" s="7" t="s">
        <v>187</v>
      </c>
      <c r="E1337" s="7" t="s">
        <v>34</v>
      </c>
      <c r="F1337" s="7" t="s">
        <v>189</v>
      </c>
      <c r="G1337" s="8" t="s">
        <v>18</v>
      </c>
      <c r="H1337" s="7" t="s">
        <v>28</v>
      </c>
      <c r="I1337" s="7" t="s">
        <v>108</v>
      </c>
      <c r="J1337" s="7" t="s">
        <v>109</v>
      </c>
      <c r="K1337" s="7" t="s">
        <v>190</v>
      </c>
      <c r="L1337" s="7" t="s">
        <v>108</v>
      </c>
      <c r="M1337" s="7">
        <v>4.6074999999999999</v>
      </c>
      <c r="N1337" s="7">
        <v>9.3800000000000008</v>
      </c>
      <c r="O1337" s="7" t="s">
        <v>23</v>
      </c>
    </row>
    <row r="1338" spans="1:15" x14ac:dyDescent="0.25">
      <c r="A1338" s="2">
        <f t="shared" si="20"/>
        <v>1336</v>
      </c>
      <c r="B1338" s="7" t="s">
        <v>353</v>
      </c>
      <c r="C1338" s="7" t="s">
        <v>354</v>
      </c>
      <c r="D1338" s="7" t="s">
        <v>353</v>
      </c>
      <c r="E1338" s="7" t="s">
        <v>34</v>
      </c>
      <c r="F1338" s="7" t="s">
        <v>355</v>
      </c>
      <c r="G1338" s="8" t="s">
        <v>18</v>
      </c>
      <c r="H1338" s="7" t="s">
        <v>19</v>
      </c>
      <c r="I1338" s="7" t="s">
        <v>356</v>
      </c>
      <c r="J1338" s="7" t="s">
        <v>152</v>
      </c>
      <c r="K1338" s="7" t="s">
        <v>357</v>
      </c>
      <c r="L1338" s="7" t="s">
        <v>108</v>
      </c>
      <c r="M1338" s="7">
        <v>4.6091199999999999</v>
      </c>
      <c r="N1338" s="7">
        <v>9.643122</v>
      </c>
      <c r="O1338" s="7" t="s">
        <v>23</v>
      </c>
    </row>
    <row r="1339" spans="1:15" x14ac:dyDescent="0.25">
      <c r="A1339" s="2">
        <f t="shared" si="20"/>
        <v>1337</v>
      </c>
      <c r="B1339" s="7" t="s">
        <v>358</v>
      </c>
      <c r="C1339" s="7" t="s">
        <v>359</v>
      </c>
      <c r="D1339" s="7" t="s">
        <v>358</v>
      </c>
      <c r="E1339" s="7" t="s">
        <v>34</v>
      </c>
      <c r="F1339" s="7" t="s">
        <v>360</v>
      </c>
      <c r="G1339" s="8" t="s">
        <v>18</v>
      </c>
      <c r="H1339" s="7" t="s">
        <v>28</v>
      </c>
      <c r="I1339" s="7" t="s">
        <v>356</v>
      </c>
      <c r="J1339" s="7" t="s">
        <v>152</v>
      </c>
      <c r="K1339" s="7" t="s">
        <v>361</v>
      </c>
      <c r="L1339" s="7" t="s">
        <v>108</v>
      </c>
      <c r="M1339" s="7">
        <v>4.5862600000000002</v>
      </c>
      <c r="N1339" s="7">
        <v>9.6535299999999999</v>
      </c>
      <c r="O1339" s="7" t="s">
        <v>23</v>
      </c>
    </row>
    <row r="1340" spans="1:15" x14ac:dyDescent="0.25">
      <c r="A1340" s="2">
        <f t="shared" si="20"/>
        <v>1338</v>
      </c>
      <c r="B1340" s="7" t="s">
        <v>455</v>
      </c>
      <c r="C1340" s="7" t="s">
        <v>456</v>
      </c>
      <c r="D1340" s="7" t="s">
        <v>455</v>
      </c>
      <c r="E1340" s="7" t="s">
        <v>34</v>
      </c>
      <c r="F1340" s="7" t="s">
        <v>457</v>
      </c>
      <c r="G1340" s="8" t="s">
        <v>18</v>
      </c>
      <c r="H1340" s="7" t="s">
        <v>28</v>
      </c>
      <c r="I1340" s="7" t="s">
        <v>458</v>
      </c>
      <c r="J1340" s="7" t="s">
        <v>459</v>
      </c>
      <c r="K1340" s="7" t="s">
        <v>457</v>
      </c>
      <c r="L1340" s="7" t="s">
        <v>108</v>
      </c>
      <c r="M1340" s="7">
        <v>4.9620277780000004</v>
      </c>
      <c r="N1340" s="7">
        <v>8.8939722220000004</v>
      </c>
      <c r="O1340" s="7" t="s">
        <v>23</v>
      </c>
    </row>
    <row r="1341" spans="1:15" x14ac:dyDescent="0.25">
      <c r="A1341" s="2">
        <f t="shared" si="20"/>
        <v>1339</v>
      </c>
      <c r="B1341" s="7" t="s">
        <v>532</v>
      </c>
      <c r="C1341" s="7" t="s">
        <v>533</v>
      </c>
      <c r="D1341" s="7" t="s">
        <v>532</v>
      </c>
      <c r="E1341" s="7" t="s">
        <v>34</v>
      </c>
      <c r="F1341" s="7" t="s">
        <v>190</v>
      </c>
      <c r="G1341" s="8" t="s">
        <v>18</v>
      </c>
      <c r="H1341" s="7" t="s">
        <v>28</v>
      </c>
      <c r="I1341" s="7" t="s">
        <v>458</v>
      </c>
      <c r="J1341" s="7" t="s">
        <v>459</v>
      </c>
      <c r="K1341" s="7" t="s">
        <v>190</v>
      </c>
      <c r="L1341" s="7" t="s">
        <v>108</v>
      </c>
      <c r="M1341" s="7">
        <v>4.5538949999999998</v>
      </c>
      <c r="N1341" s="7">
        <v>9.0729439999999997</v>
      </c>
      <c r="O1341" s="7" t="s">
        <v>23</v>
      </c>
    </row>
    <row r="1342" spans="1:15" x14ac:dyDescent="0.25">
      <c r="A1342" s="2">
        <f t="shared" si="20"/>
        <v>1340</v>
      </c>
      <c r="B1342" s="7" t="s">
        <v>667</v>
      </c>
      <c r="C1342" s="7" t="s">
        <v>668</v>
      </c>
      <c r="D1342" s="7" t="s">
        <v>667</v>
      </c>
      <c r="E1342" s="7" t="s">
        <v>34</v>
      </c>
      <c r="F1342" s="7" t="s">
        <v>669</v>
      </c>
      <c r="G1342" s="8" t="s">
        <v>18</v>
      </c>
      <c r="H1342" s="7" t="s">
        <v>28</v>
      </c>
      <c r="I1342" s="7" t="s">
        <v>108</v>
      </c>
      <c r="J1342" s="7" t="s">
        <v>670</v>
      </c>
      <c r="K1342" s="7" t="s">
        <v>110</v>
      </c>
      <c r="L1342" s="7" t="s">
        <v>108</v>
      </c>
      <c r="M1342" s="7">
        <v>4.595421</v>
      </c>
      <c r="N1342" s="7">
        <v>9.4671450000000004</v>
      </c>
      <c r="O1342" s="7" t="s">
        <v>23</v>
      </c>
    </row>
    <row r="1343" spans="1:15" x14ac:dyDescent="0.25">
      <c r="A1343" s="2">
        <f t="shared" si="20"/>
        <v>1341</v>
      </c>
      <c r="B1343" s="7" t="s">
        <v>696</v>
      </c>
      <c r="C1343" s="7" t="s">
        <v>697</v>
      </c>
      <c r="D1343" s="7" t="s">
        <v>696</v>
      </c>
      <c r="E1343" s="7" t="s">
        <v>34</v>
      </c>
      <c r="F1343" s="7" t="s">
        <v>698</v>
      </c>
      <c r="G1343" s="8" t="s">
        <v>18</v>
      </c>
      <c r="H1343" s="7" t="s">
        <v>28</v>
      </c>
      <c r="I1343" s="7" t="s">
        <v>108</v>
      </c>
      <c r="J1343" s="7" t="s">
        <v>109</v>
      </c>
      <c r="K1343" s="7" t="s">
        <v>698</v>
      </c>
      <c r="L1343" s="7" t="s">
        <v>108</v>
      </c>
      <c r="M1343" s="7">
        <v>4.9344440000000001</v>
      </c>
      <c r="N1343" s="7">
        <v>9.4775559999999999</v>
      </c>
      <c r="O1343" s="7" t="s">
        <v>23</v>
      </c>
    </row>
    <row r="1344" spans="1:15" x14ac:dyDescent="0.25">
      <c r="A1344" s="2">
        <f t="shared" si="20"/>
        <v>1342</v>
      </c>
      <c r="B1344" s="7" t="s">
        <v>723</v>
      </c>
      <c r="C1344" s="7" t="s">
        <v>724</v>
      </c>
      <c r="D1344" s="7" t="s">
        <v>723</v>
      </c>
      <c r="E1344" s="7" t="s">
        <v>34</v>
      </c>
      <c r="F1344" s="7" t="s">
        <v>725</v>
      </c>
      <c r="G1344" s="8" t="s">
        <v>18</v>
      </c>
      <c r="H1344" s="7" t="s">
        <v>28</v>
      </c>
      <c r="I1344" s="7" t="s">
        <v>458</v>
      </c>
      <c r="J1344" s="7" t="s">
        <v>459</v>
      </c>
      <c r="K1344" s="7" t="s">
        <v>726</v>
      </c>
      <c r="L1344" s="7" t="s">
        <v>108</v>
      </c>
      <c r="M1344" s="7">
        <v>4.8194166669999996</v>
      </c>
      <c r="N1344" s="7">
        <v>8.9054722220000002</v>
      </c>
      <c r="O1344" s="7" t="s">
        <v>23</v>
      </c>
    </row>
    <row r="1345" spans="1:15" x14ac:dyDescent="0.25">
      <c r="A1345" s="2">
        <f t="shared" si="20"/>
        <v>1343</v>
      </c>
      <c r="B1345" s="7" t="s">
        <v>752</v>
      </c>
      <c r="C1345" s="7" t="s">
        <v>753</v>
      </c>
      <c r="D1345" s="7" t="s">
        <v>752</v>
      </c>
      <c r="E1345" s="7" t="s">
        <v>34</v>
      </c>
      <c r="F1345" s="7" t="s">
        <v>754</v>
      </c>
      <c r="G1345" s="8" t="s">
        <v>36</v>
      </c>
      <c r="H1345" s="7" t="s">
        <v>28</v>
      </c>
      <c r="I1345" s="7" t="s">
        <v>108</v>
      </c>
      <c r="J1345" s="7" t="s">
        <v>109</v>
      </c>
      <c r="K1345" s="7" t="s">
        <v>190</v>
      </c>
      <c r="L1345" s="7" t="s">
        <v>108</v>
      </c>
      <c r="M1345" s="7">
        <v>4.5503609999999997</v>
      </c>
      <c r="N1345" s="7">
        <v>9.2853060000000003</v>
      </c>
      <c r="O1345" s="7" t="s">
        <v>23</v>
      </c>
    </row>
    <row r="1346" spans="1:15" x14ac:dyDescent="0.25">
      <c r="A1346" s="2">
        <f t="shared" si="20"/>
        <v>1344</v>
      </c>
      <c r="B1346" s="7" t="s">
        <v>893</v>
      </c>
      <c r="C1346" s="7" t="s">
        <v>894</v>
      </c>
      <c r="D1346" s="7" t="s">
        <v>893</v>
      </c>
      <c r="E1346" s="7" t="s">
        <v>34</v>
      </c>
      <c r="F1346" s="7" t="s">
        <v>895</v>
      </c>
      <c r="G1346" s="8" t="s">
        <v>896</v>
      </c>
      <c r="H1346" s="7" t="s">
        <v>28</v>
      </c>
      <c r="I1346" s="7" t="s">
        <v>108</v>
      </c>
      <c r="J1346" s="7" t="s">
        <v>109</v>
      </c>
      <c r="K1346" s="7" t="s">
        <v>897</v>
      </c>
      <c r="L1346" s="7" t="s">
        <v>108</v>
      </c>
      <c r="M1346" s="7">
        <v>4.8994444440000002</v>
      </c>
      <c r="N1346" s="7">
        <v>9.2570833330000006</v>
      </c>
      <c r="O1346" s="7" t="s">
        <v>23</v>
      </c>
    </row>
    <row r="1347" spans="1:15" x14ac:dyDescent="0.25">
      <c r="A1347" s="2">
        <f t="shared" si="20"/>
        <v>1345</v>
      </c>
      <c r="B1347" s="7" t="s">
        <v>977</v>
      </c>
      <c r="C1347" s="7" t="s">
        <v>978</v>
      </c>
      <c r="D1347" s="7" t="s">
        <v>977</v>
      </c>
      <c r="E1347" s="7" t="s">
        <v>34</v>
      </c>
      <c r="F1347" s="7" t="s">
        <v>979</v>
      </c>
      <c r="G1347" s="8" t="s">
        <v>18</v>
      </c>
      <c r="H1347" s="7" t="s">
        <v>28</v>
      </c>
      <c r="I1347" s="7" t="s">
        <v>108</v>
      </c>
      <c r="J1347" s="7" t="s">
        <v>109</v>
      </c>
      <c r="K1347" s="7" t="s">
        <v>897</v>
      </c>
      <c r="L1347" s="7" t="s">
        <v>108</v>
      </c>
      <c r="M1347" s="7">
        <v>4.7874444440000001</v>
      </c>
      <c r="N1347" s="7">
        <v>9.2336388889999998</v>
      </c>
      <c r="O1347" s="7" t="s">
        <v>23</v>
      </c>
    </row>
    <row r="1348" spans="1:15" x14ac:dyDescent="0.25">
      <c r="A1348" s="2">
        <f t="shared" si="20"/>
        <v>1346</v>
      </c>
      <c r="B1348" s="7" t="s">
        <v>1386</v>
      </c>
      <c r="C1348" s="7" t="s">
        <v>1387</v>
      </c>
      <c r="D1348" s="7" t="s">
        <v>1386</v>
      </c>
      <c r="E1348" s="7" t="s">
        <v>34</v>
      </c>
      <c r="F1348" s="7" t="s">
        <v>1388</v>
      </c>
      <c r="G1348" s="8" t="s">
        <v>18</v>
      </c>
      <c r="H1348" s="7" t="s">
        <v>28</v>
      </c>
      <c r="I1348" s="7" t="s">
        <v>108</v>
      </c>
      <c r="J1348" s="7" t="s">
        <v>670</v>
      </c>
      <c r="K1348" s="7" t="s">
        <v>1389</v>
      </c>
      <c r="L1348" s="7" t="s">
        <v>108</v>
      </c>
      <c r="M1348" s="7">
        <v>4.6207289999999999</v>
      </c>
      <c r="N1348" s="7">
        <v>9.4361519999999999</v>
      </c>
      <c r="O1348" s="7" t="s">
        <v>23</v>
      </c>
    </row>
    <row r="1349" spans="1:15" x14ac:dyDescent="0.25">
      <c r="A1349" s="2">
        <f t="shared" ref="A1349:A1412" si="21">+A1348+1</f>
        <v>1347</v>
      </c>
      <c r="B1349" s="7" t="s">
        <v>1479</v>
      </c>
      <c r="C1349" s="7" t="s">
        <v>1480</v>
      </c>
      <c r="D1349" s="7" t="s">
        <v>1479</v>
      </c>
      <c r="E1349" s="7" t="s">
        <v>34</v>
      </c>
      <c r="F1349" s="7" t="s">
        <v>1481</v>
      </c>
      <c r="G1349" s="8" t="s">
        <v>18</v>
      </c>
      <c r="H1349" s="7" t="s">
        <v>28</v>
      </c>
      <c r="I1349" s="7" t="s">
        <v>108</v>
      </c>
      <c r="J1349" s="7" t="s">
        <v>670</v>
      </c>
      <c r="K1349" s="7" t="s">
        <v>1389</v>
      </c>
      <c r="L1349" s="7" t="s">
        <v>108</v>
      </c>
      <c r="M1349" s="7">
        <v>4.6276780000000004</v>
      </c>
      <c r="N1349" s="7">
        <v>9.4312529999999999</v>
      </c>
      <c r="O1349" s="7" t="s">
        <v>23</v>
      </c>
    </row>
    <row r="1350" spans="1:15" x14ac:dyDescent="0.25">
      <c r="A1350" s="2">
        <f t="shared" si="21"/>
        <v>1348</v>
      </c>
      <c r="B1350" s="7" t="s">
        <v>1491</v>
      </c>
      <c r="C1350" s="7" t="s">
        <v>1492</v>
      </c>
      <c r="D1350" s="7" t="s">
        <v>1491</v>
      </c>
      <c r="E1350" s="7" t="s">
        <v>34</v>
      </c>
      <c r="F1350" s="7" t="s">
        <v>1493</v>
      </c>
      <c r="G1350" s="8" t="s">
        <v>18</v>
      </c>
      <c r="H1350" s="7" t="s">
        <v>28</v>
      </c>
      <c r="I1350" s="7" t="s">
        <v>458</v>
      </c>
      <c r="J1350" s="7" t="s">
        <v>670</v>
      </c>
      <c r="K1350" s="7" t="s">
        <v>190</v>
      </c>
      <c r="L1350" s="7" t="s">
        <v>108</v>
      </c>
      <c r="M1350" s="7">
        <v>4.569</v>
      </c>
      <c r="N1350" s="7">
        <v>9.1219000000000001</v>
      </c>
      <c r="O1350" s="7" t="s">
        <v>23</v>
      </c>
    </row>
    <row r="1351" spans="1:15" x14ac:dyDescent="0.25">
      <c r="A1351" s="2">
        <f t="shared" si="21"/>
        <v>1349</v>
      </c>
      <c r="B1351" s="7" t="s">
        <v>1503</v>
      </c>
      <c r="C1351" s="7" t="s">
        <v>1504</v>
      </c>
      <c r="D1351" s="7" t="s">
        <v>1503</v>
      </c>
      <c r="E1351" s="7" t="s">
        <v>34</v>
      </c>
      <c r="F1351" s="7" t="s">
        <v>1505</v>
      </c>
      <c r="G1351" s="8" t="s">
        <v>18</v>
      </c>
      <c r="H1351" s="7" t="s">
        <v>28</v>
      </c>
      <c r="I1351" s="7" t="s">
        <v>458</v>
      </c>
      <c r="J1351" s="7" t="s">
        <v>459</v>
      </c>
      <c r="K1351" s="7" t="s">
        <v>1506</v>
      </c>
      <c r="L1351" s="7" t="s">
        <v>108</v>
      </c>
      <c r="M1351" s="7">
        <v>4.6097099999999998</v>
      </c>
      <c r="N1351" s="7">
        <v>9.0896519999999992</v>
      </c>
      <c r="O1351" s="7" t="s">
        <v>23</v>
      </c>
    </row>
    <row r="1352" spans="1:15" x14ac:dyDescent="0.25">
      <c r="A1352" s="2">
        <f t="shared" si="21"/>
        <v>1350</v>
      </c>
      <c r="B1352" s="7" t="s">
        <v>1816</v>
      </c>
      <c r="C1352" s="7" t="s">
        <v>1817</v>
      </c>
      <c r="D1352" s="7" t="s">
        <v>1816</v>
      </c>
      <c r="E1352" s="7" t="s">
        <v>34</v>
      </c>
      <c r="F1352" s="7" t="s">
        <v>1818</v>
      </c>
      <c r="G1352" s="17" t="s">
        <v>7747</v>
      </c>
      <c r="H1352" s="7" t="s">
        <v>19</v>
      </c>
      <c r="I1352" s="7" t="s">
        <v>356</v>
      </c>
      <c r="J1352" s="7" t="s">
        <v>152</v>
      </c>
      <c r="K1352" s="7" t="s">
        <v>361</v>
      </c>
      <c r="L1352" s="7" t="s">
        <v>108</v>
      </c>
      <c r="M1352" s="7">
        <v>4.5905250000000004</v>
      </c>
      <c r="N1352" s="7">
        <v>9.6474440000000001</v>
      </c>
      <c r="O1352" s="7" t="s">
        <v>23</v>
      </c>
    </row>
    <row r="1353" spans="1:15" x14ac:dyDescent="0.25">
      <c r="A1353" s="2">
        <f t="shared" si="21"/>
        <v>1351</v>
      </c>
      <c r="B1353" s="7" t="s">
        <v>1908</v>
      </c>
      <c r="C1353" s="7" t="s">
        <v>1909</v>
      </c>
      <c r="D1353" s="7" t="s">
        <v>1908</v>
      </c>
      <c r="E1353" s="7" t="s">
        <v>34</v>
      </c>
      <c r="F1353" s="7" t="s">
        <v>1910</v>
      </c>
      <c r="G1353" s="8" t="s">
        <v>18</v>
      </c>
      <c r="H1353" s="7" t="s">
        <v>28</v>
      </c>
      <c r="I1353" s="7" t="s">
        <v>108</v>
      </c>
      <c r="J1353" s="7" t="s">
        <v>670</v>
      </c>
      <c r="K1353" s="7" t="s">
        <v>110</v>
      </c>
      <c r="L1353" s="7" t="s">
        <v>108</v>
      </c>
      <c r="M1353" s="7">
        <v>4.6325940000000001</v>
      </c>
      <c r="N1353" s="7">
        <v>9.4642440000000008</v>
      </c>
      <c r="O1353" s="7" t="s">
        <v>23</v>
      </c>
    </row>
    <row r="1354" spans="1:15" x14ac:dyDescent="0.25">
      <c r="A1354" s="2">
        <f t="shared" si="21"/>
        <v>1352</v>
      </c>
      <c r="B1354" s="7" t="s">
        <v>2037</v>
      </c>
      <c r="C1354" s="7" t="s">
        <v>2038</v>
      </c>
      <c r="D1354" s="7" t="s">
        <v>2037</v>
      </c>
      <c r="E1354" s="7" t="s">
        <v>34</v>
      </c>
      <c r="F1354" s="7" t="s">
        <v>2039</v>
      </c>
      <c r="G1354" s="8" t="s">
        <v>18</v>
      </c>
      <c r="H1354" s="7" t="s">
        <v>19</v>
      </c>
      <c r="I1354" s="7" t="s">
        <v>151</v>
      </c>
      <c r="J1354" s="7" t="s">
        <v>152</v>
      </c>
      <c r="K1354" s="7" t="s">
        <v>2040</v>
      </c>
      <c r="L1354" s="7" t="s">
        <v>108</v>
      </c>
      <c r="M1354" s="7">
        <v>4.6954900000000004</v>
      </c>
      <c r="N1354" s="7">
        <v>9.7060099999999991</v>
      </c>
      <c r="O1354" s="7" t="s">
        <v>23</v>
      </c>
    </row>
    <row r="1355" spans="1:15" x14ac:dyDescent="0.25">
      <c r="A1355" s="2">
        <f t="shared" si="21"/>
        <v>1353</v>
      </c>
      <c r="B1355" s="7" t="s">
        <v>2083</v>
      </c>
      <c r="C1355" s="7" t="s">
        <v>2084</v>
      </c>
      <c r="D1355" s="7" t="s">
        <v>2083</v>
      </c>
      <c r="E1355" s="7" t="s">
        <v>34</v>
      </c>
      <c r="F1355" s="7" t="s">
        <v>2085</v>
      </c>
      <c r="G1355" s="17" t="s">
        <v>7747</v>
      </c>
      <c r="H1355" s="7" t="s">
        <v>28</v>
      </c>
      <c r="I1355" s="7" t="s">
        <v>151</v>
      </c>
      <c r="J1355" s="7" t="s">
        <v>152</v>
      </c>
      <c r="K1355" s="7" t="s">
        <v>635</v>
      </c>
      <c r="L1355" s="7" t="s">
        <v>108</v>
      </c>
      <c r="M1355" s="7">
        <v>4.712555</v>
      </c>
      <c r="N1355" s="7">
        <v>9.7377289999999999</v>
      </c>
      <c r="O1355" s="7" t="s">
        <v>23</v>
      </c>
    </row>
    <row r="1356" spans="1:15" x14ac:dyDescent="0.25">
      <c r="A1356" s="2">
        <f t="shared" si="21"/>
        <v>1354</v>
      </c>
      <c r="B1356" s="7" t="s">
        <v>2472</v>
      </c>
      <c r="C1356" s="7" t="s">
        <v>2473</v>
      </c>
      <c r="D1356" s="7" t="s">
        <v>2472</v>
      </c>
      <c r="E1356" s="7" t="s">
        <v>34</v>
      </c>
      <c r="F1356" s="7" t="s">
        <v>2474</v>
      </c>
      <c r="G1356" s="8" t="s">
        <v>18</v>
      </c>
      <c r="H1356" s="7" t="s">
        <v>19</v>
      </c>
      <c r="I1356" s="7" t="s">
        <v>356</v>
      </c>
      <c r="J1356" s="7" t="s">
        <v>152</v>
      </c>
      <c r="K1356" s="7" t="s">
        <v>2475</v>
      </c>
      <c r="L1356" s="7" t="s">
        <v>108</v>
      </c>
      <c r="M1356" s="7">
        <v>4.3782120000000004</v>
      </c>
      <c r="N1356" s="7">
        <v>9.5685979999999997</v>
      </c>
      <c r="O1356" s="7" t="s">
        <v>23</v>
      </c>
    </row>
    <row r="1357" spans="1:15" x14ac:dyDescent="0.25">
      <c r="A1357" s="2">
        <f t="shared" si="21"/>
        <v>1355</v>
      </c>
      <c r="B1357" s="7" t="s">
        <v>2687</v>
      </c>
      <c r="C1357" s="7" t="s">
        <v>2688</v>
      </c>
      <c r="D1357" s="7" t="s">
        <v>2687</v>
      </c>
      <c r="E1357" s="7" t="s">
        <v>34</v>
      </c>
      <c r="F1357" s="7" t="s">
        <v>2689</v>
      </c>
      <c r="G1357" s="8" t="s">
        <v>18</v>
      </c>
      <c r="H1357" s="7" t="s">
        <v>28</v>
      </c>
      <c r="I1357" s="7" t="s">
        <v>108</v>
      </c>
      <c r="J1357" s="7" t="s">
        <v>38</v>
      </c>
      <c r="K1357" s="7" t="s">
        <v>190</v>
      </c>
      <c r="L1357" s="7" t="s">
        <v>108</v>
      </c>
      <c r="M1357" s="7">
        <v>4.5609500000000001</v>
      </c>
      <c r="N1357" s="7">
        <v>9.4647900000000007</v>
      </c>
      <c r="O1357" s="7" t="s">
        <v>23</v>
      </c>
    </row>
    <row r="1358" spans="1:15" x14ac:dyDescent="0.25">
      <c r="A1358" s="2">
        <f t="shared" si="21"/>
        <v>1356</v>
      </c>
      <c r="B1358" s="7" t="s">
        <v>2693</v>
      </c>
      <c r="C1358" s="7" t="s">
        <v>2694</v>
      </c>
      <c r="D1358" s="7" t="s">
        <v>2693</v>
      </c>
      <c r="E1358" s="7" t="s">
        <v>34</v>
      </c>
      <c r="F1358" s="7" t="s">
        <v>2695</v>
      </c>
      <c r="G1358" s="8" t="s">
        <v>18</v>
      </c>
      <c r="H1358" s="7" t="s">
        <v>28</v>
      </c>
      <c r="I1358" s="7" t="s">
        <v>108</v>
      </c>
      <c r="J1358" s="7" t="s">
        <v>109</v>
      </c>
      <c r="K1358" s="7" t="s">
        <v>190</v>
      </c>
      <c r="L1358" s="7" t="s">
        <v>108</v>
      </c>
      <c r="M1358" s="7">
        <v>4.5936300000000001</v>
      </c>
      <c r="N1358" s="7">
        <v>9.3452800000000007</v>
      </c>
      <c r="O1358" s="7" t="s">
        <v>23</v>
      </c>
    </row>
    <row r="1359" spans="1:15" x14ac:dyDescent="0.25">
      <c r="A1359" s="2">
        <f t="shared" si="21"/>
        <v>1357</v>
      </c>
      <c r="B1359" s="7" t="s">
        <v>3160</v>
      </c>
      <c r="C1359" s="7" t="s">
        <v>3161</v>
      </c>
      <c r="D1359" s="7" t="s">
        <v>3160</v>
      </c>
      <c r="E1359" s="7" t="s">
        <v>34</v>
      </c>
      <c r="F1359" s="7" t="s">
        <v>3162</v>
      </c>
      <c r="G1359" s="17" t="s">
        <v>7747</v>
      </c>
      <c r="H1359" s="7" t="s">
        <v>28</v>
      </c>
      <c r="I1359" s="7" t="s">
        <v>356</v>
      </c>
      <c r="J1359" s="7" t="s">
        <v>152</v>
      </c>
      <c r="K1359" s="7" t="s">
        <v>357</v>
      </c>
      <c r="L1359" s="7" t="s">
        <v>108</v>
      </c>
      <c r="M1359" s="7">
        <v>4.6463890000000001</v>
      </c>
      <c r="N1359" s="7">
        <v>9.6796670000000002</v>
      </c>
      <c r="O1359" s="7" t="s">
        <v>23</v>
      </c>
    </row>
    <row r="1360" spans="1:15" x14ac:dyDescent="0.25">
      <c r="A1360" s="2">
        <f t="shared" si="21"/>
        <v>1358</v>
      </c>
      <c r="B1360" s="7" t="s">
        <v>3188</v>
      </c>
      <c r="C1360" s="7" t="s">
        <v>3189</v>
      </c>
      <c r="D1360" s="7" t="s">
        <v>3188</v>
      </c>
      <c r="E1360" s="7" t="s">
        <v>34</v>
      </c>
      <c r="F1360" s="7" t="s">
        <v>3190</v>
      </c>
      <c r="G1360" s="8" t="s">
        <v>18</v>
      </c>
      <c r="H1360" s="7" t="s">
        <v>28</v>
      </c>
      <c r="I1360" s="7" t="s">
        <v>356</v>
      </c>
      <c r="J1360" s="7" t="s">
        <v>152</v>
      </c>
      <c r="K1360" s="7" t="s">
        <v>2475</v>
      </c>
      <c r="L1360" s="7" t="s">
        <v>108</v>
      </c>
      <c r="M1360" s="7">
        <v>4.5064019999999996</v>
      </c>
      <c r="N1360" s="7">
        <v>9.5696890000000003</v>
      </c>
      <c r="O1360" s="7" t="s">
        <v>23</v>
      </c>
    </row>
    <row r="1361" spans="1:15" x14ac:dyDescent="0.25">
      <c r="A1361" s="2">
        <f t="shared" si="21"/>
        <v>1359</v>
      </c>
      <c r="B1361" s="7" t="s">
        <v>3230</v>
      </c>
      <c r="C1361" s="7" t="s">
        <v>3231</v>
      </c>
      <c r="D1361" s="7" t="s">
        <v>3230</v>
      </c>
      <c r="E1361" s="7" t="s">
        <v>34</v>
      </c>
      <c r="F1361" s="7" t="s">
        <v>3232</v>
      </c>
      <c r="G1361" s="17" t="s">
        <v>7747</v>
      </c>
      <c r="H1361" s="7" t="s">
        <v>28</v>
      </c>
      <c r="I1361" s="7" t="s">
        <v>151</v>
      </c>
      <c r="J1361" s="7" t="s">
        <v>152</v>
      </c>
      <c r="K1361" s="7" t="s">
        <v>635</v>
      </c>
      <c r="L1361" s="7" t="s">
        <v>108</v>
      </c>
      <c r="M1361" s="7">
        <v>4.7166439999999996</v>
      </c>
      <c r="N1361" s="7">
        <v>9.728275</v>
      </c>
      <c r="O1361" s="7" t="s">
        <v>23</v>
      </c>
    </row>
    <row r="1362" spans="1:15" x14ac:dyDescent="0.25">
      <c r="A1362" s="2">
        <f t="shared" si="21"/>
        <v>1360</v>
      </c>
      <c r="B1362" s="7" t="s">
        <v>3321</v>
      </c>
      <c r="C1362" s="7" t="s">
        <v>3322</v>
      </c>
      <c r="D1362" s="7" t="s">
        <v>3321</v>
      </c>
      <c r="E1362" s="7" t="s">
        <v>34</v>
      </c>
      <c r="F1362" s="7" t="s">
        <v>3323</v>
      </c>
      <c r="G1362" s="8" t="s">
        <v>18</v>
      </c>
      <c r="H1362" s="7" t="s">
        <v>28</v>
      </c>
      <c r="I1362" s="7" t="s">
        <v>108</v>
      </c>
      <c r="J1362" s="7" t="s">
        <v>670</v>
      </c>
      <c r="K1362" s="7" t="s">
        <v>1389</v>
      </c>
      <c r="L1362" s="7" t="s">
        <v>108</v>
      </c>
      <c r="M1362" s="7">
        <v>4.631094</v>
      </c>
      <c r="N1362" s="7">
        <v>9.4460610000000003</v>
      </c>
      <c r="O1362" s="7" t="s">
        <v>23</v>
      </c>
    </row>
    <row r="1363" spans="1:15" x14ac:dyDescent="0.25">
      <c r="A1363" s="2">
        <f t="shared" si="21"/>
        <v>1361</v>
      </c>
      <c r="B1363" s="7" t="s">
        <v>3350</v>
      </c>
      <c r="C1363" s="7" t="s">
        <v>3351</v>
      </c>
      <c r="D1363" s="7" t="s">
        <v>3350</v>
      </c>
      <c r="E1363" s="7" t="s">
        <v>34</v>
      </c>
      <c r="F1363" s="7" t="s">
        <v>3352</v>
      </c>
      <c r="G1363" s="8" t="s">
        <v>18</v>
      </c>
      <c r="H1363" s="7" t="s">
        <v>28</v>
      </c>
      <c r="I1363" s="7" t="s">
        <v>356</v>
      </c>
      <c r="J1363" s="7" t="s">
        <v>152</v>
      </c>
      <c r="K1363" s="7" t="s">
        <v>2475</v>
      </c>
      <c r="L1363" s="7" t="s">
        <v>108</v>
      </c>
      <c r="M1363" s="7">
        <v>4.4841379999999997</v>
      </c>
      <c r="N1363" s="7">
        <v>9.5671169999999996</v>
      </c>
      <c r="O1363" s="7" t="s">
        <v>23</v>
      </c>
    </row>
    <row r="1364" spans="1:15" x14ac:dyDescent="0.25">
      <c r="A1364" s="2">
        <f t="shared" si="21"/>
        <v>1362</v>
      </c>
      <c r="B1364" s="7" t="s">
        <v>3421</v>
      </c>
      <c r="C1364" s="7" t="s">
        <v>3422</v>
      </c>
      <c r="D1364" s="7" t="s">
        <v>3421</v>
      </c>
      <c r="E1364" s="7" t="s">
        <v>34</v>
      </c>
      <c r="F1364" s="7" t="s">
        <v>3423</v>
      </c>
      <c r="G1364" s="8" t="s">
        <v>18</v>
      </c>
      <c r="H1364" s="7" t="s">
        <v>28</v>
      </c>
      <c r="I1364" s="7" t="s">
        <v>108</v>
      </c>
      <c r="J1364" s="7" t="s">
        <v>670</v>
      </c>
      <c r="K1364" s="7" t="s">
        <v>108</v>
      </c>
      <c r="L1364" s="7" t="s">
        <v>108</v>
      </c>
      <c r="M1364" s="7">
        <v>4.6380280000000003</v>
      </c>
      <c r="N1364" s="7">
        <v>9.4588330000000003</v>
      </c>
      <c r="O1364" s="7" t="s">
        <v>23</v>
      </c>
    </row>
    <row r="1365" spans="1:15" x14ac:dyDescent="0.25">
      <c r="A1365" s="2">
        <f t="shared" si="21"/>
        <v>1363</v>
      </c>
      <c r="B1365" s="7" t="s">
        <v>3532</v>
      </c>
      <c r="C1365" s="7" t="s">
        <v>3533</v>
      </c>
      <c r="D1365" s="7" t="s">
        <v>3532</v>
      </c>
      <c r="E1365" s="7" t="s">
        <v>34</v>
      </c>
      <c r="F1365" s="7" t="s">
        <v>3534</v>
      </c>
      <c r="G1365" s="8" t="s">
        <v>18</v>
      </c>
      <c r="H1365" s="7" t="s">
        <v>28</v>
      </c>
      <c r="I1365" s="7" t="s">
        <v>108</v>
      </c>
      <c r="J1365" s="7" t="s">
        <v>109</v>
      </c>
      <c r="K1365" s="7" t="s">
        <v>190</v>
      </c>
      <c r="L1365" s="7" t="s">
        <v>108</v>
      </c>
      <c r="M1365" s="7">
        <v>4.56974488</v>
      </c>
      <c r="N1365" s="7">
        <v>9.2583120900000004</v>
      </c>
      <c r="O1365" s="7" t="s">
        <v>23</v>
      </c>
    </row>
    <row r="1366" spans="1:15" x14ac:dyDescent="0.25">
      <c r="A1366" s="2">
        <f t="shared" si="21"/>
        <v>1364</v>
      </c>
      <c r="B1366" s="7" t="s">
        <v>3614</v>
      </c>
      <c r="C1366" s="7" t="s">
        <v>3615</v>
      </c>
      <c r="D1366" s="7" t="s">
        <v>3614</v>
      </c>
      <c r="E1366" s="7" t="s">
        <v>34</v>
      </c>
      <c r="F1366" s="7" t="s">
        <v>3616</v>
      </c>
      <c r="G1366" s="8" t="s">
        <v>18</v>
      </c>
      <c r="H1366" s="7" t="s">
        <v>28</v>
      </c>
      <c r="I1366" s="7" t="s">
        <v>108</v>
      </c>
      <c r="J1366" s="7" t="s">
        <v>670</v>
      </c>
      <c r="K1366" s="7" t="s">
        <v>3617</v>
      </c>
      <c r="L1366" s="7" t="s">
        <v>108</v>
      </c>
      <c r="M1366" s="7">
        <v>4.6487220000000002</v>
      </c>
      <c r="N1366" s="7">
        <v>9.4389280000000007</v>
      </c>
      <c r="O1366" s="7" t="s">
        <v>23</v>
      </c>
    </row>
    <row r="1367" spans="1:15" x14ac:dyDescent="0.25">
      <c r="A1367" s="2">
        <f t="shared" si="21"/>
        <v>1365</v>
      </c>
      <c r="B1367" s="7" t="s">
        <v>3618</v>
      </c>
      <c r="C1367" s="7" t="s">
        <v>3619</v>
      </c>
      <c r="D1367" s="7" t="s">
        <v>3618</v>
      </c>
      <c r="E1367" s="7" t="s">
        <v>34</v>
      </c>
      <c r="F1367" s="7" t="s">
        <v>3620</v>
      </c>
      <c r="G1367" s="8" t="s">
        <v>18</v>
      </c>
      <c r="H1367" s="7" t="s">
        <v>19</v>
      </c>
      <c r="I1367" s="7" t="s">
        <v>108</v>
      </c>
      <c r="J1367" s="7" t="s">
        <v>670</v>
      </c>
      <c r="K1367" s="7" t="s">
        <v>1389</v>
      </c>
      <c r="L1367" s="7" t="s">
        <v>108</v>
      </c>
      <c r="M1367" s="7">
        <v>4.6354240000000004</v>
      </c>
      <c r="N1367" s="7">
        <v>9.4363010000000003</v>
      </c>
      <c r="O1367" s="7" t="s">
        <v>613</v>
      </c>
    </row>
    <row r="1368" spans="1:15" x14ac:dyDescent="0.25">
      <c r="A1368" s="2">
        <f t="shared" si="21"/>
        <v>1366</v>
      </c>
      <c r="B1368" s="7" t="s">
        <v>3621</v>
      </c>
      <c r="C1368" s="7" t="s">
        <v>3622</v>
      </c>
      <c r="D1368" s="7" t="s">
        <v>3621</v>
      </c>
      <c r="E1368" s="7" t="s">
        <v>34</v>
      </c>
      <c r="F1368" s="7" t="s">
        <v>3623</v>
      </c>
      <c r="G1368" s="8" t="s">
        <v>18</v>
      </c>
      <c r="H1368" s="7" t="s">
        <v>28</v>
      </c>
      <c r="I1368" s="7" t="s">
        <v>108</v>
      </c>
      <c r="J1368" s="7" t="s">
        <v>670</v>
      </c>
      <c r="K1368" s="7" t="s">
        <v>1389</v>
      </c>
      <c r="L1368" s="7" t="s">
        <v>108</v>
      </c>
      <c r="M1368" s="7">
        <v>4.6245279999999998</v>
      </c>
      <c r="N1368" s="7">
        <v>9.4233060000000002</v>
      </c>
      <c r="O1368" s="7" t="s">
        <v>23</v>
      </c>
    </row>
    <row r="1369" spans="1:15" x14ac:dyDescent="0.25">
      <c r="A1369" s="2">
        <f t="shared" si="21"/>
        <v>1367</v>
      </c>
      <c r="B1369" s="7" t="s">
        <v>3627</v>
      </c>
      <c r="C1369" s="7" t="s">
        <v>3628</v>
      </c>
      <c r="D1369" s="7" t="s">
        <v>3627</v>
      </c>
      <c r="E1369" s="7" t="s">
        <v>34</v>
      </c>
      <c r="F1369" s="7" t="s">
        <v>3629</v>
      </c>
      <c r="G1369" s="8" t="s">
        <v>18</v>
      </c>
      <c r="H1369" s="7" t="s">
        <v>28</v>
      </c>
      <c r="I1369" s="7" t="s">
        <v>108</v>
      </c>
      <c r="J1369" s="7" t="s">
        <v>670</v>
      </c>
      <c r="K1369" s="7" t="s">
        <v>108</v>
      </c>
      <c r="L1369" s="7" t="s">
        <v>108</v>
      </c>
      <c r="M1369" s="7">
        <v>4.644647</v>
      </c>
      <c r="N1369" s="7">
        <v>9.4243050000000004</v>
      </c>
      <c r="O1369" s="7" t="s">
        <v>23</v>
      </c>
    </row>
    <row r="1370" spans="1:15" x14ac:dyDescent="0.25">
      <c r="A1370" s="2">
        <f t="shared" si="21"/>
        <v>1368</v>
      </c>
      <c r="B1370" s="7" t="s">
        <v>3630</v>
      </c>
      <c r="C1370" s="7" t="s">
        <v>3631</v>
      </c>
      <c r="D1370" s="7" t="s">
        <v>3630</v>
      </c>
      <c r="E1370" s="7" t="s">
        <v>34</v>
      </c>
      <c r="F1370" s="7" t="s">
        <v>3632</v>
      </c>
      <c r="G1370" s="8" t="s">
        <v>18</v>
      </c>
      <c r="H1370" s="7" t="s">
        <v>28</v>
      </c>
      <c r="I1370" s="7" t="s">
        <v>108</v>
      </c>
      <c r="J1370" s="7" t="s">
        <v>670</v>
      </c>
      <c r="K1370" s="7" t="s">
        <v>110</v>
      </c>
      <c r="L1370" s="7" t="s">
        <v>108</v>
      </c>
      <c r="M1370" s="7">
        <v>4.6161000000000003</v>
      </c>
      <c r="N1370" s="7">
        <v>9.4560700000000004</v>
      </c>
      <c r="O1370" s="7" t="s">
        <v>23</v>
      </c>
    </row>
    <row r="1371" spans="1:15" x14ac:dyDescent="0.25">
      <c r="A1371" s="2">
        <f t="shared" si="21"/>
        <v>1369</v>
      </c>
      <c r="B1371" s="7" t="s">
        <v>3633</v>
      </c>
      <c r="C1371" s="7" t="s">
        <v>3634</v>
      </c>
      <c r="D1371" s="7" t="s">
        <v>3633</v>
      </c>
      <c r="E1371" s="7" t="s">
        <v>34</v>
      </c>
      <c r="F1371" s="7" t="s">
        <v>3635</v>
      </c>
      <c r="G1371" s="8" t="s">
        <v>18</v>
      </c>
      <c r="H1371" s="7" t="s">
        <v>28</v>
      </c>
      <c r="I1371" s="7" t="s">
        <v>108</v>
      </c>
      <c r="J1371" s="7" t="s">
        <v>670</v>
      </c>
      <c r="K1371" s="7" t="s">
        <v>3617</v>
      </c>
      <c r="L1371" s="7" t="s">
        <v>108</v>
      </c>
      <c r="M1371" s="7">
        <v>4.6539869999999999</v>
      </c>
      <c r="N1371" s="7">
        <v>9.4498800000000003</v>
      </c>
      <c r="O1371" s="7" t="s">
        <v>23</v>
      </c>
    </row>
    <row r="1372" spans="1:15" x14ac:dyDescent="0.25">
      <c r="A1372" s="2">
        <f t="shared" si="21"/>
        <v>1370</v>
      </c>
      <c r="B1372" s="7" t="s">
        <v>3636</v>
      </c>
      <c r="C1372" s="7" t="s">
        <v>3637</v>
      </c>
      <c r="D1372" s="7" t="s">
        <v>3636</v>
      </c>
      <c r="E1372" s="7" t="s">
        <v>34</v>
      </c>
      <c r="F1372" s="7" t="s">
        <v>3638</v>
      </c>
      <c r="G1372" s="8" t="s">
        <v>18</v>
      </c>
      <c r="H1372" s="7" t="s">
        <v>28</v>
      </c>
      <c r="I1372" s="7" t="s">
        <v>108</v>
      </c>
      <c r="J1372" s="7" t="s">
        <v>670</v>
      </c>
      <c r="K1372" s="7" t="s">
        <v>3617</v>
      </c>
      <c r="L1372" s="7" t="s">
        <v>108</v>
      </c>
      <c r="M1372" s="7">
        <v>4.6439440000000003</v>
      </c>
      <c r="N1372" s="7">
        <v>9.4515560000000001</v>
      </c>
      <c r="O1372" s="7" t="s">
        <v>23</v>
      </c>
    </row>
    <row r="1373" spans="1:15" x14ac:dyDescent="0.25">
      <c r="A1373" s="2">
        <f t="shared" si="21"/>
        <v>1371</v>
      </c>
      <c r="B1373" s="7" t="s">
        <v>3639</v>
      </c>
      <c r="C1373" s="7" t="s">
        <v>3640</v>
      </c>
      <c r="D1373" s="7" t="s">
        <v>3639</v>
      </c>
      <c r="E1373" s="7" t="s">
        <v>34</v>
      </c>
      <c r="F1373" s="7" t="s">
        <v>3641</v>
      </c>
      <c r="G1373" s="8" t="s">
        <v>18</v>
      </c>
      <c r="H1373" s="7" t="s">
        <v>28</v>
      </c>
      <c r="I1373" s="7" t="s">
        <v>108</v>
      </c>
      <c r="J1373" s="7" t="s">
        <v>670</v>
      </c>
      <c r="K1373" s="7" t="s">
        <v>3617</v>
      </c>
      <c r="L1373" s="7" t="s">
        <v>108</v>
      </c>
      <c r="M1373" s="7">
        <v>4.6374529999999998</v>
      </c>
      <c r="N1373" s="7">
        <v>9.4540019999999991</v>
      </c>
      <c r="O1373" s="7" t="s">
        <v>23</v>
      </c>
    </row>
    <row r="1374" spans="1:15" x14ac:dyDescent="0.25">
      <c r="A1374" s="2">
        <f t="shared" si="21"/>
        <v>1372</v>
      </c>
      <c r="B1374" s="7" t="s">
        <v>3642</v>
      </c>
      <c r="C1374" s="7" t="s">
        <v>3643</v>
      </c>
      <c r="D1374" s="7" t="s">
        <v>3642</v>
      </c>
      <c r="E1374" s="7" t="s">
        <v>34</v>
      </c>
      <c r="F1374" s="7" t="s">
        <v>3644</v>
      </c>
      <c r="G1374" s="8" t="s">
        <v>18</v>
      </c>
      <c r="H1374" s="7" t="s">
        <v>28</v>
      </c>
      <c r="I1374" s="7" t="s">
        <v>108</v>
      </c>
      <c r="J1374" s="7" t="s">
        <v>670</v>
      </c>
      <c r="K1374" s="7" t="s">
        <v>110</v>
      </c>
      <c r="L1374" s="7" t="s">
        <v>108</v>
      </c>
      <c r="M1374" s="7">
        <v>4.6388680000000004</v>
      </c>
      <c r="N1374" s="7">
        <v>9.4691329999999994</v>
      </c>
      <c r="O1374" s="7" t="s">
        <v>23</v>
      </c>
    </row>
    <row r="1375" spans="1:15" x14ac:dyDescent="0.25">
      <c r="A1375" s="2">
        <f t="shared" si="21"/>
        <v>1373</v>
      </c>
      <c r="B1375" s="7" t="s">
        <v>3692</v>
      </c>
      <c r="C1375" s="7" t="s">
        <v>3693</v>
      </c>
      <c r="D1375" s="7" t="s">
        <v>3692</v>
      </c>
      <c r="E1375" s="7" t="s">
        <v>34</v>
      </c>
      <c r="F1375" s="7" t="s">
        <v>3694</v>
      </c>
      <c r="G1375" s="8" t="s">
        <v>18</v>
      </c>
      <c r="H1375" s="7" t="s">
        <v>28</v>
      </c>
      <c r="I1375" s="7" t="s">
        <v>108</v>
      </c>
      <c r="J1375" s="7" t="s">
        <v>109</v>
      </c>
      <c r="K1375" s="7" t="s">
        <v>698</v>
      </c>
      <c r="L1375" s="7" t="s">
        <v>108</v>
      </c>
      <c r="M1375" s="7">
        <v>4.7261600000000001</v>
      </c>
      <c r="N1375" s="7">
        <v>9.4880600000000008</v>
      </c>
      <c r="O1375" s="7" t="s">
        <v>23</v>
      </c>
    </row>
    <row r="1376" spans="1:15" x14ac:dyDescent="0.25">
      <c r="A1376" s="2">
        <f t="shared" si="21"/>
        <v>1374</v>
      </c>
      <c r="B1376" s="7" t="s">
        <v>3698</v>
      </c>
      <c r="C1376" s="7" t="s">
        <v>3699</v>
      </c>
      <c r="D1376" s="7" t="s">
        <v>3698</v>
      </c>
      <c r="E1376" s="7" t="s">
        <v>34</v>
      </c>
      <c r="F1376" s="7" t="s">
        <v>3700</v>
      </c>
      <c r="G1376" s="8" t="s">
        <v>18</v>
      </c>
      <c r="H1376" s="7" t="s">
        <v>28</v>
      </c>
      <c r="I1376" s="7" t="s">
        <v>108</v>
      </c>
      <c r="J1376" s="7" t="s">
        <v>670</v>
      </c>
      <c r="K1376" s="7" t="s">
        <v>108</v>
      </c>
      <c r="L1376" s="7" t="s">
        <v>108</v>
      </c>
      <c r="M1376" s="7">
        <v>4.6379669999999997</v>
      </c>
      <c r="N1376" s="7">
        <v>9.4623179999999998</v>
      </c>
      <c r="O1376" s="7" t="s">
        <v>23</v>
      </c>
    </row>
    <row r="1377" spans="1:15" x14ac:dyDescent="0.25">
      <c r="A1377" s="2">
        <f t="shared" si="21"/>
        <v>1375</v>
      </c>
      <c r="B1377" s="7" t="s">
        <v>3701</v>
      </c>
      <c r="C1377" s="7" t="s">
        <v>3702</v>
      </c>
      <c r="D1377" s="7" t="s">
        <v>3701</v>
      </c>
      <c r="E1377" s="7" t="s">
        <v>34</v>
      </c>
      <c r="F1377" s="7" t="s">
        <v>3703</v>
      </c>
      <c r="G1377" s="8" t="s">
        <v>18</v>
      </c>
      <c r="H1377" s="7" t="s">
        <v>28</v>
      </c>
      <c r="I1377" s="7" t="s">
        <v>458</v>
      </c>
      <c r="J1377" s="7" t="s">
        <v>459</v>
      </c>
      <c r="K1377" s="7" t="s">
        <v>726</v>
      </c>
      <c r="L1377" s="7" t="s">
        <v>108</v>
      </c>
      <c r="M1377" s="7">
        <v>4.6033999000000003</v>
      </c>
      <c r="N1377" s="7">
        <v>9.0386401000000003</v>
      </c>
      <c r="O1377" s="7" t="s">
        <v>23</v>
      </c>
    </row>
    <row r="1378" spans="1:15" x14ac:dyDescent="0.25">
      <c r="A1378" s="2">
        <f t="shared" si="21"/>
        <v>1376</v>
      </c>
      <c r="B1378" s="7" t="s">
        <v>3704</v>
      </c>
      <c r="C1378" s="7" t="s">
        <v>3705</v>
      </c>
      <c r="D1378" s="7" t="s">
        <v>3704</v>
      </c>
      <c r="E1378" s="7" t="s">
        <v>34</v>
      </c>
      <c r="F1378" s="7" t="s">
        <v>3706</v>
      </c>
      <c r="G1378" s="8" t="s">
        <v>18</v>
      </c>
      <c r="H1378" s="7" t="s">
        <v>28</v>
      </c>
      <c r="I1378" s="7" t="s">
        <v>108</v>
      </c>
      <c r="J1378" s="7" t="s">
        <v>109</v>
      </c>
      <c r="K1378" s="7" t="s">
        <v>110</v>
      </c>
      <c r="L1378" s="7" t="s">
        <v>108</v>
      </c>
      <c r="M1378" s="7">
        <v>4.6010799999999996</v>
      </c>
      <c r="N1378" s="7">
        <v>9.4586199999999998</v>
      </c>
      <c r="O1378" s="7" t="s">
        <v>23</v>
      </c>
    </row>
    <row r="1379" spans="1:15" x14ac:dyDescent="0.25">
      <c r="A1379" s="2">
        <f t="shared" si="21"/>
        <v>1377</v>
      </c>
      <c r="B1379" s="7" t="s">
        <v>3707</v>
      </c>
      <c r="C1379" s="7" t="s">
        <v>3708</v>
      </c>
      <c r="D1379" s="7" t="s">
        <v>3707</v>
      </c>
      <c r="E1379" s="7" t="s">
        <v>34</v>
      </c>
      <c r="F1379" s="7" t="s">
        <v>3709</v>
      </c>
      <c r="G1379" s="8" t="s">
        <v>18</v>
      </c>
      <c r="H1379" s="7" t="s">
        <v>28</v>
      </c>
      <c r="I1379" s="7" t="s">
        <v>108</v>
      </c>
      <c r="J1379" s="7" t="s">
        <v>670</v>
      </c>
      <c r="K1379" s="7" t="s">
        <v>1389</v>
      </c>
      <c r="L1379" s="7" t="s">
        <v>108</v>
      </c>
      <c r="M1379" s="7">
        <v>4.6295000000000002</v>
      </c>
      <c r="N1379" s="7">
        <v>9.4384999999999994</v>
      </c>
      <c r="O1379" s="7" t="s">
        <v>613</v>
      </c>
    </row>
    <row r="1380" spans="1:15" x14ac:dyDescent="0.25">
      <c r="A1380" s="2">
        <f t="shared" si="21"/>
        <v>1378</v>
      </c>
      <c r="B1380" s="7" t="s">
        <v>3743</v>
      </c>
      <c r="C1380" s="7" t="s">
        <v>3744</v>
      </c>
      <c r="D1380" s="7" t="s">
        <v>3743</v>
      </c>
      <c r="E1380" s="7" t="s">
        <v>34</v>
      </c>
      <c r="F1380" s="7" t="s">
        <v>457</v>
      </c>
      <c r="G1380" s="8" t="s">
        <v>18</v>
      </c>
      <c r="H1380" s="7" t="s">
        <v>19</v>
      </c>
      <c r="I1380" s="7" t="s">
        <v>458</v>
      </c>
      <c r="J1380" s="7" t="s">
        <v>459</v>
      </c>
      <c r="K1380" s="7" t="s">
        <v>457</v>
      </c>
      <c r="L1380" s="7" t="s">
        <v>108</v>
      </c>
      <c r="M1380" s="7">
        <v>4.9745100000000004</v>
      </c>
      <c r="N1380" s="7">
        <v>8.9053199999999997</v>
      </c>
      <c r="O1380" s="7" t="s">
        <v>23</v>
      </c>
    </row>
    <row r="1381" spans="1:15" x14ac:dyDescent="0.25">
      <c r="A1381" s="2">
        <f t="shared" si="21"/>
        <v>1379</v>
      </c>
      <c r="B1381" s="7" t="s">
        <v>3999</v>
      </c>
      <c r="C1381" s="7" t="s">
        <v>4000</v>
      </c>
      <c r="D1381" s="7" t="s">
        <v>3999</v>
      </c>
      <c r="E1381" s="7" t="s">
        <v>34</v>
      </c>
      <c r="F1381" s="7" t="s">
        <v>4001</v>
      </c>
      <c r="G1381" s="17" t="s">
        <v>7747</v>
      </c>
      <c r="H1381" s="7" t="s">
        <v>28</v>
      </c>
      <c r="I1381" s="7" t="s">
        <v>356</v>
      </c>
      <c r="J1381" s="7" t="s">
        <v>152</v>
      </c>
      <c r="K1381" s="7" t="s">
        <v>4002</v>
      </c>
      <c r="L1381" s="7" t="s">
        <v>108</v>
      </c>
      <c r="M1381" s="7">
        <v>4.5404799999999996</v>
      </c>
      <c r="N1381" s="7">
        <v>9.6069990000000001</v>
      </c>
      <c r="O1381" s="7" t="s">
        <v>23</v>
      </c>
    </row>
    <row r="1382" spans="1:15" x14ac:dyDescent="0.25">
      <c r="A1382" s="2">
        <f t="shared" si="21"/>
        <v>1380</v>
      </c>
      <c r="B1382" s="7" t="s">
        <v>4010</v>
      </c>
      <c r="C1382" s="7" t="s">
        <v>4011</v>
      </c>
      <c r="D1382" s="7" t="s">
        <v>4010</v>
      </c>
      <c r="E1382" s="7" t="s">
        <v>34</v>
      </c>
      <c r="F1382" s="7" t="s">
        <v>4012</v>
      </c>
      <c r="G1382" s="8" t="s">
        <v>18</v>
      </c>
      <c r="H1382" s="7" t="s">
        <v>19</v>
      </c>
      <c r="I1382" s="7" t="s">
        <v>458</v>
      </c>
      <c r="J1382" s="7" t="s">
        <v>459</v>
      </c>
      <c r="K1382" s="7" t="s">
        <v>190</v>
      </c>
      <c r="L1382" s="7" t="s">
        <v>108</v>
      </c>
      <c r="M1382" s="7">
        <v>4.5743019</v>
      </c>
      <c r="N1382" s="7">
        <v>9.0861750000000008</v>
      </c>
      <c r="O1382" s="7" t="s">
        <v>23</v>
      </c>
    </row>
    <row r="1383" spans="1:15" x14ac:dyDescent="0.25">
      <c r="A1383" s="2">
        <f t="shared" si="21"/>
        <v>1381</v>
      </c>
      <c r="B1383" s="7" t="s">
        <v>4133</v>
      </c>
      <c r="C1383" s="7" t="s">
        <v>4134</v>
      </c>
      <c r="D1383" s="7" t="s">
        <v>4133</v>
      </c>
      <c r="E1383" s="7" t="s">
        <v>34</v>
      </c>
      <c r="F1383" s="7" t="s">
        <v>108</v>
      </c>
      <c r="G1383" s="8" t="s">
        <v>18</v>
      </c>
      <c r="H1383" s="7" t="s">
        <v>19</v>
      </c>
      <c r="I1383" s="7" t="s">
        <v>108</v>
      </c>
      <c r="J1383" s="7" t="s">
        <v>670</v>
      </c>
      <c r="K1383" s="7" t="s">
        <v>3617</v>
      </c>
      <c r="L1383" s="7" t="s">
        <v>108</v>
      </c>
      <c r="M1383" s="7">
        <v>4.6399220000000003</v>
      </c>
      <c r="N1383" s="7">
        <v>9.4431349999999998</v>
      </c>
      <c r="O1383" s="7" t="s">
        <v>23</v>
      </c>
    </row>
    <row r="1384" spans="1:15" x14ac:dyDescent="0.25">
      <c r="A1384" s="2">
        <f t="shared" si="21"/>
        <v>1382</v>
      </c>
      <c r="B1384" s="7" t="s">
        <v>4152</v>
      </c>
      <c r="C1384" s="7" t="s">
        <v>4153</v>
      </c>
      <c r="D1384" s="7" t="s">
        <v>4152</v>
      </c>
      <c r="E1384" s="7" t="s">
        <v>34</v>
      </c>
      <c r="F1384" s="7" t="s">
        <v>4154</v>
      </c>
      <c r="G1384" s="8" t="s">
        <v>18</v>
      </c>
      <c r="H1384" s="7" t="s">
        <v>28</v>
      </c>
      <c r="I1384" s="7" t="s">
        <v>108</v>
      </c>
      <c r="J1384" s="7" t="s">
        <v>670</v>
      </c>
      <c r="K1384" s="7" t="s">
        <v>110</v>
      </c>
      <c r="L1384" s="7" t="s">
        <v>108</v>
      </c>
      <c r="M1384" s="7">
        <v>4.6400350000000001</v>
      </c>
      <c r="N1384" s="7">
        <v>9.4847479999999997</v>
      </c>
      <c r="O1384" s="7" t="s">
        <v>23</v>
      </c>
    </row>
    <row r="1385" spans="1:15" x14ac:dyDescent="0.25">
      <c r="A1385" s="2">
        <f t="shared" si="21"/>
        <v>1383</v>
      </c>
      <c r="B1385" s="7" t="s">
        <v>4447</v>
      </c>
      <c r="C1385" s="7" t="s">
        <v>4448</v>
      </c>
      <c r="D1385" s="7" t="s">
        <v>4447</v>
      </c>
      <c r="E1385" s="7" t="s">
        <v>34</v>
      </c>
      <c r="F1385" s="7" t="s">
        <v>4449</v>
      </c>
      <c r="G1385" s="8" t="s">
        <v>18</v>
      </c>
      <c r="H1385" s="7" t="s">
        <v>28</v>
      </c>
      <c r="I1385" s="7" t="s">
        <v>356</v>
      </c>
      <c r="J1385" s="7" t="s">
        <v>152</v>
      </c>
      <c r="K1385" s="7" t="s">
        <v>361</v>
      </c>
      <c r="L1385" s="7" t="s">
        <v>108</v>
      </c>
      <c r="M1385" s="7">
        <v>4.6420880000000002</v>
      </c>
      <c r="N1385" s="7">
        <v>9.6936319999999991</v>
      </c>
      <c r="O1385" s="7" t="s">
        <v>23</v>
      </c>
    </row>
    <row r="1386" spans="1:15" x14ac:dyDescent="0.25">
      <c r="A1386" s="2">
        <f t="shared" si="21"/>
        <v>1384</v>
      </c>
      <c r="B1386" s="7" t="s">
        <v>4572</v>
      </c>
      <c r="C1386" s="7" t="s">
        <v>4573</v>
      </c>
      <c r="D1386" s="7" t="s">
        <v>4572</v>
      </c>
      <c r="E1386" s="7" t="s">
        <v>34</v>
      </c>
      <c r="F1386" s="7" t="s">
        <v>151</v>
      </c>
      <c r="G1386" s="8" t="s">
        <v>18</v>
      </c>
      <c r="H1386" s="7" t="s">
        <v>28</v>
      </c>
      <c r="I1386" s="7" t="s">
        <v>151</v>
      </c>
      <c r="J1386" s="7" t="s">
        <v>152</v>
      </c>
      <c r="K1386" s="7" t="s">
        <v>2040</v>
      </c>
      <c r="L1386" s="7" t="s">
        <v>108</v>
      </c>
      <c r="M1386" s="7">
        <v>4.6955169999999997</v>
      </c>
      <c r="N1386" s="7">
        <v>9.7118120000000001</v>
      </c>
      <c r="O1386" s="7" t="s">
        <v>23</v>
      </c>
    </row>
    <row r="1387" spans="1:15" x14ac:dyDescent="0.25">
      <c r="A1387" s="2">
        <f t="shared" si="21"/>
        <v>1385</v>
      </c>
      <c r="B1387" s="7" t="s">
        <v>4574</v>
      </c>
      <c r="C1387" s="7" t="s">
        <v>4575</v>
      </c>
      <c r="D1387" s="7" t="s">
        <v>4574</v>
      </c>
      <c r="E1387" s="7" t="s">
        <v>34</v>
      </c>
      <c r="F1387" s="7" t="s">
        <v>370</v>
      </c>
      <c r="G1387" s="8" t="s">
        <v>18</v>
      </c>
      <c r="H1387" s="7" t="s">
        <v>19</v>
      </c>
      <c r="I1387" s="7" t="s">
        <v>151</v>
      </c>
      <c r="J1387" s="7" t="s">
        <v>152</v>
      </c>
      <c r="K1387" s="7" t="s">
        <v>4576</v>
      </c>
      <c r="L1387" s="7" t="s">
        <v>108</v>
      </c>
      <c r="M1387" s="7">
        <v>4.7472500000000002</v>
      </c>
      <c r="N1387" s="7">
        <v>9.6676669999999998</v>
      </c>
      <c r="O1387" s="7" t="s">
        <v>23</v>
      </c>
    </row>
    <row r="1388" spans="1:15" x14ac:dyDescent="0.25">
      <c r="A1388" s="2">
        <f t="shared" si="21"/>
        <v>1386</v>
      </c>
      <c r="B1388" s="7" t="s">
        <v>4656</v>
      </c>
      <c r="C1388" s="7" t="s">
        <v>4657</v>
      </c>
      <c r="D1388" s="7" t="s">
        <v>4656</v>
      </c>
      <c r="E1388" s="7" t="s">
        <v>34</v>
      </c>
      <c r="F1388" s="7" t="s">
        <v>4449</v>
      </c>
      <c r="G1388" s="17" t="s">
        <v>7747</v>
      </c>
      <c r="H1388" s="7" t="s">
        <v>28</v>
      </c>
      <c r="I1388" s="7" t="s">
        <v>356</v>
      </c>
      <c r="J1388" s="7" t="s">
        <v>152</v>
      </c>
      <c r="K1388" s="7" t="s">
        <v>357</v>
      </c>
      <c r="L1388" s="7" t="s">
        <v>108</v>
      </c>
      <c r="M1388" s="7">
        <v>4.6393329999999997</v>
      </c>
      <c r="N1388" s="7">
        <v>9.6925000000000008</v>
      </c>
      <c r="O1388" s="7" t="s">
        <v>23</v>
      </c>
    </row>
    <row r="1389" spans="1:15" x14ac:dyDescent="0.25">
      <c r="A1389" s="2">
        <f t="shared" si="21"/>
        <v>1387</v>
      </c>
      <c r="B1389" s="7" t="s">
        <v>4784</v>
      </c>
      <c r="C1389" s="7" t="s">
        <v>4785</v>
      </c>
      <c r="D1389" s="7" t="s">
        <v>4784</v>
      </c>
      <c r="E1389" s="7" t="s">
        <v>34</v>
      </c>
      <c r="F1389" s="7" t="s">
        <v>4786</v>
      </c>
      <c r="G1389" s="8" t="s">
        <v>18</v>
      </c>
      <c r="H1389" s="7" t="s">
        <v>28</v>
      </c>
      <c r="I1389" s="7" t="s">
        <v>151</v>
      </c>
      <c r="J1389" s="7" t="s">
        <v>1314</v>
      </c>
      <c r="K1389" s="7" t="s">
        <v>4576</v>
      </c>
      <c r="L1389" s="7" t="s">
        <v>108</v>
      </c>
      <c r="M1389" s="7">
        <v>4.7203200000000001</v>
      </c>
      <c r="N1389" s="7">
        <v>9.6269799999999996</v>
      </c>
      <c r="O1389" s="7" t="s">
        <v>23</v>
      </c>
    </row>
    <row r="1390" spans="1:15" x14ac:dyDescent="0.25">
      <c r="A1390" s="2">
        <f t="shared" si="21"/>
        <v>1388</v>
      </c>
      <c r="B1390" s="7" t="s">
        <v>4974</v>
      </c>
      <c r="C1390" s="7" t="s">
        <v>4975</v>
      </c>
      <c r="D1390" s="7" t="s">
        <v>4974</v>
      </c>
      <c r="E1390" s="7" t="s">
        <v>34</v>
      </c>
      <c r="F1390" s="7" t="s">
        <v>4976</v>
      </c>
      <c r="G1390" s="17" t="s">
        <v>7747</v>
      </c>
      <c r="H1390" s="7" t="s">
        <v>28</v>
      </c>
      <c r="I1390" s="7" t="s">
        <v>356</v>
      </c>
      <c r="J1390" s="7" t="s">
        <v>152</v>
      </c>
      <c r="K1390" s="7" t="s">
        <v>357</v>
      </c>
      <c r="L1390" s="7" t="s">
        <v>108</v>
      </c>
      <c r="M1390" s="7">
        <v>4.5918320000000001</v>
      </c>
      <c r="N1390" s="7">
        <v>9.6646249999999991</v>
      </c>
      <c r="O1390" s="7" t="s">
        <v>23</v>
      </c>
    </row>
    <row r="1391" spans="1:15" x14ac:dyDescent="0.25">
      <c r="A1391" s="2">
        <f t="shared" si="21"/>
        <v>1389</v>
      </c>
      <c r="B1391" s="7" t="s">
        <v>4986</v>
      </c>
      <c r="C1391" s="7" t="s">
        <v>4987</v>
      </c>
      <c r="D1391" s="7" t="s">
        <v>4986</v>
      </c>
      <c r="E1391" s="7" t="s">
        <v>34</v>
      </c>
      <c r="F1391" s="7" t="s">
        <v>356</v>
      </c>
      <c r="G1391" s="17" t="s">
        <v>7747</v>
      </c>
      <c r="H1391" s="7" t="s">
        <v>19</v>
      </c>
      <c r="I1391" s="7" t="s">
        <v>356</v>
      </c>
      <c r="J1391" s="7" t="s">
        <v>152</v>
      </c>
      <c r="K1391" s="7" t="s">
        <v>2475</v>
      </c>
      <c r="L1391" s="7" t="s">
        <v>108</v>
      </c>
      <c r="M1391" s="7">
        <v>4.4861510000000004</v>
      </c>
      <c r="N1391" s="7">
        <v>9.5563859999999998</v>
      </c>
      <c r="O1391" s="7" t="s">
        <v>23</v>
      </c>
    </row>
    <row r="1392" spans="1:15" x14ac:dyDescent="0.25">
      <c r="A1392" s="2">
        <f t="shared" si="21"/>
        <v>1390</v>
      </c>
      <c r="B1392" s="7" t="s">
        <v>5000</v>
      </c>
      <c r="C1392" s="7" t="s">
        <v>5001</v>
      </c>
      <c r="D1392" s="7" t="s">
        <v>5000</v>
      </c>
      <c r="E1392" s="7" t="s">
        <v>34</v>
      </c>
      <c r="F1392" s="7" t="s">
        <v>5002</v>
      </c>
      <c r="G1392" s="17" t="s">
        <v>7747</v>
      </c>
      <c r="H1392" s="7" t="s">
        <v>28</v>
      </c>
      <c r="I1392" s="7" t="s">
        <v>356</v>
      </c>
      <c r="J1392" s="7" t="s">
        <v>152</v>
      </c>
      <c r="K1392" s="7" t="s">
        <v>2475</v>
      </c>
      <c r="L1392" s="7" t="s">
        <v>108</v>
      </c>
      <c r="M1392" s="7">
        <v>4.4976000000000003</v>
      </c>
      <c r="N1392" s="7">
        <v>9.5662900000000004</v>
      </c>
      <c r="O1392" s="7" t="s">
        <v>23</v>
      </c>
    </row>
    <row r="1393" spans="1:15" x14ac:dyDescent="0.25">
      <c r="A1393" s="2">
        <f t="shared" si="21"/>
        <v>1391</v>
      </c>
      <c r="B1393" s="7" t="s">
        <v>5011</v>
      </c>
      <c r="C1393" s="7" t="s">
        <v>5012</v>
      </c>
      <c r="D1393" s="7" t="s">
        <v>5011</v>
      </c>
      <c r="E1393" s="7" t="s">
        <v>34</v>
      </c>
      <c r="F1393" s="7" t="s">
        <v>5013</v>
      </c>
      <c r="G1393" s="8" t="s">
        <v>18</v>
      </c>
      <c r="H1393" s="7" t="s">
        <v>28</v>
      </c>
      <c r="I1393" s="7" t="s">
        <v>108</v>
      </c>
      <c r="J1393" s="7" t="s">
        <v>109</v>
      </c>
      <c r="K1393" s="7" t="s">
        <v>190</v>
      </c>
      <c r="L1393" s="7" t="s">
        <v>108</v>
      </c>
      <c r="M1393" s="7">
        <v>4.44224</v>
      </c>
      <c r="N1393" s="7">
        <v>9.4537399999999998</v>
      </c>
      <c r="O1393" s="7" t="s">
        <v>23</v>
      </c>
    </row>
    <row r="1394" spans="1:15" x14ac:dyDescent="0.25">
      <c r="A1394" s="2">
        <f t="shared" si="21"/>
        <v>1392</v>
      </c>
      <c r="B1394" s="7" t="s">
        <v>5911</v>
      </c>
      <c r="C1394" s="7" t="s">
        <v>5912</v>
      </c>
      <c r="D1394" s="7" t="s">
        <v>5911</v>
      </c>
      <c r="E1394" s="7" t="s">
        <v>34</v>
      </c>
      <c r="F1394" s="7" t="s">
        <v>5913</v>
      </c>
      <c r="G1394" s="8" t="s">
        <v>18</v>
      </c>
      <c r="H1394" s="7" t="s">
        <v>28</v>
      </c>
      <c r="I1394" s="7" t="s">
        <v>458</v>
      </c>
      <c r="J1394" s="7" t="s">
        <v>287</v>
      </c>
      <c r="K1394" s="7" t="s">
        <v>190</v>
      </c>
      <c r="L1394" s="7" t="s">
        <v>108</v>
      </c>
      <c r="M1394" s="7">
        <v>4.5484999999999998</v>
      </c>
      <c r="N1394" s="7">
        <v>9.2416640000000001</v>
      </c>
      <c r="O1394" s="7" t="s">
        <v>23</v>
      </c>
    </row>
    <row r="1395" spans="1:15" x14ac:dyDescent="0.25">
      <c r="A1395" s="2">
        <f t="shared" si="21"/>
        <v>1393</v>
      </c>
      <c r="B1395" s="7" t="s">
        <v>5927</v>
      </c>
      <c r="C1395" s="7" t="s">
        <v>5928</v>
      </c>
      <c r="D1395" s="7" t="s">
        <v>5927</v>
      </c>
      <c r="E1395" s="7" t="s">
        <v>34</v>
      </c>
      <c r="F1395" s="7" t="s">
        <v>5929</v>
      </c>
      <c r="G1395" s="8" t="s">
        <v>18</v>
      </c>
      <c r="H1395" s="7" t="s">
        <v>28</v>
      </c>
      <c r="I1395" s="7" t="s">
        <v>37</v>
      </c>
      <c r="J1395" s="7" t="s">
        <v>38</v>
      </c>
      <c r="K1395" s="7" t="s">
        <v>39</v>
      </c>
      <c r="L1395" s="7" t="s">
        <v>108</v>
      </c>
      <c r="M1395" s="7">
        <v>4.4177489999999997</v>
      </c>
      <c r="N1395" s="7">
        <v>9.3207839999999997</v>
      </c>
      <c r="O1395" s="7" t="s">
        <v>23</v>
      </c>
    </row>
    <row r="1396" spans="1:15" x14ac:dyDescent="0.25">
      <c r="A1396" s="2">
        <f t="shared" si="21"/>
        <v>1394</v>
      </c>
      <c r="B1396" s="7" t="s">
        <v>5930</v>
      </c>
      <c r="C1396" s="7" t="s">
        <v>5931</v>
      </c>
      <c r="D1396" s="7" t="s">
        <v>5930</v>
      </c>
      <c r="E1396" s="7" t="s">
        <v>34</v>
      </c>
      <c r="F1396" s="7" t="s">
        <v>5932</v>
      </c>
      <c r="G1396" s="8" t="s">
        <v>18</v>
      </c>
      <c r="H1396" s="7" t="s">
        <v>28</v>
      </c>
      <c r="I1396" s="7" t="s">
        <v>458</v>
      </c>
      <c r="J1396" s="7" t="s">
        <v>459</v>
      </c>
      <c r="K1396" s="7" t="s">
        <v>457</v>
      </c>
      <c r="L1396" s="7" t="s">
        <v>108</v>
      </c>
      <c r="M1396" s="7">
        <v>4.9458000000000002</v>
      </c>
      <c r="N1396" s="7">
        <v>8.8725500000000004</v>
      </c>
      <c r="O1396" s="7" t="s">
        <v>23</v>
      </c>
    </row>
    <row r="1397" spans="1:15" x14ac:dyDescent="0.25">
      <c r="A1397" s="2">
        <f t="shared" si="21"/>
        <v>1395</v>
      </c>
      <c r="B1397" s="7" t="s">
        <v>5964</v>
      </c>
      <c r="C1397" s="7" t="s">
        <v>5965</v>
      </c>
      <c r="D1397" s="7" t="s">
        <v>5964</v>
      </c>
      <c r="E1397" s="7" t="s">
        <v>34</v>
      </c>
      <c r="F1397" s="7" t="s">
        <v>5966</v>
      </c>
      <c r="G1397" s="8" t="s">
        <v>18</v>
      </c>
      <c r="H1397" s="7" t="s">
        <v>28</v>
      </c>
      <c r="I1397" s="7" t="s">
        <v>458</v>
      </c>
      <c r="J1397" s="7" t="s">
        <v>459</v>
      </c>
      <c r="K1397" s="7" t="s">
        <v>726</v>
      </c>
      <c r="L1397" s="7" t="s">
        <v>108</v>
      </c>
      <c r="M1397" s="7">
        <v>4.6418759999999999</v>
      </c>
      <c r="N1397" s="7">
        <v>8.9977450000000001</v>
      </c>
      <c r="O1397" s="7" t="s">
        <v>23</v>
      </c>
    </row>
    <row r="1398" spans="1:15" x14ac:dyDescent="0.25">
      <c r="A1398" s="2">
        <f t="shared" si="21"/>
        <v>1396</v>
      </c>
      <c r="B1398" s="7" t="s">
        <v>5985</v>
      </c>
      <c r="C1398" s="7" t="s">
        <v>5986</v>
      </c>
      <c r="D1398" s="7" t="s">
        <v>5985</v>
      </c>
      <c r="E1398" s="7" t="s">
        <v>34</v>
      </c>
      <c r="F1398" s="7" t="s">
        <v>5987</v>
      </c>
      <c r="G1398" s="8" t="s">
        <v>18</v>
      </c>
      <c r="H1398" s="7" t="s">
        <v>28</v>
      </c>
      <c r="I1398" s="7" t="s">
        <v>458</v>
      </c>
      <c r="J1398" s="7" t="s">
        <v>459</v>
      </c>
      <c r="K1398" s="7" t="s">
        <v>726</v>
      </c>
      <c r="L1398" s="7" t="s">
        <v>108</v>
      </c>
      <c r="M1398" s="7">
        <v>4.7160555559999997</v>
      </c>
      <c r="N1398" s="7">
        <v>8.9362499999999994</v>
      </c>
      <c r="O1398" s="7" t="s">
        <v>23</v>
      </c>
    </row>
    <row r="1399" spans="1:15" x14ac:dyDescent="0.25">
      <c r="A1399" s="2">
        <f t="shared" si="21"/>
        <v>1397</v>
      </c>
      <c r="B1399" s="7" t="s">
        <v>5988</v>
      </c>
      <c r="C1399" s="7" t="s">
        <v>5989</v>
      </c>
      <c r="D1399" s="7" t="s">
        <v>5988</v>
      </c>
      <c r="E1399" s="7" t="s">
        <v>34</v>
      </c>
      <c r="F1399" s="7" t="s">
        <v>5990</v>
      </c>
      <c r="G1399" s="8" t="s">
        <v>36</v>
      </c>
      <c r="H1399" s="7" t="s">
        <v>28</v>
      </c>
      <c r="I1399" s="7" t="s">
        <v>108</v>
      </c>
      <c r="J1399" s="7" t="s">
        <v>109</v>
      </c>
      <c r="K1399" s="7" t="s">
        <v>5991</v>
      </c>
      <c r="L1399" s="7" t="s">
        <v>108</v>
      </c>
      <c r="M1399" s="7">
        <v>5.0364300000000002</v>
      </c>
      <c r="N1399" s="7">
        <v>9.4148999999999994</v>
      </c>
      <c r="O1399" s="7" t="s">
        <v>23</v>
      </c>
    </row>
    <row r="1400" spans="1:15" x14ac:dyDescent="0.25">
      <c r="A1400" s="2">
        <f t="shared" si="21"/>
        <v>1398</v>
      </c>
      <c r="B1400" s="7" t="s">
        <v>5992</v>
      </c>
      <c r="C1400" s="7" t="s">
        <v>5993</v>
      </c>
      <c r="D1400" s="7" t="s">
        <v>5992</v>
      </c>
      <c r="E1400" s="7" t="s">
        <v>34</v>
      </c>
      <c r="F1400" s="7" t="s">
        <v>698</v>
      </c>
      <c r="G1400" s="8" t="s">
        <v>18</v>
      </c>
      <c r="H1400" s="7" t="s">
        <v>28</v>
      </c>
      <c r="I1400" s="7" t="s">
        <v>108</v>
      </c>
      <c r="J1400" s="7" t="s">
        <v>109</v>
      </c>
      <c r="K1400" s="7" t="s">
        <v>5991</v>
      </c>
      <c r="L1400" s="7" t="s">
        <v>108</v>
      </c>
      <c r="M1400" s="7">
        <v>4.9455400000000003</v>
      </c>
      <c r="N1400" s="7">
        <v>9.4819300000000002</v>
      </c>
      <c r="O1400" s="7" t="s">
        <v>23</v>
      </c>
    </row>
    <row r="1401" spans="1:15" x14ac:dyDescent="0.25">
      <c r="A1401" s="2">
        <f t="shared" si="21"/>
        <v>1399</v>
      </c>
      <c r="B1401" s="7" t="s">
        <v>5994</v>
      </c>
      <c r="C1401" s="7" t="s">
        <v>5995</v>
      </c>
      <c r="D1401" s="7" t="s">
        <v>5994</v>
      </c>
      <c r="E1401" s="7" t="s">
        <v>34</v>
      </c>
      <c r="F1401" s="7" t="s">
        <v>5996</v>
      </c>
      <c r="G1401" s="8" t="s">
        <v>18</v>
      </c>
      <c r="H1401" s="7" t="s">
        <v>28</v>
      </c>
      <c r="I1401" s="7" t="s">
        <v>108</v>
      </c>
      <c r="J1401" s="7" t="s">
        <v>109</v>
      </c>
      <c r="K1401" s="7" t="s">
        <v>5991</v>
      </c>
      <c r="L1401" s="7" t="s">
        <v>108</v>
      </c>
      <c r="M1401" s="7">
        <v>4.9851299999999998</v>
      </c>
      <c r="N1401" s="7">
        <v>9.4319799999999994</v>
      </c>
      <c r="O1401" s="7" t="s">
        <v>23</v>
      </c>
    </row>
    <row r="1402" spans="1:15" x14ac:dyDescent="0.25">
      <c r="A1402" s="2">
        <f t="shared" si="21"/>
        <v>1400</v>
      </c>
      <c r="B1402" s="7" t="s">
        <v>6040</v>
      </c>
      <c r="C1402" s="7" t="s">
        <v>6041</v>
      </c>
      <c r="D1402" s="7" t="s">
        <v>6040</v>
      </c>
      <c r="E1402" s="7" t="s">
        <v>34</v>
      </c>
      <c r="F1402" s="7" t="s">
        <v>6042</v>
      </c>
      <c r="G1402" s="8" t="s">
        <v>18</v>
      </c>
      <c r="H1402" s="7" t="s">
        <v>28</v>
      </c>
      <c r="I1402" s="7" t="s">
        <v>108</v>
      </c>
      <c r="J1402" s="7" t="s">
        <v>109</v>
      </c>
      <c r="K1402" s="7" t="s">
        <v>190</v>
      </c>
      <c r="L1402" s="7" t="s">
        <v>108</v>
      </c>
      <c r="M1402" s="7">
        <v>4.6371111100000002</v>
      </c>
      <c r="N1402" s="7">
        <v>9.2695277800000007</v>
      </c>
      <c r="O1402" s="7" t="s">
        <v>23</v>
      </c>
    </row>
    <row r="1403" spans="1:15" x14ac:dyDescent="0.25">
      <c r="A1403" s="2">
        <f t="shared" si="21"/>
        <v>1401</v>
      </c>
      <c r="B1403" s="7" t="s">
        <v>6056</v>
      </c>
      <c r="C1403" s="7" t="s">
        <v>6057</v>
      </c>
      <c r="D1403" s="7" t="s">
        <v>6056</v>
      </c>
      <c r="E1403" s="7" t="s">
        <v>34</v>
      </c>
      <c r="F1403" s="7" t="s">
        <v>6058</v>
      </c>
      <c r="G1403" s="8" t="s">
        <v>18</v>
      </c>
      <c r="H1403" s="7" t="s">
        <v>28</v>
      </c>
      <c r="I1403" s="7" t="s">
        <v>458</v>
      </c>
      <c r="J1403" s="7" t="s">
        <v>459</v>
      </c>
      <c r="K1403" s="7" t="s">
        <v>457</v>
      </c>
      <c r="L1403" s="7" t="s">
        <v>108</v>
      </c>
      <c r="M1403" s="7">
        <v>4.892182</v>
      </c>
      <c r="N1403" s="7">
        <v>8.9050989999999999</v>
      </c>
      <c r="O1403" s="7" t="s">
        <v>23</v>
      </c>
    </row>
    <row r="1404" spans="1:15" x14ac:dyDescent="0.25">
      <c r="A1404" s="2">
        <f t="shared" si="21"/>
        <v>1402</v>
      </c>
      <c r="B1404" s="7" t="s">
        <v>6059</v>
      </c>
      <c r="C1404" s="7" t="s">
        <v>6060</v>
      </c>
      <c r="D1404" s="7" t="s">
        <v>6059</v>
      </c>
      <c r="E1404" s="7" t="s">
        <v>34</v>
      </c>
      <c r="F1404" s="7" t="s">
        <v>6061</v>
      </c>
      <c r="G1404" s="8" t="s">
        <v>36</v>
      </c>
      <c r="H1404" s="7" t="s">
        <v>28</v>
      </c>
      <c r="I1404" s="7" t="s">
        <v>108</v>
      </c>
      <c r="J1404" s="7" t="s">
        <v>109</v>
      </c>
      <c r="K1404" s="7" t="s">
        <v>190</v>
      </c>
      <c r="L1404" s="7" t="s">
        <v>108</v>
      </c>
      <c r="M1404" s="7">
        <v>4.6730499999999999</v>
      </c>
      <c r="N1404" s="7">
        <v>9.3119599999999991</v>
      </c>
      <c r="O1404" s="7" t="s">
        <v>23</v>
      </c>
    </row>
    <row r="1405" spans="1:15" x14ac:dyDescent="0.25">
      <c r="A1405" s="2">
        <f t="shared" si="21"/>
        <v>1403</v>
      </c>
      <c r="B1405" s="7" t="s">
        <v>6075</v>
      </c>
      <c r="C1405" s="7" t="s">
        <v>6076</v>
      </c>
      <c r="D1405" s="7" t="s">
        <v>6075</v>
      </c>
      <c r="E1405" s="7" t="s">
        <v>34</v>
      </c>
      <c r="F1405" s="7" t="s">
        <v>6077</v>
      </c>
      <c r="G1405" s="8" t="s">
        <v>18</v>
      </c>
      <c r="H1405" s="7" t="s">
        <v>28</v>
      </c>
      <c r="I1405" s="7" t="s">
        <v>108</v>
      </c>
      <c r="J1405" s="7" t="s">
        <v>109</v>
      </c>
      <c r="K1405" s="7" t="s">
        <v>190</v>
      </c>
      <c r="L1405" s="7" t="s">
        <v>108</v>
      </c>
      <c r="M1405" s="7">
        <v>4.5171749999999999</v>
      </c>
      <c r="N1405" s="7">
        <v>9.2942719999999994</v>
      </c>
      <c r="O1405" s="7" t="s">
        <v>23</v>
      </c>
    </row>
    <row r="1406" spans="1:15" x14ac:dyDescent="0.25">
      <c r="A1406" s="2">
        <f t="shared" si="21"/>
        <v>1404</v>
      </c>
      <c r="B1406" s="7" t="s">
        <v>6081</v>
      </c>
      <c r="C1406" s="7" t="s">
        <v>6082</v>
      </c>
      <c r="D1406" s="7" t="s">
        <v>6081</v>
      </c>
      <c r="E1406" s="7" t="s">
        <v>34</v>
      </c>
      <c r="F1406" s="7" t="s">
        <v>6083</v>
      </c>
      <c r="G1406" s="8" t="s">
        <v>18</v>
      </c>
      <c r="H1406" s="7" t="s">
        <v>28</v>
      </c>
      <c r="I1406" s="7" t="s">
        <v>108</v>
      </c>
      <c r="J1406" s="7" t="s">
        <v>91</v>
      </c>
      <c r="K1406" s="7" t="s">
        <v>5880</v>
      </c>
      <c r="L1406" s="7" t="s">
        <v>108</v>
      </c>
      <c r="M1406" s="7">
        <v>5.1152699999999998</v>
      </c>
      <c r="N1406" s="7">
        <v>9.4071700000000007</v>
      </c>
      <c r="O1406" s="7" t="s">
        <v>23</v>
      </c>
    </row>
    <row r="1407" spans="1:15" x14ac:dyDescent="0.25">
      <c r="A1407" s="2">
        <f t="shared" si="21"/>
        <v>1405</v>
      </c>
      <c r="B1407" s="7" t="s">
        <v>6569</v>
      </c>
      <c r="C1407" s="7" t="s">
        <v>6570</v>
      </c>
      <c r="D1407" s="7" t="s">
        <v>6569</v>
      </c>
      <c r="E1407" s="7" t="s">
        <v>34</v>
      </c>
      <c r="F1407" s="7" t="s">
        <v>6571</v>
      </c>
      <c r="G1407" s="8" t="s">
        <v>36</v>
      </c>
      <c r="H1407" s="7" t="s">
        <v>28</v>
      </c>
      <c r="I1407" s="7" t="s">
        <v>458</v>
      </c>
      <c r="J1407" s="7" t="s">
        <v>459</v>
      </c>
      <c r="K1407" s="7" t="s">
        <v>6572</v>
      </c>
      <c r="L1407" s="7" t="s">
        <v>108</v>
      </c>
      <c r="M1407" s="7">
        <v>4.7783055560000003</v>
      </c>
      <c r="N1407" s="7">
        <v>8.6785833330000006</v>
      </c>
      <c r="O1407" s="7" t="s">
        <v>23</v>
      </c>
    </row>
    <row r="1408" spans="1:15" x14ac:dyDescent="0.25">
      <c r="A1408" s="2">
        <f t="shared" si="21"/>
        <v>1406</v>
      </c>
      <c r="B1408" s="7" t="s">
        <v>6622</v>
      </c>
      <c r="C1408" s="7" t="s">
        <v>6623</v>
      </c>
      <c r="D1408" s="7" t="s">
        <v>6622</v>
      </c>
      <c r="E1408" s="7" t="s">
        <v>34</v>
      </c>
      <c r="F1408" s="7" t="s">
        <v>6624</v>
      </c>
      <c r="G1408" s="8" t="s">
        <v>18</v>
      </c>
      <c r="H1408" s="7" t="s">
        <v>28</v>
      </c>
      <c r="I1408" s="7" t="s">
        <v>108</v>
      </c>
      <c r="J1408" s="7" t="s">
        <v>670</v>
      </c>
      <c r="K1408" s="7" t="s">
        <v>1389</v>
      </c>
      <c r="L1408" s="7" t="s">
        <v>108</v>
      </c>
      <c r="M1408" s="7">
        <v>4.6208400000000003</v>
      </c>
      <c r="N1408" s="7">
        <v>9.4453899999999997</v>
      </c>
      <c r="O1408" s="7" t="s">
        <v>23</v>
      </c>
    </row>
    <row r="1409" spans="1:15" x14ac:dyDescent="0.25">
      <c r="A1409" s="2">
        <f t="shared" si="21"/>
        <v>1407</v>
      </c>
      <c r="B1409" s="7" t="s">
        <v>6625</v>
      </c>
      <c r="C1409" s="7" t="s">
        <v>6626</v>
      </c>
      <c r="D1409" s="7" t="s">
        <v>6625</v>
      </c>
      <c r="E1409" s="7" t="s">
        <v>34</v>
      </c>
      <c r="F1409" s="7" t="s">
        <v>6627</v>
      </c>
      <c r="G1409" s="8" t="s">
        <v>18</v>
      </c>
      <c r="H1409" s="7" t="s">
        <v>28</v>
      </c>
      <c r="I1409" s="7" t="s">
        <v>108</v>
      </c>
      <c r="J1409" s="7" t="s">
        <v>670</v>
      </c>
      <c r="K1409" s="7" t="s">
        <v>1389</v>
      </c>
      <c r="L1409" s="7" t="s">
        <v>108</v>
      </c>
      <c r="M1409" s="7">
        <v>4.6258270000000001</v>
      </c>
      <c r="N1409" s="7">
        <v>9.4450299999999991</v>
      </c>
      <c r="O1409" s="7" t="s">
        <v>23</v>
      </c>
    </row>
    <row r="1410" spans="1:15" x14ac:dyDescent="0.25">
      <c r="A1410" s="2">
        <f t="shared" si="21"/>
        <v>1408</v>
      </c>
      <c r="B1410" s="7" t="s">
        <v>6671</v>
      </c>
      <c r="C1410" s="7" t="s">
        <v>6672</v>
      </c>
      <c r="D1410" s="7" t="s">
        <v>6671</v>
      </c>
      <c r="E1410" s="7" t="s">
        <v>34</v>
      </c>
      <c r="F1410" s="7" t="s">
        <v>6673</v>
      </c>
      <c r="G1410" s="8" t="s">
        <v>18</v>
      </c>
      <c r="H1410" s="7" t="s">
        <v>28</v>
      </c>
      <c r="I1410" s="7" t="s">
        <v>108</v>
      </c>
      <c r="J1410" s="7" t="s">
        <v>109</v>
      </c>
      <c r="K1410" s="7" t="s">
        <v>190</v>
      </c>
      <c r="L1410" s="7" t="s">
        <v>108</v>
      </c>
      <c r="M1410" s="7">
        <v>4.4029439999999997</v>
      </c>
      <c r="N1410" s="7">
        <v>9.4396109999999993</v>
      </c>
      <c r="O1410" s="7" t="s">
        <v>23</v>
      </c>
    </row>
    <row r="1411" spans="1:15" x14ac:dyDescent="0.25">
      <c r="A1411" s="2">
        <f t="shared" si="21"/>
        <v>1409</v>
      </c>
      <c r="B1411" s="7" t="s">
        <v>6717</v>
      </c>
      <c r="C1411" s="7" t="s">
        <v>6718</v>
      </c>
      <c r="D1411" s="7" t="s">
        <v>6717</v>
      </c>
      <c r="E1411" s="7" t="s">
        <v>34</v>
      </c>
      <c r="F1411" s="7" t="s">
        <v>6719</v>
      </c>
      <c r="G1411" s="8" t="s">
        <v>18</v>
      </c>
      <c r="H1411" s="7" t="s">
        <v>28</v>
      </c>
      <c r="I1411" s="7" t="s">
        <v>108</v>
      </c>
      <c r="J1411" s="7" t="s">
        <v>670</v>
      </c>
      <c r="K1411" s="7" t="s">
        <v>1389</v>
      </c>
      <c r="L1411" s="7" t="s">
        <v>108</v>
      </c>
      <c r="M1411" s="7">
        <v>4.6376920000000004</v>
      </c>
      <c r="N1411" s="7">
        <v>9.4283389999999994</v>
      </c>
      <c r="O1411" s="7" t="s">
        <v>23</v>
      </c>
    </row>
    <row r="1412" spans="1:15" x14ac:dyDescent="0.25">
      <c r="A1412" s="2">
        <f t="shared" si="21"/>
        <v>1410</v>
      </c>
      <c r="B1412" s="7" t="s">
        <v>6770</v>
      </c>
      <c r="C1412" s="7" t="s">
        <v>6771</v>
      </c>
      <c r="D1412" s="7" t="s">
        <v>6770</v>
      </c>
      <c r="E1412" s="7" t="s">
        <v>34</v>
      </c>
      <c r="F1412" s="7" t="s">
        <v>6772</v>
      </c>
      <c r="G1412" s="8" t="s">
        <v>18</v>
      </c>
      <c r="H1412" s="7" t="s">
        <v>28</v>
      </c>
      <c r="I1412" s="7" t="s">
        <v>108</v>
      </c>
      <c r="J1412" s="7" t="s">
        <v>670</v>
      </c>
      <c r="K1412" s="7" t="s">
        <v>1389</v>
      </c>
      <c r="L1412" s="7" t="s">
        <v>108</v>
      </c>
      <c r="M1412" s="7">
        <v>4.6272760000000002</v>
      </c>
      <c r="N1412" s="7">
        <v>9.4533930000000002</v>
      </c>
      <c r="O1412" s="7" t="s">
        <v>23</v>
      </c>
    </row>
    <row r="1413" spans="1:15" x14ac:dyDescent="0.25">
      <c r="A1413" s="2">
        <f t="shared" ref="A1413:A1476" si="22">+A1412+1</f>
        <v>1411</v>
      </c>
      <c r="B1413" s="7" t="s">
        <v>7209</v>
      </c>
      <c r="C1413" s="7" t="s">
        <v>7210</v>
      </c>
      <c r="D1413" s="7" t="s">
        <v>7209</v>
      </c>
      <c r="E1413" s="7" t="s">
        <v>34</v>
      </c>
      <c r="F1413" s="7" t="s">
        <v>7211</v>
      </c>
      <c r="G1413" s="17" t="s">
        <v>7747</v>
      </c>
      <c r="H1413" s="7" t="s">
        <v>28</v>
      </c>
      <c r="I1413" s="7" t="s">
        <v>356</v>
      </c>
      <c r="J1413" s="7" t="s">
        <v>152</v>
      </c>
      <c r="K1413" s="7" t="s">
        <v>154</v>
      </c>
      <c r="L1413" s="7" t="s">
        <v>108</v>
      </c>
      <c r="M1413" s="7">
        <v>4.4411290000000001</v>
      </c>
      <c r="N1413" s="7">
        <v>9.566656</v>
      </c>
      <c r="O1413" s="7" t="s">
        <v>23</v>
      </c>
    </row>
    <row r="1414" spans="1:15" x14ac:dyDescent="0.25">
      <c r="A1414" s="2">
        <f t="shared" si="22"/>
        <v>1412</v>
      </c>
      <c r="B1414" s="7" t="s">
        <v>7389</v>
      </c>
      <c r="C1414" s="7" t="s">
        <v>7390</v>
      </c>
      <c r="D1414" s="7" t="s">
        <v>7389</v>
      </c>
      <c r="E1414" s="7" t="s">
        <v>34</v>
      </c>
      <c r="F1414" s="7" t="s">
        <v>7391</v>
      </c>
      <c r="G1414" s="8" t="s">
        <v>18</v>
      </c>
      <c r="H1414" s="7" t="s">
        <v>28</v>
      </c>
      <c r="I1414" s="7" t="s">
        <v>108</v>
      </c>
      <c r="J1414" s="7" t="s">
        <v>670</v>
      </c>
      <c r="K1414" s="7" t="s">
        <v>7392</v>
      </c>
      <c r="L1414" s="7" t="s">
        <v>108</v>
      </c>
      <c r="M1414" s="7">
        <v>4.6124229999999997</v>
      </c>
      <c r="N1414" s="7">
        <v>9.4488690000000002</v>
      </c>
      <c r="O1414" s="7" t="s">
        <v>613</v>
      </c>
    </row>
    <row r="1415" spans="1:15" x14ac:dyDescent="0.25">
      <c r="A1415" s="2">
        <f t="shared" si="22"/>
        <v>1413</v>
      </c>
      <c r="B1415" s="7" t="s">
        <v>7464</v>
      </c>
      <c r="C1415" s="7" t="s">
        <v>7465</v>
      </c>
      <c r="D1415" s="7" t="s">
        <v>7464</v>
      </c>
      <c r="E1415" s="7" t="s">
        <v>34</v>
      </c>
      <c r="F1415" s="7" t="s">
        <v>7466</v>
      </c>
      <c r="G1415" s="8" t="s">
        <v>18</v>
      </c>
      <c r="H1415" s="7" t="s">
        <v>28</v>
      </c>
      <c r="I1415" s="7" t="s">
        <v>108</v>
      </c>
      <c r="J1415" s="7" t="s">
        <v>670</v>
      </c>
      <c r="K1415" s="7" t="s">
        <v>3617</v>
      </c>
      <c r="L1415" s="7" t="s">
        <v>108</v>
      </c>
      <c r="M1415" s="7">
        <v>4.6453319999999998</v>
      </c>
      <c r="N1415" s="7">
        <v>9.4595680000000009</v>
      </c>
      <c r="O1415" s="7" t="s">
        <v>23</v>
      </c>
    </row>
    <row r="1416" spans="1:15" x14ac:dyDescent="0.25">
      <c r="A1416" s="2">
        <f t="shared" si="22"/>
        <v>1414</v>
      </c>
      <c r="B1416" s="7" t="s">
        <v>7626</v>
      </c>
      <c r="C1416" s="7" t="s">
        <v>7627</v>
      </c>
      <c r="D1416" s="7" t="s">
        <v>7626</v>
      </c>
      <c r="E1416" s="7" t="s">
        <v>34</v>
      </c>
      <c r="F1416" s="7" t="s">
        <v>7628</v>
      </c>
      <c r="G1416" s="17" t="s">
        <v>7747</v>
      </c>
      <c r="H1416" s="7" t="s">
        <v>28</v>
      </c>
      <c r="I1416" s="10" t="s">
        <v>356</v>
      </c>
      <c r="J1416" s="10" t="s">
        <v>152</v>
      </c>
      <c r="K1416" s="10" t="s">
        <v>2475</v>
      </c>
      <c r="L1416" s="7" t="s">
        <v>108</v>
      </c>
      <c r="M1416" s="7">
        <v>4.5032550000000002</v>
      </c>
      <c r="N1416" s="7">
        <v>9.5647400000000005</v>
      </c>
      <c r="O1416" s="7" t="s">
        <v>23</v>
      </c>
    </row>
    <row r="1417" spans="1:15" x14ac:dyDescent="0.25">
      <c r="A1417" s="2">
        <f t="shared" si="22"/>
        <v>1415</v>
      </c>
      <c r="B1417" s="7" t="s">
        <v>7723</v>
      </c>
      <c r="C1417" s="7" t="s">
        <v>7724</v>
      </c>
      <c r="D1417" s="7" t="s">
        <v>7723</v>
      </c>
      <c r="E1417" s="7" t="s">
        <v>34</v>
      </c>
      <c r="F1417" s="7" t="s">
        <v>7725</v>
      </c>
      <c r="G1417" s="17" t="s">
        <v>7747</v>
      </c>
      <c r="H1417" s="7" t="s">
        <v>28</v>
      </c>
      <c r="I1417" s="7" t="s">
        <v>151</v>
      </c>
      <c r="J1417" s="7"/>
      <c r="K1417" s="7" t="s">
        <v>151</v>
      </c>
      <c r="L1417" s="7" t="s">
        <v>108</v>
      </c>
      <c r="M1417" s="7">
        <v>4.7184200000000001</v>
      </c>
      <c r="N1417" s="7">
        <v>9.7349879999999995</v>
      </c>
      <c r="O1417" s="7" t="s">
        <v>23</v>
      </c>
    </row>
    <row r="1418" spans="1:15" x14ac:dyDescent="0.25">
      <c r="A1418" s="2">
        <f t="shared" si="22"/>
        <v>1416</v>
      </c>
      <c r="B1418" s="7" t="s">
        <v>62</v>
      </c>
      <c r="C1418" s="7" t="s">
        <v>63</v>
      </c>
      <c r="D1418" s="7" t="s">
        <v>62</v>
      </c>
      <c r="E1418" s="7" t="s">
        <v>34</v>
      </c>
      <c r="F1418" s="7" t="s">
        <v>64</v>
      </c>
      <c r="G1418" s="8" t="s">
        <v>18</v>
      </c>
      <c r="H1418" s="7" t="s">
        <v>28</v>
      </c>
      <c r="I1418" s="7" t="s">
        <v>65</v>
      </c>
      <c r="J1418" s="7" t="s">
        <v>38</v>
      </c>
      <c r="K1418" s="7" t="s">
        <v>66</v>
      </c>
      <c r="L1418" s="7" t="s">
        <v>65</v>
      </c>
      <c r="M1418" s="7">
        <v>4.0115629999999998</v>
      </c>
      <c r="N1418" s="7">
        <v>9.2248479999999997</v>
      </c>
      <c r="O1418" s="7" t="s">
        <v>23</v>
      </c>
    </row>
    <row r="1419" spans="1:15" x14ac:dyDescent="0.25">
      <c r="A1419" s="2">
        <f t="shared" si="22"/>
        <v>1417</v>
      </c>
      <c r="B1419" s="7" t="s">
        <v>490</v>
      </c>
      <c r="C1419" s="7" t="s">
        <v>491</v>
      </c>
      <c r="D1419" s="7" t="s">
        <v>490</v>
      </c>
      <c r="E1419" s="7" t="s">
        <v>34</v>
      </c>
      <c r="F1419" s="7" t="s">
        <v>492</v>
      </c>
      <c r="G1419" s="8" t="s">
        <v>18</v>
      </c>
      <c r="H1419" s="7" t="s">
        <v>28</v>
      </c>
      <c r="I1419" s="7" t="s">
        <v>441</v>
      </c>
      <c r="J1419" s="7" t="s">
        <v>38</v>
      </c>
      <c r="K1419" s="7" t="s">
        <v>493</v>
      </c>
      <c r="L1419" s="7" t="s">
        <v>65</v>
      </c>
      <c r="M1419" s="7">
        <v>4.058408</v>
      </c>
      <c r="N1419" s="7">
        <v>9.2276769999999999</v>
      </c>
      <c r="O1419" s="7" t="s">
        <v>23</v>
      </c>
    </row>
    <row r="1420" spans="1:15" x14ac:dyDescent="0.25">
      <c r="A1420" s="2">
        <f t="shared" si="22"/>
        <v>1418</v>
      </c>
      <c r="B1420" s="7" t="s">
        <v>646</v>
      </c>
      <c r="C1420" s="7" t="s">
        <v>647</v>
      </c>
      <c r="D1420" s="7" t="s">
        <v>646</v>
      </c>
      <c r="E1420" s="7" t="s">
        <v>34</v>
      </c>
      <c r="F1420" s="7" t="s">
        <v>648</v>
      </c>
      <c r="G1420" s="8" t="s">
        <v>18</v>
      </c>
      <c r="H1420" s="7" t="s">
        <v>28</v>
      </c>
      <c r="I1420" s="7" t="s">
        <v>65</v>
      </c>
      <c r="J1420" s="7" t="s">
        <v>38</v>
      </c>
      <c r="K1420" s="7" t="s">
        <v>649</v>
      </c>
      <c r="L1420" s="7" t="s">
        <v>65</v>
      </c>
      <c r="M1420" s="7">
        <v>4.0344049999999996</v>
      </c>
      <c r="N1420" s="7">
        <v>9.205152</v>
      </c>
      <c r="O1420" s="7" t="s">
        <v>23</v>
      </c>
    </row>
    <row r="1421" spans="1:15" x14ac:dyDescent="0.25">
      <c r="A1421" s="2">
        <f t="shared" si="22"/>
        <v>1419</v>
      </c>
      <c r="B1421" s="7" t="s">
        <v>948</v>
      </c>
      <c r="C1421" s="7" t="s">
        <v>949</v>
      </c>
      <c r="D1421" s="7" t="s">
        <v>948</v>
      </c>
      <c r="E1421" s="7" t="s">
        <v>34</v>
      </c>
      <c r="F1421" s="7" t="s">
        <v>950</v>
      </c>
      <c r="G1421" s="8" t="s">
        <v>18</v>
      </c>
      <c r="H1421" s="7" t="s">
        <v>28</v>
      </c>
      <c r="I1421" s="7" t="s">
        <v>65</v>
      </c>
      <c r="J1421" s="7" t="s">
        <v>38</v>
      </c>
      <c r="K1421" s="7" t="s">
        <v>649</v>
      </c>
      <c r="L1421" s="7" t="s">
        <v>65</v>
      </c>
      <c r="M1421" s="7">
        <v>4.0648229999999996</v>
      </c>
      <c r="N1421" s="7">
        <v>9.178445</v>
      </c>
      <c r="O1421" s="7" t="s">
        <v>23</v>
      </c>
    </row>
    <row r="1422" spans="1:15" x14ac:dyDescent="0.25">
      <c r="A1422" s="2">
        <f t="shared" si="22"/>
        <v>1420</v>
      </c>
      <c r="B1422" s="7" t="s">
        <v>1360</v>
      </c>
      <c r="C1422" s="7" t="s">
        <v>1361</v>
      </c>
      <c r="D1422" s="7" t="s">
        <v>1360</v>
      </c>
      <c r="E1422" s="7" t="s">
        <v>34</v>
      </c>
      <c r="F1422" s="7" t="s">
        <v>1362</v>
      </c>
      <c r="G1422" s="8" t="s">
        <v>18</v>
      </c>
      <c r="H1422" s="7" t="s">
        <v>28</v>
      </c>
      <c r="I1422" s="7" t="s">
        <v>65</v>
      </c>
      <c r="J1422" s="7" t="s">
        <v>38</v>
      </c>
      <c r="K1422" s="7" t="s">
        <v>649</v>
      </c>
      <c r="L1422" s="7" t="s">
        <v>65</v>
      </c>
      <c r="M1422" s="7">
        <v>4.0175450000000001</v>
      </c>
      <c r="N1422" s="7">
        <v>9.1474899999999995</v>
      </c>
      <c r="O1422" s="7" t="s">
        <v>23</v>
      </c>
    </row>
    <row r="1423" spans="1:15" x14ac:dyDescent="0.25">
      <c r="A1423" s="2">
        <f t="shared" si="22"/>
        <v>1421</v>
      </c>
      <c r="B1423" s="7" t="s">
        <v>1376</v>
      </c>
      <c r="C1423" s="7" t="s">
        <v>1377</v>
      </c>
      <c r="D1423" s="7" t="s">
        <v>1376</v>
      </c>
      <c r="E1423" s="7" t="s">
        <v>34</v>
      </c>
      <c r="F1423" s="7" t="s">
        <v>1378</v>
      </c>
      <c r="G1423" s="8" t="s">
        <v>18</v>
      </c>
      <c r="H1423" s="7" t="s">
        <v>28</v>
      </c>
      <c r="I1423" s="7" t="s">
        <v>65</v>
      </c>
      <c r="J1423" s="7" t="s">
        <v>38</v>
      </c>
      <c r="K1423" s="7" t="s">
        <v>493</v>
      </c>
      <c r="L1423" s="7" t="s">
        <v>65</v>
      </c>
      <c r="M1423" s="7">
        <v>3.9947520000000001</v>
      </c>
      <c r="N1423" s="7">
        <v>9.2170480000000001</v>
      </c>
      <c r="O1423" s="7" t="s">
        <v>23</v>
      </c>
    </row>
    <row r="1424" spans="1:15" x14ac:dyDescent="0.25">
      <c r="A1424" s="2">
        <f t="shared" si="22"/>
        <v>1422</v>
      </c>
      <c r="B1424" s="7" t="s">
        <v>1531</v>
      </c>
      <c r="C1424" s="7" t="s">
        <v>1532</v>
      </c>
      <c r="D1424" s="7" t="s">
        <v>1531</v>
      </c>
      <c r="E1424" s="7" t="s">
        <v>34</v>
      </c>
      <c r="F1424" s="7" t="s">
        <v>1533</v>
      </c>
      <c r="G1424" s="8" t="s">
        <v>18</v>
      </c>
      <c r="H1424" s="7" t="s">
        <v>28</v>
      </c>
      <c r="I1424" s="7" t="s">
        <v>65</v>
      </c>
      <c r="J1424" s="7" t="s">
        <v>38</v>
      </c>
      <c r="K1424" s="7" t="s">
        <v>493</v>
      </c>
      <c r="L1424" s="7" t="s">
        <v>65</v>
      </c>
      <c r="M1424" s="7">
        <v>4.0169879999999996</v>
      </c>
      <c r="N1424" s="7">
        <v>9.1443460000000005</v>
      </c>
      <c r="O1424" s="7" t="s">
        <v>23</v>
      </c>
    </row>
    <row r="1425" spans="1:15" x14ac:dyDescent="0.25">
      <c r="A1425" s="2">
        <f t="shared" si="22"/>
        <v>1423</v>
      </c>
      <c r="B1425" s="7" t="s">
        <v>2539</v>
      </c>
      <c r="C1425" s="7" t="s">
        <v>2540</v>
      </c>
      <c r="D1425" s="7" t="s">
        <v>2539</v>
      </c>
      <c r="E1425" s="7" t="s">
        <v>34</v>
      </c>
      <c r="F1425" s="7" t="s">
        <v>2541</v>
      </c>
      <c r="G1425" s="8" t="s">
        <v>18</v>
      </c>
      <c r="H1425" s="7" t="s">
        <v>28</v>
      </c>
      <c r="I1425" s="7" t="s">
        <v>65</v>
      </c>
      <c r="J1425" s="7" t="s">
        <v>38</v>
      </c>
      <c r="K1425" s="7" t="s">
        <v>66</v>
      </c>
      <c r="L1425" s="7" t="s">
        <v>65</v>
      </c>
      <c r="M1425" s="7">
        <v>4.0171780000000004</v>
      </c>
      <c r="N1425" s="7">
        <v>9.1959850000000003</v>
      </c>
      <c r="O1425" s="7" t="s">
        <v>23</v>
      </c>
    </row>
    <row r="1426" spans="1:15" x14ac:dyDescent="0.25">
      <c r="A1426" s="2">
        <f t="shared" si="22"/>
        <v>1424</v>
      </c>
      <c r="B1426" s="7" t="s">
        <v>2751</v>
      </c>
      <c r="C1426" s="7" t="s">
        <v>2752</v>
      </c>
      <c r="D1426" s="7" t="s">
        <v>2751</v>
      </c>
      <c r="E1426" s="7" t="s">
        <v>34</v>
      </c>
      <c r="F1426" s="7" t="s">
        <v>2753</v>
      </c>
      <c r="G1426" s="8" t="s">
        <v>18</v>
      </c>
      <c r="H1426" s="7" t="s">
        <v>19</v>
      </c>
      <c r="I1426" s="7" t="s">
        <v>65</v>
      </c>
      <c r="J1426" s="7" t="s">
        <v>38</v>
      </c>
      <c r="K1426" s="7" t="s">
        <v>649</v>
      </c>
      <c r="L1426" s="7" t="s">
        <v>65</v>
      </c>
      <c r="M1426" s="7">
        <v>4.1024919999999998</v>
      </c>
      <c r="N1426" s="7">
        <v>8.9886309999999998</v>
      </c>
      <c r="O1426" s="7" t="s">
        <v>23</v>
      </c>
    </row>
    <row r="1427" spans="1:15" x14ac:dyDescent="0.25">
      <c r="A1427" s="2">
        <f t="shared" si="22"/>
        <v>1425</v>
      </c>
      <c r="B1427" s="7" t="s">
        <v>3011</v>
      </c>
      <c r="C1427" s="7" t="s">
        <v>3012</v>
      </c>
      <c r="D1427" s="7" t="s">
        <v>3011</v>
      </c>
      <c r="E1427" s="7" t="s">
        <v>34</v>
      </c>
      <c r="F1427" s="7" t="s">
        <v>3013</v>
      </c>
      <c r="G1427" s="8" t="s">
        <v>18</v>
      </c>
      <c r="H1427" s="7" t="s">
        <v>28</v>
      </c>
      <c r="I1427" s="7" t="s">
        <v>65</v>
      </c>
      <c r="J1427" s="7" t="s">
        <v>38</v>
      </c>
      <c r="K1427" s="7" t="s">
        <v>493</v>
      </c>
      <c r="L1427" s="7" t="s">
        <v>65</v>
      </c>
      <c r="M1427" s="7">
        <v>4.029255</v>
      </c>
      <c r="N1427" s="7">
        <v>9.1942129999999995</v>
      </c>
      <c r="O1427" s="7" t="s">
        <v>613</v>
      </c>
    </row>
    <row r="1428" spans="1:15" x14ac:dyDescent="0.25">
      <c r="A1428" s="2">
        <f t="shared" si="22"/>
        <v>1426</v>
      </c>
      <c r="B1428" s="7" t="s">
        <v>3154</v>
      </c>
      <c r="C1428" s="7" t="s">
        <v>3155</v>
      </c>
      <c r="D1428" s="7" t="s">
        <v>3154</v>
      </c>
      <c r="E1428" s="7" t="s">
        <v>34</v>
      </c>
      <c r="F1428" s="7" t="s">
        <v>3156</v>
      </c>
      <c r="G1428" s="8" t="s">
        <v>18</v>
      </c>
      <c r="H1428" s="7" t="s">
        <v>28</v>
      </c>
      <c r="I1428" s="7" t="s">
        <v>65</v>
      </c>
      <c r="J1428" s="7" t="s">
        <v>38</v>
      </c>
      <c r="K1428" s="7" t="s">
        <v>493</v>
      </c>
      <c r="L1428" s="7" t="s">
        <v>65</v>
      </c>
      <c r="M1428" s="7">
        <v>4.0171239999999999</v>
      </c>
      <c r="N1428" s="7">
        <v>9.1909329999999994</v>
      </c>
      <c r="O1428" s="7" t="s">
        <v>23</v>
      </c>
    </row>
    <row r="1429" spans="1:15" x14ac:dyDescent="0.25">
      <c r="A1429" s="2">
        <f t="shared" si="22"/>
        <v>1427</v>
      </c>
      <c r="B1429" s="7" t="s">
        <v>3279</v>
      </c>
      <c r="C1429" s="7" t="s">
        <v>3280</v>
      </c>
      <c r="D1429" s="7" t="s">
        <v>3279</v>
      </c>
      <c r="E1429" s="7" t="s">
        <v>34</v>
      </c>
      <c r="F1429" s="7" t="s">
        <v>3281</v>
      </c>
      <c r="G1429" s="8" t="s">
        <v>18</v>
      </c>
      <c r="H1429" s="7" t="s">
        <v>19</v>
      </c>
      <c r="I1429" s="7" t="s">
        <v>65</v>
      </c>
      <c r="J1429" s="7" t="s">
        <v>38</v>
      </c>
      <c r="K1429" s="7" t="s">
        <v>493</v>
      </c>
      <c r="L1429" s="7" t="s">
        <v>65</v>
      </c>
      <c r="M1429" s="7">
        <v>4.0078930000000001</v>
      </c>
      <c r="N1429" s="7">
        <v>9.2114229999999999</v>
      </c>
      <c r="O1429" s="7" t="s">
        <v>613</v>
      </c>
    </row>
    <row r="1430" spans="1:15" x14ac:dyDescent="0.25">
      <c r="A1430" s="2">
        <f t="shared" si="22"/>
        <v>1428</v>
      </c>
      <c r="B1430" s="7" t="s">
        <v>3494</v>
      </c>
      <c r="C1430" s="7" t="s">
        <v>3495</v>
      </c>
      <c r="D1430" s="7" t="s">
        <v>3494</v>
      </c>
      <c r="E1430" s="7" t="s">
        <v>34</v>
      </c>
      <c r="F1430" s="7" t="s">
        <v>3496</v>
      </c>
      <c r="G1430" s="8" t="s">
        <v>18</v>
      </c>
      <c r="H1430" s="7" t="s">
        <v>28</v>
      </c>
      <c r="I1430" s="7" t="s">
        <v>65</v>
      </c>
      <c r="J1430" s="7" t="s">
        <v>38</v>
      </c>
      <c r="K1430" s="7" t="s">
        <v>493</v>
      </c>
      <c r="L1430" s="7" t="s">
        <v>65</v>
      </c>
      <c r="M1430" s="7">
        <v>4.0266089999999997</v>
      </c>
      <c r="N1430" s="7">
        <v>9.2175949999999993</v>
      </c>
      <c r="O1430" s="7" t="s">
        <v>23</v>
      </c>
    </row>
    <row r="1431" spans="1:15" x14ac:dyDescent="0.25">
      <c r="A1431" s="2">
        <f t="shared" si="22"/>
        <v>1429</v>
      </c>
      <c r="B1431" s="7" t="s">
        <v>3526</v>
      </c>
      <c r="C1431" s="7" t="s">
        <v>3527</v>
      </c>
      <c r="D1431" s="7" t="s">
        <v>3526</v>
      </c>
      <c r="E1431" s="7" t="s">
        <v>34</v>
      </c>
      <c r="F1431" s="7" t="s">
        <v>3528</v>
      </c>
      <c r="G1431" s="8" t="s">
        <v>18</v>
      </c>
      <c r="H1431" s="7" t="s">
        <v>28</v>
      </c>
      <c r="I1431" s="7" t="s">
        <v>65</v>
      </c>
      <c r="J1431" s="7" t="s">
        <v>38</v>
      </c>
      <c r="K1431" s="7" t="s">
        <v>649</v>
      </c>
      <c r="L1431" s="7" t="s">
        <v>65</v>
      </c>
      <c r="M1431" s="7">
        <v>4.012753</v>
      </c>
      <c r="N1431" s="7">
        <v>9.1692479999999996</v>
      </c>
      <c r="O1431" s="7" t="s">
        <v>23</v>
      </c>
    </row>
    <row r="1432" spans="1:15" x14ac:dyDescent="0.25">
      <c r="A1432" s="2">
        <f t="shared" si="22"/>
        <v>1430</v>
      </c>
      <c r="B1432" s="7" t="s">
        <v>3602</v>
      </c>
      <c r="C1432" s="7" t="s">
        <v>3603</v>
      </c>
      <c r="D1432" s="7" t="s">
        <v>3602</v>
      </c>
      <c r="E1432" s="7" t="s">
        <v>34</v>
      </c>
      <c r="F1432" s="7" t="s">
        <v>3604</v>
      </c>
      <c r="G1432" s="8" t="s">
        <v>18</v>
      </c>
      <c r="H1432" s="7" t="s">
        <v>28</v>
      </c>
      <c r="I1432" s="7" t="s">
        <v>65</v>
      </c>
      <c r="J1432" s="7" t="s">
        <v>38</v>
      </c>
      <c r="K1432" s="7" t="s">
        <v>493</v>
      </c>
      <c r="L1432" s="7" t="s">
        <v>65</v>
      </c>
      <c r="M1432" s="7">
        <v>4.0210179999999998</v>
      </c>
      <c r="N1432" s="7">
        <v>9.2117690000000003</v>
      </c>
      <c r="O1432" s="7" t="s">
        <v>23</v>
      </c>
    </row>
    <row r="1433" spans="1:15" x14ac:dyDescent="0.25">
      <c r="A1433" s="2">
        <f t="shared" si="22"/>
        <v>1431</v>
      </c>
      <c r="B1433" s="7" t="s">
        <v>3679</v>
      </c>
      <c r="C1433" s="7" t="s">
        <v>3680</v>
      </c>
      <c r="D1433" s="7" t="s">
        <v>3679</v>
      </c>
      <c r="E1433" s="7" t="s">
        <v>34</v>
      </c>
      <c r="F1433" s="7" t="s">
        <v>3681</v>
      </c>
      <c r="G1433" s="8" t="s">
        <v>18</v>
      </c>
      <c r="H1433" s="7" t="s">
        <v>28</v>
      </c>
      <c r="I1433" s="7" t="s">
        <v>65</v>
      </c>
      <c r="J1433" s="7" t="s">
        <v>38</v>
      </c>
      <c r="K1433" s="7" t="s">
        <v>3682</v>
      </c>
      <c r="L1433" s="7" t="s">
        <v>65</v>
      </c>
      <c r="M1433" s="7">
        <v>4.0212079999999997</v>
      </c>
      <c r="N1433" s="7">
        <v>9.1684750000000008</v>
      </c>
      <c r="O1433" s="7" t="s">
        <v>23</v>
      </c>
    </row>
    <row r="1434" spans="1:15" x14ac:dyDescent="0.25">
      <c r="A1434" s="2">
        <f t="shared" si="22"/>
        <v>1432</v>
      </c>
      <c r="B1434" s="7" t="s">
        <v>3730</v>
      </c>
      <c r="C1434" s="7" t="s">
        <v>3731</v>
      </c>
      <c r="D1434" s="7" t="s">
        <v>3730</v>
      </c>
      <c r="E1434" s="7" t="s">
        <v>34</v>
      </c>
      <c r="F1434" s="7" t="s">
        <v>3732</v>
      </c>
      <c r="G1434" s="8" t="s">
        <v>18</v>
      </c>
      <c r="H1434" s="7" t="s">
        <v>28</v>
      </c>
      <c r="I1434" s="7" t="s">
        <v>441</v>
      </c>
      <c r="J1434" s="7" t="s">
        <v>38</v>
      </c>
      <c r="K1434" s="7" t="s">
        <v>493</v>
      </c>
      <c r="L1434" s="7" t="s">
        <v>65</v>
      </c>
      <c r="M1434" s="7">
        <v>4.0628609999999998</v>
      </c>
      <c r="N1434" s="7">
        <v>9.2251390000000004</v>
      </c>
      <c r="O1434" s="7" t="s">
        <v>23</v>
      </c>
    </row>
    <row r="1435" spans="1:15" x14ac:dyDescent="0.25">
      <c r="A1435" s="2">
        <f t="shared" si="22"/>
        <v>1433</v>
      </c>
      <c r="B1435" s="7" t="s">
        <v>3982</v>
      </c>
      <c r="C1435" s="7" t="s">
        <v>3983</v>
      </c>
      <c r="D1435" s="7" t="s">
        <v>3982</v>
      </c>
      <c r="E1435" s="7" t="s">
        <v>34</v>
      </c>
      <c r="F1435" s="7" t="s">
        <v>3984</v>
      </c>
      <c r="G1435" s="8" t="s">
        <v>18</v>
      </c>
      <c r="H1435" s="7" t="s">
        <v>19</v>
      </c>
      <c r="I1435" s="7" t="s">
        <v>65</v>
      </c>
      <c r="J1435" s="7" t="s">
        <v>38</v>
      </c>
      <c r="K1435" s="7" t="s">
        <v>493</v>
      </c>
      <c r="L1435" s="7" t="s">
        <v>65</v>
      </c>
      <c r="M1435" s="7">
        <v>4.0114280000000004</v>
      </c>
      <c r="N1435" s="7">
        <v>9.2159379999999995</v>
      </c>
      <c r="O1435" s="7" t="s">
        <v>613</v>
      </c>
    </row>
    <row r="1436" spans="1:15" x14ac:dyDescent="0.25">
      <c r="A1436" s="2">
        <f t="shared" si="22"/>
        <v>1434</v>
      </c>
      <c r="B1436" s="7" t="s">
        <v>4007</v>
      </c>
      <c r="C1436" s="7" t="s">
        <v>4008</v>
      </c>
      <c r="D1436" s="7" t="s">
        <v>4007</v>
      </c>
      <c r="E1436" s="7" t="s">
        <v>34</v>
      </c>
      <c r="F1436" s="7" t="s">
        <v>4009</v>
      </c>
      <c r="G1436" s="8" t="s">
        <v>18</v>
      </c>
      <c r="H1436" s="7" t="s">
        <v>19</v>
      </c>
      <c r="I1436" s="7" t="s">
        <v>65</v>
      </c>
      <c r="J1436" s="7" t="s">
        <v>38</v>
      </c>
      <c r="K1436" s="7" t="s">
        <v>66</v>
      </c>
      <c r="L1436" s="7" t="s">
        <v>65</v>
      </c>
      <c r="M1436" s="7">
        <v>4.0206499999999998</v>
      </c>
      <c r="N1436" s="7">
        <v>9.2035269999999993</v>
      </c>
      <c r="O1436" s="7" t="s">
        <v>23</v>
      </c>
    </row>
    <row r="1437" spans="1:15" x14ac:dyDescent="0.25">
      <c r="A1437" s="2">
        <f t="shared" si="22"/>
        <v>1435</v>
      </c>
      <c r="B1437" s="7" t="s">
        <v>4070</v>
      </c>
      <c r="C1437" s="7" t="s">
        <v>4071</v>
      </c>
      <c r="D1437" s="7" t="s">
        <v>4070</v>
      </c>
      <c r="E1437" s="7" t="s">
        <v>34</v>
      </c>
      <c r="F1437" s="7" t="s">
        <v>4072</v>
      </c>
      <c r="G1437" s="8" t="s">
        <v>18</v>
      </c>
      <c r="H1437" s="7" t="s">
        <v>19</v>
      </c>
      <c r="I1437" s="7" t="s">
        <v>441</v>
      </c>
      <c r="J1437" s="7" t="s">
        <v>38</v>
      </c>
      <c r="K1437" s="7" t="s">
        <v>493</v>
      </c>
      <c r="L1437" s="7" t="s">
        <v>65</v>
      </c>
      <c r="M1437" s="7">
        <v>4.0564720000000003</v>
      </c>
      <c r="N1437" s="7">
        <v>9.2473340000000004</v>
      </c>
      <c r="O1437" s="7" t="s">
        <v>23</v>
      </c>
    </row>
    <row r="1438" spans="1:15" x14ac:dyDescent="0.25">
      <c r="A1438" s="2">
        <f t="shared" si="22"/>
        <v>1436</v>
      </c>
      <c r="B1438" s="7" t="s">
        <v>4085</v>
      </c>
      <c r="C1438" s="7" t="s">
        <v>4086</v>
      </c>
      <c r="D1438" s="7" t="s">
        <v>4085</v>
      </c>
      <c r="E1438" s="7" t="s">
        <v>34</v>
      </c>
      <c r="F1438" s="7" t="s">
        <v>4087</v>
      </c>
      <c r="G1438" s="8" t="s">
        <v>18</v>
      </c>
      <c r="H1438" s="7" t="s">
        <v>19</v>
      </c>
      <c r="I1438" s="7" t="s">
        <v>65</v>
      </c>
      <c r="J1438" s="7" t="s">
        <v>38</v>
      </c>
      <c r="K1438" s="7" t="s">
        <v>493</v>
      </c>
      <c r="L1438" s="7" t="s">
        <v>65</v>
      </c>
      <c r="M1438" s="7">
        <v>4.0162610000000001</v>
      </c>
      <c r="N1438" s="7">
        <v>9.1790389999999995</v>
      </c>
      <c r="O1438" s="7" t="s">
        <v>23</v>
      </c>
    </row>
    <row r="1439" spans="1:15" x14ac:dyDescent="0.25">
      <c r="A1439" s="2">
        <f t="shared" si="22"/>
        <v>1437</v>
      </c>
      <c r="B1439" s="7" t="s">
        <v>4103</v>
      </c>
      <c r="C1439" s="7" t="s">
        <v>4104</v>
      </c>
      <c r="D1439" s="7" t="s">
        <v>4103</v>
      </c>
      <c r="E1439" s="7" t="s">
        <v>34</v>
      </c>
      <c r="F1439" s="7" t="s">
        <v>4105</v>
      </c>
      <c r="G1439" s="8" t="s">
        <v>18</v>
      </c>
      <c r="H1439" s="7" t="s">
        <v>19</v>
      </c>
      <c r="I1439" s="7" t="s">
        <v>441</v>
      </c>
      <c r="J1439" s="7" t="s">
        <v>38</v>
      </c>
      <c r="K1439" s="7" t="s">
        <v>66</v>
      </c>
      <c r="L1439" s="7" t="s">
        <v>65</v>
      </c>
      <c r="M1439" s="7">
        <v>4.0566700000000004</v>
      </c>
      <c r="N1439" s="7">
        <v>9.2473550000000007</v>
      </c>
      <c r="O1439" s="7" t="s">
        <v>23</v>
      </c>
    </row>
    <row r="1440" spans="1:15" x14ac:dyDescent="0.25">
      <c r="A1440" s="2">
        <f t="shared" si="22"/>
        <v>1438</v>
      </c>
      <c r="B1440" s="7" t="s">
        <v>4121</v>
      </c>
      <c r="C1440" s="7" t="s">
        <v>4122</v>
      </c>
      <c r="D1440" s="7" t="s">
        <v>4121</v>
      </c>
      <c r="E1440" s="7" t="s">
        <v>34</v>
      </c>
      <c r="F1440" s="7" t="s">
        <v>4123</v>
      </c>
      <c r="G1440" s="8" t="s">
        <v>18</v>
      </c>
      <c r="H1440" s="7" t="s">
        <v>19</v>
      </c>
      <c r="I1440" s="7" t="s">
        <v>65</v>
      </c>
      <c r="J1440" s="7" t="s">
        <v>38</v>
      </c>
      <c r="K1440" s="7" t="s">
        <v>649</v>
      </c>
      <c r="L1440" s="7" t="s">
        <v>65</v>
      </c>
      <c r="M1440" s="7">
        <v>4.0215420000000002</v>
      </c>
      <c r="N1440" s="7">
        <v>9.1110609999999994</v>
      </c>
      <c r="O1440" s="7" t="s">
        <v>23</v>
      </c>
    </row>
    <row r="1441" spans="1:15" x14ac:dyDescent="0.25">
      <c r="A1441" s="2">
        <f t="shared" si="22"/>
        <v>1439</v>
      </c>
      <c r="B1441" s="7" t="s">
        <v>4336</v>
      </c>
      <c r="C1441" s="7" t="s">
        <v>4337</v>
      </c>
      <c r="D1441" s="7" t="s">
        <v>4336</v>
      </c>
      <c r="E1441" s="7" t="s">
        <v>34</v>
      </c>
      <c r="F1441" s="7" t="s">
        <v>4338</v>
      </c>
      <c r="G1441" s="8" t="s">
        <v>18</v>
      </c>
      <c r="H1441" s="7" t="s">
        <v>28</v>
      </c>
      <c r="I1441" s="7" t="s">
        <v>65</v>
      </c>
      <c r="J1441" s="7" t="s">
        <v>38</v>
      </c>
      <c r="K1441" s="7" t="s">
        <v>649</v>
      </c>
      <c r="L1441" s="7" t="s">
        <v>65</v>
      </c>
      <c r="M1441" s="7">
        <v>4.0273199999999996</v>
      </c>
      <c r="N1441" s="7">
        <v>9.1265719999999995</v>
      </c>
      <c r="O1441" s="7" t="s">
        <v>23</v>
      </c>
    </row>
    <row r="1442" spans="1:15" x14ac:dyDescent="0.25">
      <c r="A1442" s="2">
        <f t="shared" si="22"/>
        <v>1440</v>
      </c>
      <c r="B1442" s="7" t="s">
        <v>4339</v>
      </c>
      <c r="C1442" s="7" t="s">
        <v>4340</v>
      </c>
      <c r="D1442" s="7" t="s">
        <v>4339</v>
      </c>
      <c r="E1442" s="7" t="s">
        <v>34</v>
      </c>
      <c r="F1442" s="7" t="s">
        <v>4341</v>
      </c>
      <c r="G1442" s="8" t="s">
        <v>18</v>
      </c>
      <c r="H1442" s="7" t="s">
        <v>28</v>
      </c>
      <c r="I1442" s="7" t="s">
        <v>65</v>
      </c>
      <c r="J1442" s="7" t="s">
        <v>38</v>
      </c>
      <c r="K1442" s="7" t="s">
        <v>649</v>
      </c>
      <c r="L1442" s="7" t="s">
        <v>65</v>
      </c>
      <c r="M1442" s="7">
        <v>4.0619350000000001</v>
      </c>
      <c r="N1442" s="7">
        <v>9.0419619999999998</v>
      </c>
      <c r="O1442" s="7" t="s">
        <v>23</v>
      </c>
    </row>
    <row r="1443" spans="1:15" x14ac:dyDescent="0.25">
      <c r="A1443" s="2">
        <f t="shared" si="22"/>
        <v>1441</v>
      </c>
      <c r="B1443" s="7" t="s">
        <v>4345</v>
      </c>
      <c r="C1443" s="7" t="s">
        <v>4346</v>
      </c>
      <c r="D1443" s="7" t="s">
        <v>4345</v>
      </c>
      <c r="E1443" s="7" t="s">
        <v>34</v>
      </c>
      <c r="F1443" s="7" t="s">
        <v>4347</v>
      </c>
      <c r="G1443" s="8" t="s">
        <v>18</v>
      </c>
      <c r="H1443" s="7" t="s">
        <v>19</v>
      </c>
      <c r="I1443" s="7" t="s">
        <v>65</v>
      </c>
      <c r="J1443" s="7" t="s">
        <v>38</v>
      </c>
      <c r="K1443" s="7" t="s">
        <v>493</v>
      </c>
      <c r="L1443" s="7" t="s">
        <v>65</v>
      </c>
      <c r="M1443" s="7">
        <v>4.016286</v>
      </c>
      <c r="N1443" s="7">
        <v>9.1786399999999997</v>
      </c>
      <c r="O1443" s="7" t="s">
        <v>23</v>
      </c>
    </row>
    <row r="1444" spans="1:15" x14ac:dyDescent="0.25">
      <c r="A1444" s="2">
        <f t="shared" si="22"/>
        <v>1442</v>
      </c>
      <c r="B1444" s="7" t="s">
        <v>5554</v>
      </c>
      <c r="C1444" s="7" t="s">
        <v>5555</v>
      </c>
      <c r="D1444" s="7" t="s">
        <v>5554</v>
      </c>
      <c r="E1444" s="7" t="s">
        <v>34</v>
      </c>
      <c r="F1444" s="7" t="s">
        <v>5556</v>
      </c>
      <c r="G1444" s="8" t="s">
        <v>18</v>
      </c>
      <c r="H1444" s="7" t="s">
        <v>28</v>
      </c>
      <c r="I1444" s="7" t="s">
        <v>65</v>
      </c>
      <c r="J1444" s="7" t="s">
        <v>38</v>
      </c>
      <c r="K1444" s="7" t="s">
        <v>66</v>
      </c>
      <c r="L1444" s="7" t="s">
        <v>65</v>
      </c>
      <c r="M1444" s="7">
        <v>4.0123030000000002</v>
      </c>
      <c r="N1444" s="7">
        <v>9.2076879999999992</v>
      </c>
      <c r="O1444" s="7" t="s">
        <v>613</v>
      </c>
    </row>
    <row r="1445" spans="1:15" x14ac:dyDescent="0.25">
      <c r="A1445" s="2">
        <f t="shared" si="22"/>
        <v>1443</v>
      </c>
      <c r="B1445" s="7" t="s">
        <v>5781</v>
      </c>
      <c r="C1445" s="7" t="s">
        <v>5782</v>
      </c>
      <c r="D1445" s="7" t="s">
        <v>5781</v>
      </c>
      <c r="E1445" s="7" t="s">
        <v>34</v>
      </c>
      <c r="F1445" s="7" t="s">
        <v>5783</v>
      </c>
      <c r="G1445" s="8" t="s">
        <v>18</v>
      </c>
      <c r="H1445" s="7" t="s">
        <v>28</v>
      </c>
      <c r="I1445" s="7" t="s">
        <v>65</v>
      </c>
      <c r="J1445" s="7" t="s">
        <v>38</v>
      </c>
      <c r="K1445" s="7" t="s">
        <v>493</v>
      </c>
      <c r="L1445" s="7" t="s">
        <v>65</v>
      </c>
      <c r="M1445" s="7">
        <v>4.0152489999999998</v>
      </c>
      <c r="N1445" s="7">
        <v>9.2103680000000008</v>
      </c>
      <c r="O1445" s="7" t="s">
        <v>613</v>
      </c>
    </row>
    <row r="1446" spans="1:15" x14ac:dyDescent="0.25">
      <c r="A1446" s="2">
        <f t="shared" si="22"/>
        <v>1444</v>
      </c>
      <c r="B1446" s="7" t="s">
        <v>5845</v>
      </c>
      <c r="C1446" s="7" t="s">
        <v>5846</v>
      </c>
      <c r="D1446" s="7" t="s">
        <v>5845</v>
      </c>
      <c r="E1446" s="7" t="s">
        <v>34</v>
      </c>
      <c r="F1446" s="7" t="s">
        <v>5847</v>
      </c>
      <c r="G1446" s="8" t="s">
        <v>18</v>
      </c>
      <c r="H1446" s="7" t="s">
        <v>28</v>
      </c>
      <c r="I1446" s="7" t="s">
        <v>441</v>
      </c>
      <c r="J1446" s="7" t="s">
        <v>38</v>
      </c>
      <c r="K1446" s="7" t="s">
        <v>442</v>
      </c>
      <c r="L1446" s="7" t="s">
        <v>65</v>
      </c>
      <c r="M1446" s="7">
        <v>4.08108</v>
      </c>
      <c r="N1446" s="7">
        <v>9.2052200000000006</v>
      </c>
      <c r="O1446" s="7" t="s">
        <v>23</v>
      </c>
    </row>
    <row r="1447" spans="1:15" x14ac:dyDescent="0.25">
      <c r="A1447" s="2">
        <f t="shared" si="22"/>
        <v>1445</v>
      </c>
      <c r="B1447" s="7" t="s">
        <v>5978</v>
      </c>
      <c r="C1447" s="7" t="s">
        <v>5979</v>
      </c>
      <c r="D1447" s="7" t="s">
        <v>5978</v>
      </c>
      <c r="E1447" s="7" t="s">
        <v>34</v>
      </c>
      <c r="F1447" s="7" t="s">
        <v>5980</v>
      </c>
      <c r="G1447" s="8" t="s">
        <v>18</v>
      </c>
      <c r="H1447" s="7" t="s">
        <v>28</v>
      </c>
      <c r="I1447" s="7" t="s">
        <v>65</v>
      </c>
      <c r="J1447" s="7" t="s">
        <v>38</v>
      </c>
      <c r="K1447" s="7" t="s">
        <v>5981</v>
      </c>
      <c r="L1447" s="7" t="s">
        <v>65</v>
      </c>
      <c r="M1447" s="7">
        <v>3.992639</v>
      </c>
      <c r="N1447" s="7">
        <v>9.2848609999999994</v>
      </c>
      <c r="O1447" s="7" t="s">
        <v>23</v>
      </c>
    </row>
    <row r="1448" spans="1:15" x14ac:dyDescent="0.25">
      <c r="A1448" s="2">
        <f t="shared" si="22"/>
        <v>1446</v>
      </c>
      <c r="B1448" s="7" t="s">
        <v>6628</v>
      </c>
      <c r="C1448" s="7" t="s">
        <v>6629</v>
      </c>
      <c r="D1448" s="7" t="s">
        <v>6628</v>
      </c>
      <c r="E1448" s="7" t="s">
        <v>34</v>
      </c>
      <c r="F1448" s="7" t="s">
        <v>6630</v>
      </c>
      <c r="G1448" s="8" t="s">
        <v>18</v>
      </c>
      <c r="H1448" s="7" t="s">
        <v>28</v>
      </c>
      <c r="I1448" s="7" t="s">
        <v>65</v>
      </c>
      <c r="J1448" s="7" t="s">
        <v>38</v>
      </c>
      <c r="K1448" s="7" t="s">
        <v>649</v>
      </c>
      <c r="L1448" s="7" t="s">
        <v>65</v>
      </c>
      <c r="M1448" s="7">
        <v>4.0295719999999999</v>
      </c>
      <c r="N1448" s="7">
        <v>9.1599889999999995</v>
      </c>
      <c r="O1448" s="7" t="s">
        <v>23</v>
      </c>
    </row>
    <row r="1449" spans="1:15" x14ac:dyDescent="0.25">
      <c r="A1449" s="2">
        <f t="shared" si="22"/>
        <v>1447</v>
      </c>
      <c r="B1449" s="7" t="s">
        <v>7060</v>
      </c>
      <c r="C1449" s="7" t="s">
        <v>7061</v>
      </c>
      <c r="D1449" s="7" t="s">
        <v>7060</v>
      </c>
      <c r="E1449" s="7" t="s">
        <v>34</v>
      </c>
      <c r="F1449" s="7" t="s">
        <v>7062</v>
      </c>
      <c r="G1449" s="8" t="s">
        <v>18</v>
      </c>
      <c r="H1449" s="7" t="s">
        <v>28</v>
      </c>
      <c r="I1449" s="7" t="s">
        <v>65</v>
      </c>
      <c r="J1449" s="7" t="s">
        <v>7063</v>
      </c>
      <c r="K1449" s="7" t="s">
        <v>7064</v>
      </c>
      <c r="L1449" s="7" t="s">
        <v>65</v>
      </c>
      <c r="M1449" s="7">
        <v>4.0261110000000002</v>
      </c>
      <c r="N1449" s="7">
        <v>9.2055559999999996</v>
      </c>
      <c r="O1449" s="7" t="s">
        <v>23</v>
      </c>
    </row>
    <row r="1450" spans="1:15" x14ac:dyDescent="0.25">
      <c r="A1450" s="2">
        <f t="shared" si="22"/>
        <v>1448</v>
      </c>
      <c r="B1450" s="7" t="s">
        <v>7100</v>
      </c>
      <c r="C1450" s="7" t="s">
        <v>7101</v>
      </c>
      <c r="D1450" s="7" t="s">
        <v>7100</v>
      </c>
      <c r="E1450" s="7" t="s">
        <v>34</v>
      </c>
      <c r="F1450" s="7" t="s">
        <v>7102</v>
      </c>
      <c r="G1450" s="8" t="s">
        <v>18</v>
      </c>
      <c r="H1450" s="7" t="s">
        <v>28</v>
      </c>
      <c r="I1450" s="7" t="s">
        <v>65</v>
      </c>
      <c r="J1450" s="7" t="s">
        <v>7063</v>
      </c>
      <c r="K1450" s="7" t="s">
        <v>7103</v>
      </c>
      <c r="L1450" s="7" t="s">
        <v>65</v>
      </c>
      <c r="M1450" s="7">
        <v>4.0470129999999997</v>
      </c>
      <c r="N1450" s="7">
        <v>9.2143099999999993</v>
      </c>
      <c r="O1450" s="7" t="s">
        <v>23</v>
      </c>
    </row>
    <row r="1451" spans="1:15" x14ac:dyDescent="0.25">
      <c r="A1451" s="2">
        <f t="shared" si="22"/>
        <v>1449</v>
      </c>
      <c r="B1451" s="7" t="s">
        <v>7374</v>
      </c>
      <c r="C1451" s="7" t="s">
        <v>7375</v>
      </c>
      <c r="D1451" s="7" t="s">
        <v>7374</v>
      </c>
      <c r="E1451" s="7" t="s">
        <v>34</v>
      </c>
      <c r="F1451" s="7" t="s">
        <v>7376</v>
      </c>
      <c r="G1451" s="17" t="s">
        <v>7747</v>
      </c>
      <c r="H1451" s="7" t="s">
        <v>28</v>
      </c>
      <c r="I1451" s="7" t="s">
        <v>65</v>
      </c>
      <c r="J1451" s="7" t="s">
        <v>38</v>
      </c>
      <c r="K1451" s="7" t="s">
        <v>7377</v>
      </c>
      <c r="L1451" s="7" t="s">
        <v>65</v>
      </c>
      <c r="M1451" s="7">
        <v>4.025245</v>
      </c>
      <c r="N1451" s="7">
        <v>9.1802170000000007</v>
      </c>
      <c r="O1451" s="7" t="s">
        <v>613</v>
      </c>
    </row>
    <row r="1452" spans="1:15" x14ac:dyDescent="0.25">
      <c r="A1452" s="2">
        <f t="shared" si="22"/>
        <v>1450</v>
      </c>
      <c r="B1452" s="7" t="s">
        <v>7430</v>
      </c>
      <c r="C1452" s="7" t="s">
        <v>7431</v>
      </c>
      <c r="D1452" s="7" t="s">
        <v>7430</v>
      </c>
      <c r="E1452" s="7" t="s">
        <v>34</v>
      </c>
      <c r="F1452" s="7" t="s">
        <v>7432</v>
      </c>
      <c r="G1452" s="17" t="s">
        <v>7747</v>
      </c>
      <c r="H1452" s="7" t="s">
        <v>28</v>
      </c>
      <c r="I1452" s="7" t="s">
        <v>65</v>
      </c>
      <c r="J1452" s="7" t="s">
        <v>38</v>
      </c>
      <c r="K1452" s="7" t="s">
        <v>7377</v>
      </c>
      <c r="L1452" s="7" t="s">
        <v>65</v>
      </c>
      <c r="M1452" s="7">
        <v>4.025353</v>
      </c>
      <c r="N1452" s="7">
        <v>9.1801180000000002</v>
      </c>
      <c r="O1452" s="7" t="s">
        <v>23</v>
      </c>
    </row>
    <row r="1453" spans="1:15" x14ac:dyDescent="0.25">
      <c r="A1453" s="2">
        <f t="shared" si="22"/>
        <v>1451</v>
      </c>
      <c r="B1453" s="7" t="s">
        <v>86</v>
      </c>
      <c r="C1453" s="7" t="s">
        <v>87</v>
      </c>
      <c r="D1453" s="7" t="s">
        <v>86</v>
      </c>
      <c r="E1453" s="7" t="s">
        <v>26</v>
      </c>
      <c r="F1453" s="7" t="s">
        <v>88</v>
      </c>
      <c r="G1453" s="8" t="s">
        <v>36</v>
      </c>
      <c r="H1453" s="7" t="s">
        <v>28</v>
      </c>
      <c r="I1453" s="7" t="s">
        <v>90</v>
      </c>
      <c r="J1453" s="7" t="s">
        <v>91</v>
      </c>
      <c r="K1453" s="7" t="s">
        <v>88</v>
      </c>
      <c r="L1453" s="7" t="s">
        <v>92</v>
      </c>
      <c r="M1453" s="7">
        <v>5.521083333</v>
      </c>
      <c r="N1453" s="7">
        <v>9.5806944440000006</v>
      </c>
      <c r="O1453" s="7" t="s">
        <v>23</v>
      </c>
    </row>
    <row r="1454" spans="1:15" x14ac:dyDescent="0.25">
      <c r="A1454" s="2">
        <f t="shared" si="22"/>
        <v>1452</v>
      </c>
      <c r="B1454" s="7" t="s">
        <v>126</v>
      </c>
      <c r="C1454" s="7" t="s">
        <v>127</v>
      </c>
      <c r="D1454" s="7" t="s">
        <v>126</v>
      </c>
      <c r="E1454" s="7" t="s">
        <v>26</v>
      </c>
      <c r="F1454" s="7" t="s">
        <v>128</v>
      </c>
      <c r="G1454" s="8" t="s">
        <v>36</v>
      </c>
      <c r="H1454" s="7" t="s">
        <v>28</v>
      </c>
      <c r="I1454" s="7" t="s">
        <v>92</v>
      </c>
      <c r="J1454" s="7" t="s">
        <v>91</v>
      </c>
      <c r="K1454" s="7" t="s">
        <v>88</v>
      </c>
      <c r="L1454" s="7" t="s">
        <v>92</v>
      </c>
      <c r="M1454" s="7">
        <v>5.5816666670000004</v>
      </c>
      <c r="N1454" s="7">
        <v>9.6670555559999993</v>
      </c>
      <c r="O1454" s="7" t="s">
        <v>23</v>
      </c>
    </row>
    <row r="1455" spans="1:15" x14ac:dyDescent="0.25">
      <c r="A1455" s="2">
        <f t="shared" si="22"/>
        <v>1453</v>
      </c>
      <c r="B1455" s="7" t="s">
        <v>278</v>
      </c>
      <c r="C1455" s="7" t="s">
        <v>279</v>
      </c>
      <c r="D1455" s="7" t="s">
        <v>278</v>
      </c>
      <c r="E1455" s="7" t="s">
        <v>26</v>
      </c>
      <c r="F1455" s="7" t="s">
        <v>280</v>
      </c>
      <c r="G1455" s="8" t="s">
        <v>36</v>
      </c>
      <c r="H1455" s="7" t="s">
        <v>28</v>
      </c>
      <c r="I1455" s="7" t="s">
        <v>92</v>
      </c>
      <c r="J1455" s="7" t="s">
        <v>281</v>
      </c>
      <c r="K1455" s="7" t="s">
        <v>282</v>
      </c>
      <c r="L1455" s="7" t="s">
        <v>92</v>
      </c>
      <c r="M1455" s="7">
        <v>5.4788333329999999</v>
      </c>
      <c r="N1455" s="7">
        <v>9.2488611110000001</v>
      </c>
      <c r="O1455" s="7" t="s">
        <v>23</v>
      </c>
    </row>
    <row r="1456" spans="1:15" x14ac:dyDescent="0.25">
      <c r="A1456" s="2">
        <f t="shared" si="22"/>
        <v>1454</v>
      </c>
      <c r="B1456" s="7" t="s">
        <v>994</v>
      </c>
      <c r="C1456" s="7" t="s">
        <v>995</v>
      </c>
      <c r="D1456" s="7" t="s">
        <v>994</v>
      </c>
      <c r="E1456" s="7" t="s">
        <v>26</v>
      </c>
      <c r="F1456" s="7" t="s">
        <v>996</v>
      </c>
      <c r="G1456" s="8" t="s">
        <v>18</v>
      </c>
      <c r="H1456" s="7" t="s">
        <v>28</v>
      </c>
      <c r="I1456" s="7" t="s">
        <v>92</v>
      </c>
      <c r="J1456" s="7" t="s">
        <v>281</v>
      </c>
      <c r="K1456" s="7" t="s">
        <v>282</v>
      </c>
      <c r="L1456" s="7" t="s">
        <v>92</v>
      </c>
      <c r="M1456" s="7">
        <v>5.700861111</v>
      </c>
      <c r="N1456" s="7">
        <v>9.2851388890000006</v>
      </c>
      <c r="O1456" s="7" t="s">
        <v>23</v>
      </c>
    </row>
    <row r="1457" spans="1:15" x14ac:dyDescent="0.25">
      <c r="A1457" s="2">
        <f t="shared" si="22"/>
        <v>1455</v>
      </c>
      <c r="B1457" s="7" t="s">
        <v>997</v>
      </c>
      <c r="C1457" s="7" t="s">
        <v>998</v>
      </c>
      <c r="D1457" s="7" t="s">
        <v>997</v>
      </c>
      <c r="E1457" s="7" t="s">
        <v>26</v>
      </c>
      <c r="F1457" s="7" t="s">
        <v>999</v>
      </c>
      <c r="G1457" s="8" t="s">
        <v>36</v>
      </c>
      <c r="H1457" s="7" t="s">
        <v>28</v>
      </c>
      <c r="I1457" s="7" t="s">
        <v>92</v>
      </c>
      <c r="J1457" s="7"/>
      <c r="K1457" s="7" t="s">
        <v>92</v>
      </c>
      <c r="L1457" s="7" t="s">
        <v>92</v>
      </c>
      <c r="M1457" s="7">
        <v>5.7744999999999997</v>
      </c>
      <c r="N1457" s="7">
        <v>9.3559999999999999</v>
      </c>
      <c r="O1457" s="7" t="s">
        <v>23</v>
      </c>
    </row>
    <row r="1458" spans="1:15" x14ac:dyDescent="0.25">
      <c r="A1458" s="2">
        <f t="shared" si="22"/>
        <v>1456</v>
      </c>
      <c r="B1458" s="7" t="s">
        <v>1175</v>
      </c>
      <c r="C1458" s="7" t="s">
        <v>1176</v>
      </c>
      <c r="D1458" s="7" t="s">
        <v>1175</v>
      </c>
      <c r="E1458" s="7" t="s">
        <v>26</v>
      </c>
      <c r="F1458" s="7" t="s">
        <v>1177</v>
      </c>
      <c r="G1458" s="8" t="s">
        <v>896</v>
      </c>
      <c r="H1458" s="7" t="s">
        <v>96</v>
      </c>
      <c r="I1458" s="7" t="s">
        <v>29</v>
      </c>
      <c r="J1458" s="7" t="s">
        <v>281</v>
      </c>
      <c r="K1458" s="7" t="s">
        <v>1178</v>
      </c>
      <c r="L1458" s="7" t="s">
        <v>92</v>
      </c>
      <c r="M1458" s="7">
        <v>6.378388889</v>
      </c>
      <c r="N1458" s="7">
        <v>9.5110583329999994</v>
      </c>
      <c r="O1458" s="7" t="s">
        <v>23</v>
      </c>
    </row>
    <row r="1459" spans="1:15" x14ac:dyDescent="0.25">
      <c r="A1459" s="2">
        <f t="shared" si="22"/>
        <v>1457</v>
      </c>
      <c r="B1459" s="7" t="s">
        <v>1394</v>
      </c>
      <c r="C1459" s="7" t="s">
        <v>1395</v>
      </c>
      <c r="D1459" s="7" t="s">
        <v>1394</v>
      </c>
      <c r="E1459" s="7" t="s">
        <v>26</v>
      </c>
      <c r="F1459" s="7" t="s">
        <v>1396</v>
      </c>
      <c r="G1459" s="8" t="s">
        <v>18</v>
      </c>
      <c r="H1459" s="7" t="s">
        <v>28</v>
      </c>
      <c r="I1459" s="7" t="s">
        <v>92</v>
      </c>
      <c r="J1459" s="7" t="s">
        <v>281</v>
      </c>
      <c r="K1459" s="7" t="s">
        <v>88</v>
      </c>
      <c r="L1459" s="7" t="s">
        <v>92</v>
      </c>
      <c r="M1459" s="7">
        <v>5.5574722220000004</v>
      </c>
      <c r="N1459" s="7">
        <v>9.5617222220000002</v>
      </c>
      <c r="O1459" s="7" t="s">
        <v>23</v>
      </c>
    </row>
    <row r="1460" spans="1:15" x14ac:dyDescent="0.25">
      <c r="A1460" s="2">
        <f t="shared" si="22"/>
        <v>1458</v>
      </c>
      <c r="B1460" s="7" t="s">
        <v>2110</v>
      </c>
      <c r="C1460" s="7" t="s">
        <v>2111</v>
      </c>
      <c r="D1460" s="7" t="s">
        <v>2110</v>
      </c>
      <c r="E1460" s="7" t="s">
        <v>26</v>
      </c>
      <c r="F1460" s="7" t="s">
        <v>2112</v>
      </c>
      <c r="G1460" s="8" t="s">
        <v>18</v>
      </c>
      <c r="H1460" s="7" t="s">
        <v>19</v>
      </c>
      <c r="I1460" s="7" t="s">
        <v>92</v>
      </c>
      <c r="J1460" s="7" t="s">
        <v>281</v>
      </c>
      <c r="K1460" s="7" t="s">
        <v>282</v>
      </c>
      <c r="L1460" s="7" t="s">
        <v>92</v>
      </c>
      <c r="M1460" s="7">
        <v>5.7660799999999997</v>
      </c>
      <c r="N1460" s="7">
        <v>8.9847000000000001</v>
      </c>
      <c r="O1460" s="7" t="s">
        <v>23</v>
      </c>
    </row>
    <row r="1461" spans="1:15" x14ac:dyDescent="0.25">
      <c r="A1461" s="2">
        <f t="shared" si="22"/>
        <v>1459</v>
      </c>
      <c r="B1461" s="7" t="s">
        <v>2579</v>
      </c>
      <c r="C1461" s="7" t="s">
        <v>2580</v>
      </c>
      <c r="D1461" s="7" t="s">
        <v>2579</v>
      </c>
      <c r="E1461" s="7" t="s">
        <v>26</v>
      </c>
      <c r="F1461" s="7" t="s">
        <v>2581</v>
      </c>
      <c r="G1461" s="8" t="s">
        <v>18</v>
      </c>
      <c r="H1461" s="7" t="s">
        <v>28</v>
      </c>
      <c r="I1461" s="7" t="s">
        <v>92</v>
      </c>
      <c r="J1461" s="7" t="s">
        <v>281</v>
      </c>
      <c r="K1461" s="7" t="s">
        <v>92</v>
      </c>
      <c r="L1461" s="7" t="s">
        <v>92</v>
      </c>
      <c r="M1461" s="7">
        <v>5.7569444399999998</v>
      </c>
      <c r="N1461" s="7">
        <v>9.3078611000000002</v>
      </c>
      <c r="O1461" s="7" t="s">
        <v>23</v>
      </c>
    </row>
    <row r="1462" spans="1:15" x14ac:dyDescent="0.25">
      <c r="A1462" s="2">
        <f t="shared" si="22"/>
        <v>1460</v>
      </c>
      <c r="B1462" s="7" t="s">
        <v>2765</v>
      </c>
      <c r="C1462" s="7" t="s">
        <v>2766</v>
      </c>
      <c r="D1462" s="7" t="s">
        <v>2765</v>
      </c>
      <c r="E1462" s="7" t="s">
        <v>26</v>
      </c>
      <c r="F1462" s="7" t="s">
        <v>88</v>
      </c>
      <c r="G1462" s="8" t="s">
        <v>18</v>
      </c>
      <c r="H1462" s="7" t="s">
        <v>28</v>
      </c>
      <c r="I1462" s="7" t="s">
        <v>92</v>
      </c>
      <c r="J1462" s="7" t="s">
        <v>281</v>
      </c>
      <c r="K1462" s="7" t="s">
        <v>88</v>
      </c>
      <c r="L1462" s="7" t="s">
        <v>92</v>
      </c>
      <c r="M1462" s="7">
        <v>5.5456200000000004</v>
      </c>
      <c r="N1462" s="7">
        <v>9.5905900000000006</v>
      </c>
      <c r="O1462" s="7" t="s">
        <v>23</v>
      </c>
    </row>
    <row r="1463" spans="1:15" x14ac:dyDescent="0.25">
      <c r="A1463" s="2">
        <f t="shared" si="22"/>
        <v>1461</v>
      </c>
      <c r="B1463" s="7" t="s">
        <v>2818</v>
      </c>
      <c r="C1463" s="7" t="s">
        <v>2819</v>
      </c>
      <c r="D1463" s="7" t="s">
        <v>2818</v>
      </c>
      <c r="E1463" s="7" t="s">
        <v>26</v>
      </c>
      <c r="F1463" s="7" t="s">
        <v>2820</v>
      </c>
      <c r="G1463" s="8" t="s">
        <v>18</v>
      </c>
      <c r="H1463" s="7" t="s">
        <v>19</v>
      </c>
      <c r="I1463" s="7" t="s">
        <v>92</v>
      </c>
      <c r="J1463" s="7" t="s">
        <v>281</v>
      </c>
      <c r="K1463" s="7" t="s">
        <v>92</v>
      </c>
      <c r="L1463" s="7" t="s">
        <v>92</v>
      </c>
      <c r="M1463" s="7">
        <v>5.71469</v>
      </c>
      <c r="N1463" s="7">
        <v>9.3915900000000008</v>
      </c>
      <c r="O1463" s="7" t="s">
        <v>23</v>
      </c>
    </row>
    <row r="1464" spans="1:15" x14ac:dyDescent="0.25">
      <c r="A1464" s="2">
        <f t="shared" si="22"/>
        <v>1462</v>
      </c>
      <c r="B1464" s="7" t="s">
        <v>3163</v>
      </c>
      <c r="C1464" s="7" t="s">
        <v>3164</v>
      </c>
      <c r="D1464" s="7" t="s">
        <v>3163</v>
      </c>
      <c r="E1464" s="7" t="s">
        <v>26</v>
      </c>
      <c r="F1464" s="7" t="s">
        <v>3165</v>
      </c>
      <c r="G1464" s="8" t="s">
        <v>18</v>
      </c>
      <c r="H1464" s="7" t="s">
        <v>28</v>
      </c>
      <c r="I1464" s="7" t="s">
        <v>90</v>
      </c>
      <c r="J1464" s="7" t="s">
        <v>281</v>
      </c>
      <c r="K1464" s="7" t="s">
        <v>92</v>
      </c>
      <c r="L1464" s="7" t="s">
        <v>92</v>
      </c>
      <c r="M1464" s="7">
        <v>5.7632500000000002</v>
      </c>
      <c r="N1464" s="7">
        <v>9.3114166669999996</v>
      </c>
      <c r="O1464" s="7" t="s">
        <v>23</v>
      </c>
    </row>
    <row r="1465" spans="1:15" x14ac:dyDescent="0.25">
      <c r="A1465" s="2">
        <f t="shared" si="22"/>
        <v>1463</v>
      </c>
      <c r="B1465" s="7" t="s">
        <v>3203</v>
      </c>
      <c r="C1465" s="7" t="s">
        <v>3204</v>
      </c>
      <c r="D1465" s="7" t="s">
        <v>3203</v>
      </c>
      <c r="E1465" s="7" t="s">
        <v>26</v>
      </c>
      <c r="F1465" s="7" t="s">
        <v>3205</v>
      </c>
      <c r="G1465" s="8" t="s">
        <v>18</v>
      </c>
      <c r="H1465" s="7" t="s">
        <v>19</v>
      </c>
      <c r="I1465" s="7" t="s">
        <v>92</v>
      </c>
      <c r="J1465" s="7" t="s">
        <v>281</v>
      </c>
      <c r="K1465" s="7" t="s">
        <v>282</v>
      </c>
      <c r="L1465" s="7" t="s">
        <v>92</v>
      </c>
      <c r="M1465" s="7">
        <v>5.8100222219999997</v>
      </c>
      <c r="N1465" s="7">
        <v>8.8572638890000004</v>
      </c>
      <c r="O1465" s="7" t="s">
        <v>23</v>
      </c>
    </row>
    <row r="1466" spans="1:15" x14ac:dyDescent="0.25">
      <c r="A1466" s="2">
        <f t="shared" si="22"/>
        <v>1464</v>
      </c>
      <c r="B1466" s="7" t="s">
        <v>4181</v>
      </c>
      <c r="C1466" s="7" t="s">
        <v>4182</v>
      </c>
      <c r="D1466" s="7" t="s">
        <v>4181</v>
      </c>
      <c r="E1466" s="7" t="s">
        <v>26</v>
      </c>
      <c r="F1466" s="7" t="s">
        <v>4183</v>
      </c>
      <c r="G1466" s="8" t="s">
        <v>18</v>
      </c>
      <c r="H1466" s="7" t="s">
        <v>19</v>
      </c>
      <c r="I1466" s="7" t="s">
        <v>92</v>
      </c>
      <c r="J1466" s="7" t="s">
        <v>281</v>
      </c>
      <c r="K1466" s="7" t="s">
        <v>92</v>
      </c>
      <c r="L1466" s="7" t="s">
        <v>92</v>
      </c>
      <c r="M1466" s="7">
        <v>5.714611111</v>
      </c>
      <c r="N1466" s="7">
        <v>9.3907500000000006</v>
      </c>
      <c r="O1466" s="7" t="s">
        <v>23</v>
      </c>
    </row>
    <row r="1467" spans="1:15" x14ac:dyDescent="0.25">
      <c r="A1467" s="2">
        <f t="shared" si="22"/>
        <v>1465</v>
      </c>
      <c r="B1467" s="7" t="s">
        <v>4330</v>
      </c>
      <c r="C1467" s="7" t="s">
        <v>4331</v>
      </c>
      <c r="D1467" s="7" t="s">
        <v>4330</v>
      </c>
      <c r="E1467" s="7" t="s">
        <v>26</v>
      </c>
      <c r="F1467" s="7" t="s">
        <v>4332</v>
      </c>
      <c r="G1467" s="8" t="s">
        <v>18</v>
      </c>
      <c r="H1467" s="7" t="s">
        <v>28</v>
      </c>
      <c r="I1467" s="7" t="s">
        <v>92</v>
      </c>
      <c r="J1467" s="7" t="s">
        <v>281</v>
      </c>
      <c r="K1467" s="7" t="s">
        <v>282</v>
      </c>
      <c r="L1467" s="7" t="s">
        <v>92</v>
      </c>
      <c r="M1467" s="7">
        <v>5.6207500000000001</v>
      </c>
      <c r="N1467" s="7">
        <v>9.2497100000000003</v>
      </c>
      <c r="O1467" s="7" t="s">
        <v>23</v>
      </c>
    </row>
    <row r="1468" spans="1:15" x14ac:dyDescent="0.25">
      <c r="A1468" s="2">
        <f t="shared" si="22"/>
        <v>1466</v>
      </c>
      <c r="B1468" s="7" t="s">
        <v>5874</v>
      </c>
      <c r="C1468" s="7" t="s">
        <v>5875</v>
      </c>
      <c r="D1468" s="7" t="s">
        <v>5874</v>
      </c>
      <c r="E1468" s="7" t="s">
        <v>26</v>
      </c>
      <c r="F1468" s="7" t="s">
        <v>5876</v>
      </c>
      <c r="G1468" s="8" t="s">
        <v>18</v>
      </c>
      <c r="H1468" s="7" t="s">
        <v>28</v>
      </c>
      <c r="I1468" s="7" t="s">
        <v>92</v>
      </c>
      <c r="J1468" s="7" t="s">
        <v>281</v>
      </c>
      <c r="K1468" s="7" t="s">
        <v>282</v>
      </c>
      <c r="L1468" s="7" t="s">
        <v>92</v>
      </c>
      <c r="M1468" s="7">
        <v>5.64025</v>
      </c>
      <c r="N1468" s="7">
        <v>9.3138888889999993</v>
      </c>
      <c r="O1468" s="7" t="s">
        <v>23</v>
      </c>
    </row>
    <row r="1469" spans="1:15" x14ac:dyDescent="0.25">
      <c r="A1469" s="2">
        <f t="shared" si="22"/>
        <v>1467</v>
      </c>
      <c r="B1469" s="7" t="s">
        <v>5877</v>
      </c>
      <c r="C1469" s="7" t="s">
        <v>5878</v>
      </c>
      <c r="D1469" s="7" t="s">
        <v>5877</v>
      </c>
      <c r="E1469" s="7" t="s">
        <v>26</v>
      </c>
      <c r="F1469" s="7" t="s">
        <v>5879</v>
      </c>
      <c r="G1469" s="8" t="s">
        <v>18</v>
      </c>
      <c r="H1469" s="7" t="s">
        <v>28</v>
      </c>
      <c r="I1469" s="7" t="s">
        <v>108</v>
      </c>
      <c r="J1469" s="7" t="s">
        <v>1314</v>
      </c>
      <c r="K1469" s="7" t="s">
        <v>5880</v>
      </c>
      <c r="L1469" s="7" t="s">
        <v>92</v>
      </c>
      <c r="M1469" s="7">
        <v>5.2804500000000001</v>
      </c>
      <c r="N1469" s="7">
        <v>9.41465</v>
      </c>
      <c r="O1469" s="7" t="s">
        <v>23</v>
      </c>
    </row>
    <row r="1470" spans="1:15" x14ac:dyDescent="0.25">
      <c r="A1470" s="2">
        <f t="shared" si="22"/>
        <v>1468</v>
      </c>
      <c r="B1470" s="7" t="s">
        <v>5890</v>
      </c>
      <c r="C1470" s="7" t="s">
        <v>5891</v>
      </c>
      <c r="D1470" s="7" t="s">
        <v>5890</v>
      </c>
      <c r="E1470" s="7" t="s">
        <v>26</v>
      </c>
      <c r="F1470" s="7" t="s">
        <v>5892</v>
      </c>
      <c r="G1470" s="8" t="s">
        <v>18</v>
      </c>
      <c r="H1470" s="7" t="s">
        <v>28</v>
      </c>
      <c r="I1470" s="7" t="s">
        <v>92</v>
      </c>
      <c r="J1470" s="7" t="s">
        <v>365</v>
      </c>
      <c r="K1470" s="7" t="s">
        <v>2147</v>
      </c>
      <c r="L1470" s="7" t="s">
        <v>92</v>
      </c>
      <c r="M1470" s="7">
        <v>5.83718</v>
      </c>
      <c r="N1470" s="7">
        <v>9.7138500000000008</v>
      </c>
      <c r="O1470" s="7" t="s">
        <v>23</v>
      </c>
    </row>
    <row r="1471" spans="1:15" x14ac:dyDescent="0.25">
      <c r="A1471" s="2">
        <f t="shared" si="22"/>
        <v>1469</v>
      </c>
      <c r="B1471" s="7" t="s">
        <v>5948</v>
      </c>
      <c r="C1471" s="7" t="s">
        <v>5949</v>
      </c>
      <c r="D1471" s="7" t="s">
        <v>5948</v>
      </c>
      <c r="E1471" s="7" t="s">
        <v>26</v>
      </c>
      <c r="F1471" s="7" t="s">
        <v>5950</v>
      </c>
      <c r="G1471" s="8" t="s">
        <v>18</v>
      </c>
      <c r="H1471" s="7" t="s">
        <v>28</v>
      </c>
      <c r="I1471" s="7" t="s">
        <v>92</v>
      </c>
      <c r="J1471" s="7" t="s">
        <v>281</v>
      </c>
      <c r="K1471" s="7" t="s">
        <v>88</v>
      </c>
      <c r="L1471" s="7" t="s">
        <v>92</v>
      </c>
      <c r="M1471" s="7">
        <v>5.6146388890000001</v>
      </c>
      <c r="N1471" s="7">
        <v>9.5173888889999994</v>
      </c>
      <c r="O1471" s="7" t="s">
        <v>23</v>
      </c>
    </row>
    <row r="1472" spans="1:15" x14ac:dyDescent="0.25">
      <c r="A1472" s="2">
        <f t="shared" si="22"/>
        <v>1470</v>
      </c>
      <c r="B1472" s="7" t="s">
        <v>5970</v>
      </c>
      <c r="C1472" s="7" t="s">
        <v>5971</v>
      </c>
      <c r="D1472" s="7" t="s">
        <v>5970</v>
      </c>
      <c r="E1472" s="7" t="s">
        <v>26</v>
      </c>
      <c r="F1472" s="7" t="s">
        <v>5972</v>
      </c>
      <c r="G1472" s="8" t="s">
        <v>18</v>
      </c>
      <c r="H1472" s="7" t="s">
        <v>28</v>
      </c>
      <c r="I1472" s="7" t="s">
        <v>92</v>
      </c>
      <c r="J1472" s="7" t="s">
        <v>281</v>
      </c>
      <c r="K1472" s="7" t="s">
        <v>92</v>
      </c>
      <c r="L1472" s="7" t="s">
        <v>92</v>
      </c>
      <c r="M1472" s="7">
        <v>5.7688800000000002</v>
      </c>
      <c r="N1472" s="7">
        <v>9.3219899999999996</v>
      </c>
      <c r="O1472" s="7" t="s">
        <v>23</v>
      </c>
    </row>
    <row r="1473" spans="1:15" x14ac:dyDescent="0.25">
      <c r="A1473" s="2">
        <f t="shared" si="22"/>
        <v>1471</v>
      </c>
      <c r="B1473" s="7" t="s">
        <v>6072</v>
      </c>
      <c r="C1473" s="7" t="s">
        <v>6073</v>
      </c>
      <c r="D1473" s="7" t="s">
        <v>6072</v>
      </c>
      <c r="E1473" s="7" t="s">
        <v>26</v>
      </c>
      <c r="F1473" s="7" t="s">
        <v>6074</v>
      </c>
      <c r="G1473" s="8" t="s">
        <v>18</v>
      </c>
      <c r="H1473" s="7" t="s">
        <v>28</v>
      </c>
      <c r="I1473" s="7" t="s">
        <v>92</v>
      </c>
      <c r="J1473" s="7" t="s">
        <v>281</v>
      </c>
      <c r="K1473" s="7" t="s">
        <v>282</v>
      </c>
      <c r="L1473" s="7" t="s">
        <v>92</v>
      </c>
      <c r="M1473" s="7">
        <v>5.6990109999999996</v>
      </c>
      <c r="N1473" s="7">
        <v>9.1825329999999994</v>
      </c>
      <c r="O1473" s="7" t="s">
        <v>23</v>
      </c>
    </row>
    <row r="1474" spans="1:15" x14ac:dyDescent="0.25">
      <c r="A1474" s="2">
        <f t="shared" si="22"/>
        <v>1472</v>
      </c>
      <c r="B1474" s="7" t="s">
        <v>6084</v>
      </c>
      <c r="C1474" s="7" t="s">
        <v>6085</v>
      </c>
      <c r="D1474" s="7" t="s">
        <v>6084</v>
      </c>
      <c r="E1474" s="7" t="s">
        <v>26</v>
      </c>
      <c r="F1474" s="7" t="s">
        <v>6086</v>
      </c>
      <c r="G1474" s="8" t="s">
        <v>18</v>
      </c>
      <c r="H1474" s="7" t="s">
        <v>28</v>
      </c>
      <c r="I1474" s="7" t="s">
        <v>92</v>
      </c>
      <c r="J1474" s="7" t="s">
        <v>281</v>
      </c>
      <c r="K1474" s="7" t="s">
        <v>88</v>
      </c>
      <c r="L1474" s="7" t="s">
        <v>92</v>
      </c>
      <c r="M1474" s="7">
        <v>5.4960699999999996</v>
      </c>
      <c r="N1474" s="7">
        <v>9.5214599999999994</v>
      </c>
      <c r="O1474" s="7" t="s">
        <v>23</v>
      </c>
    </row>
    <row r="1475" spans="1:15" x14ac:dyDescent="0.25">
      <c r="A1475" s="2">
        <f t="shared" si="22"/>
        <v>1473</v>
      </c>
      <c r="B1475" s="7" t="s">
        <v>6115</v>
      </c>
      <c r="C1475" s="7" t="s">
        <v>6116</v>
      </c>
      <c r="D1475" s="7" t="s">
        <v>6115</v>
      </c>
      <c r="E1475" s="7" t="s">
        <v>26</v>
      </c>
      <c r="F1475" s="7" t="s">
        <v>3205</v>
      </c>
      <c r="G1475" s="8" t="s">
        <v>18</v>
      </c>
      <c r="H1475" s="7" t="s">
        <v>19</v>
      </c>
      <c r="I1475" s="7" t="s">
        <v>92</v>
      </c>
      <c r="J1475" s="7" t="s">
        <v>281</v>
      </c>
      <c r="K1475" s="7" t="s">
        <v>282</v>
      </c>
      <c r="L1475" s="7" t="s">
        <v>92</v>
      </c>
      <c r="M1475" s="7">
        <v>5.8151299999999999</v>
      </c>
      <c r="N1475" s="7">
        <v>8.8577100000000009</v>
      </c>
      <c r="O1475" s="7" t="s">
        <v>23</v>
      </c>
    </row>
    <row r="1476" spans="1:15" x14ac:dyDescent="0.25">
      <c r="A1476" s="2">
        <f t="shared" si="22"/>
        <v>1474</v>
      </c>
      <c r="B1476" s="7" t="s">
        <v>6287</v>
      </c>
      <c r="C1476" s="7" t="s">
        <v>6288</v>
      </c>
      <c r="D1476" s="7" t="s">
        <v>6287</v>
      </c>
      <c r="E1476" s="7" t="s">
        <v>26</v>
      </c>
      <c r="F1476" s="7" t="s">
        <v>6289</v>
      </c>
      <c r="G1476" s="8" t="s">
        <v>36</v>
      </c>
      <c r="H1476" s="7" t="s">
        <v>28</v>
      </c>
      <c r="I1476" s="7" t="s">
        <v>92</v>
      </c>
      <c r="J1476" s="7" t="s">
        <v>281</v>
      </c>
      <c r="K1476" s="7" t="s">
        <v>92</v>
      </c>
      <c r="L1476" s="7" t="s">
        <v>92</v>
      </c>
      <c r="M1476" s="7">
        <v>5.70852</v>
      </c>
      <c r="N1476" s="7">
        <v>9.6258999999999997</v>
      </c>
      <c r="O1476" s="7" t="s">
        <v>23</v>
      </c>
    </row>
    <row r="1477" spans="1:15" x14ac:dyDescent="0.25">
      <c r="A1477" s="2">
        <f t="shared" ref="A1477:A1540" si="23">+A1476+1</f>
        <v>1475</v>
      </c>
      <c r="B1477" s="7" t="s">
        <v>6462</v>
      </c>
      <c r="C1477" s="7" t="s">
        <v>6463</v>
      </c>
      <c r="D1477" s="7" t="s">
        <v>6462</v>
      </c>
      <c r="E1477" s="7" t="s">
        <v>26</v>
      </c>
      <c r="F1477" s="7" t="s">
        <v>2112</v>
      </c>
      <c r="G1477" s="8" t="s">
        <v>18</v>
      </c>
      <c r="H1477" s="7" t="s">
        <v>19</v>
      </c>
      <c r="I1477" s="7" t="s">
        <v>90</v>
      </c>
      <c r="J1477" s="7" t="s">
        <v>281</v>
      </c>
      <c r="K1477" s="7" t="s">
        <v>282</v>
      </c>
      <c r="L1477" s="7" t="s">
        <v>92</v>
      </c>
      <c r="M1477" s="7">
        <v>5.7736388889999999</v>
      </c>
      <c r="N1477" s="7">
        <v>8.9948611110000005</v>
      </c>
      <c r="O1477" s="7" t="s">
        <v>23</v>
      </c>
    </row>
    <row r="1478" spans="1:15" x14ac:dyDescent="0.25">
      <c r="A1478" s="2">
        <f t="shared" si="23"/>
        <v>1476</v>
      </c>
      <c r="B1478" s="7" t="s">
        <v>6674</v>
      </c>
      <c r="C1478" s="7" t="s">
        <v>6675</v>
      </c>
      <c r="D1478" s="7" t="s">
        <v>6674</v>
      </c>
      <c r="E1478" s="7" t="s">
        <v>26</v>
      </c>
      <c r="F1478" s="7" t="s">
        <v>6676</v>
      </c>
      <c r="G1478" s="8" t="s">
        <v>18</v>
      </c>
      <c r="H1478" s="7" t="s">
        <v>28</v>
      </c>
      <c r="I1478" s="7" t="s">
        <v>92</v>
      </c>
      <c r="J1478" s="7" t="s">
        <v>281</v>
      </c>
      <c r="K1478" s="7" t="s">
        <v>88</v>
      </c>
      <c r="L1478" s="7" t="s">
        <v>92</v>
      </c>
      <c r="M1478" s="7">
        <v>5.4222169999999998</v>
      </c>
      <c r="N1478" s="7">
        <v>9.4724330000000005</v>
      </c>
      <c r="O1478" s="7" t="s">
        <v>23</v>
      </c>
    </row>
    <row r="1479" spans="1:15" x14ac:dyDescent="0.25">
      <c r="A1479" s="2">
        <f t="shared" si="23"/>
        <v>1477</v>
      </c>
      <c r="B1479" s="7" t="s">
        <v>6751</v>
      </c>
      <c r="C1479" s="7" t="s">
        <v>6752</v>
      </c>
      <c r="D1479" s="7" t="s">
        <v>6751</v>
      </c>
      <c r="E1479" s="7" t="s">
        <v>26</v>
      </c>
      <c r="F1479" s="7" t="s">
        <v>6753</v>
      </c>
      <c r="G1479" s="8" t="s">
        <v>36</v>
      </c>
      <c r="H1479" s="7" t="s">
        <v>28</v>
      </c>
      <c r="I1479" s="7" t="s">
        <v>6754</v>
      </c>
      <c r="J1479" s="7" t="s">
        <v>1314</v>
      </c>
      <c r="K1479" s="7" t="s">
        <v>5880</v>
      </c>
      <c r="L1479" s="7" t="s">
        <v>92</v>
      </c>
      <c r="M1479" s="7">
        <v>5.214321</v>
      </c>
      <c r="N1479" s="7">
        <v>9.3944919999999996</v>
      </c>
      <c r="O1479" s="7" t="s">
        <v>23</v>
      </c>
    </row>
    <row r="1480" spans="1:15" x14ac:dyDescent="0.25">
      <c r="A1480" s="2">
        <f t="shared" si="23"/>
        <v>1478</v>
      </c>
      <c r="B1480" s="7" t="s">
        <v>7212</v>
      </c>
      <c r="C1480" s="7" t="s">
        <v>7213</v>
      </c>
      <c r="D1480" s="7" t="s">
        <v>7212</v>
      </c>
      <c r="E1480" s="7" t="s">
        <v>131</v>
      </c>
      <c r="F1480" s="7" t="s">
        <v>7214</v>
      </c>
      <c r="G1480" s="17" t="s">
        <v>7747</v>
      </c>
      <c r="H1480" s="7" t="s">
        <v>28</v>
      </c>
      <c r="I1480" s="7" t="s">
        <v>92</v>
      </c>
      <c r="J1480" s="7" t="s">
        <v>281</v>
      </c>
      <c r="K1480" s="7" t="s">
        <v>88</v>
      </c>
      <c r="L1480" s="7" t="s">
        <v>92</v>
      </c>
      <c r="M1480" s="7">
        <v>5.7219720000000001</v>
      </c>
      <c r="N1480" s="7">
        <v>9.5183060000000008</v>
      </c>
      <c r="O1480" s="7" t="s">
        <v>23</v>
      </c>
    </row>
    <row r="1481" spans="1:15" hidden="1" x14ac:dyDescent="0.25">
      <c r="A1481" s="2">
        <f t="shared" si="23"/>
        <v>1479</v>
      </c>
      <c r="B1481" s="7" t="s">
        <v>56</v>
      </c>
      <c r="C1481" s="7" t="s">
        <v>57</v>
      </c>
      <c r="D1481" s="7" t="s">
        <v>56</v>
      </c>
      <c r="E1481" s="7" t="s">
        <v>16</v>
      </c>
      <c r="F1481" s="7" t="s">
        <v>58</v>
      </c>
      <c r="G1481" s="17" t="s">
        <v>7747</v>
      </c>
      <c r="H1481" s="7" t="s">
        <v>28</v>
      </c>
      <c r="I1481" s="7" t="s">
        <v>59</v>
      </c>
      <c r="J1481" s="7" t="s">
        <v>60</v>
      </c>
      <c r="K1481" s="7" t="s">
        <v>58</v>
      </c>
      <c r="L1481" s="7" t="s">
        <v>61</v>
      </c>
      <c r="M1481" s="7">
        <v>10.068</v>
      </c>
      <c r="N1481" s="7">
        <v>15.218400000000001</v>
      </c>
      <c r="O1481" s="7" t="s">
        <v>23</v>
      </c>
    </row>
    <row r="1482" spans="1:15" hidden="1" x14ac:dyDescent="0.25">
      <c r="A1482" s="2">
        <f t="shared" si="23"/>
        <v>1480</v>
      </c>
      <c r="B1482" s="7" t="s">
        <v>67</v>
      </c>
      <c r="C1482" s="7" t="s">
        <v>68</v>
      </c>
      <c r="D1482" s="7" t="s">
        <v>67</v>
      </c>
      <c r="E1482" s="7" t="s">
        <v>16</v>
      </c>
      <c r="F1482" s="7" t="s">
        <v>69</v>
      </c>
      <c r="G1482" s="17" t="s">
        <v>7747</v>
      </c>
      <c r="H1482" s="7" t="s">
        <v>28</v>
      </c>
      <c r="I1482" s="7" t="s">
        <v>59</v>
      </c>
      <c r="J1482" s="7" t="s">
        <v>70</v>
      </c>
      <c r="K1482" s="7" t="s">
        <v>71</v>
      </c>
      <c r="L1482" s="7" t="s">
        <v>61</v>
      </c>
      <c r="M1482" s="7">
        <v>10.18041</v>
      </c>
      <c r="N1482" s="7">
        <v>14.835649999999999</v>
      </c>
      <c r="O1482" s="7" t="s">
        <v>23</v>
      </c>
    </row>
    <row r="1483" spans="1:15" hidden="1" x14ac:dyDescent="0.25">
      <c r="A1483" s="2">
        <f t="shared" si="23"/>
        <v>1481</v>
      </c>
      <c r="B1483" s="7" t="s">
        <v>223</v>
      </c>
      <c r="C1483" s="7" t="s">
        <v>224</v>
      </c>
      <c r="D1483" s="7" t="s">
        <v>223</v>
      </c>
      <c r="E1483" s="7" t="s">
        <v>16</v>
      </c>
      <c r="F1483" s="7" t="s">
        <v>225</v>
      </c>
      <c r="G1483" s="17" t="s">
        <v>7747</v>
      </c>
      <c r="H1483" s="7" t="s">
        <v>28</v>
      </c>
      <c r="I1483" s="7" t="s">
        <v>59</v>
      </c>
      <c r="J1483" s="7" t="s">
        <v>226</v>
      </c>
      <c r="K1483" s="7" t="s">
        <v>227</v>
      </c>
      <c r="L1483" s="7" t="s">
        <v>61</v>
      </c>
      <c r="M1483" s="7">
        <v>10.75975</v>
      </c>
      <c r="N1483" s="7">
        <v>13.967943999999999</v>
      </c>
      <c r="O1483" s="7" t="s">
        <v>23</v>
      </c>
    </row>
    <row r="1484" spans="1:15" hidden="1" x14ac:dyDescent="0.25">
      <c r="A1484" s="2">
        <f t="shared" si="23"/>
        <v>1482</v>
      </c>
      <c r="B1484" s="7" t="s">
        <v>425</v>
      </c>
      <c r="C1484" s="7" t="s">
        <v>426</v>
      </c>
      <c r="D1484" s="7" t="s">
        <v>425</v>
      </c>
      <c r="E1484" s="7" t="s">
        <v>16</v>
      </c>
      <c r="F1484" s="7" t="s">
        <v>427</v>
      </c>
      <c r="G1484" s="17" t="s">
        <v>7747</v>
      </c>
      <c r="H1484" s="7" t="s">
        <v>28</v>
      </c>
      <c r="I1484" s="7" t="s">
        <v>59</v>
      </c>
      <c r="J1484" s="7" t="s">
        <v>226</v>
      </c>
      <c r="K1484" s="7" t="s">
        <v>427</v>
      </c>
      <c r="L1484" s="7" t="s">
        <v>61</v>
      </c>
      <c r="M1484" s="7">
        <v>10.278333</v>
      </c>
      <c r="N1484" s="7">
        <v>14.036917000000001</v>
      </c>
      <c r="O1484" s="7" t="s">
        <v>23</v>
      </c>
    </row>
    <row r="1485" spans="1:15" hidden="1" x14ac:dyDescent="0.25">
      <c r="A1485" s="2">
        <f t="shared" si="23"/>
        <v>1483</v>
      </c>
      <c r="B1485" s="7" t="s">
        <v>460</v>
      </c>
      <c r="C1485" s="7" t="s">
        <v>461</v>
      </c>
      <c r="D1485" s="7" t="s">
        <v>460</v>
      </c>
      <c r="E1485" s="7" t="s">
        <v>170</v>
      </c>
      <c r="F1485" s="7" t="s">
        <v>462</v>
      </c>
      <c r="G1485" s="17" t="s">
        <v>7747</v>
      </c>
      <c r="H1485" s="7" t="s">
        <v>28</v>
      </c>
      <c r="I1485" s="7" t="s">
        <v>172</v>
      </c>
      <c r="J1485" s="7" t="s">
        <v>173</v>
      </c>
      <c r="K1485" s="7" t="s">
        <v>174</v>
      </c>
      <c r="L1485" s="7" t="s">
        <v>61</v>
      </c>
      <c r="M1485" s="7">
        <v>10.89456</v>
      </c>
      <c r="N1485" s="7">
        <v>13.89456</v>
      </c>
      <c r="O1485" s="7" t="s">
        <v>23</v>
      </c>
    </row>
    <row r="1486" spans="1:15" hidden="1" x14ac:dyDescent="0.25">
      <c r="A1486" s="2">
        <f t="shared" si="23"/>
        <v>1484</v>
      </c>
      <c r="B1486" s="7" t="s">
        <v>463</v>
      </c>
      <c r="C1486" s="7" t="s">
        <v>464</v>
      </c>
      <c r="D1486" s="7" t="s">
        <v>463</v>
      </c>
      <c r="E1486" s="7" t="s">
        <v>16</v>
      </c>
      <c r="F1486" s="7" t="s">
        <v>465</v>
      </c>
      <c r="G1486" s="17" t="s">
        <v>7747</v>
      </c>
      <c r="H1486" s="7" t="s">
        <v>28</v>
      </c>
      <c r="I1486" s="7" t="s">
        <v>59</v>
      </c>
      <c r="J1486" s="7" t="s">
        <v>226</v>
      </c>
      <c r="K1486" s="7" t="s">
        <v>466</v>
      </c>
      <c r="L1486" s="7" t="s">
        <v>61</v>
      </c>
      <c r="M1486" s="7">
        <v>10.42773</v>
      </c>
      <c r="N1486" s="7">
        <v>13.566520000000001</v>
      </c>
      <c r="O1486" s="7" t="s">
        <v>23</v>
      </c>
    </row>
    <row r="1487" spans="1:15" hidden="1" x14ac:dyDescent="0.25">
      <c r="A1487" s="2">
        <f t="shared" si="23"/>
        <v>1485</v>
      </c>
      <c r="B1487" s="7" t="s">
        <v>467</v>
      </c>
      <c r="C1487" s="7" t="s">
        <v>468</v>
      </c>
      <c r="D1487" s="7" t="s">
        <v>467</v>
      </c>
      <c r="E1487" s="7" t="s">
        <v>16</v>
      </c>
      <c r="F1487" s="7" t="s">
        <v>469</v>
      </c>
      <c r="G1487" s="17" t="s">
        <v>7747</v>
      </c>
      <c r="H1487" s="7" t="s">
        <v>28</v>
      </c>
      <c r="I1487" s="7" t="s">
        <v>59</v>
      </c>
      <c r="J1487" s="7" t="s">
        <v>70</v>
      </c>
      <c r="K1487" s="7" t="s">
        <v>470</v>
      </c>
      <c r="L1487" s="7" t="s">
        <v>61</v>
      </c>
      <c r="M1487" s="7">
        <v>10.358115</v>
      </c>
      <c r="N1487" s="7">
        <v>14.232395</v>
      </c>
      <c r="O1487" s="7" t="s">
        <v>23</v>
      </c>
    </row>
    <row r="1488" spans="1:15" hidden="1" x14ac:dyDescent="0.25">
      <c r="A1488" s="2">
        <f t="shared" si="23"/>
        <v>1486</v>
      </c>
      <c r="B1488" s="7" t="s">
        <v>471</v>
      </c>
      <c r="C1488" s="7" t="s">
        <v>472</v>
      </c>
      <c r="D1488" s="7" t="s">
        <v>471</v>
      </c>
      <c r="E1488" s="7" t="s">
        <v>16</v>
      </c>
      <c r="F1488" s="7" t="s">
        <v>473</v>
      </c>
      <c r="G1488" s="17" t="s">
        <v>7747</v>
      </c>
      <c r="H1488" s="7" t="s">
        <v>28</v>
      </c>
      <c r="I1488" s="7" t="s">
        <v>59</v>
      </c>
      <c r="J1488" s="7" t="s">
        <v>70</v>
      </c>
      <c r="K1488" s="7" t="s">
        <v>474</v>
      </c>
      <c r="L1488" s="7" t="s">
        <v>61</v>
      </c>
      <c r="M1488" s="7">
        <v>10.595139</v>
      </c>
      <c r="N1488" s="7">
        <v>13.994444</v>
      </c>
      <c r="O1488" s="7" t="s">
        <v>23</v>
      </c>
    </row>
    <row r="1489" spans="1:15" hidden="1" x14ac:dyDescent="0.25">
      <c r="A1489" s="2">
        <f t="shared" si="23"/>
        <v>1487</v>
      </c>
      <c r="B1489" s="7" t="s">
        <v>502</v>
      </c>
      <c r="C1489" s="7" t="s">
        <v>503</v>
      </c>
      <c r="D1489" s="7" t="s">
        <v>502</v>
      </c>
      <c r="E1489" s="7" t="s">
        <v>16</v>
      </c>
      <c r="F1489" s="7" t="s">
        <v>504</v>
      </c>
      <c r="G1489" s="17" t="s">
        <v>7747</v>
      </c>
      <c r="H1489" s="7" t="s">
        <v>28</v>
      </c>
      <c r="I1489" s="7" t="s">
        <v>61</v>
      </c>
      <c r="J1489" s="7" t="s">
        <v>505</v>
      </c>
      <c r="K1489" s="7" t="s">
        <v>506</v>
      </c>
      <c r="L1489" s="7" t="s">
        <v>61</v>
      </c>
      <c r="M1489" s="7">
        <v>10.564</v>
      </c>
      <c r="N1489" s="7">
        <v>14.271000000000001</v>
      </c>
      <c r="O1489" s="7" t="s">
        <v>23</v>
      </c>
    </row>
    <row r="1490" spans="1:15" hidden="1" x14ac:dyDescent="0.25">
      <c r="A1490" s="2">
        <f t="shared" si="23"/>
        <v>1488</v>
      </c>
      <c r="B1490" s="7" t="s">
        <v>510</v>
      </c>
      <c r="C1490" s="7" t="s">
        <v>511</v>
      </c>
      <c r="D1490" s="7" t="s">
        <v>510</v>
      </c>
      <c r="E1490" s="7" t="s">
        <v>16</v>
      </c>
      <c r="F1490" s="7" t="s">
        <v>512</v>
      </c>
      <c r="G1490" s="17" t="s">
        <v>7747</v>
      </c>
      <c r="H1490" s="7" t="s">
        <v>28</v>
      </c>
      <c r="I1490" s="7" t="s">
        <v>61</v>
      </c>
      <c r="J1490" s="7" t="s">
        <v>513</v>
      </c>
      <c r="K1490" s="7" t="s">
        <v>514</v>
      </c>
      <c r="L1490" s="7" t="s">
        <v>61</v>
      </c>
      <c r="M1490" s="7">
        <v>10.970418</v>
      </c>
      <c r="N1490" s="7">
        <v>14.232792</v>
      </c>
      <c r="O1490" s="7" t="s">
        <v>23</v>
      </c>
    </row>
    <row r="1491" spans="1:15" hidden="1" x14ac:dyDescent="0.25">
      <c r="A1491" s="2">
        <f t="shared" si="23"/>
        <v>1489</v>
      </c>
      <c r="B1491" s="7" t="s">
        <v>570</v>
      </c>
      <c r="C1491" s="7" t="s">
        <v>571</v>
      </c>
      <c r="D1491" s="7" t="s">
        <v>570</v>
      </c>
      <c r="E1491" s="7" t="s">
        <v>16</v>
      </c>
      <c r="F1491" s="7" t="s">
        <v>572</v>
      </c>
      <c r="G1491" s="17" t="s">
        <v>7747</v>
      </c>
      <c r="H1491" s="7" t="s">
        <v>28</v>
      </c>
      <c r="I1491" s="7" t="s">
        <v>59</v>
      </c>
      <c r="J1491" s="7" t="s">
        <v>226</v>
      </c>
      <c r="K1491" s="7" t="s">
        <v>573</v>
      </c>
      <c r="L1491" s="7" t="s">
        <v>61</v>
      </c>
      <c r="M1491" s="7">
        <v>10.283970999999999</v>
      </c>
      <c r="N1491" s="7">
        <v>13.867554999999999</v>
      </c>
      <c r="O1491" s="7" t="s">
        <v>23</v>
      </c>
    </row>
    <row r="1492" spans="1:15" hidden="1" x14ac:dyDescent="0.25">
      <c r="A1492" s="2">
        <f t="shared" si="23"/>
        <v>1490</v>
      </c>
      <c r="B1492" s="7" t="s">
        <v>581</v>
      </c>
      <c r="C1492" s="7" t="s">
        <v>582</v>
      </c>
      <c r="D1492" s="7" t="s">
        <v>581</v>
      </c>
      <c r="E1492" s="7" t="s">
        <v>16</v>
      </c>
      <c r="F1492" s="7" t="s">
        <v>583</v>
      </c>
      <c r="G1492" s="17" t="s">
        <v>7747</v>
      </c>
      <c r="H1492" s="7" t="s">
        <v>28</v>
      </c>
      <c r="I1492" s="7" t="s">
        <v>61</v>
      </c>
      <c r="J1492" s="7" t="s">
        <v>505</v>
      </c>
      <c r="K1492" s="7" t="s">
        <v>506</v>
      </c>
      <c r="L1492" s="7" t="s">
        <v>61</v>
      </c>
      <c r="M1492" s="7">
        <v>10.589971999999999</v>
      </c>
      <c r="N1492" s="7">
        <v>14.324583000000001</v>
      </c>
      <c r="O1492" s="7" t="s">
        <v>23</v>
      </c>
    </row>
    <row r="1493" spans="1:15" hidden="1" x14ac:dyDescent="0.25">
      <c r="A1493" s="2">
        <f t="shared" si="23"/>
        <v>1491</v>
      </c>
      <c r="B1493" s="7" t="s">
        <v>591</v>
      </c>
      <c r="C1493" s="7" t="s">
        <v>592</v>
      </c>
      <c r="D1493" s="7" t="s">
        <v>591</v>
      </c>
      <c r="E1493" s="7" t="s">
        <v>170</v>
      </c>
      <c r="F1493" s="7" t="s">
        <v>593</v>
      </c>
      <c r="G1493" s="17" t="s">
        <v>7747</v>
      </c>
      <c r="H1493" s="7" t="s">
        <v>28</v>
      </c>
      <c r="I1493" s="7" t="s">
        <v>172</v>
      </c>
      <c r="J1493" s="7" t="s">
        <v>173</v>
      </c>
      <c r="K1493" s="7" t="s">
        <v>474</v>
      </c>
      <c r="L1493" s="7" t="s">
        <v>61</v>
      </c>
      <c r="M1493" s="7">
        <v>10.144028</v>
      </c>
      <c r="N1493" s="7">
        <v>13.704943999999999</v>
      </c>
      <c r="O1493" s="7" t="s">
        <v>23</v>
      </c>
    </row>
    <row r="1494" spans="1:15" hidden="1" x14ac:dyDescent="0.25">
      <c r="A1494" s="2">
        <f t="shared" si="23"/>
        <v>1492</v>
      </c>
      <c r="B1494" s="7" t="s">
        <v>617</v>
      </c>
      <c r="C1494" s="7" t="s">
        <v>618</v>
      </c>
      <c r="D1494" s="7" t="s">
        <v>617</v>
      </c>
      <c r="E1494" s="7" t="s">
        <v>16</v>
      </c>
      <c r="F1494" s="7" t="s">
        <v>619</v>
      </c>
      <c r="G1494" s="17" t="s">
        <v>7747</v>
      </c>
      <c r="H1494" s="7" t="s">
        <v>28</v>
      </c>
      <c r="I1494" s="7" t="s">
        <v>59</v>
      </c>
      <c r="J1494" s="7" t="s">
        <v>70</v>
      </c>
      <c r="K1494" s="7" t="s">
        <v>620</v>
      </c>
      <c r="L1494" s="7" t="s">
        <v>61</v>
      </c>
      <c r="M1494" s="7">
        <v>10.106323</v>
      </c>
      <c r="N1494" s="7">
        <v>14.185765999999999</v>
      </c>
      <c r="O1494" s="7" t="s">
        <v>23</v>
      </c>
    </row>
    <row r="1495" spans="1:15" hidden="1" x14ac:dyDescent="0.25">
      <c r="A1495" s="2">
        <f t="shared" si="23"/>
        <v>1493</v>
      </c>
      <c r="B1495" s="7" t="s">
        <v>659</v>
      </c>
      <c r="C1495" s="7" t="s">
        <v>660</v>
      </c>
      <c r="D1495" s="7" t="s">
        <v>659</v>
      </c>
      <c r="E1495" s="7" t="s">
        <v>16</v>
      </c>
      <c r="F1495" s="7" t="s">
        <v>661</v>
      </c>
      <c r="G1495" s="17" t="s">
        <v>7747</v>
      </c>
      <c r="H1495" s="7" t="s">
        <v>28</v>
      </c>
      <c r="I1495" s="7" t="s">
        <v>59</v>
      </c>
      <c r="J1495" s="7" t="s">
        <v>70</v>
      </c>
      <c r="K1495" s="7" t="s">
        <v>662</v>
      </c>
      <c r="L1495" s="7" t="s">
        <v>61</v>
      </c>
      <c r="M1495" s="7">
        <v>10.177004999999999</v>
      </c>
      <c r="N1495" s="7">
        <v>14.511312</v>
      </c>
      <c r="O1495" s="7" t="s">
        <v>23</v>
      </c>
    </row>
    <row r="1496" spans="1:15" hidden="1" x14ac:dyDescent="0.25">
      <c r="A1496" s="2">
        <f t="shared" si="23"/>
        <v>1494</v>
      </c>
      <c r="B1496" s="7" t="s">
        <v>699</v>
      </c>
      <c r="C1496" s="7" t="s">
        <v>700</v>
      </c>
      <c r="D1496" s="7" t="s">
        <v>699</v>
      </c>
      <c r="E1496" s="7" t="s">
        <v>16</v>
      </c>
      <c r="F1496" s="7" t="s">
        <v>701</v>
      </c>
      <c r="G1496" s="17" t="s">
        <v>7747</v>
      </c>
      <c r="H1496" s="7" t="s">
        <v>28</v>
      </c>
      <c r="I1496" s="7" t="s">
        <v>59</v>
      </c>
      <c r="J1496" s="7" t="s">
        <v>226</v>
      </c>
      <c r="K1496" s="7" t="s">
        <v>466</v>
      </c>
      <c r="L1496" s="7" t="s">
        <v>61</v>
      </c>
      <c r="M1496" s="7">
        <v>10.568894</v>
      </c>
      <c r="N1496" s="7">
        <v>13.663093999999999</v>
      </c>
      <c r="O1496" s="7" t="s">
        <v>23</v>
      </c>
    </row>
    <row r="1497" spans="1:15" hidden="1" x14ac:dyDescent="0.25">
      <c r="A1497" s="2">
        <f t="shared" si="23"/>
        <v>1495</v>
      </c>
      <c r="B1497" s="7" t="s">
        <v>716</v>
      </c>
      <c r="C1497" s="7" t="s">
        <v>717</v>
      </c>
      <c r="D1497" s="7" t="s">
        <v>716</v>
      </c>
      <c r="E1497" s="7" t="s">
        <v>16</v>
      </c>
      <c r="F1497" s="7" t="s">
        <v>718</v>
      </c>
      <c r="G1497" s="17" t="s">
        <v>7747</v>
      </c>
      <c r="H1497" s="7" t="s">
        <v>28</v>
      </c>
      <c r="I1497" s="7" t="s">
        <v>59</v>
      </c>
      <c r="J1497" s="7" t="s">
        <v>60</v>
      </c>
      <c r="K1497" s="7" t="s">
        <v>718</v>
      </c>
      <c r="L1497" s="7" t="s">
        <v>61</v>
      </c>
      <c r="M1497" s="7">
        <v>10.290722000000001</v>
      </c>
      <c r="N1497" s="7">
        <v>14.929278</v>
      </c>
      <c r="O1497" s="7" t="s">
        <v>23</v>
      </c>
    </row>
    <row r="1498" spans="1:15" hidden="1" x14ac:dyDescent="0.25">
      <c r="A1498" s="2">
        <f t="shared" si="23"/>
        <v>1496</v>
      </c>
      <c r="B1498" s="7" t="s">
        <v>734</v>
      </c>
      <c r="C1498" s="7" t="s">
        <v>735</v>
      </c>
      <c r="D1498" s="7" t="s">
        <v>734</v>
      </c>
      <c r="E1498" s="7" t="s">
        <v>16</v>
      </c>
      <c r="F1498" s="7" t="s">
        <v>736</v>
      </c>
      <c r="G1498" s="17" t="s">
        <v>7747</v>
      </c>
      <c r="H1498" s="7" t="s">
        <v>28</v>
      </c>
      <c r="I1498" s="7" t="s">
        <v>59</v>
      </c>
      <c r="J1498" s="7" t="s">
        <v>226</v>
      </c>
      <c r="K1498" s="7" t="s">
        <v>737</v>
      </c>
      <c r="L1498" s="7" t="s">
        <v>61</v>
      </c>
      <c r="M1498" s="7">
        <v>10.339729999999999</v>
      </c>
      <c r="N1498" s="7">
        <v>13.5503</v>
      </c>
      <c r="O1498" s="7" t="s">
        <v>23</v>
      </c>
    </row>
    <row r="1499" spans="1:15" hidden="1" x14ac:dyDescent="0.25">
      <c r="A1499" s="2">
        <f t="shared" si="23"/>
        <v>1497</v>
      </c>
      <c r="B1499" s="7" t="s">
        <v>738</v>
      </c>
      <c r="C1499" s="7" t="s">
        <v>739</v>
      </c>
      <c r="D1499" s="7" t="s">
        <v>738</v>
      </c>
      <c r="E1499" s="7" t="s">
        <v>16</v>
      </c>
      <c r="F1499" s="7" t="s">
        <v>740</v>
      </c>
      <c r="G1499" s="17" t="s">
        <v>7747</v>
      </c>
      <c r="H1499" s="7" t="s">
        <v>28</v>
      </c>
      <c r="I1499" s="7" t="s">
        <v>59</v>
      </c>
      <c r="J1499" s="7" t="s">
        <v>60</v>
      </c>
      <c r="K1499" s="7" t="s">
        <v>741</v>
      </c>
      <c r="L1499" s="7" t="s">
        <v>61</v>
      </c>
      <c r="M1499" s="7">
        <v>10.028869</v>
      </c>
      <c r="N1499" s="7">
        <v>15.262480999999999</v>
      </c>
      <c r="O1499" s="7" t="s">
        <v>23</v>
      </c>
    </row>
    <row r="1500" spans="1:15" hidden="1" x14ac:dyDescent="0.25">
      <c r="A1500" s="2">
        <f t="shared" si="23"/>
        <v>1498</v>
      </c>
      <c r="B1500" s="7" t="s">
        <v>742</v>
      </c>
      <c r="C1500" s="7" t="s">
        <v>743</v>
      </c>
      <c r="D1500" s="7" t="s">
        <v>742</v>
      </c>
      <c r="E1500" s="7" t="s">
        <v>16</v>
      </c>
      <c r="F1500" s="7" t="s">
        <v>741</v>
      </c>
      <c r="G1500" s="17" t="s">
        <v>7747</v>
      </c>
      <c r="H1500" s="7" t="s">
        <v>28</v>
      </c>
      <c r="I1500" s="7" t="s">
        <v>59</v>
      </c>
      <c r="J1500" s="7" t="s">
        <v>60</v>
      </c>
      <c r="K1500" s="7" t="s">
        <v>741</v>
      </c>
      <c r="L1500" s="7" t="s">
        <v>61</v>
      </c>
      <c r="M1500" s="7">
        <v>10.022746</v>
      </c>
      <c r="N1500" s="7">
        <v>15.253399999999999</v>
      </c>
      <c r="O1500" s="7" t="s">
        <v>23</v>
      </c>
    </row>
    <row r="1501" spans="1:15" hidden="1" x14ac:dyDescent="0.25">
      <c r="A1501" s="2">
        <f t="shared" si="23"/>
        <v>1499</v>
      </c>
      <c r="B1501" s="7" t="s">
        <v>755</v>
      </c>
      <c r="C1501" s="7" t="s">
        <v>756</v>
      </c>
      <c r="D1501" s="7" t="s">
        <v>755</v>
      </c>
      <c r="E1501" s="7" t="s">
        <v>16</v>
      </c>
      <c r="F1501" s="7" t="s">
        <v>757</v>
      </c>
      <c r="G1501" s="17" t="s">
        <v>7747</v>
      </c>
      <c r="H1501" s="7" t="s">
        <v>28</v>
      </c>
      <c r="I1501" s="7" t="s">
        <v>59</v>
      </c>
      <c r="J1501" s="7" t="s">
        <v>226</v>
      </c>
      <c r="K1501" s="7" t="s">
        <v>573</v>
      </c>
      <c r="L1501" s="7" t="s">
        <v>61</v>
      </c>
      <c r="M1501" s="7">
        <v>10.296290000000001</v>
      </c>
      <c r="N1501" s="7">
        <v>13.751669</v>
      </c>
      <c r="O1501" s="7" t="s">
        <v>23</v>
      </c>
    </row>
    <row r="1502" spans="1:15" hidden="1" x14ac:dyDescent="0.25">
      <c r="A1502" s="2">
        <f t="shared" si="23"/>
        <v>1500</v>
      </c>
      <c r="B1502" s="7" t="s">
        <v>777</v>
      </c>
      <c r="C1502" s="7" t="s">
        <v>778</v>
      </c>
      <c r="D1502" s="7" t="s">
        <v>777</v>
      </c>
      <c r="E1502" s="7" t="s">
        <v>16</v>
      </c>
      <c r="F1502" s="7" t="s">
        <v>779</v>
      </c>
      <c r="G1502" s="17" t="s">
        <v>7747</v>
      </c>
      <c r="H1502" s="7" t="s">
        <v>28</v>
      </c>
      <c r="I1502" s="7" t="s">
        <v>59</v>
      </c>
      <c r="J1502" s="7" t="s">
        <v>226</v>
      </c>
      <c r="K1502" s="7" t="s">
        <v>573</v>
      </c>
      <c r="L1502" s="7" t="s">
        <v>61</v>
      </c>
      <c r="M1502" s="7">
        <v>10.273361</v>
      </c>
      <c r="N1502" s="7">
        <v>13.892944999999999</v>
      </c>
      <c r="O1502" s="7" t="s">
        <v>23</v>
      </c>
    </row>
    <row r="1503" spans="1:15" hidden="1" x14ac:dyDescent="0.25">
      <c r="A1503" s="2">
        <f t="shared" si="23"/>
        <v>1501</v>
      </c>
      <c r="B1503" s="7" t="s">
        <v>844</v>
      </c>
      <c r="C1503" s="7" t="s">
        <v>845</v>
      </c>
      <c r="D1503" s="7" t="s">
        <v>844</v>
      </c>
      <c r="E1503" s="7" t="s">
        <v>16</v>
      </c>
      <c r="F1503" s="7" t="s">
        <v>846</v>
      </c>
      <c r="G1503" s="17" t="s">
        <v>7747</v>
      </c>
      <c r="H1503" s="7" t="s">
        <v>28</v>
      </c>
      <c r="I1503" s="7" t="s">
        <v>59</v>
      </c>
      <c r="J1503" s="7" t="s">
        <v>70</v>
      </c>
      <c r="K1503" s="7" t="s">
        <v>846</v>
      </c>
      <c r="L1503" s="7" t="s">
        <v>61</v>
      </c>
      <c r="M1503" s="7">
        <v>10.010778</v>
      </c>
      <c r="N1503" s="7">
        <v>14.782527999999999</v>
      </c>
      <c r="O1503" s="7" t="s">
        <v>23</v>
      </c>
    </row>
    <row r="1504" spans="1:15" hidden="1" x14ac:dyDescent="0.25">
      <c r="A1504" s="2">
        <f t="shared" si="23"/>
        <v>1502</v>
      </c>
      <c r="B1504" s="7" t="s">
        <v>851</v>
      </c>
      <c r="C1504" s="7" t="s">
        <v>852</v>
      </c>
      <c r="D1504" s="7" t="s">
        <v>851</v>
      </c>
      <c r="E1504" s="7" t="s">
        <v>170</v>
      </c>
      <c r="F1504" s="7" t="s">
        <v>853</v>
      </c>
      <c r="G1504" s="17" t="s">
        <v>7747</v>
      </c>
      <c r="H1504" s="7" t="s">
        <v>28</v>
      </c>
      <c r="I1504" s="7" t="s">
        <v>172</v>
      </c>
      <c r="J1504" s="7" t="s">
        <v>173</v>
      </c>
      <c r="K1504" s="7" t="s">
        <v>174</v>
      </c>
      <c r="L1504" s="7" t="s">
        <v>61</v>
      </c>
      <c r="M1504" s="7">
        <v>10.098383999999999</v>
      </c>
      <c r="N1504" s="7">
        <v>13.756466</v>
      </c>
      <c r="O1504" s="7" t="s">
        <v>23</v>
      </c>
    </row>
    <row r="1505" spans="1:15" hidden="1" x14ac:dyDescent="0.25">
      <c r="A1505" s="2">
        <f t="shared" si="23"/>
        <v>1503</v>
      </c>
      <c r="B1505" s="7" t="s">
        <v>867</v>
      </c>
      <c r="C1505" s="7" t="s">
        <v>868</v>
      </c>
      <c r="D1505" s="7" t="s">
        <v>867</v>
      </c>
      <c r="E1505" s="7" t="s">
        <v>16</v>
      </c>
      <c r="F1505" s="7" t="s">
        <v>869</v>
      </c>
      <c r="G1505" s="17" t="s">
        <v>7747</v>
      </c>
      <c r="H1505" s="7" t="s">
        <v>28</v>
      </c>
      <c r="I1505" s="7" t="s">
        <v>59</v>
      </c>
      <c r="J1505" s="7" t="s">
        <v>60</v>
      </c>
      <c r="K1505" s="7" t="s">
        <v>870</v>
      </c>
      <c r="L1505" s="7" t="s">
        <v>61</v>
      </c>
      <c r="M1505" s="7">
        <v>10.567206000000001</v>
      </c>
      <c r="N1505" s="7">
        <v>15.135158000000001</v>
      </c>
      <c r="O1505" s="7" t="s">
        <v>23</v>
      </c>
    </row>
    <row r="1506" spans="1:15" hidden="1" x14ac:dyDescent="0.25">
      <c r="A1506" s="2">
        <f t="shared" si="23"/>
        <v>1504</v>
      </c>
      <c r="B1506" s="7" t="s">
        <v>874</v>
      </c>
      <c r="C1506" s="7" t="s">
        <v>875</v>
      </c>
      <c r="D1506" s="7" t="s">
        <v>874</v>
      </c>
      <c r="E1506" s="7" t="s">
        <v>16</v>
      </c>
      <c r="F1506" s="7" t="s">
        <v>876</v>
      </c>
      <c r="G1506" s="17" t="s">
        <v>7747</v>
      </c>
      <c r="H1506" s="7" t="s">
        <v>28</v>
      </c>
      <c r="I1506" s="7" t="s">
        <v>61</v>
      </c>
      <c r="J1506" s="7" t="s">
        <v>505</v>
      </c>
      <c r="K1506" s="7" t="s">
        <v>877</v>
      </c>
      <c r="L1506" s="7" t="s">
        <v>61</v>
      </c>
      <c r="M1506" s="7">
        <v>10.794422000000001</v>
      </c>
      <c r="N1506" s="7">
        <v>14.311173</v>
      </c>
      <c r="O1506" s="7" t="s">
        <v>23</v>
      </c>
    </row>
    <row r="1507" spans="1:15" hidden="1" x14ac:dyDescent="0.25">
      <c r="A1507" s="2">
        <f t="shared" si="23"/>
        <v>1505</v>
      </c>
      <c r="B1507" s="7" t="s">
        <v>933</v>
      </c>
      <c r="C1507" s="7" t="s">
        <v>934</v>
      </c>
      <c r="D1507" s="7" t="s">
        <v>933</v>
      </c>
      <c r="E1507" s="7" t="s">
        <v>16</v>
      </c>
      <c r="F1507" s="7" t="s">
        <v>935</v>
      </c>
      <c r="G1507" s="17" t="s">
        <v>7747</v>
      </c>
      <c r="H1507" s="7" t="s">
        <v>28</v>
      </c>
      <c r="I1507" s="7" t="s">
        <v>59</v>
      </c>
      <c r="J1507" s="7" t="s">
        <v>60</v>
      </c>
      <c r="K1507" s="7" t="s">
        <v>936</v>
      </c>
      <c r="L1507" s="7" t="s">
        <v>61</v>
      </c>
      <c r="M1507" s="7">
        <v>10.06081</v>
      </c>
      <c r="N1507" s="7">
        <v>15.526540000000001</v>
      </c>
      <c r="O1507" s="7" t="s">
        <v>23</v>
      </c>
    </row>
    <row r="1508" spans="1:15" hidden="1" x14ac:dyDescent="0.25">
      <c r="A1508" s="2">
        <f t="shared" si="23"/>
        <v>1506</v>
      </c>
      <c r="B1508" s="7" t="s">
        <v>937</v>
      </c>
      <c r="C1508" s="7" t="s">
        <v>938</v>
      </c>
      <c r="D1508" s="7" t="s">
        <v>937</v>
      </c>
      <c r="E1508" s="7" t="s">
        <v>170</v>
      </c>
      <c r="F1508" s="7" t="s">
        <v>939</v>
      </c>
      <c r="G1508" s="17" t="s">
        <v>7747</v>
      </c>
      <c r="H1508" s="7" t="s">
        <v>28</v>
      </c>
      <c r="I1508" s="7" t="s">
        <v>61</v>
      </c>
      <c r="J1508" s="7" t="s">
        <v>173</v>
      </c>
      <c r="K1508" s="7" t="s">
        <v>174</v>
      </c>
      <c r="L1508" s="7" t="s">
        <v>61</v>
      </c>
      <c r="M1508" s="7">
        <v>9.9999870000000008</v>
      </c>
      <c r="N1508" s="7">
        <v>14.173457000000001</v>
      </c>
      <c r="O1508" s="7" t="s">
        <v>23</v>
      </c>
    </row>
    <row r="1509" spans="1:15" hidden="1" x14ac:dyDescent="0.25">
      <c r="A1509" s="2">
        <f t="shared" si="23"/>
        <v>1507</v>
      </c>
      <c r="B1509" s="7" t="s">
        <v>983</v>
      </c>
      <c r="C1509" s="7" t="s">
        <v>984</v>
      </c>
      <c r="D1509" s="7" t="s">
        <v>983</v>
      </c>
      <c r="E1509" s="7" t="s">
        <v>170</v>
      </c>
      <c r="F1509" s="7" t="s">
        <v>985</v>
      </c>
      <c r="G1509" s="17" t="s">
        <v>7747</v>
      </c>
      <c r="H1509" s="7" t="s">
        <v>19</v>
      </c>
      <c r="I1509" s="7" t="s">
        <v>172</v>
      </c>
      <c r="J1509" s="7" t="s">
        <v>173</v>
      </c>
      <c r="K1509" s="7" t="s">
        <v>803</v>
      </c>
      <c r="L1509" s="7" t="s">
        <v>61</v>
      </c>
      <c r="M1509" s="7">
        <v>9.9139099999999996</v>
      </c>
      <c r="N1509" s="7">
        <v>14.08046</v>
      </c>
      <c r="O1509" s="7" t="s">
        <v>23</v>
      </c>
    </row>
    <row r="1510" spans="1:15" hidden="1" x14ac:dyDescent="0.25">
      <c r="A1510" s="2">
        <f t="shared" si="23"/>
        <v>1508</v>
      </c>
      <c r="B1510" s="7" t="s">
        <v>1033</v>
      </c>
      <c r="C1510" s="7" t="s">
        <v>1034</v>
      </c>
      <c r="D1510" s="7" t="s">
        <v>1033</v>
      </c>
      <c r="E1510" s="7" t="s">
        <v>16</v>
      </c>
      <c r="F1510" s="7" t="s">
        <v>1035</v>
      </c>
      <c r="G1510" s="17" t="s">
        <v>7747</v>
      </c>
      <c r="H1510" s="7" t="s">
        <v>28</v>
      </c>
      <c r="I1510" s="7" t="s">
        <v>59</v>
      </c>
      <c r="J1510" s="7" t="s">
        <v>226</v>
      </c>
      <c r="K1510" s="7" t="s">
        <v>466</v>
      </c>
      <c r="L1510" s="7" t="s">
        <v>61</v>
      </c>
      <c r="M1510" s="7">
        <v>10.583349999999999</v>
      </c>
      <c r="N1510" s="7">
        <v>13.76606</v>
      </c>
      <c r="O1510" s="7" t="s">
        <v>23</v>
      </c>
    </row>
    <row r="1511" spans="1:15" hidden="1" x14ac:dyDescent="0.25">
      <c r="A1511" s="2">
        <f t="shared" si="23"/>
        <v>1509</v>
      </c>
      <c r="B1511" s="7" t="s">
        <v>1060</v>
      </c>
      <c r="C1511" s="7" t="s">
        <v>1061</v>
      </c>
      <c r="D1511" s="7" t="s">
        <v>1060</v>
      </c>
      <c r="E1511" s="7" t="s">
        <v>16</v>
      </c>
      <c r="F1511" s="7" t="s">
        <v>1062</v>
      </c>
      <c r="G1511" s="17" t="s">
        <v>7747</v>
      </c>
      <c r="H1511" s="7" t="s">
        <v>28</v>
      </c>
      <c r="I1511" s="7" t="s">
        <v>59</v>
      </c>
      <c r="J1511" s="7" t="s">
        <v>60</v>
      </c>
      <c r="K1511" s="7" t="s">
        <v>59</v>
      </c>
      <c r="L1511" s="7" t="s">
        <v>61</v>
      </c>
      <c r="M1511" s="7">
        <v>10.226008</v>
      </c>
      <c r="N1511" s="7">
        <v>15.319925</v>
      </c>
      <c r="O1511" s="7" t="s">
        <v>23</v>
      </c>
    </row>
    <row r="1512" spans="1:15" hidden="1" x14ac:dyDescent="0.25">
      <c r="A1512" s="2">
        <f t="shared" si="23"/>
        <v>1510</v>
      </c>
      <c r="B1512" s="7" t="s">
        <v>1153</v>
      </c>
      <c r="C1512" s="7" t="s">
        <v>1154</v>
      </c>
      <c r="D1512" s="7" t="s">
        <v>1153</v>
      </c>
      <c r="E1512" s="7" t="s">
        <v>16</v>
      </c>
      <c r="F1512" s="7" t="s">
        <v>1155</v>
      </c>
      <c r="G1512" s="17" t="s">
        <v>7747</v>
      </c>
      <c r="H1512" s="7" t="s">
        <v>28</v>
      </c>
      <c r="I1512" s="7" t="s">
        <v>59</v>
      </c>
      <c r="J1512" s="7" t="s">
        <v>70</v>
      </c>
      <c r="K1512" s="7" t="s">
        <v>1156</v>
      </c>
      <c r="L1512" s="7" t="s">
        <v>61</v>
      </c>
      <c r="M1512" s="7">
        <v>10.334054999999999</v>
      </c>
      <c r="N1512" s="7">
        <v>14.66319</v>
      </c>
      <c r="O1512" s="7" t="s">
        <v>23</v>
      </c>
    </row>
    <row r="1513" spans="1:15" hidden="1" x14ac:dyDescent="0.25">
      <c r="A1513" s="2">
        <f t="shared" si="23"/>
        <v>1511</v>
      </c>
      <c r="B1513" s="7" t="s">
        <v>1171</v>
      </c>
      <c r="C1513" s="7" t="s">
        <v>1172</v>
      </c>
      <c r="D1513" s="7" t="s">
        <v>1171</v>
      </c>
      <c r="E1513" s="7" t="s">
        <v>16</v>
      </c>
      <c r="F1513" s="7" t="s">
        <v>1173</v>
      </c>
      <c r="G1513" s="17" t="s">
        <v>7747</v>
      </c>
      <c r="H1513" s="7" t="s">
        <v>28</v>
      </c>
      <c r="I1513" s="7" t="s">
        <v>61</v>
      </c>
      <c r="J1513" s="7" t="s">
        <v>1174</v>
      </c>
      <c r="K1513" s="7" t="s">
        <v>514</v>
      </c>
      <c r="L1513" s="7" t="s">
        <v>61</v>
      </c>
      <c r="M1513" s="7">
        <v>11.246333</v>
      </c>
      <c r="N1513" s="7">
        <v>14.141222000000001</v>
      </c>
      <c r="O1513" s="7" t="s">
        <v>23</v>
      </c>
    </row>
    <row r="1514" spans="1:15" hidden="1" x14ac:dyDescent="0.25">
      <c r="A1514" s="2">
        <f t="shared" si="23"/>
        <v>1512</v>
      </c>
      <c r="B1514" s="7" t="s">
        <v>1210</v>
      </c>
      <c r="C1514" s="7" t="s">
        <v>1211</v>
      </c>
      <c r="D1514" s="7" t="s">
        <v>1210</v>
      </c>
      <c r="E1514" s="7" t="s">
        <v>16</v>
      </c>
      <c r="F1514" s="7" t="s">
        <v>1212</v>
      </c>
      <c r="G1514" s="17" t="s">
        <v>7747</v>
      </c>
      <c r="H1514" s="7" t="s">
        <v>28</v>
      </c>
      <c r="I1514" s="7" t="s">
        <v>59</v>
      </c>
      <c r="J1514" s="7" t="s">
        <v>226</v>
      </c>
      <c r="K1514" s="7" t="s">
        <v>573</v>
      </c>
      <c r="L1514" s="7" t="s">
        <v>61</v>
      </c>
      <c r="M1514" s="7">
        <v>10.250033999999999</v>
      </c>
      <c r="N1514" s="7">
        <v>13.916611</v>
      </c>
      <c r="O1514" s="7" t="s">
        <v>23</v>
      </c>
    </row>
    <row r="1515" spans="1:15" hidden="1" x14ac:dyDescent="0.25">
      <c r="A1515" s="2">
        <f t="shared" si="23"/>
        <v>1513</v>
      </c>
      <c r="B1515" s="7" t="s">
        <v>1213</v>
      </c>
      <c r="C1515" s="7" t="s">
        <v>1214</v>
      </c>
      <c r="D1515" s="7" t="s">
        <v>1213</v>
      </c>
      <c r="E1515" s="7" t="s">
        <v>16</v>
      </c>
      <c r="F1515" s="7" t="s">
        <v>1215</v>
      </c>
      <c r="G1515" s="17" t="s">
        <v>7747</v>
      </c>
      <c r="H1515" s="7" t="s">
        <v>28</v>
      </c>
      <c r="I1515" s="7" t="s">
        <v>59</v>
      </c>
      <c r="J1515" s="7" t="s">
        <v>226</v>
      </c>
      <c r="K1515" s="7" t="s">
        <v>474</v>
      </c>
      <c r="L1515" s="7" t="s">
        <v>61</v>
      </c>
      <c r="M1515" s="7">
        <v>10.713881000000001</v>
      </c>
      <c r="N1515" s="7">
        <v>13.82799</v>
      </c>
      <c r="O1515" s="7" t="s">
        <v>23</v>
      </c>
    </row>
    <row r="1516" spans="1:15" hidden="1" x14ac:dyDescent="0.25">
      <c r="A1516" s="2">
        <f t="shared" si="23"/>
        <v>1514</v>
      </c>
      <c r="B1516" s="7" t="s">
        <v>1216</v>
      </c>
      <c r="C1516" s="7" t="s">
        <v>1217</v>
      </c>
      <c r="D1516" s="7" t="s">
        <v>1216</v>
      </c>
      <c r="E1516" s="7" t="s">
        <v>16</v>
      </c>
      <c r="F1516" s="7" t="s">
        <v>1218</v>
      </c>
      <c r="G1516" s="17" t="s">
        <v>7747</v>
      </c>
      <c r="H1516" s="7" t="s">
        <v>28</v>
      </c>
      <c r="I1516" s="7" t="s">
        <v>59</v>
      </c>
      <c r="J1516" s="7" t="s">
        <v>226</v>
      </c>
      <c r="K1516" s="7" t="s">
        <v>474</v>
      </c>
      <c r="L1516" s="7" t="s">
        <v>61</v>
      </c>
      <c r="M1516" s="7">
        <v>10.487731</v>
      </c>
      <c r="N1516" s="7">
        <v>13.953222999999999</v>
      </c>
      <c r="O1516" s="7" t="s">
        <v>23</v>
      </c>
    </row>
    <row r="1517" spans="1:15" hidden="1" x14ac:dyDescent="0.25">
      <c r="A1517" s="2">
        <f t="shared" si="23"/>
        <v>1515</v>
      </c>
      <c r="B1517" s="7" t="s">
        <v>1219</v>
      </c>
      <c r="C1517" s="7" t="s">
        <v>1220</v>
      </c>
      <c r="D1517" s="7" t="s">
        <v>1219</v>
      </c>
      <c r="E1517" s="7" t="s">
        <v>16</v>
      </c>
      <c r="F1517" s="7" t="s">
        <v>1221</v>
      </c>
      <c r="G1517" s="17" t="s">
        <v>7747</v>
      </c>
      <c r="H1517" s="7" t="s">
        <v>28</v>
      </c>
      <c r="I1517" s="7" t="s">
        <v>59</v>
      </c>
      <c r="J1517" s="7" t="s">
        <v>70</v>
      </c>
      <c r="K1517" s="7" t="s">
        <v>620</v>
      </c>
      <c r="L1517" s="7" t="s">
        <v>61</v>
      </c>
      <c r="M1517" s="7">
        <v>10.04734</v>
      </c>
      <c r="N1517" s="7">
        <v>14.521877999999999</v>
      </c>
      <c r="O1517" s="7" t="s">
        <v>23</v>
      </c>
    </row>
    <row r="1518" spans="1:15" hidden="1" x14ac:dyDescent="0.25">
      <c r="A1518" s="2">
        <f t="shared" si="23"/>
        <v>1516</v>
      </c>
      <c r="B1518" s="7" t="s">
        <v>1234</v>
      </c>
      <c r="C1518" s="7" t="s">
        <v>1235</v>
      </c>
      <c r="D1518" s="7" t="s">
        <v>1234</v>
      </c>
      <c r="E1518" s="7" t="s">
        <v>16</v>
      </c>
      <c r="F1518" s="7" t="s">
        <v>1236</v>
      </c>
      <c r="G1518" s="17" t="s">
        <v>7747</v>
      </c>
      <c r="H1518" s="7" t="s">
        <v>28</v>
      </c>
      <c r="I1518" s="7" t="s">
        <v>59</v>
      </c>
      <c r="J1518" s="7" t="s">
        <v>226</v>
      </c>
      <c r="K1518" s="7" t="s">
        <v>474</v>
      </c>
      <c r="L1518" s="7" t="s">
        <v>61</v>
      </c>
      <c r="M1518" s="7">
        <v>10.560693000000001</v>
      </c>
      <c r="N1518" s="7">
        <v>13.850013000000001</v>
      </c>
      <c r="O1518" s="7" t="s">
        <v>23</v>
      </c>
    </row>
    <row r="1519" spans="1:15" hidden="1" x14ac:dyDescent="0.25">
      <c r="A1519" s="2">
        <f t="shared" si="23"/>
        <v>1517</v>
      </c>
      <c r="B1519" s="7" t="s">
        <v>1247</v>
      </c>
      <c r="C1519" s="7" t="s">
        <v>1248</v>
      </c>
      <c r="D1519" s="7" t="s">
        <v>1247</v>
      </c>
      <c r="E1519" s="7" t="s">
        <v>16</v>
      </c>
      <c r="F1519" s="7" t="s">
        <v>1249</v>
      </c>
      <c r="G1519" s="17" t="s">
        <v>7747</v>
      </c>
      <c r="H1519" s="7" t="s">
        <v>28</v>
      </c>
      <c r="I1519" s="7" t="s">
        <v>61</v>
      </c>
      <c r="J1519" s="7" t="s">
        <v>505</v>
      </c>
      <c r="K1519" s="7" t="s">
        <v>506</v>
      </c>
      <c r="L1519" s="7" t="s">
        <v>61</v>
      </c>
      <c r="M1519" s="7">
        <v>10.597708000000001</v>
      </c>
      <c r="N1519" s="7">
        <v>14.305595</v>
      </c>
      <c r="O1519" s="7" t="s">
        <v>23</v>
      </c>
    </row>
    <row r="1520" spans="1:15" hidden="1" x14ac:dyDescent="0.25">
      <c r="A1520" s="2">
        <f t="shared" si="23"/>
        <v>1518</v>
      </c>
      <c r="B1520" s="7" t="s">
        <v>1250</v>
      </c>
      <c r="C1520" s="7" t="s">
        <v>1251</v>
      </c>
      <c r="D1520" s="7" t="s">
        <v>1250</v>
      </c>
      <c r="E1520" s="7" t="s">
        <v>16</v>
      </c>
      <c r="F1520" s="7" t="s">
        <v>1252</v>
      </c>
      <c r="G1520" s="17" t="s">
        <v>7747</v>
      </c>
      <c r="H1520" s="7" t="s">
        <v>28</v>
      </c>
      <c r="I1520" s="7" t="s">
        <v>61</v>
      </c>
      <c r="J1520" s="7" t="s">
        <v>505</v>
      </c>
      <c r="K1520" s="7" t="s">
        <v>1253</v>
      </c>
      <c r="L1520" s="7" t="s">
        <v>61</v>
      </c>
      <c r="M1520" s="7">
        <v>10.606389999999999</v>
      </c>
      <c r="N1520" s="7">
        <v>14.352209999999999</v>
      </c>
      <c r="O1520" s="7" t="s">
        <v>23</v>
      </c>
    </row>
    <row r="1521" spans="1:15" hidden="1" x14ac:dyDescent="0.25">
      <c r="A1521" s="2">
        <f t="shared" si="23"/>
        <v>1519</v>
      </c>
      <c r="B1521" s="7" t="s">
        <v>1254</v>
      </c>
      <c r="C1521" s="7" t="s">
        <v>1255</v>
      </c>
      <c r="D1521" s="7" t="s">
        <v>1254</v>
      </c>
      <c r="E1521" s="7" t="s">
        <v>16</v>
      </c>
      <c r="F1521" s="7" t="s">
        <v>1256</v>
      </c>
      <c r="G1521" s="17" t="s">
        <v>7747</v>
      </c>
      <c r="H1521" s="7" t="s">
        <v>28</v>
      </c>
      <c r="I1521" s="7" t="s">
        <v>61</v>
      </c>
      <c r="J1521" s="7" t="s">
        <v>505</v>
      </c>
      <c r="K1521" s="7" t="s">
        <v>1253</v>
      </c>
      <c r="L1521" s="7" t="s">
        <v>61</v>
      </c>
      <c r="M1521" s="7">
        <v>10.614827999999999</v>
      </c>
      <c r="N1521" s="7">
        <v>14.366872000000001</v>
      </c>
      <c r="O1521" s="7" t="s">
        <v>23</v>
      </c>
    </row>
    <row r="1522" spans="1:15" hidden="1" x14ac:dyDescent="0.25">
      <c r="A1522" s="2">
        <f t="shared" si="23"/>
        <v>1520</v>
      </c>
      <c r="B1522" s="7" t="s">
        <v>1269</v>
      </c>
      <c r="C1522" s="7" t="s">
        <v>1270</v>
      </c>
      <c r="D1522" s="7" t="s">
        <v>1269</v>
      </c>
      <c r="E1522" s="7" t="s">
        <v>16</v>
      </c>
      <c r="F1522" s="7" t="s">
        <v>1271</v>
      </c>
      <c r="G1522" s="17" t="s">
        <v>7747</v>
      </c>
      <c r="H1522" s="7" t="s">
        <v>28</v>
      </c>
      <c r="I1522" s="7" t="s">
        <v>59</v>
      </c>
      <c r="J1522" s="7" t="s">
        <v>226</v>
      </c>
      <c r="K1522" s="7" t="s">
        <v>573</v>
      </c>
      <c r="L1522" s="7" t="s">
        <v>61</v>
      </c>
      <c r="M1522" s="7">
        <v>10.292047999999999</v>
      </c>
      <c r="N1522" s="7">
        <v>13.830394999999999</v>
      </c>
      <c r="O1522" s="7" t="s">
        <v>23</v>
      </c>
    </row>
    <row r="1523" spans="1:15" hidden="1" x14ac:dyDescent="0.25">
      <c r="A1523" s="2">
        <f t="shared" si="23"/>
        <v>1521</v>
      </c>
      <c r="B1523" s="7" t="s">
        <v>1296</v>
      </c>
      <c r="C1523" s="7" t="s">
        <v>1297</v>
      </c>
      <c r="D1523" s="7" t="s">
        <v>1296</v>
      </c>
      <c r="E1523" s="7" t="s">
        <v>16</v>
      </c>
      <c r="F1523" s="7" t="s">
        <v>1298</v>
      </c>
      <c r="G1523" s="17" t="s">
        <v>7747</v>
      </c>
      <c r="H1523" s="7" t="s">
        <v>28</v>
      </c>
      <c r="I1523" s="7" t="s">
        <v>61</v>
      </c>
      <c r="J1523" s="7" t="s">
        <v>505</v>
      </c>
      <c r="K1523" s="7" t="s">
        <v>506</v>
      </c>
      <c r="L1523" s="7" t="s">
        <v>61</v>
      </c>
      <c r="M1523" s="7">
        <v>10.574059999999999</v>
      </c>
      <c r="N1523" s="7">
        <v>14.27586</v>
      </c>
      <c r="O1523" s="7" t="s">
        <v>23</v>
      </c>
    </row>
    <row r="1524" spans="1:15" hidden="1" x14ac:dyDescent="0.25">
      <c r="A1524" s="2">
        <f t="shared" si="23"/>
        <v>1522</v>
      </c>
      <c r="B1524" s="7" t="s">
        <v>1525</v>
      </c>
      <c r="C1524" s="7" t="s">
        <v>1526</v>
      </c>
      <c r="D1524" s="7" t="s">
        <v>1525</v>
      </c>
      <c r="E1524" s="7" t="s">
        <v>16</v>
      </c>
      <c r="F1524" s="7" t="s">
        <v>1527</v>
      </c>
      <c r="G1524" s="17" t="s">
        <v>7747</v>
      </c>
      <c r="H1524" s="7" t="s">
        <v>19</v>
      </c>
      <c r="I1524" s="7" t="s">
        <v>61</v>
      </c>
      <c r="J1524" s="7" t="s">
        <v>505</v>
      </c>
      <c r="K1524" s="7" t="s">
        <v>877</v>
      </c>
      <c r="L1524" s="7" t="s">
        <v>61</v>
      </c>
      <c r="M1524" s="7">
        <v>10.685</v>
      </c>
      <c r="N1524" s="7">
        <v>14.279</v>
      </c>
      <c r="O1524" s="7" t="s">
        <v>23</v>
      </c>
    </row>
    <row r="1525" spans="1:15" hidden="1" x14ac:dyDescent="0.25">
      <c r="A1525" s="2">
        <f t="shared" si="23"/>
        <v>1523</v>
      </c>
      <c r="B1525" s="7" t="s">
        <v>1607</v>
      </c>
      <c r="C1525" s="7" t="s">
        <v>1608</v>
      </c>
      <c r="D1525" s="7" t="s">
        <v>1607</v>
      </c>
      <c r="E1525" s="7" t="s">
        <v>16</v>
      </c>
      <c r="F1525" s="7" t="s">
        <v>1609</v>
      </c>
      <c r="G1525" s="17" t="s">
        <v>7747</v>
      </c>
      <c r="H1525" s="7" t="s">
        <v>19</v>
      </c>
      <c r="I1525" s="7" t="s">
        <v>61</v>
      </c>
      <c r="J1525" s="7" t="s">
        <v>505</v>
      </c>
      <c r="K1525" s="7" t="s">
        <v>877</v>
      </c>
      <c r="L1525" s="7" t="s">
        <v>61</v>
      </c>
      <c r="M1525" s="7">
        <v>10.603999999999999</v>
      </c>
      <c r="N1525" s="7">
        <v>14.308999999999999</v>
      </c>
      <c r="O1525" s="7" t="s">
        <v>23</v>
      </c>
    </row>
    <row r="1526" spans="1:15" hidden="1" x14ac:dyDescent="0.25">
      <c r="A1526" s="2">
        <f t="shared" si="23"/>
        <v>1524</v>
      </c>
      <c r="B1526" s="7" t="s">
        <v>1638</v>
      </c>
      <c r="C1526" s="7" t="s">
        <v>1639</v>
      </c>
      <c r="D1526" s="7" t="s">
        <v>1638</v>
      </c>
      <c r="E1526" s="7" t="s">
        <v>16</v>
      </c>
      <c r="F1526" s="7" t="s">
        <v>1640</v>
      </c>
      <c r="G1526" s="17" t="s">
        <v>7747</v>
      </c>
      <c r="H1526" s="7" t="s">
        <v>28</v>
      </c>
      <c r="I1526" s="7" t="s">
        <v>61</v>
      </c>
      <c r="J1526" s="7" t="s">
        <v>505</v>
      </c>
      <c r="K1526" s="7" t="s">
        <v>506</v>
      </c>
      <c r="L1526" s="7" t="s">
        <v>61</v>
      </c>
      <c r="M1526" s="7">
        <v>10.586779999999999</v>
      </c>
      <c r="N1526" s="7">
        <v>14.2944</v>
      </c>
      <c r="O1526" s="7" t="s">
        <v>23</v>
      </c>
    </row>
    <row r="1527" spans="1:15" hidden="1" x14ac:dyDescent="0.25">
      <c r="A1527" s="2">
        <f t="shared" si="23"/>
        <v>1525</v>
      </c>
      <c r="B1527" s="7" t="s">
        <v>1704</v>
      </c>
      <c r="C1527" s="7" t="s">
        <v>1705</v>
      </c>
      <c r="D1527" s="7" t="s">
        <v>1704</v>
      </c>
      <c r="E1527" s="7" t="s">
        <v>16</v>
      </c>
      <c r="F1527" s="7" t="s">
        <v>1706</v>
      </c>
      <c r="G1527" s="17" t="s">
        <v>7747</v>
      </c>
      <c r="H1527" s="7" t="s">
        <v>28</v>
      </c>
      <c r="I1527" s="7" t="s">
        <v>61</v>
      </c>
      <c r="J1527" s="7" t="s">
        <v>505</v>
      </c>
      <c r="K1527" s="7" t="s">
        <v>1707</v>
      </c>
      <c r="L1527" s="7" t="s">
        <v>61</v>
      </c>
      <c r="M1527" s="7">
        <v>10.589513999999999</v>
      </c>
      <c r="N1527" s="7">
        <v>14.319290000000001</v>
      </c>
      <c r="O1527" s="7" t="s">
        <v>613</v>
      </c>
    </row>
    <row r="1528" spans="1:15" hidden="1" x14ac:dyDescent="0.25">
      <c r="A1528" s="2">
        <f t="shared" si="23"/>
        <v>1526</v>
      </c>
      <c r="B1528" s="7" t="s">
        <v>1728</v>
      </c>
      <c r="C1528" s="7" t="s">
        <v>1729</v>
      </c>
      <c r="D1528" s="7" t="s">
        <v>1728</v>
      </c>
      <c r="E1528" s="7" t="s">
        <v>16</v>
      </c>
      <c r="F1528" s="7" t="s">
        <v>1730</v>
      </c>
      <c r="G1528" s="17" t="s">
        <v>7747</v>
      </c>
      <c r="H1528" s="7" t="s">
        <v>19</v>
      </c>
      <c r="I1528" s="7" t="s">
        <v>61</v>
      </c>
      <c r="J1528" s="7" t="s">
        <v>505</v>
      </c>
      <c r="K1528" s="7" t="s">
        <v>506</v>
      </c>
      <c r="L1528" s="7" t="s">
        <v>61</v>
      </c>
      <c r="M1528" s="7">
        <v>10.584474999999999</v>
      </c>
      <c r="N1528" s="7">
        <v>14.312806</v>
      </c>
      <c r="O1528" s="7" t="s">
        <v>23</v>
      </c>
    </row>
    <row r="1529" spans="1:15" hidden="1" x14ac:dyDescent="0.25">
      <c r="A1529" s="2">
        <f t="shared" si="23"/>
        <v>1527</v>
      </c>
      <c r="B1529" s="7" t="s">
        <v>1769</v>
      </c>
      <c r="C1529" s="7" t="s">
        <v>1770</v>
      </c>
      <c r="D1529" s="7" t="s">
        <v>1769</v>
      </c>
      <c r="E1529" s="7" t="s">
        <v>16</v>
      </c>
      <c r="F1529" s="7" t="s">
        <v>1771</v>
      </c>
      <c r="G1529" s="17" t="s">
        <v>7747</v>
      </c>
      <c r="H1529" s="7" t="s">
        <v>28</v>
      </c>
      <c r="I1529" s="7" t="s">
        <v>61</v>
      </c>
      <c r="J1529" s="7" t="s">
        <v>505</v>
      </c>
      <c r="K1529" s="7" t="s">
        <v>506</v>
      </c>
      <c r="L1529" s="7" t="s">
        <v>61</v>
      </c>
      <c r="M1529" s="7">
        <v>10.586472000000001</v>
      </c>
      <c r="N1529" s="7">
        <v>14.268416999999999</v>
      </c>
      <c r="O1529" s="7" t="s">
        <v>23</v>
      </c>
    </row>
    <row r="1530" spans="1:15" hidden="1" x14ac:dyDescent="0.25">
      <c r="A1530" s="2">
        <f t="shared" si="23"/>
        <v>1528</v>
      </c>
      <c r="B1530" s="7" t="s">
        <v>1772</v>
      </c>
      <c r="C1530" s="7" t="s">
        <v>1773</v>
      </c>
      <c r="D1530" s="7" t="s">
        <v>1772</v>
      </c>
      <c r="E1530" s="7" t="s">
        <v>16</v>
      </c>
      <c r="F1530" s="7" t="s">
        <v>1774</v>
      </c>
      <c r="G1530" s="17" t="s">
        <v>7747</v>
      </c>
      <c r="H1530" s="7" t="s">
        <v>28</v>
      </c>
      <c r="I1530" s="7" t="s">
        <v>59</v>
      </c>
      <c r="J1530" s="7" t="s">
        <v>226</v>
      </c>
      <c r="K1530" s="7" t="s">
        <v>474</v>
      </c>
      <c r="L1530" s="7" t="s">
        <v>61</v>
      </c>
      <c r="M1530" s="7">
        <v>10.582833000000001</v>
      </c>
      <c r="N1530" s="7">
        <v>13.913917</v>
      </c>
      <c r="O1530" s="7" t="s">
        <v>23</v>
      </c>
    </row>
    <row r="1531" spans="1:15" hidden="1" x14ac:dyDescent="0.25">
      <c r="A1531" s="2">
        <f t="shared" si="23"/>
        <v>1529</v>
      </c>
      <c r="B1531" s="7" t="s">
        <v>1784</v>
      </c>
      <c r="C1531" s="7" t="s">
        <v>1785</v>
      </c>
      <c r="D1531" s="7" t="s">
        <v>1784</v>
      </c>
      <c r="E1531" s="7" t="s">
        <v>16</v>
      </c>
      <c r="F1531" s="7" t="s">
        <v>1786</v>
      </c>
      <c r="G1531" s="17" t="s">
        <v>7747</v>
      </c>
      <c r="H1531" s="7" t="s">
        <v>28</v>
      </c>
      <c r="I1531" s="7" t="s">
        <v>59</v>
      </c>
      <c r="J1531" s="7" t="s">
        <v>226</v>
      </c>
      <c r="K1531" s="7" t="s">
        <v>227</v>
      </c>
      <c r="L1531" s="7" t="s">
        <v>61</v>
      </c>
      <c r="M1531" s="7">
        <v>10.778556</v>
      </c>
      <c r="N1531" s="7">
        <v>13.990138999999999</v>
      </c>
      <c r="O1531" s="7" t="s">
        <v>23</v>
      </c>
    </row>
    <row r="1532" spans="1:15" hidden="1" x14ac:dyDescent="0.25">
      <c r="A1532" s="2">
        <f t="shared" si="23"/>
        <v>1530</v>
      </c>
      <c r="B1532" s="7" t="s">
        <v>1787</v>
      </c>
      <c r="C1532" s="7" t="s">
        <v>1788</v>
      </c>
      <c r="D1532" s="7" t="s">
        <v>1787</v>
      </c>
      <c r="E1532" s="7" t="s">
        <v>16</v>
      </c>
      <c r="F1532" s="7" t="s">
        <v>1789</v>
      </c>
      <c r="G1532" s="17" t="s">
        <v>7747</v>
      </c>
      <c r="H1532" s="7" t="s">
        <v>28</v>
      </c>
      <c r="I1532" s="7" t="s">
        <v>61</v>
      </c>
      <c r="J1532" s="7" t="s">
        <v>1790</v>
      </c>
      <c r="K1532" s="7" t="s">
        <v>1791</v>
      </c>
      <c r="L1532" s="7" t="s">
        <v>61</v>
      </c>
      <c r="M1532" s="7">
        <v>10.847571</v>
      </c>
      <c r="N1532" s="7">
        <v>15.051062999999999</v>
      </c>
      <c r="O1532" s="7" t="s">
        <v>23</v>
      </c>
    </row>
    <row r="1533" spans="1:15" hidden="1" x14ac:dyDescent="0.25">
      <c r="A1533" s="2">
        <f t="shared" si="23"/>
        <v>1531</v>
      </c>
      <c r="B1533" s="7" t="s">
        <v>1871</v>
      </c>
      <c r="C1533" s="7" t="s">
        <v>1872</v>
      </c>
      <c r="D1533" s="7" t="s">
        <v>1871</v>
      </c>
      <c r="E1533" s="7" t="s">
        <v>16</v>
      </c>
      <c r="F1533" s="7" t="s">
        <v>1873</v>
      </c>
      <c r="G1533" s="17" t="s">
        <v>7747</v>
      </c>
      <c r="H1533" s="7" t="s">
        <v>28</v>
      </c>
      <c r="I1533" s="7" t="s">
        <v>61</v>
      </c>
      <c r="J1533" s="7" t="s">
        <v>513</v>
      </c>
      <c r="K1533" s="7" t="s">
        <v>514</v>
      </c>
      <c r="L1533" s="7" t="s">
        <v>61</v>
      </c>
      <c r="M1533" s="7">
        <v>11.049433000000001</v>
      </c>
      <c r="N1533" s="7">
        <v>14.12865</v>
      </c>
      <c r="O1533" s="7" t="s">
        <v>23</v>
      </c>
    </row>
    <row r="1534" spans="1:15" hidden="1" x14ac:dyDescent="0.25">
      <c r="A1534" s="2">
        <f t="shared" si="23"/>
        <v>1532</v>
      </c>
      <c r="B1534" s="7" t="s">
        <v>1877</v>
      </c>
      <c r="C1534" s="7" t="s">
        <v>1878</v>
      </c>
      <c r="D1534" s="7" t="s">
        <v>1877</v>
      </c>
      <c r="E1534" s="7" t="s">
        <v>16</v>
      </c>
      <c r="F1534" s="7" t="s">
        <v>1879</v>
      </c>
      <c r="G1534" s="17" t="s">
        <v>7747</v>
      </c>
      <c r="H1534" s="7" t="s">
        <v>28</v>
      </c>
      <c r="I1534" s="7" t="s">
        <v>61</v>
      </c>
      <c r="J1534" s="7" t="s">
        <v>505</v>
      </c>
      <c r="K1534" s="7" t="s">
        <v>1253</v>
      </c>
      <c r="L1534" s="7" t="s">
        <v>61</v>
      </c>
      <c r="M1534" s="7">
        <v>10.629144</v>
      </c>
      <c r="N1534" s="7">
        <v>14.391306</v>
      </c>
      <c r="O1534" s="7" t="s">
        <v>23</v>
      </c>
    </row>
    <row r="1535" spans="1:15" hidden="1" x14ac:dyDescent="0.25">
      <c r="A1535" s="2">
        <f t="shared" si="23"/>
        <v>1533</v>
      </c>
      <c r="B1535" s="7" t="s">
        <v>1880</v>
      </c>
      <c r="C1535" s="7" t="s">
        <v>1881</v>
      </c>
      <c r="D1535" s="7" t="s">
        <v>1880</v>
      </c>
      <c r="E1535" s="7" t="s">
        <v>16</v>
      </c>
      <c r="F1535" s="7" t="s">
        <v>1882</v>
      </c>
      <c r="G1535" s="17" t="s">
        <v>7747</v>
      </c>
      <c r="H1535" s="7" t="s">
        <v>28</v>
      </c>
      <c r="I1535" s="7" t="s">
        <v>61</v>
      </c>
      <c r="J1535" s="7" t="s">
        <v>505</v>
      </c>
      <c r="K1535" s="7" t="s">
        <v>506</v>
      </c>
      <c r="L1535" s="7" t="s">
        <v>61</v>
      </c>
      <c r="M1535" s="7">
        <v>10.590265</v>
      </c>
      <c r="N1535" s="7">
        <v>14.332952000000001</v>
      </c>
      <c r="O1535" s="7" t="s">
        <v>23</v>
      </c>
    </row>
    <row r="1536" spans="1:15" hidden="1" x14ac:dyDescent="0.25">
      <c r="A1536" s="2">
        <f t="shared" si="23"/>
        <v>1534</v>
      </c>
      <c r="B1536" s="7" t="s">
        <v>1883</v>
      </c>
      <c r="C1536" s="7" t="s">
        <v>1884</v>
      </c>
      <c r="D1536" s="7" t="s">
        <v>1883</v>
      </c>
      <c r="E1536" s="7" t="s">
        <v>16</v>
      </c>
      <c r="F1536" s="7" t="s">
        <v>1885</v>
      </c>
      <c r="G1536" s="17" t="s">
        <v>7747</v>
      </c>
      <c r="H1536" s="7" t="s">
        <v>28</v>
      </c>
      <c r="I1536" s="7" t="s">
        <v>61</v>
      </c>
      <c r="J1536" s="7" t="s">
        <v>505</v>
      </c>
      <c r="K1536" s="7" t="s">
        <v>1886</v>
      </c>
      <c r="L1536" s="7" t="s">
        <v>61</v>
      </c>
      <c r="M1536" s="7">
        <v>10.610666999999999</v>
      </c>
      <c r="N1536" s="7">
        <v>14.347360999999999</v>
      </c>
      <c r="O1536" s="7" t="s">
        <v>23</v>
      </c>
    </row>
    <row r="1537" spans="1:15" hidden="1" x14ac:dyDescent="0.25">
      <c r="A1537" s="2">
        <f t="shared" si="23"/>
        <v>1535</v>
      </c>
      <c r="B1537" s="7" t="s">
        <v>1887</v>
      </c>
      <c r="C1537" s="7" t="s">
        <v>1888</v>
      </c>
      <c r="D1537" s="7" t="s">
        <v>1887</v>
      </c>
      <c r="E1537" s="7" t="s">
        <v>16</v>
      </c>
      <c r="F1537" s="7" t="s">
        <v>1889</v>
      </c>
      <c r="G1537" s="17" t="s">
        <v>7747</v>
      </c>
      <c r="H1537" s="7" t="s">
        <v>28</v>
      </c>
      <c r="I1537" s="7" t="s">
        <v>61</v>
      </c>
      <c r="J1537" s="7" t="s">
        <v>505</v>
      </c>
      <c r="K1537" s="7" t="s">
        <v>1890</v>
      </c>
      <c r="L1537" s="7" t="s">
        <v>61</v>
      </c>
      <c r="M1537" s="7">
        <v>10.627761</v>
      </c>
      <c r="N1537" s="7">
        <v>14.327464000000001</v>
      </c>
      <c r="O1537" s="7" t="s">
        <v>23</v>
      </c>
    </row>
    <row r="1538" spans="1:15" hidden="1" x14ac:dyDescent="0.25">
      <c r="A1538" s="2">
        <f t="shared" si="23"/>
        <v>1536</v>
      </c>
      <c r="B1538" s="7" t="s">
        <v>1891</v>
      </c>
      <c r="C1538" s="7" t="s">
        <v>1892</v>
      </c>
      <c r="D1538" s="7" t="s">
        <v>1891</v>
      </c>
      <c r="E1538" s="7" t="s">
        <v>16</v>
      </c>
      <c r="F1538" s="7" t="s">
        <v>1893</v>
      </c>
      <c r="G1538" s="17" t="s">
        <v>7747</v>
      </c>
      <c r="H1538" s="7" t="s">
        <v>28</v>
      </c>
      <c r="I1538" s="7" t="s">
        <v>61</v>
      </c>
      <c r="J1538" s="7" t="s">
        <v>505</v>
      </c>
      <c r="K1538" s="7" t="s">
        <v>877</v>
      </c>
      <c r="L1538" s="7" t="s">
        <v>61</v>
      </c>
      <c r="M1538" s="7">
        <v>10.602361</v>
      </c>
      <c r="N1538" s="7">
        <v>14.317289000000001</v>
      </c>
      <c r="O1538" s="7" t="s">
        <v>23</v>
      </c>
    </row>
    <row r="1539" spans="1:15" hidden="1" x14ac:dyDescent="0.25">
      <c r="A1539" s="2">
        <f t="shared" si="23"/>
        <v>1537</v>
      </c>
      <c r="B1539" s="7" t="s">
        <v>1894</v>
      </c>
      <c r="C1539" s="7" t="s">
        <v>1895</v>
      </c>
      <c r="D1539" s="7" t="s">
        <v>1894</v>
      </c>
      <c r="E1539" s="7" t="s">
        <v>16</v>
      </c>
      <c r="F1539" s="7" t="s">
        <v>1896</v>
      </c>
      <c r="G1539" s="17" t="s">
        <v>7747</v>
      </c>
      <c r="H1539" s="7" t="s">
        <v>28</v>
      </c>
      <c r="I1539" s="7" t="s">
        <v>61</v>
      </c>
      <c r="J1539" s="7" t="s">
        <v>1790</v>
      </c>
      <c r="K1539" s="7" t="s">
        <v>1791</v>
      </c>
      <c r="L1539" s="7" t="s">
        <v>61</v>
      </c>
      <c r="M1539" s="7">
        <v>10.857651000000001</v>
      </c>
      <c r="N1539" s="7">
        <v>14.97532</v>
      </c>
      <c r="O1539" s="7" t="s">
        <v>23</v>
      </c>
    </row>
    <row r="1540" spans="1:15" hidden="1" x14ac:dyDescent="0.25">
      <c r="A1540" s="2">
        <f t="shared" si="23"/>
        <v>1538</v>
      </c>
      <c r="B1540" s="7" t="s">
        <v>1900</v>
      </c>
      <c r="C1540" s="7" t="s">
        <v>1901</v>
      </c>
      <c r="D1540" s="7" t="s">
        <v>1900</v>
      </c>
      <c r="E1540" s="7" t="s">
        <v>16</v>
      </c>
      <c r="F1540" s="7" t="s">
        <v>661</v>
      </c>
      <c r="G1540" s="17" t="s">
        <v>7747</v>
      </c>
      <c r="H1540" s="7" t="s">
        <v>28</v>
      </c>
      <c r="I1540" s="7" t="s">
        <v>59</v>
      </c>
      <c r="J1540" s="7" t="s">
        <v>70</v>
      </c>
      <c r="K1540" s="7" t="s">
        <v>662</v>
      </c>
      <c r="L1540" s="7" t="s">
        <v>61</v>
      </c>
      <c r="M1540" s="7">
        <v>10.174187999999999</v>
      </c>
      <c r="N1540" s="7">
        <v>14.522304999999999</v>
      </c>
      <c r="O1540" s="7" t="s">
        <v>23</v>
      </c>
    </row>
    <row r="1541" spans="1:15" hidden="1" x14ac:dyDescent="0.25">
      <c r="A1541" s="2">
        <f t="shared" ref="A1541:A1604" si="24">+A1540+1</f>
        <v>1539</v>
      </c>
      <c r="B1541" s="7" t="s">
        <v>1928</v>
      </c>
      <c r="C1541" s="7" t="s">
        <v>1929</v>
      </c>
      <c r="D1541" s="7" t="s">
        <v>1928</v>
      </c>
      <c r="E1541" s="7" t="s">
        <v>16</v>
      </c>
      <c r="F1541" s="7" t="s">
        <v>1930</v>
      </c>
      <c r="G1541" s="17" t="s">
        <v>7747</v>
      </c>
      <c r="H1541" s="7" t="s">
        <v>28</v>
      </c>
      <c r="I1541" s="7" t="s">
        <v>59</v>
      </c>
      <c r="J1541" s="7" t="s">
        <v>70</v>
      </c>
      <c r="K1541" s="7" t="s">
        <v>620</v>
      </c>
      <c r="L1541" s="7" t="s">
        <v>61</v>
      </c>
      <c r="M1541" s="7">
        <v>10.028881999999999</v>
      </c>
      <c r="N1541" s="7">
        <v>14.326362</v>
      </c>
      <c r="O1541" s="7" t="s">
        <v>23</v>
      </c>
    </row>
    <row r="1542" spans="1:15" hidden="1" x14ac:dyDescent="0.25">
      <c r="A1542" s="2">
        <f t="shared" si="24"/>
        <v>1540</v>
      </c>
      <c r="B1542" s="7" t="s">
        <v>1947</v>
      </c>
      <c r="C1542" s="7" t="s">
        <v>1948</v>
      </c>
      <c r="D1542" s="7" t="s">
        <v>1947</v>
      </c>
      <c r="E1542" s="7" t="s">
        <v>16</v>
      </c>
      <c r="F1542" s="7" t="s">
        <v>846</v>
      </c>
      <c r="G1542" s="17" t="s">
        <v>7747</v>
      </c>
      <c r="H1542" s="7" t="s">
        <v>28</v>
      </c>
      <c r="I1542" s="7" t="s">
        <v>59</v>
      </c>
      <c r="J1542" s="7" t="s">
        <v>70</v>
      </c>
      <c r="K1542" s="7" t="s">
        <v>846</v>
      </c>
      <c r="L1542" s="7" t="s">
        <v>61</v>
      </c>
      <c r="M1542" s="7">
        <v>10.015412</v>
      </c>
      <c r="N1542" s="7">
        <v>14.790951</v>
      </c>
      <c r="O1542" s="7" t="s">
        <v>23</v>
      </c>
    </row>
    <row r="1543" spans="1:15" hidden="1" x14ac:dyDescent="0.25">
      <c r="A1543" s="2">
        <f t="shared" si="24"/>
        <v>1541</v>
      </c>
      <c r="B1543" s="7" t="s">
        <v>1959</v>
      </c>
      <c r="C1543" s="7" t="s">
        <v>1960</v>
      </c>
      <c r="D1543" s="7" t="s">
        <v>1959</v>
      </c>
      <c r="E1543" s="7" t="s">
        <v>16</v>
      </c>
      <c r="F1543" s="7" t="s">
        <v>1961</v>
      </c>
      <c r="G1543" s="17" t="s">
        <v>7747</v>
      </c>
      <c r="H1543" s="7" t="s">
        <v>28</v>
      </c>
      <c r="I1543" s="7" t="s">
        <v>61</v>
      </c>
      <c r="J1543" s="7" t="s">
        <v>505</v>
      </c>
      <c r="K1543" s="7" t="s">
        <v>1961</v>
      </c>
      <c r="L1543" s="7" t="s">
        <v>61</v>
      </c>
      <c r="M1543" s="7">
        <v>10.531055</v>
      </c>
      <c r="N1543" s="7">
        <v>14.605961000000001</v>
      </c>
      <c r="O1543" s="7" t="s">
        <v>23</v>
      </c>
    </row>
    <row r="1544" spans="1:15" hidden="1" x14ac:dyDescent="0.25">
      <c r="A1544" s="2">
        <f t="shared" si="24"/>
        <v>1542</v>
      </c>
      <c r="B1544" s="7" t="s">
        <v>2063</v>
      </c>
      <c r="C1544" s="7" t="s">
        <v>2064</v>
      </c>
      <c r="D1544" s="7" t="s">
        <v>2063</v>
      </c>
      <c r="E1544" s="7" t="s">
        <v>16</v>
      </c>
      <c r="F1544" s="7" t="s">
        <v>2065</v>
      </c>
      <c r="G1544" s="17" t="s">
        <v>7747</v>
      </c>
      <c r="H1544" s="7" t="s">
        <v>19</v>
      </c>
      <c r="I1544" s="7" t="s">
        <v>61</v>
      </c>
      <c r="J1544" s="7" t="s">
        <v>513</v>
      </c>
      <c r="K1544" s="7" t="s">
        <v>514</v>
      </c>
      <c r="L1544" s="7" t="s">
        <v>61</v>
      </c>
      <c r="M1544" s="7">
        <v>11.032</v>
      </c>
      <c r="N1544" s="7">
        <v>14.169</v>
      </c>
      <c r="O1544" s="7" t="s">
        <v>23</v>
      </c>
    </row>
    <row r="1545" spans="1:15" hidden="1" x14ac:dyDescent="0.25">
      <c r="A1545" s="2">
        <f t="shared" si="24"/>
        <v>1543</v>
      </c>
      <c r="B1545" s="7" t="s">
        <v>2089</v>
      </c>
      <c r="C1545" s="7" t="s">
        <v>2090</v>
      </c>
      <c r="D1545" s="7" t="s">
        <v>2089</v>
      </c>
      <c r="E1545" s="7" t="s">
        <v>16</v>
      </c>
      <c r="F1545" s="7" t="s">
        <v>2091</v>
      </c>
      <c r="G1545" s="17" t="s">
        <v>7747</v>
      </c>
      <c r="H1545" s="7" t="s">
        <v>19</v>
      </c>
      <c r="I1545" s="7" t="s">
        <v>61</v>
      </c>
      <c r="J1545" s="7" t="s">
        <v>513</v>
      </c>
      <c r="K1545" s="7" t="s">
        <v>514</v>
      </c>
      <c r="L1545" s="7" t="s">
        <v>61</v>
      </c>
      <c r="M1545" s="7">
        <v>11.163</v>
      </c>
      <c r="N1545" s="7">
        <v>14.022</v>
      </c>
      <c r="O1545" s="7" t="s">
        <v>23</v>
      </c>
    </row>
    <row r="1546" spans="1:15" hidden="1" x14ac:dyDescent="0.25">
      <c r="A1546" s="2">
        <f t="shared" si="24"/>
        <v>1544</v>
      </c>
      <c r="B1546" s="7" t="s">
        <v>2095</v>
      </c>
      <c r="C1546" s="7" t="s">
        <v>2096</v>
      </c>
      <c r="D1546" s="7" t="s">
        <v>2095</v>
      </c>
      <c r="E1546" s="7" t="s">
        <v>16</v>
      </c>
      <c r="F1546" s="7" t="s">
        <v>2097</v>
      </c>
      <c r="G1546" s="17" t="s">
        <v>7747</v>
      </c>
      <c r="H1546" s="7" t="s">
        <v>28</v>
      </c>
      <c r="I1546" s="7" t="s">
        <v>61</v>
      </c>
      <c r="J1546" s="7" t="s">
        <v>505</v>
      </c>
      <c r="K1546" s="7" t="s">
        <v>506</v>
      </c>
      <c r="L1546" s="7" t="s">
        <v>61</v>
      </c>
      <c r="M1546" s="7">
        <v>10.59282</v>
      </c>
      <c r="N1546" s="7">
        <v>14.33338</v>
      </c>
      <c r="O1546" s="7" t="s">
        <v>23</v>
      </c>
    </row>
    <row r="1547" spans="1:15" hidden="1" x14ac:dyDescent="0.25">
      <c r="A1547" s="2">
        <f t="shared" si="24"/>
        <v>1545</v>
      </c>
      <c r="B1547" s="7" t="s">
        <v>2098</v>
      </c>
      <c r="C1547" s="7" t="s">
        <v>2099</v>
      </c>
      <c r="D1547" s="7" t="s">
        <v>2098</v>
      </c>
      <c r="E1547" s="7" t="s">
        <v>16</v>
      </c>
      <c r="F1547" s="7" t="s">
        <v>2100</v>
      </c>
      <c r="G1547" s="17" t="s">
        <v>7747</v>
      </c>
      <c r="H1547" s="7" t="s">
        <v>19</v>
      </c>
      <c r="I1547" s="7" t="s">
        <v>59</v>
      </c>
      <c r="J1547" s="7" t="s">
        <v>70</v>
      </c>
      <c r="K1547" s="7" t="s">
        <v>2100</v>
      </c>
      <c r="L1547" s="7" t="s">
        <v>61</v>
      </c>
      <c r="M1547" s="7">
        <v>10.135228</v>
      </c>
      <c r="N1547" s="7">
        <v>14.704224999999999</v>
      </c>
      <c r="O1547" s="7" t="s">
        <v>23</v>
      </c>
    </row>
    <row r="1548" spans="1:15" hidden="1" x14ac:dyDescent="0.25">
      <c r="A1548" s="2">
        <f t="shared" si="24"/>
        <v>1546</v>
      </c>
      <c r="B1548" s="7" t="s">
        <v>2136</v>
      </c>
      <c r="C1548" s="7" t="s">
        <v>2137</v>
      </c>
      <c r="D1548" s="7" t="s">
        <v>2136</v>
      </c>
      <c r="E1548" s="7" t="s">
        <v>16</v>
      </c>
      <c r="F1548" s="7" t="s">
        <v>2138</v>
      </c>
      <c r="G1548" s="17" t="s">
        <v>7747</v>
      </c>
      <c r="H1548" s="7" t="s">
        <v>19</v>
      </c>
      <c r="I1548" s="7" t="s">
        <v>61</v>
      </c>
      <c r="J1548" s="7" t="s">
        <v>505</v>
      </c>
      <c r="K1548" s="7" t="s">
        <v>1890</v>
      </c>
      <c r="L1548" s="7" t="s">
        <v>61</v>
      </c>
      <c r="M1548" s="7">
        <v>10.617194</v>
      </c>
      <c r="N1548" s="7">
        <v>14.324972000000001</v>
      </c>
      <c r="O1548" s="7" t="s">
        <v>23</v>
      </c>
    </row>
    <row r="1549" spans="1:15" hidden="1" x14ac:dyDescent="0.25">
      <c r="A1549" s="2">
        <f t="shared" si="24"/>
        <v>1547</v>
      </c>
      <c r="B1549" s="7" t="s">
        <v>2182</v>
      </c>
      <c r="C1549" s="7" t="s">
        <v>2183</v>
      </c>
      <c r="D1549" s="7" t="s">
        <v>2182</v>
      </c>
      <c r="E1549" s="7" t="s">
        <v>16</v>
      </c>
      <c r="F1549" s="7" t="s">
        <v>2184</v>
      </c>
      <c r="G1549" s="17" t="s">
        <v>7747</v>
      </c>
      <c r="H1549" s="7" t="s">
        <v>19</v>
      </c>
      <c r="I1549" s="7" t="s">
        <v>61</v>
      </c>
      <c r="J1549" s="7" t="s">
        <v>513</v>
      </c>
      <c r="K1549" s="7" t="s">
        <v>514</v>
      </c>
      <c r="L1549" s="7" t="s">
        <v>61</v>
      </c>
      <c r="M1549" s="7">
        <v>11.241794000000001</v>
      </c>
      <c r="N1549" s="7">
        <v>14.153111000000001</v>
      </c>
      <c r="O1549" s="7" t="s">
        <v>23</v>
      </c>
    </row>
    <row r="1550" spans="1:15" hidden="1" x14ac:dyDescent="0.25">
      <c r="A1550" s="2">
        <f t="shared" si="24"/>
        <v>1548</v>
      </c>
      <c r="B1550" s="7" t="s">
        <v>2194</v>
      </c>
      <c r="C1550" s="7" t="s">
        <v>2195</v>
      </c>
      <c r="D1550" s="7" t="s">
        <v>2194</v>
      </c>
      <c r="E1550" s="7" t="s">
        <v>16</v>
      </c>
      <c r="F1550" s="7" t="s">
        <v>2196</v>
      </c>
      <c r="G1550" s="17" t="s">
        <v>7747</v>
      </c>
      <c r="H1550" s="7" t="s">
        <v>19</v>
      </c>
      <c r="I1550" s="7" t="s">
        <v>61</v>
      </c>
      <c r="J1550" s="7" t="s">
        <v>513</v>
      </c>
      <c r="K1550" s="7" t="s">
        <v>514</v>
      </c>
      <c r="L1550" s="7" t="s">
        <v>61</v>
      </c>
      <c r="M1550" s="7">
        <v>11.030443999999999</v>
      </c>
      <c r="N1550" s="7">
        <v>14.168028</v>
      </c>
      <c r="O1550" s="7" t="s">
        <v>23</v>
      </c>
    </row>
    <row r="1551" spans="1:15" hidden="1" x14ac:dyDescent="0.25">
      <c r="A1551" s="2">
        <f t="shared" si="24"/>
        <v>1549</v>
      </c>
      <c r="B1551" s="7" t="s">
        <v>2241</v>
      </c>
      <c r="C1551" s="7" t="s">
        <v>2242</v>
      </c>
      <c r="D1551" s="7" t="s">
        <v>2241</v>
      </c>
      <c r="E1551" s="7" t="s">
        <v>16</v>
      </c>
      <c r="F1551" s="7" t="s">
        <v>2243</v>
      </c>
      <c r="G1551" s="17" t="s">
        <v>7747</v>
      </c>
      <c r="H1551" s="7" t="s">
        <v>19</v>
      </c>
      <c r="I1551" s="7" t="s">
        <v>61</v>
      </c>
      <c r="J1551" s="7" t="s">
        <v>513</v>
      </c>
      <c r="K1551" s="7" t="s">
        <v>2243</v>
      </c>
      <c r="L1551" s="7" t="s">
        <v>61</v>
      </c>
      <c r="M1551" s="7">
        <v>10.868194000000001</v>
      </c>
      <c r="N1551" s="7">
        <v>14.147500000000001</v>
      </c>
      <c r="O1551" s="7" t="s">
        <v>23</v>
      </c>
    </row>
    <row r="1552" spans="1:15" hidden="1" x14ac:dyDescent="0.25">
      <c r="A1552" s="2">
        <f t="shared" si="24"/>
        <v>1550</v>
      </c>
      <c r="B1552" s="7" t="s">
        <v>2455</v>
      </c>
      <c r="C1552" s="7" t="s">
        <v>2456</v>
      </c>
      <c r="D1552" s="7" t="s">
        <v>2455</v>
      </c>
      <c r="E1552" s="7" t="s">
        <v>16</v>
      </c>
      <c r="F1552" s="7" t="s">
        <v>2457</v>
      </c>
      <c r="G1552" s="17" t="s">
        <v>7747</v>
      </c>
      <c r="H1552" s="7" t="s">
        <v>28</v>
      </c>
      <c r="I1552" s="7" t="s">
        <v>61</v>
      </c>
      <c r="J1552" s="7" t="s">
        <v>505</v>
      </c>
      <c r="K1552" s="7" t="s">
        <v>1253</v>
      </c>
      <c r="L1552" s="7" t="s">
        <v>61</v>
      </c>
      <c r="M1552" s="7">
        <v>10.6238031</v>
      </c>
      <c r="N1552" s="7">
        <v>14.3734555</v>
      </c>
      <c r="O1552" s="7" t="s">
        <v>23</v>
      </c>
    </row>
    <row r="1553" spans="1:15" hidden="1" x14ac:dyDescent="0.25">
      <c r="A1553" s="2">
        <f t="shared" si="24"/>
        <v>1551</v>
      </c>
      <c r="B1553" s="7" t="s">
        <v>2525</v>
      </c>
      <c r="C1553" s="7" t="s">
        <v>2526</v>
      </c>
      <c r="D1553" s="7" t="s">
        <v>2525</v>
      </c>
      <c r="E1553" s="7" t="s">
        <v>16</v>
      </c>
      <c r="F1553" s="7" t="s">
        <v>514</v>
      </c>
      <c r="G1553" s="17" t="s">
        <v>7747</v>
      </c>
      <c r="H1553" s="7" t="s">
        <v>19</v>
      </c>
      <c r="I1553" s="7" t="s">
        <v>61</v>
      </c>
      <c r="J1553" s="7" t="s">
        <v>513</v>
      </c>
      <c r="K1553" s="7" t="s">
        <v>514</v>
      </c>
      <c r="L1553" s="7" t="s">
        <v>61</v>
      </c>
      <c r="M1553" s="7">
        <v>11.047000000000001</v>
      </c>
      <c r="N1553" s="7">
        <v>14.138999999999999</v>
      </c>
      <c r="O1553" s="7" t="s">
        <v>23</v>
      </c>
    </row>
    <row r="1554" spans="1:15" hidden="1" x14ac:dyDescent="0.25">
      <c r="A1554" s="2">
        <f t="shared" si="24"/>
        <v>1552</v>
      </c>
      <c r="B1554" s="7" t="s">
        <v>2536</v>
      </c>
      <c r="C1554" s="7" t="s">
        <v>2537</v>
      </c>
      <c r="D1554" s="7" t="s">
        <v>2536</v>
      </c>
      <c r="E1554" s="7" t="s">
        <v>16</v>
      </c>
      <c r="F1554" s="7" t="s">
        <v>2538</v>
      </c>
      <c r="G1554" s="17" t="s">
        <v>7747</v>
      </c>
      <c r="H1554" s="7" t="s">
        <v>28</v>
      </c>
      <c r="I1554" s="7" t="s">
        <v>59</v>
      </c>
      <c r="J1554" s="7" t="s">
        <v>60</v>
      </c>
      <c r="K1554" s="7" t="s">
        <v>59</v>
      </c>
      <c r="L1554" s="7" t="s">
        <v>61</v>
      </c>
      <c r="M1554" s="7">
        <v>10.35008</v>
      </c>
      <c r="N1554" s="7">
        <v>15.232710000000001</v>
      </c>
      <c r="O1554" s="7" t="s">
        <v>23</v>
      </c>
    </row>
    <row r="1555" spans="1:15" hidden="1" x14ac:dyDescent="0.25">
      <c r="A1555" s="2">
        <f t="shared" si="24"/>
        <v>1553</v>
      </c>
      <c r="B1555" s="7" t="s">
        <v>2622</v>
      </c>
      <c r="C1555" s="7" t="s">
        <v>2623</v>
      </c>
      <c r="D1555" s="7" t="s">
        <v>2622</v>
      </c>
      <c r="E1555" s="7" t="s">
        <v>16</v>
      </c>
      <c r="F1555" s="7" t="s">
        <v>2624</v>
      </c>
      <c r="G1555" s="17" t="s">
        <v>7747</v>
      </c>
      <c r="H1555" s="7" t="s">
        <v>28</v>
      </c>
      <c r="I1555" s="7" t="s">
        <v>61</v>
      </c>
      <c r="J1555" s="7" t="s">
        <v>505</v>
      </c>
      <c r="K1555" s="7" t="s">
        <v>506</v>
      </c>
      <c r="L1555" s="7" t="s">
        <v>61</v>
      </c>
      <c r="M1555" s="7">
        <v>10.60263</v>
      </c>
      <c r="N1555" s="7">
        <v>14.29466</v>
      </c>
      <c r="O1555" s="7" t="s">
        <v>23</v>
      </c>
    </row>
    <row r="1556" spans="1:15" hidden="1" x14ac:dyDescent="0.25">
      <c r="A1556" s="2">
        <f t="shared" si="24"/>
        <v>1554</v>
      </c>
      <c r="B1556" s="7" t="s">
        <v>2632</v>
      </c>
      <c r="C1556" s="7" t="s">
        <v>2633</v>
      </c>
      <c r="D1556" s="7" t="s">
        <v>2632</v>
      </c>
      <c r="E1556" s="7" t="s">
        <v>16</v>
      </c>
      <c r="F1556" s="7" t="s">
        <v>2634</v>
      </c>
      <c r="G1556" s="17" t="s">
        <v>7747</v>
      </c>
      <c r="H1556" s="7" t="s">
        <v>28</v>
      </c>
      <c r="I1556" s="7" t="s">
        <v>61</v>
      </c>
      <c r="J1556" s="7" t="s">
        <v>505</v>
      </c>
      <c r="K1556" s="7" t="s">
        <v>506</v>
      </c>
      <c r="L1556" s="7" t="s">
        <v>61</v>
      </c>
      <c r="M1556" s="7">
        <v>10.596139000000001</v>
      </c>
      <c r="N1556" s="7">
        <v>14.321284</v>
      </c>
      <c r="O1556" s="7" t="s">
        <v>23</v>
      </c>
    </row>
    <row r="1557" spans="1:15" hidden="1" x14ac:dyDescent="0.25">
      <c r="A1557" s="2">
        <f t="shared" si="24"/>
        <v>1555</v>
      </c>
      <c r="B1557" s="7" t="s">
        <v>2757</v>
      </c>
      <c r="C1557" s="7" t="s">
        <v>2758</v>
      </c>
      <c r="D1557" s="7" t="s">
        <v>2757</v>
      </c>
      <c r="E1557" s="7" t="s">
        <v>16</v>
      </c>
      <c r="F1557" s="7" t="s">
        <v>2243</v>
      </c>
      <c r="G1557" s="17" t="s">
        <v>7747</v>
      </c>
      <c r="H1557" s="7" t="s">
        <v>19</v>
      </c>
      <c r="I1557" s="7" t="s">
        <v>61</v>
      </c>
      <c r="J1557" s="7" t="s">
        <v>513</v>
      </c>
      <c r="K1557" s="7" t="s">
        <v>2243</v>
      </c>
      <c r="L1557" s="7" t="s">
        <v>61</v>
      </c>
      <c r="M1557" s="7">
        <v>10.86726</v>
      </c>
      <c r="N1557" s="7">
        <v>14.14254</v>
      </c>
      <c r="O1557" s="7" t="s">
        <v>23</v>
      </c>
    </row>
    <row r="1558" spans="1:15" hidden="1" x14ac:dyDescent="0.25">
      <c r="A1558" s="2">
        <f t="shared" si="24"/>
        <v>1556</v>
      </c>
      <c r="B1558" s="7" t="s">
        <v>2808</v>
      </c>
      <c r="C1558" s="7" t="s">
        <v>2809</v>
      </c>
      <c r="D1558" s="7" t="s">
        <v>2808</v>
      </c>
      <c r="E1558" s="7" t="s">
        <v>16</v>
      </c>
      <c r="F1558" s="7" t="s">
        <v>2810</v>
      </c>
      <c r="G1558" s="17" t="s">
        <v>7747</v>
      </c>
      <c r="H1558" s="7" t="s">
        <v>19</v>
      </c>
      <c r="I1558" s="7" t="s">
        <v>59</v>
      </c>
      <c r="J1558" s="7" t="s">
        <v>226</v>
      </c>
      <c r="K1558" s="7" t="s">
        <v>474</v>
      </c>
      <c r="L1558" s="7" t="s">
        <v>61</v>
      </c>
      <c r="M1558" s="7">
        <v>10.77037</v>
      </c>
      <c r="N1558" s="7">
        <v>13.81625</v>
      </c>
      <c r="O1558" s="7" t="s">
        <v>23</v>
      </c>
    </row>
    <row r="1559" spans="1:15" hidden="1" x14ac:dyDescent="0.25">
      <c r="A1559" s="2">
        <f t="shared" si="24"/>
        <v>1557</v>
      </c>
      <c r="B1559" s="7" t="s">
        <v>2827</v>
      </c>
      <c r="C1559" s="7" t="s">
        <v>2828</v>
      </c>
      <c r="D1559" s="7" t="s">
        <v>2827</v>
      </c>
      <c r="E1559" s="7" t="s">
        <v>16</v>
      </c>
      <c r="F1559" s="7" t="s">
        <v>2829</v>
      </c>
      <c r="G1559" s="17" t="s">
        <v>7747</v>
      </c>
      <c r="H1559" s="7" t="s">
        <v>28</v>
      </c>
      <c r="I1559" s="7" t="s">
        <v>61</v>
      </c>
      <c r="J1559" s="7" t="s">
        <v>505</v>
      </c>
      <c r="K1559" s="7" t="s">
        <v>1707</v>
      </c>
      <c r="L1559" s="7" t="s">
        <v>61</v>
      </c>
      <c r="M1559" s="7">
        <v>10.596080000000001</v>
      </c>
      <c r="N1559" s="7">
        <v>14.31574</v>
      </c>
      <c r="O1559" s="7" t="s">
        <v>23</v>
      </c>
    </row>
    <row r="1560" spans="1:15" hidden="1" x14ac:dyDescent="0.25">
      <c r="A1560" s="2">
        <f t="shared" si="24"/>
        <v>1558</v>
      </c>
      <c r="B1560" s="7" t="s">
        <v>2848</v>
      </c>
      <c r="C1560" s="7" t="s">
        <v>2849</v>
      </c>
      <c r="D1560" s="7" t="s">
        <v>2848</v>
      </c>
      <c r="E1560" s="7" t="s">
        <v>16</v>
      </c>
      <c r="F1560" s="7" t="s">
        <v>2850</v>
      </c>
      <c r="G1560" s="17" t="s">
        <v>7747</v>
      </c>
      <c r="H1560" s="7" t="s">
        <v>19</v>
      </c>
      <c r="I1560" s="7" t="s">
        <v>61</v>
      </c>
      <c r="J1560" s="7" t="s">
        <v>505</v>
      </c>
      <c r="K1560" s="7" t="s">
        <v>506</v>
      </c>
      <c r="L1560" s="7" t="s">
        <v>61</v>
      </c>
      <c r="M1560" s="7">
        <v>10.52327</v>
      </c>
      <c r="N1560" s="7">
        <v>14.206329999999999</v>
      </c>
      <c r="O1560" s="7" t="s">
        <v>23</v>
      </c>
    </row>
    <row r="1561" spans="1:15" hidden="1" x14ac:dyDescent="0.25">
      <c r="A1561" s="2">
        <f t="shared" si="24"/>
        <v>1559</v>
      </c>
      <c r="B1561" s="7" t="s">
        <v>2858</v>
      </c>
      <c r="C1561" s="7" t="s">
        <v>2859</v>
      </c>
      <c r="D1561" s="7" t="s">
        <v>2858</v>
      </c>
      <c r="E1561" s="7" t="s">
        <v>182</v>
      </c>
      <c r="F1561" s="7" t="s">
        <v>2860</v>
      </c>
      <c r="G1561" s="17" t="s">
        <v>7747</v>
      </c>
      <c r="H1561" s="7" t="s">
        <v>28</v>
      </c>
      <c r="I1561" s="7" t="s">
        <v>184</v>
      </c>
      <c r="J1561" s="7" t="s">
        <v>185</v>
      </c>
      <c r="K1561" s="7" t="s">
        <v>1435</v>
      </c>
      <c r="L1561" s="7" t="s">
        <v>61</v>
      </c>
      <c r="M1561" s="7">
        <v>10.114731000000001</v>
      </c>
      <c r="N1561" s="7">
        <v>14.445518</v>
      </c>
      <c r="O1561" s="7" t="s">
        <v>23</v>
      </c>
    </row>
    <row r="1562" spans="1:15" hidden="1" x14ac:dyDescent="0.25">
      <c r="A1562" s="2">
        <f t="shared" si="24"/>
        <v>1560</v>
      </c>
      <c r="B1562" s="7" t="s">
        <v>2861</v>
      </c>
      <c r="C1562" s="7" t="s">
        <v>2862</v>
      </c>
      <c r="D1562" s="7" t="s">
        <v>2861</v>
      </c>
      <c r="E1562" s="7" t="s">
        <v>16</v>
      </c>
      <c r="F1562" s="7" t="s">
        <v>2863</v>
      </c>
      <c r="G1562" s="17" t="s">
        <v>7747</v>
      </c>
      <c r="H1562" s="7" t="s">
        <v>28</v>
      </c>
      <c r="I1562" s="7" t="s">
        <v>59</v>
      </c>
      <c r="J1562" s="7" t="s">
        <v>60</v>
      </c>
      <c r="K1562" s="7" t="s">
        <v>2864</v>
      </c>
      <c r="L1562" s="7" t="s">
        <v>61</v>
      </c>
      <c r="M1562" s="7">
        <v>10.344360999999999</v>
      </c>
      <c r="N1562" s="7">
        <v>15.224667</v>
      </c>
      <c r="O1562" s="7" t="s">
        <v>23</v>
      </c>
    </row>
    <row r="1563" spans="1:15" hidden="1" x14ac:dyDescent="0.25">
      <c r="A1563" s="2">
        <f t="shared" si="24"/>
        <v>1561</v>
      </c>
      <c r="B1563" s="7" t="s">
        <v>2865</v>
      </c>
      <c r="C1563" s="7" t="s">
        <v>2866</v>
      </c>
      <c r="D1563" s="7" t="s">
        <v>2865</v>
      </c>
      <c r="E1563" s="7" t="s">
        <v>16</v>
      </c>
      <c r="F1563" s="7" t="s">
        <v>2867</v>
      </c>
      <c r="G1563" s="17" t="s">
        <v>7747</v>
      </c>
      <c r="H1563" s="7" t="s">
        <v>19</v>
      </c>
      <c r="I1563" s="7" t="s">
        <v>61</v>
      </c>
      <c r="J1563" s="7" t="s">
        <v>505</v>
      </c>
      <c r="K1563" s="7" t="s">
        <v>506</v>
      </c>
      <c r="L1563" s="7" t="s">
        <v>61</v>
      </c>
      <c r="M1563" s="7">
        <v>10.459709</v>
      </c>
      <c r="N1563" s="7">
        <v>14.258283</v>
      </c>
      <c r="O1563" s="7" t="s">
        <v>613</v>
      </c>
    </row>
    <row r="1564" spans="1:15" hidden="1" x14ac:dyDescent="0.25">
      <c r="A1564" s="2">
        <f t="shared" si="24"/>
        <v>1562</v>
      </c>
      <c r="B1564" s="7" t="s">
        <v>2871</v>
      </c>
      <c r="C1564" s="7" t="s">
        <v>2872</v>
      </c>
      <c r="D1564" s="7" t="s">
        <v>2871</v>
      </c>
      <c r="E1564" s="7" t="s">
        <v>16</v>
      </c>
      <c r="F1564" s="7" t="s">
        <v>2873</v>
      </c>
      <c r="G1564" s="17" t="s">
        <v>7747</v>
      </c>
      <c r="H1564" s="7" t="s">
        <v>19</v>
      </c>
      <c r="I1564" s="7" t="s">
        <v>59</v>
      </c>
      <c r="J1564" s="7" t="s">
        <v>226</v>
      </c>
      <c r="K1564" s="7" t="s">
        <v>2873</v>
      </c>
      <c r="L1564" s="7" t="s">
        <v>61</v>
      </c>
      <c r="M1564" s="7">
        <v>10.872859999999999</v>
      </c>
      <c r="N1564" s="7">
        <v>13.88374</v>
      </c>
      <c r="O1564" s="7" t="s">
        <v>23</v>
      </c>
    </row>
    <row r="1565" spans="1:15" hidden="1" x14ac:dyDescent="0.25">
      <c r="A1565" s="2">
        <f t="shared" si="24"/>
        <v>1563</v>
      </c>
      <c r="B1565" s="7" t="s">
        <v>2900</v>
      </c>
      <c r="C1565" s="7" t="s">
        <v>2901</v>
      </c>
      <c r="D1565" s="7" t="s">
        <v>2900</v>
      </c>
      <c r="E1565" s="7" t="s">
        <v>16</v>
      </c>
      <c r="F1565" s="7" t="s">
        <v>2902</v>
      </c>
      <c r="G1565" s="17" t="s">
        <v>7747</v>
      </c>
      <c r="H1565" s="7" t="s">
        <v>19</v>
      </c>
      <c r="I1565" s="7" t="s">
        <v>61</v>
      </c>
      <c r="J1565" s="7" t="s">
        <v>505</v>
      </c>
      <c r="K1565" s="7" t="s">
        <v>2902</v>
      </c>
      <c r="L1565" s="7" t="s">
        <v>61</v>
      </c>
      <c r="M1565" s="7">
        <v>10.736986</v>
      </c>
      <c r="N1565" s="7">
        <v>14.616889</v>
      </c>
      <c r="O1565" s="7" t="s">
        <v>23</v>
      </c>
    </row>
    <row r="1566" spans="1:15" hidden="1" x14ac:dyDescent="0.25">
      <c r="A1566" s="2">
        <f t="shared" si="24"/>
        <v>1564</v>
      </c>
      <c r="B1566" s="7" t="s">
        <v>2926</v>
      </c>
      <c r="C1566" s="7" t="s">
        <v>2927</v>
      </c>
      <c r="D1566" s="7" t="s">
        <v>2926</v>
      </c>
      <c r="E1566" s="7" t="s">
        <v>170</v>
      </c>
      <c r="F1566" s="7" t="s">
        <v>2928</v>
      </c>
      <c r="G1566" s="17" t="s">
        <v>7747</v>
      </c>
      <c r="H1566" s="7" t="s">
        <v>28</v>
      </c>
      <c r="I1566" s="7" t="s">
        <v>172</v>
      </c>
      <c r="J1566" s="7" t="s">
        <v>173</v>
      </c>
      <c r="K1566" s="7" t="s">
        <v>174</v>
      </c>
      <c r="L1566" s="7" t="s">
        <v>61</v>
      </c>
      <c r="M1566" s="7">
        <v>9.9434719999999999</v>
      </c>
      <c r="N1566" s="7">
        <v>13.9435</v>
      </c>
      <c r="O1566" s="7" t="s">
        <v>23</v>
      </c>
    </row>
    <row r="1567" spans="1:15" hidden="1" x14ac:dyDescent="0.25">
      <c r="A1567" s="2">
        <f t="shared" si="24"/>
        <v>1565</v>
      </c>
      <c r="B1567" s="7" t="s">
        <v>2956</v>
      </c>
      <c r="C1567" s="7" t="s">
        <v>2957</v>
      </c>
      <c r="D1567" s="7" t="s">
        <v>2956</v>
      </c>
      <c r="E1567" s="7" t="s">
        <v>16</v>
      </c>
      <c r="F1567" s="7" t="s">
        <v>2958</v>
      </c>
      <c r="G1567" s="17" t="s">
        <v>7747</v>
      </c>
      <c r="H1567" s="7" t="s">
        <v>28</v>
      </c>
      <c r="I1567" s="7" t="s">
        <v>61</v>
      </c>
      <c r="J1567" s="7" t="s">
        <v>505</v>
      </c>
      <c r="K1567" s="7" t="s">
        <v>1253</v>
      </c>
      <c r="L1567" s="7" t="s">
        <v>61</v>
      </c>
      <c r="M1567" s="7">
        <v>10.606139000000001</v>
      </c>
      <c r="N1567" s="7">
        <v>14.343028</v>
      </c>
      <c r="O1567" s="7" t="s">
        <v>23</v>
      </c>
    </row>
    <row r="1568" spans="1:15" hidden="1" x14ac:dyDescent="0.25">
      <c r="A1568" s="2">
        <f t="shared" si="24"/>
        <v>1566</v>
      </c>
      <c r="B1568" s="7" t="s">
        <v>3040</v>
      </c>
      <c r="C1568" s="7" t="s">
        <v>3041</v>
      </c>
      <c r="D1568" s="7" t="s">
        <v>3040</v>
      </c>
      <c r="E1568" s="7" t="s">
        <v>16</v>
      </c>
      <c r="F1568" s="7" t="s">
        <v>3042</v>
      </c>
      <c r="G1568" s="17" t="s">
        <v>7747</v>
      </c>
      <c r="H1568" s="7" t="s">
        <v>28</v>
      </c>
      <c r="I1568" s="7" t="s">
        <v>61</v>
      </c>
      <c r="J1568" s="7" t="s">
        <v>505</v>
      </c>
      <c r="K1568" s="7" t="s">
        <v>506</v>
      </c>
      <c r="L1568" s="7" t="s">
        <v>61</v>
      </c>
      <c r="M1568" s="7">
        <v>10.583328</v>
      </c>
      <c r="N1568" s="7">
        <v>14.28251</v>
      </c>
      <c r="O1568" s="7" t="s">
        <v>23</v>
      </c>
    </row>
    <row r="1569" spans="1:15" hidden="1" x14ac:dyDescent="0.25">
      <c r="A1569" s="2">
        <f t="shared" si="24"/>
        <v>1567</v>
      </c>
      <c r="B1569" s="7" t="s">
        <v>3055</v>
      </c>
      <c r="C1569" s="7" t="s">
        <v>3056</v>
      </c>
      <c r="D1569" s="7" t="s">
        <v>3055</v>
      </c>
      <c r="E1569" s="7" t="s">
        <v>16</v>
      </c>
      <c r="F1569" s="7" t="s">
        <v>3057</v>
      </c>
      <c r="G1569" s="17" t="s">
        <v>7747</v>
      </c>
      <c r="H1569" s="7" t="s">
        <v>28</v>
      </c>
      <c r="I1569" s="7" t="s">
        <v>61</v>
      </c>
      <c r="J1569" s="7" t="s">
        <v>505</v>
      </c>
      <c r="K1569" s="7" t="s">
        <v>1707</v>
      </c>
      <c r="L1569" s="7" t="s">
        <v>61</v>
      </c>
      <c r="M1569" s="7">
        <v>10.593056000000001</v>
      </c>
      <c r="N1569" s="7">
        <v>14.300611</v>
      </c>
      <c r="O1569" s="7" t="s">
        <v>23</v>
      </c>
    </row>
    <row r="1570" spans="1:15" hidden="1" x14ac:dyDescent="0.25">
      <c r="A1570" s="2">
        <f t="shared" si="24"/>
        <v>1568</v>
      </c>
      <c r="B1570" s="7" t="s">
        <v>3061</v>
      </c>
      <c r="C1570" s="7" t="s">
        <v>3062</v>
      </c>
      <c r="D1570" s="7" t="s">
        <v>3061</v>
      </c>
      <c r="E1570" s="7" t="s">
        <v>16</v>
      </c>
      <c r="F1570" s="7" t="s">
        <v>3063</v>
      </c>
      <c r="G1570" s="17" t="s">
        <v>7747</v>
      </c>
      <c r="H1570" s="7" t="s">
        <v>28</v>
      </c>
      <c r="I1570" s="7" t="s">
        <v>61</v>
      </c>
      <c r="J1570" s="7" t="s">
        <v>505</v>
      </c>
      <c r="K1570" s="7" t="s">
        <v>1886</v>
      </c>
      <c r="L1570" s="7" t="s">
        <v>61</v>
      </c>
      <c r="M1570" s="7">
        <v>10.600332999999999</v>
      </c>
      <c r="N1570" s="7">
        <v>14.335528</v>
      </c>
      <c r="O1570" s="7" t="s">
        <v>23</v>
      </c>
    </row>
    <row r="1571" spans="1:15" hidden="1" x14ac:dyDescent="0.25">
      <c r="A1571" s="2">
        <f t="shared" si="24"/>
        <v>1569</v>
      </c>
      <c r="B1571" s="7" t="s">
        <v>3073</v>
      </c>
      <c r="C1571" s="7" t="s">
        <v>3074</v>
      </c>
      <c r="D1571" s="7" t="s">
        <v>3073</v>
      </c>
      <c r="E1571" s="7" t="s">
        <v>16</v>
      </c>
      <c r="F1571" s="7" t="s">
        <v>3075</v>
      </c>
      <c r="G1571" s="17" t="s">
        <v>7747</v>
      </c>
      <c r="H1571" s="7" t="s">
        <v>28</v>
      </c>
      <c r="I1571" s="7" t="s">
        <v>59</v>
      </c>
      <c r="J1571" s="7" t="s">
        <v>70</v>
      </c>
      <c r="K1571" s="7" t="s">
        <v>620</v>
      </c>
      <c r="L1571" s="7" t="s">
        <v>61</v>
      </c>
      <c r="M1571" s="7">
        <v>10.095280000000001</v>
      </c>
      <c r="N1571" s="7">
        <v>14.426674</v>
      </c>
      <c r="O1571" s="7" t="s">
        <v>23</v>
      </c>
    </row>
    <row r="1572" spans="1:15" hidden="1" x14ac:dyDescent="0.25">
      <c r="A1572" s="2">
        <f t="shared" si="24"/>
        <v>1570</v>
      </c>
      <c r="B1572" s="7" t="s">
        <v>3078</v>
      </c>
      <c r="C1572" s="7" t="s">
        <v>3079</v>
      </c>
      <c r="D1572" s="7" t="s">
        <v>3078</v>
      </c>
      <c r="E1572" s="7" t="s">
        <v>16</v>
      </c>
      <c r="F1572" s="7" t="s">
        <v>3080</v>
      </c>
      <c r="G1572" s="17" t="s">
        <v>7747</v>
      </c>
      <c r="H1572" s="7" t="s">
        <v>19</v>
      </c>
      <c r="I1572" s="7" t="s">
        <v>61</v>
      </c>
      <c r="J1572" s="7" t="s">
        <v>505</v>
      </c>
      <c r="K1572" s="7" t="s">
        <v>1253</v>
      </c>
      <c r="L1572" s="7" t="s">
        <v>61</v>
      </c>
      <c r="M1572" s="7">
        <v>10.606978</v>
      </c>
      <c r="N1572" s="7">
        <v>14.357969000000001</v>
      </c>
      <c r="O1572" s="7" t="s">
        <v>23</v>
      </c>
    </row>
    <row r="1573" spans="1:15" hidden="1" x14ac:dyDescent="0.25">
      <c r="A1573" s="2">
        <f t="shared" si="24"/>
        <v>1571</v>
      </c>
      <c r="B1573" s="7" t="s">
        <v>3090</v>
      </c>
      <c r="C1573" s="7" t="s">
        <v>3091</v>
      </c>
      <c r="D1573" s="7" t="s">
        <v>3090</v>
      </c>
      <c r="E1573" s="7" t="s">
        <v>16</v>
      </c>
      <c r="F1573" s="7" t="s">
        <v>3092</v>
      </c>
      <c r="G1573" s="17" t="s">
        <v>7747</v>
      </c>
      <c r="H1573" s="7" t="s">
        <v>28</v>
      </c>
      <c r="I1573" s="7" t="s">
        <v>61</v>
      </c>
      <c r="J1573" s="7" t="s">
        <v>513</v>
      </c>
      <c r="K1573" s="7" t="s">
        <v>514</v>
      </c>
      <c r="L1573" s="7" t="s">
        <v>61</v>
      </c>
      <c r="M1573" s="7">
        <v>11.056367</v>
      </c>
      <c r="N1573" s="7">
        <v>14.125545000000001</v>
      </c>
      <c r="O1573" s="7" t="s">
        <v>23</v>
      </c>
    </row>
    <row r="1574" spans="1:15" hidden="1" x14ac:dyDescent="0.25">
      <c r="A1574" s="2">
        <f t="shared" si="24"/>
        <v>1572</v>
      </c>
      <c r="B1574" s="7" t="s">
        <v>3123</v>
      </c>
      <c r="C1574" s="7" t="s">
        <v>3124</v>
      </c>
      <c r="D1574" s="7" t="s">
        <v>3123</v>
      </c>
      <c r="E1574" s="7" t="s">
        <v>16</v>
      </c>
      <c r="F1574" s="7" t="s">
        <v>3125</v>
      </c>
      <c r="G1574" s="17" t="s">
        <v>7747</v>
      </c>
      <c r="H1574" s="7" t="s">
        <v>28</v>
      </c>
      <c r="I1574" s="7" t="s">
        <v>61</v>
      </c>
      <c r="J1574" s="7" t="s">
        <v>505</v>
      </c>
      <c r="K1574" s="7" t="s">
        <v>877</v>
      </c>
      <c r="L1574" s="7" t="s">
        <v>61</v>
      </c>
      <c r="M1574" s="7">
        <v>10.606444</v>
      </c>
      <c r="N1574" s="7">
        <v>14.326222</v>
      </c>
      <c r="O1574" s="7" t="s">
        <v>23</v>
      </c>
    </row>
    <row r="1575" spans="1:15" hidden="1" x14ac:dyDescent="0.25">
      <c r="A1575" s="2">
        <f t="shared" si="24"/>
        <v>1573</v>
      </c>
      <c r="B1575" s="7" t="s">
        <v>3151</v>
      </c>
      <c r="C1575" s="7" t="s">
        <v>3152</v>
      </c>
      <c r="D1575" s="7" t="s">
        <v>3151</v>
      </c>
      <c r="E1575" s="7" t="s">
        <v>16</v>
      </c>
      <c r="F1575" s="7" t="s">
        <v>3153</v>
      </c>
      <c r="G1575" s="17" t="s">
        <v>7747</v>
      </c>
      <c r="H1575" s="7" t="s">
        <v>28</v>
      </c>
      <c r="I1575" s="7" t="s">
        <v>59</v>
      </c>
      <c r="J1575" s="7" t="s">
        <v>60</v>
      </c>
      <c r="K1575" s="7" t="s">
        <v>59</v>
      </c>
      <c r="L1575" s="7" t="s">
        <v>61</v>
      </c>
      <c r="M1575" s="7">
        <v>10.343389</v>
      </c>
      <c r="N1575" s="7">
        <v>15.232222</v>
      </c>
      <c r="O1575" s="7" t="s">
        <v>23</v>
      </c>
    </row>
    <row r="1576" spans="1:15" hidden="1" x14ac:dyDescent="0.25">
      <c r="A1576" s="2">
        <f t="shared" si="24"/>
        <v>1574</v>
      </c>
      <c r="B1576" s="7" t="s">
        <v>3169</v>
      </c>
      <c r="C1576" s="7" t="s">
        <v>3170</v>
      </c>
      <c r="D1576" s="7" t="s">
        <v>3169</v>
      </c>
      <c r="E1576" s="7" t="s">
        <v>16</v>
      </c>
      <c r="F1576" s="7" t="s">
        <v>3171</v>
      </c>
      <c r="G1576" s="17" t="s">
        <v>7747</v>
      </c>
      <c r="H1576" s="7" t="s">
        <v>28</v>
      </c>
      <c r="I1576" s="7" t="s">
        <v>61</v>
      </c>
      <c r="J1576" s="7" t="s">
        <v>505</v>
      </c>
      <c r="K1576" s="7" t="s">
        <v>506</v>
      </c>
      <c r="L1576" s="7" t="s">
        <v>61</v>
      </c>
      <c r="M1576" s="7">
        <v>10.6028</v>
      </c>
      <c r="N1576" s="7">
        <v>14.299277999999999</v>
      </c>
      <c r="O1576" s="7" t="s">
        <v>23</v>
      </c>
    </row>
    <row r="1577" spans="1:15" hidden="1" x14ac:dyDescent="0.25">
      <c r="A1577" s="2">
        <f t="shared" si="24"/>
        <v>1575</v>
      </c>
      <c r="B1577" s="7" t="s">
        <v>3172</v>
      </c>
      <c r="C1577" s="7" t="s">
        <v>3173</v>
      </c>
      <c r="D1577" s="7" t="s">
        <v>3172</v>
      </c>
      <c r="E1577" s="7" t="s">
        <v>16</v>
      </c>
      <c r="F1577" s="7" t="s">
        <v>3174</v>
      </c>
      <c r="G1577" s="17" t="s">
        <v>7747</v>
      </c>
      <c r="H1577" s="7" t="s">
        <v>28</v>
      </c>
      <c r="I1577" s="7" t="s">
        <v>59</v>
      </c>
      <c r="J1577" s="7" t="s">
        <v>226</v>
      </c>
      <c r="K1577" s="7" t="s">
        <v>3175</v>
      </c>
      <c r="L1577" s="7" t="s">
        <v>61</v>
      </c>
      <c r="M1577" s="7">
        <v>10.536694000000001</v>
      </c>
      <c r="N1577" s="7">
        <v>14.133694</v>
      </c>
      <c r="O1577" s="7" t="s">
        <v>23</v>
      </c>
    </row>
    <row r="1578" spans="1:15" hidden="1" x14ac:dyDescent="0.25">
      <c r="A1578" s="2">
        <f t="shared" si="24"/>
        <v>1576</v>
      </c>
      <c r="B1578" s="7" t="s">
        <v>3179</v>
      </c>
      <c r="C1578" s="7" t="s">
        <v>3180</v>
      </c>
      <c r="D1578" s="7" t="s">
        <v>3179</v>
      </c>
      <c r="E1578" s="7" t="s">
        <v>16</v>
      </c>
      <c r="F1578" s="7" t="s">
        <v>3181</v>
      </c>
      <c r="G1578" s="17" t="s">
        <v>7747</v>
      </c>
      <c r="H1578" s="7" t="s">
        <v>28</v>
      </c>
      <c r="I1578" s="7" t="s">
        <v>59</v>
      </c>
      <c r="J1578" s="7" t="s">
        <v>70</v>
      </c>
      <c r="K1578" s="7" t="s">
        <v>620</v>
      </c>
      <c r="L1578" s="7" t="s">
        <v>61</v>
      </c>
      <c r="M1578" s="7">
        <v>10.114744</v>
      </c>
      <c r="N1578" s="7">
        <v>14.445538000000001</v>
      </c>
      <c r="O1578" s="7" t="s">
        <v>23</v>
      </c>
    </row>
    <row r="1579" spans="1:15" hidden="1" x14ac:dyDescent="0.25">
      <c r="A1579" s="2">
        <f t="shared" si="24"/>
        <v>1577</v>
      </c>
      <c r="B1579" s="7" t="s">
        <v>3268</v>
      </c>
      <c r="C1579" s="7" t="s">
        <v>3269</v>
      </c>
      <c r="D1579" s="7" t="s">
        <v>3268</v>
      </c>
      <c r="E1579" s="7" t="s">
        <v>16</v>
      </c>
      <c r="F1579" s="7" t="s">
        <v>59</v>
      </c>
      <c r="G1579" s="17" t="s">
        <v>7747</v>
      </c>
      <c r="H1579" s="7" t="s">
        <v>19</v>
      </c>
      <c r="I1579" s="7" t="s">
        <v>59</v>
      </c>
      <c r="J1579" s="7" t="s">
        <v>60</v>
      </c>
      <c r="K1579" s="7" t="s">
        <v>59</v>
      </c>
      <c r="L1579" s="7" t="s">
        <v>61</v>
      </c>
      <c r="M1579" s="7">
        <v>10.324242999999999</v>
      </c>
      <c r="N1579" s="7">
        <v>15.237147999999999</v>
      </c>
      <c r="O1579" s="7" t="s">
        <v>23</v>
      </c>
    </row>
    <row r="1580" spans="1:15" hidden="1" x14ac:dyDescent="0.25">
      <c r="A1580" s="2">
        <f t="shared" si="24"/>
        <v>1578</v>
      </c>
      <c r="B1580" s="7" t="s">
        <v>3282</v>
      </c>
      <c r="C1580" s="7" t="s">
        <v>3283</v>
      </c>
      <c r="D1580" s="7" t="s">
        <v>3282</v>
      </c>
      <c r="E1580" s="7" t="s">
        <v>16</v>
      </c>
      <c r="F1580" s="7" t="s">
        <v>3284</v>
      </c>
      <c r="G1580" s="17" t="s">
        <v>7747</v>
      </c>
      <c r="H1580" s="7" t="s">
        <v>28</v>
      </c>
      <c r="I1580" s="7" t="s">
        <v>61</v>
      </c>
      <c r="J1580" s="7" t="s">
        <v>1790</v>
      </c>
      <c r="K1580" s="7" t="s">
        <v>1791</v>
      </c>
      <c r="L1580" s="7" t="s">
        <v>61</v>
      </c>
      <c r="M1580" s="7">
        <v>10.883027999999999</v>
      </c>
      <c r="N1580" s="7">
        <v>14.830861000000001</v>
      </c>
      <c r="O1580" s="7" t="s">
        <v>23</v>
      </c>
    </row>
    <row r="1581" spans="1:15" hidden="1" x14ac:dyDescent="0.25">
      <c r="A1581" s="2">
        <f t="shared" si="24"/>
        <v>1579</v>
      </c>
      <c r="B1581" s="7" t="s">
        <v>3285</v>
      </c>
      <c r="C1581" s="7" t="s">
        <v>3286</v>
      </c>
      <c r="D1581" s="7" t="s">
        <v>3285</v>
      </c>
      <c r="E1581" s="7" t="s">
        <v>16</v>
      </c>
      <c r="F1581" s="7" t="s">
        <v>3287</v>
      </c>
      <c r="G1581" s="17" t="s">
        <v>7747</v>
      </c>
      <c r="H1581" s="7" t="s">
        <v>28</v>
      </c>
      <c r="I1581" s="7" t="s">
        <v>61</v>
      </c>
      <c r="J1581" s="7" t="s">
        <v>505</v>
      </c>
      <c r="K1581" s="7" t="s">
        <v>506</v>
      </c>
      <c r="L1581" s="7" t="s">
        <v>61</v>
      </c>
      <c r="M1581" s="7">
        <v>10.589737</v>
      </c>
      <c r="N1581" s="7">
        <v>14.309298</v>
      </c>
      <c r="O1581" s="7" t="s">
        <v>23</v>
      </c>
    </row>
    <row r="1582" spans="1:15" hidden="1" x14ac:dyDescent="0.25">
      <c r="A1582" s="2">
        <f t="shared" si="24"/>
        <v>1580</v>
      </c>
      <c r="B1582" s="7" t="s">
        <v>3427</v>
      </c>
      <c r="C1582" s="7" t="s">
        <v>3428</v>
      </c>
      <c r="D1582" s="7" t="s">
        <v>3427</v>
      </c>
      <c r="E1582" s="7" t="s">
        <v>16</v>
      </c>
      <c r="F1582" s="7" t="s">
        <v>3429</v>
      </c>
      <c r="G1582" s="17" t="s">
        <v>7747</v>
      </c>
      <c r="H1582" s="7" t="s">
        <v>28</v>
      </c>
      <c r="I1582" s="7" t="s">
        <v>59</v>
      </c>
      <c r="J1582" s="7" t="s">
        <v>226</v>
      </c>
      <c r="K1582" s="7" t="s">
        <v>474</v>
      </c>
      <c r="L1582" s="7" t="s">
        <v>61</v>
      </c>
      <c r="M1582" s="7">
        <v>10.735528</v>
      </c>
      <c r="N1582" s="7">
        <v>13.797416999999999</v>
      </c>
      <c r="O1582" s="7" t="s">
        <v>23</v>
      </c>
    </row>
    <row r="1583" spans="1:15" hidden="1" x14ac:dyDescent="0.25">
      <c r="A1583" s="2">
        <f t="shared" si="24"/>
        <v>1581</v>
      </c>
      <c r="B1583" s="7" t="s">
        <v>3508</v>
      </c>
      <c r="C1583" s="7" t="s">
        <v>3509</v>
      </c>
      <c r="D1583" s="7" t="s">
        <v>3508</v>
      </c>
      <c r="E1583" s="7" t="s">
        <v>16</v>
      </c>
      <c r="F1583" s="7" t="s">
        <v>620</v>
      </c>
      <c r="G1583" s="17" t="s">
        <v>7747</v>
      </c>
      <c r="H1583" s="7" t="s">
        <v>19</v>
      </c>
      <c r="I1583" s="7" t="s">
        <v>59</v>
      </c>
      <c r="J1583" s="7" t="s">
        <v>70</v>
      </c>
      <c r="K1583" s="7" t="s">
        <v>620</v>
      </c>
      <c r="L1583" s="7" t="s">
        <v>61</v>
      </c>
      <c r="M1583" s="7">
        <v>10.107937</v>
      </c>
      <c r="N1583" s="7">
        <v>14.460948</v>
      </c>
      <c r="O1583" s="7" t="s">
        <v>23</v>
      </c>
    </row>
    <row r="1584" spans="1:15" hidden="1" x14ac:dyDescent="0.25">
      <c r="A1584" s="2">
        <f t="shared" si="24"/>
        <v>1582</v>
      </c>
      <c r="B1584" s="7" t="s">
        <v>3550</v>
      </c>
      <c r="C1584" s="7" t="s">
        <v>3551</v>
      </c>
      <c r="D1584" s="7" t="s">
        <v>3550</v>
      </c>
      <c r="E1584" s="7" t="s">
        <v>16</v>
      </c>
      <c r="F1584" s="7" t="s">
        <v>3552</v>
      </c>
      <c r="G1584" s="17" t="s">
        <v>7747</v>
      </c>
      <c r="H1584" s="7" t="s">
        <v>28</v>
      </c>
      <c r="I1584" s="7" t="s">
        <v>59</v>
      </c>
      <c r="J1584" s="7" t="s">
        <v>226</v>
      </c>
      <c r="K1584" s="7" t="s">
        <v>474</v>
      </c>
      <c r="L1584" s="7" t="s">
        <v>61</v>
      </c>
      <c r="M1584" s="7">
        <v>10.743758</v>
      </c>
      <c r="N1584" s="7">
        <v>13.8028</v>
      </c>
      <c r="O1584" s="7" t="s">
        <v>23</v>
      </c>
    </row>
    <row r="1585" spans="1:15" hidden="1" x14ac:dyDescent="0.25">
      <c r="A1585" s="2">
        <f t="shared" si="24"/>
        <v>1583</v>
      </c>
      <c r="B1585" s="7" t="s">
        <v>3994</v>
      </c>
      <c r="C1585" s="7" t="s">
        <v>3995</v>
      </c>
      <c r="D1585" s="7" t="s">
        <v>3994</v>
      </c>
      <c r="E1585" s="7" t="s">
        <v>170</v>
      </c>
      <c r="F1585" s="7" t="s">
        <v>3996</v>
      </c>
      <c r="G1585" s="17" t="s">
        <v>7747</v>
      </c>
      <c r="H1585" s="7" t="s">
        <v>28</v>
      </c>
      <c r="I1585" s="7" t="s">
        <v>172</v>
      </c>
      <c r="J1585" s="7" t="s">
        <v>173</v>
      </c>
      <c r="K1585" s="7" t="s">
        <v>174</v>
      </c>
      <c r="L1585" s="7" t="s">
        <v>61</v>
      </c>
      <c r="M1585" s="7">
        <v>9.9311799999999995</v>
      </c>
      <c r="N1585" s="7">
        <v>13.943388000000001</v>
      </c>
      <c r="O1585" s="7" t="s">
        <v>23</v>
      </c>
    </row>
    <row r="1586" spans="1:15" hidden="1" x14ac:dyDescent="0.25">
      <c r="A1586" s="2">
        <f t="shared" si="24"/>
        <v>1584</v>
      </c>
      <c r="B1586" s="7" t="s">
        <v>4062</v>
      </c>
      <c r="C1586" s="7" t="s">
        <v>4063</v>
      </c>
      <c r="D1586" s="7" t="s">
        <v>4062</v>
      </c>
      <c r="E1586" s="7" t="s">
        <v>16</v>
      </c>
      <c r="F1586" s="7" t="s">
        <v>2100</v>
      </c>
      <c r="G1586" s="17" t="s">
        <v>7747</v>
      </c>
      <c r="H1586" s="7" t="s">
        <v>19</v>
      </c>
      <c r="I1586" s="7" t="s">
        <v>59</v>
      </c>
      <c r="J1586" s="7" t="s">
        <v>70</v>
      </c>
      <c r="K1586" s="7" t="s">
        <v>2100</v>
      </c>
      <c r="L1586" s="7" t="s">
        <v>61</v>
      </c>
      <c r="M1586" s="7">
        <v>10.141780000000001</v>
      </c>
      <c r="N1586" s="7">
        <v>14.703192</v>
      </c>
      <c r="O1586" s="7" t="s">
        <v>23</v>
      </c>
    </row>
    <row r="1587" spans="1:15" hidden="1" x14ac:dyDescent="0.25">
      <c r="A1587" s="2">
        <f t="shared" si="24"/>
        <v>1585</v>
      </c>
      <c r="B1587" s="7" t="s">
        <v>4064</v>
      </c>
      <c r="C1587" s="7" t="s">
        <v>4065</v>
      </c>
      <c r="D1587" s="7" t="s">
        <v>4064</v>
      </c>
      <c r="E1587" s="7" t="s">
        <v>16</v>
      </c>
      <c r="F1587" s="7" t="s">
        <v>4066</v>
      </c>
      <c r="G1587" s="17" t="s">
        <v>7747</v>
      </c>
      <c r="H1587" s="7" t="s">
        <v>19</v>
      </c>
      <c r="I1587" s="7" t="s">
        <v>59</v>
      </c>
      <c r="J1587" s="7" t="s">
        <v>70</v>
      </c>
      <c r="K1587" s="7" t="s">
        <v>4066</v>
      </c>
      <c r="L1587" s="7" t="s">
        <v>61</v>
      </c>
      <c r="M1587" s="7">
        <v>10.055694000000001</v>
      </c>
      <c r="N1587" s="7">
        <v>14.913417000000001</v>
      </c>
      <c r="O1587" s="7" t="s">
        <v>23</v>
      </c>
    </row>
    <row r="1588" spans="1:15" hidden="1" x14ac:dyDescent="0.25">
      <c r="A1588" s="2">
        <f t="shared" si="24"/>
        <v>1586</v>
      </c>
      <c r="B1588" s="7" t="s">
        <v>4494</v>
      </c>
      <c r="C1588" s="7" t="s">
        <v>4495</v>
      </c>
      <c r="D1588" s="7" t="s">
        <v>4494</v>
      </c>
      <c r="E1588" s="7" t="s">
        <v>16</v>
      </c>
      <c r="F1588" s="7" t="s">
        <v>718</v>
      </c>
      <c r="G1588" s="17" t="s">
        <v>7747</v>
      </c>
      <c r="H1588" s="7" t="s">
        <v>19</v>
      </c>
      <c r="I1588" s="7" t="s">
        <v>59</v>
      </c>
      <c r="J1588" s="7" t="s">
        <v>60</v>
      </c>
      <c r="K1588" s="7" t="s">
        <v>718</v>
      </c>
      <c r="L1588" s="7" t="s">
        <v>61</v>
      </c>
      <c r="M1588" s="7">
        <v>10.288489999999999</v>
      </c>
      <c r="N1588" s="7">
        <v>14.9352</v>
      </c>
      <c r="O1588" s="7" t="s">
        <v>23</v>
      </c>
    </row>
    <row r="1589" spans="1:15" hidden="1" x14ac:dyDescent="0.25">
      <c r="A1589" s="2">
        <f t="shared" si="24"/>
        <v>1587</v>
      </c>
      <c r="B1589" s="7" t="s">
        <v>4634</v>
      </c>
      <c r="C1589" s="7" t="s">
        <v>4635</v>
      </c>
      <c r="D1589" s="7" t="s">
        <v>4634</v>
      </c>
      <c r="E1589" s="7" t="s">
        <v>16</v>
      </c>
      <c r="F1589" s="7" t="s">
        <v>620</v>
      </c>
      <c r="G1589" s="17" t="s">
        <v>7747</v>
      </c>
      <c r="H1589" s="7" t="s">
        <v>19</v>
      </c>
      <c r="I1589" s="7" t="s">
        <v>59</v>
      </c>
      <c r="J1589" s="7" t="s">
        <v>70</v>
      </c>
      <c r="K1589" s="7" t="s">
        <v>620</v>
      </c>
      <c r="L1589" s="7" t="s">
        <v>61</v>
      </c>
      <c r="M1589" s="7">
        <v>10.098636000000001</v>
      </c>
      <c r="N1589" s="7">
        <v>14.454416999999999</v>
      </c>
      <c r="O1589" s="7" t="s">
        <v>23</v>
      </c>
    </row>
    <row r="1590" spans="1:15" hidden="1" x14ac:dyDescent="0.25">
      <c r="A1590" s="2">
        <f t="shared" si="24"/>
        <v>1588</v>
      </c>
      <c r="B1590" s="7" t="s">
        <v>4672</v>
      </c>
      <c r="C1590" s="7" t="s">
        <v>4673</v>
      </c>
      <c r="D1590" s="7" t="s">
        <v>4672</v>
      </c>
      <c r="E1590" s="7" t="s">
        <v>16</v>
      </c>
      <c r="F1590" s="7" t="s">
        <v>470</v>
      </c>
      <c r="G1590" s="17" t="s">
        <v>7747</v>
      </c>
      <c r="H1590" s="7" t="s">
        <v>19</v>
      </c>
      <c r="I1590" s="7" t="s">
        <v>59</v>
      </c>
      <c r="J1590" s="7" t="s">
        <v>70</v>
      </c>
      <c r="K1590" s="7" t="s">
        <v>470</v>
      </c>
      <c r="L1590" s="7" t="s">
        <v>61</v>
      </c>
      <c r="M1590" s="7">
        <v>10.20096</v>
      </c>
      <c r="N1590" s="7">
        <v>14.177390000000001</v>
      </c>
      <c r="O1590" s="7" t="s">
        <v>23</v>
      </c>
    </row>
    <row r="1591" spans="1:15" hidden="1" x14ac:dyDescent="0.25">
      <c r="A1591" s="2">
        <f t="shared" si="24"/>
        <v>1589</v>
      </c>
      <c r="B1591" s="7" t="s">
        <v>4763</v>
      </c>
      <c r="C1591" s="7" t="s">
        <v>4764</v>
      </c>
      <c r="D1591" s="7" t="s">
        <v>4763</v>
      </c>
      <c r="E1591" s="7" t="s">
        <v>16</v>
      </c>
      <c r="F1591" s="7" t="s">
        <v>4765</v>
      </c>
      <c r="G1591" s="17" t="s">
        <v>7747</v>
      </c>
      <c r="H1591" s="7" t="s">
        <v>28</v>
      </c>
      <c r="I1591" s="7" t="s">
        <v>61</v>
      </c>
      <c r="J1591" s="7" t="s">
        <v>505</v>
      </c>
      <c r="K1591" s="7" t="s">
        <v>877</v>
      </c>
      <c r="L1591" s="7" t="s">
        <v>61</v>
      </c>
      <c r="M1591" s="7">
        <v>10.602259999999999</v>
      </c>
      <c r="N1591" s="7">
        <v>14.33018</v>
      </c>
      <c r="O1591" s="7" t="s">
        <v>613</v>
      </c>
    </row>
    <row r="1592" spans="1:15" hidden="1" x14ac:dyDescent="0.25">
      <c r="A1592" s="2">
        <f t="shared" si="24"/>
        <v>1590</v>
      </c>
      <c r="B1592" s="7" t="s">
        <v>4769</v>
      </c>
      <c r="C1592" s="7" t="s">
        <v>4770</v>
      </c>
      <c r="D1592" s="7" t="s">
        <v>4769</v>
      </c>
      <c r="E1592" s="7" t="s">
        <v>16</v>
      </c>
      <c r="F1592" s="7" t="s">
        <v>4771</v>
      </c>
      <c r="G1592" s="17" t="s">
        <v>7747</v>
      </c>
      <c r="H1592" s="7" t="s">
        <v>19</v>
      </c>
      <c r="I1592" s="7" t="s">
        <v>61</v>
      </c>
      <c r="J1592" s="7" t="s">
        <v>505</v>
      </c>
      <c r="K1592" s="7" t="s">
        <v>1253</v>
      </c>
      <c r="L1592" s="7" t="s">
        <v>61</v>
      </c>
      <c r="M1592" s="7">
        <v>10.605667</v>
      </c>
      <c r="N1592" s="7">
        <v>14.336888999999999</v>
      </c>
      <c r="O1592" s="7" t="s">
        <v>23</v>
      </c>
    </row>
    <row r="1593" spans="1:15" hidden="1" x14ac:dyDescent="0.25">
      <c r="A1593" s="2">
        <f t="shared" si="24"/>
        <v>1591</v>
      </c>
      <c r="B1593" s="7" t="s">
        <v>4775</v>
      </c>
      <c r="C1593" s="7" t="s">
        <v>4776</v>
      </c>
      <c r="D1593" s="7" t="s">
        <v>4775</v>
      </c>
      <c r="E1593" s="7" t="s">
        <v>16</v>
      </c>
      <c r="F1593" s="7" t="s">
        <v>4777</v>
      </c>
      <c r="G1593" s="17" t="s">
        <v>7747</v>
      </c>
      <c r="H1593" s="7" t="s">
        <v>19</v>
      </c>
      <c r="I1593" s="7" t="s">
        <v>61</v>
      </c>
      <c r="J1593" s="7" t="s">
        <v>513</v>
      </c>
      <c r="K1593" s="7" t="s">
        <v>2243</v>
      </c>
      <c r="L1593" s="7" t="s">
        <v>61</v>
      </c>
      <c r="M1593" s="7">
        <v>10.87032</v>
      </c>
      <c r="N1593" s="7">
        <v>14.24578</v>
      </c>
      <c r="O1593" s="7" t="s">
        <v>23</v>
      </c>
    </row>
    <row r="1594" spans="1:15" hidden="1" x14ac:dyDescent="0.25">
      <c r="A1594" s="2">
        <f t="shared" si="24"/>
        <v>1592</v>
      </c>
      <c r="B1594" s="7" t="s">
        <v>4815</v>
      </c>
      <c r="C1594" s="7" t="s">
        <v>4816</v>
      </c>
      <c r="D1594" s="7" t="s">
        <v>4815</v>
      </c>
      <c r="E1594" s="7" t="s">
        <v>170</v>
      </c>
      <c r="F1594" s="7" t="s">
        <v>4817</v>
      </c>
      <c r="G1594" s="17" t="s">
        <v>7747</v>
      </c>
      <c r="H1594" s="7" t="s">
        <v>19</v>
      </c>
      <c r="I1594" s="7" t="s">
        <v>172</v>
      </c>
      <c r="J1594" s="7" t="s">
        <v>173</v>
      </c>
      <c r="K1594" s="7" t="s">
        <v>737</v>
      </c>
      <c r="L1594" s="7" t="s">
        <v>61</v>
      </c>
      <c r="M1594" s="7">
        <v>10.253</v>
      </c>
      <c r="N1594" s="7">
        <v>13.516400000000001</v>
      </c>
      <c r="O1594" s="7" t="s">
        <v>23</v>
      </c>
    </row>
    <row r="1595" spans="1:15" hidden="1" x14ac:dyDescent="0.25">
      <c r="A1595" s="2">
        <f t="shared" si="24"/>
        <v>1593</v>
      </c>
      <c r="B1595" s="7" t="s">
        <v>4818</v>
      </c>
      <c r="C1595" s="7" t="s">
        <v>4819</v>
      </c>
      <c r="D1595" s="7" t="s">
        <v>4818</v>
      </c>
      <c r="E1595" s="7" t="s">
        <v>16</v>
      </c>
      <c r="F1595" s="7" t="s">
        <v>4820</v>
      </c>
      <c r="G1595" s="17" t="s">
        <v>7747</v>
      </c>
      <c r="H1595" s="7" t="s">
        <v>28</v>
      </c>
      <c r="I1595" s="7" t="s">
        <v>61</v>
      </c>
      <c r="J1595" s="7" t="s">
        <v>505</v>
      </c>
      <c r="K1595" s="7" t="s">
        <v>1253</v>
      </c>
      <c r="L1595" s="7" t="s">
        <v>61</v>
      </c>
      <c r="M1595" s="7">
        <v>10.620557</v>
      </c>
      <c r="N1595" s="7">
        <v>14.382971</v>
      </c>
      <c r="O1595" s="7" t="s">
        <v>23</v>
      </c>
    </row>
    <row r="1596" spans="1:15" hidden="1" x14ac:dyDescent="0.25">
      <c r="A1596" s="2">
        <f t="shared" si="24"/>
        <v>1594</v>
      </c>
      <c r="B1596" s="7" t="s">
        <v>4821</v>
      </c>
      <c r="C1596" s="7" t="s">
        <v>4822</v>
      </c>
      <c r="D1596" s="7" t="s">
        <v>4821</v>
      </c>
      <c r="E1596" s="7" t="s">
        <v>16</v>
      </c>
      <c r="F1596" s="7" t="s">
        <v>2902</v>
      </c>
      <c r="G1596" s="17" t="s">
        <v>7747</v>
      </c>
      <c r="H1596" s="7" t="s">
        <v>28</v>
      </c>
      <c r="I1596" s="7" t="s">
        <v>61</v>
      </c>
      <c r="J1596" s="7" t="s">
        <v>505</v>
      </c>
      <c r="K1596" s="7" t="s">
        <v>2902</v>
      </c>
      <c r="L1596" s="7" t="s">
        <v>61</v>
      </c>
      <c r="M1596" s="7">
        <v>10.734609000000001</v>
      </c>
      <c r="N1596" s="7">
        <v>14.600436</v>
      </c>
      <c r="O1596" s="7" t="s">
        <v>23</v>
      </c>
    </row>
    <row r="1597" spans="1:15" hidden="1" x14ac:dyDescent="0.25">
      <c r="A1597" s="2">
        <f t="shared" si="24"/>
        <v>1595</v>
      </c>
      <c r="B1597" s="7" t="s">
        <v>4823</v>
      </c>
      <c r="C1597" s="7" t="s">
        <v>4824</v>
      </c>
      <c r="D1597" s="7" t="s">
        <v>4823</v>
      </c>
      <c r="E1597" s="7" t="s">
        <v>16</v>
      </c>
      <c r="F1597" s="7" t="s">
        <v>1791</v>
      </c>
      <c r="G1597" s="17" t="s">
        <v>7747</v>
      </c>
      <c r="H1597" s="7" t="s">
        <v>19</v>
      </c>
      <c r="I1597" s="7" t="s">
        <v>61</v>
      </c>
      <c r="J1597" s="7" t="s">
        <v>1790</v>
      </c>
      <c r="K1597" s="7" t="s">
        <v>1791</v>
      </c>
      <c r="L1597" s="7" t="s">
        <v>61</v>
      </c>
      <c r="M1597" s="7">
        <v>10.840889000000001</v>
      </c>
      <c r="N1597" s="7">
        <v>14.944667000000001</v>
      </c>
      <c r="O1597" s="7" t="s">
        <v>23</v>
      </c>
    </row>
    <row r="1598" spans="1:15" hidden="1" x14ac:dyDescent="0.25">
      <c r="A1598" s="2">
        <f t="shared" si="24"/>
        <v>1596</v>
      </c>
      <c r="B1598" s="7" t="s">
        <v>4834</v>
      </c>
      <c r="C1598" s="7" t="s">
        <v>4835</v>
      </c>
      <c r="D1598" s="7" t="s">
        <v>4834</v>
      </c>
      <c r="E1598" s="7" t="s">
        <v>16</v>
      </c>
      <c r="F1598" s="7" t="s">
        <v>4836</v>
      </c>
      <c r="G1598" s="17" t="s">
        <v>7747</v>
      </c>
      <c r="H1598" s="7" t="s">
        <v>28</v>
      </c>
      <c r="I1598" s="7" t="s">
        <v>59</v>
      </c>
      <c r="J1598" s="7" t="s">
        <v>70</v>
      </c>
      <c r="K1598" s="7" t="s">
        <v>4836</v>
      </c>
      <c r="L1598" s="7" t="s">
        <v>61</v>
      </c>
      <c r="M1598" s="7">
        <v>10.404639</v>
      </c>
      <c r="N1598" s="7">
        <v>14.441917</v>
      </c>
      <c r="O1598" s="7" t="s">
        <v>23</v>
      </c>
    </row>
    <row r="1599" spans="1:15" hidden="1" x14ac:dyDescent="0.25">
      <c r="A1599" s="2">
        <f t="shared" si="24"/>
        <v>1597</v>
      </c>
      <c r="B1599" s="7" t="s">
        <v>4856</v>
      </c>
      <c r="C1599" s="7" t="s">
        <v>4857</v>
      </c>
      <c r="D1599" s="7" t="s">
        <v>4856</v>
      </c>
      <c r="E1599" s="7" t="s">
        <v>16</v>
      </c>
      <c r="F1599" s="7" t="s">
        <v>4858</v>
      </c>
      <c r="G1599" s="17" t="s">
        <v>7747</v>
      </c>
      <c r="H1599" s="7" t="s">
        <v>28</v>
      </c>
      <c r="I1599" s="7" t="s">
        <v>61</v>
      </c>
      <c r="J1599" s="7" t="s">
        <v>505</v>
      </c>
      <c r="K1599" s="7" t="s">
        <v>506</v>
      </c>
      <c r="L1599" s="7" t="s">
        <v>61</v>
      </c>
      <c r="M1599" s="7">
        <v>10.6045</v>
      </c>
      <c r="N1599" s="7">
        <v>14.283972</v>
      </c>
      <c r="O1599" s="7" t="s">
        <v>23</v>
      </c>
    </row>
    <row r="1600" spans="1:15" hidden="1" x14ac:dyDescent="0.25">
      <c r="A1600" s="2">
        <f t="shared" si="24"/>
        <v>1598</v>
      </c>
      <c r="B1600" s="7" t="s">
        <v>4864</v>
      </c>
      <c r="C1600" s="7" t="s">
        <v>4865</v>
      </c>
      <c r="D1600" s="7" t="s">
        <v>4864</v>
      </c>
      <c r="E1600" s="7" t="s">
        <v>16</v>
      </c>
      <c r="F1600" s="7" t="s">
        <v>4866</v>
      </c>
      <c r="G1600" s="17" t="s">
        <v>7747</v>
      </c>
      <c r="H1600" s="7" t="s">
        <v>28</v>
      </c>
      <c r="I1600" s="7" t="s">
        <v>59</v>
      </c>
      <c r="J1600" s="7" t="s">
        <v>226</v>
      </c>
      <c r="K1600" s="7" t="s">
        <v>466</v>
      </c>
      <c r="L1600" s="7" t="s">
        <v>61</v>
      </c>
      <c r="M1600" s="7">
        <v>10.515280000000001</v>
      </c>
      <c r="N1600" s="7">
        <v>13.60042</v>
      </c>
      <c r="O1600" s="7" t="s">
        <v>23</v>
      </c>
    </row>
    <row r="1601" spans="1:15" hidden="1" x14ac:dyDescent="0.25">
      <c r="A1601" s="2">
        <f t="shared" si="24"/>
        <v>1599</v>
      </c>
      <c r="B1601" s="7" t="s">
        <v>4882</v>
      </c>
      <c r="C1601" s="7" t="s">
        <v>4883</v>
      </c>
      <c r="D1601" s="7" t="s">
        <v>4882</v>
      </c>
      <c r="E1601" s="7" t="s">
        <v>16</v>
      </c>
      <c r="F1601" s="7" t="s">
        <v>4884</v>
      </c>
      <c r="G1601" s="17" t="s">
        <v>7747</v>
      </c>
      <c r="H1601" s="7" t="s">
        <v>28</v>
      </c>
      <c r="I1601" s="7" t="s">
        <v>61</v>
      </c>
      <c r="J1601" s="7" t="s">
        <v>505</v>
      </c>
      <c r="K1601" s="7" t="s">
        <v>4884</v>
      </c>
      <c r="L1601" s="7" t="s">
        <v>61</v>
      </c>
      <c r="M1601" s="7">
        <v>10.766166999999999</v>
      </c>
      <c r="N1601" s="7">
        <v>14.128583000000001</v>
      </c>
      <c r="O1601" s="7" t="s">
        <v>23</v>
      </c>
    </row>
    <row r="1602" spans="1:15" hidden="1" x14ac:dyDescent="0.25">
      <c r="A1602" s="2">
        <f t="shared" si="24"/>
        <v>1600</v>
      </c>
      <c r="B1602" s="7" t="s">
        <v>4885</v>
      </c>
      <c r="C1602" s="7" t="s">
        <v>4886</v>
      </c>
      <c r="D1602" s="7" t="s">
        <v>4885</v>
      </c>
      <c r="E1602" s="7" t="s">
        <v>16</v>
      </c>
      <c r="F1602" s="7" t="s">
        <v>4887</v>
      </c>
      <c r="G1602" s="17" t="s">
        <v>7747</v>
      </c>
      <c r="H1602" s="7" t="s">
        <v>28</v>
      </c>
      <c r="I1602" s="7" t="s">
        <v>61</v>
      </c>
      <c r="J1602" s="7" t="s">
        <v>505</v>
      </c>
      <c r="K1602" s="7" t="s">
        <v>506</v>
      </c>
      <c r="L1602" s="7" t="s">
        <v>61</v>
      </c>
      <c r="M1602" s="7">
        <v>10.593778</v>
      </c>
      <c r="N1602" s="7">
        <v>14.337</v>
      </c>
      <c r="O1602" s="7" t="s">
        <v>23</v>
      </c>
    </row>
    <row r="1603" spans="1:15" hidden="1" x14ac:dyDescent="0.25">
      <c r="A1603" s="2">
        <f t="shared" si="24"/>
        <v>1601</v>
      </c>
      <c r="B1603" s="7" t="s">
        <v>4913</v>
      </c>
      <c r="C1603" s="7" t="s">
        <v>4914</v>
      </c>
      <c r="D1603" s="7" t="s">
        <v>4913</v>
      </c>
      <c r="E1603" s="7" t="s">
        <v>16</v>
      </c>
      <c r="F1603" s="7" t="s">
        <v>4915</v>
      </c>
      <c r="G1603" s="17" t="s">
        <v>7747</v>
      </c>
      <c r="H1603" s="7" t="s">
        <v>28</v>
      </c>
      <c r="I1603" s="7" t="s">
        <v>61</v>
      </c>
      <c r="J1603" s="7" t="s">
        <v>505</v>
      </c>
      <c r="K1603" s="7" t="s">
        <v>1253</v>
      </c>
      <c r="L1603" s="7" t="s">
        <v>61</v>
      </c>
      <c r="M1603" s="7">
        <v>10.604153</v>
      </c>
      <c r="N1603" s="7">
        <v>14.359123</v>
      </c>
      <c r="O1603" s="7" t="s">
        <v>23</v>
      </c>
    </row>
    <row r="1604" spans="1:15" hidden="1" x14ac:dyDescent="0.25">
      <c r="A1604" s="2">
        <f t="shared" si="24"/>
        <v>1602</v>
      </c>
      <c r="B1604" s="7" t="s">
        <v>4962</v>
      </c>
      <c r="C1604" s="7" t="s">
        <v>4963</v>
      </c>
      <c r="D1604" s="7" t="s">
        <v>4962</v>
      </c>
      <c r="E1604" s="7" t="s">
        <v>16</v>
      </c>
      <c r="F1604" s="7" t="s">
        <v>4964</v>
      </c>
      <c r="G1604" s="17" t="s">
        <v>7747</v>
      </c>
      <c r="H1604" s="7" t="s">
        <v>28</v>
      </c>
      <c r="I1604" s="7" t="s">
        <v>61</v>
      </c>
      <c r="J1604" s="7" t="s">
        <v>505</v>
      </c>
      <c r="K1604" s="7" t="s">
        <v>877</v>
      </c>
      <c r="L1604" s="7" t="s">
        <v>61</v>
      </c>
      <c r="M1604" s="7">
        <v>10.608879999999999</v>
      </c>
      <c r="N1604" s="7">
        <v>14.324437</v>
      </c>
      <c r="O1604" s="7" t="s">
        <v>23</v>
      </c>
    </row>
    <row r="1605" spans="1:15" hidden="1" x14ac:dyDescent="0.25">
      <c r="A1605" s="2">
        <f t="shared" ref="A1605:A1668" si="25">+A1604+1</f>
        <v>1603</v>
      </c>
      <c r="B1605" s="7" t="s">
        <v>4994</v>
      </c>
      <c r="C1605" s="7" t="s">
        <v>4995</v>
      </c>
      <c r="D1605" s="7" t="s">
        <v>4994</v>
      </c>
      <c r="E1605" s="7" t="s">
        <v>16</v>
      </c>
      <c r="F1605" s="7" t="s">
        <v>4996</v>
      </c>
      <c r="G1605" s="17" t="s">
        <v>7747</v>
      </c>
      <c r="H1605" s="7" t="s">
        <v>28</v>
      </c>
      <c r="I1605" s="7" t="s">
        <v>61</v>
      </c>
      <c r="J1605" s="7" t="s">
        <v>505</v>
      </c>
      <c r="K1605" s="7" t="s">
        <v>877</v>
      </c>
      <c r="L1605" s="7" t="s">
        <v>61</v>
      </c>
      <c r="M1605" s="7">
        <v>10.612261</v>
      </c>
      <c r="N1605" s="7">
        <v>14.335153</v>
      </c>
      <c r="O1605" s="7" t="s">
        <v>23</v>
      </c>
    </row>
    <row r="1606" spans="1:15" hidden="1" x14ac:dyDescent="0.25">
      <c r="A1606" s="2">
        <f t="shared" si="25"/>
        <v>1604</v>
      </c>
      <c r="B1606" s="7" t="s">
        <v>5123</v>
      </c>
      <c r="C1606" s="7" t="s">
        <v>5124</v>
      </c>
      <c r="D1606" s="7" t="s">
        <v>5123</v>
      </c>
      <c r="E1606" s="7" t="s">
        <v>16</v>
      </c>
      <c r="F1606" s="7" t="s">
        <v>5125</v>
      </c>
      <c r="G1606" s="17" t="s">
        <v>7747</v>
      </c>
      <c r="H1606" s="7" t="s">
        <v>28</v>
      </c>
      <c r="I1606" s="7" t="s">
        <v>61</v>
      </c>
      <c r="J1606" s="7" t="s">
        <v>505</v>
      </c>
      <c r="K1606" s="7" t="s">
        <v>1890</v>
      </c>
      <c r="L1606" s="7" t="s">
        <v>61</v>
      </c>
      <c r="M1606" s="7">
        <v>10.608499999999999</v>
      </c>
      <c r="N1606" s="7">
        <v>14.330194000000001</v>
      </c>
      <c r="O1606" s="7" t="s">
        <v>613</v>
      </c>
    </row>
    <row r="1607" spans="1:15" hidden="1" x14ac:dyDescent="0.25">
      <c r="A1607" s="2">
        <f t="shared" si="25"/>
        <v>1605</v>
      </c>
      <c r="B1607" s="7" t="s">
        <v>5171</v>
      </c>
      <c r="C1607" s="7" t="s">
        <v>5172</v>
      </c>
      <c r="D1607" s="7" t="s">
        <v>5171</v>
      </c>
      <c r="E1607" s="7" t="s">
        <v>16</v>
      </c>
      <c r="F1607" s="7" t="s">
        <v>5173</v>
      </c>
      <c r="G1607" s="17" t="s">
        <v>7747</v>
      </c>
      <c r="H1607" s="7" t="s">
        <v>28</v>
      </c>
      <c r="I1607" s="7" t="s">
        <v>61</v>
      </c>
      <c r="J1607" s="7" t="s">
        <v>505</v>
      </c>
      <c r="K1607" s="7" t="s">
        <v>1253</v>
      </c>
      <c r="L1607" s="7" t="s">
        <v>61</v>
      </c>
      <c r="M1607" s="7">
        <v>10.601741000000001</v>
      </c>
      <c r="N1607" s="7">
        <v>14.349188</v>
      </c>
      <c r="O1607" s="7" t="s">
        <v>23</v>
      </c>
    </row>
    <row r="1608" spans="1:15" hidden="1" x14ac:dyDescent="0.25">
      <c r="A1608" s="2">
        <f t="shared" si="25"/>
        <v>1606</v>
      </c>
      <c r="B1608" s="7" t="s">
        <v>5201</v>
      </c>
      <c r="C1608" s="7" t="s">
        <v>5202</v>
      </c>
      <c r="D1608" s="7" t="s">
        <v>5201</v>
      </c>
      <c r="E1608" s="7" t="s">
        <v>16</v>
      </c>
      <c r="F1608" s="7" t="s">
        <v>5203</v>
      </c>
      <c r="G1608" s="17" t="s">
        <v>7747</v>
      </c>
      <c r="H1608" s="7" t="s">
        <v>28</v>
      </c>
      <c r="I1608" s="7" t="s">
        <v>61</v>
      </c>
      <c r="J1608" s="7" t="s">
        <v>505</v>
      </c>
      <c r="K1608" s="7" t="s">
        <v>1707</v>
      </c>
      <c r="L1608" s="7" t="s">
        <v>61</v>
      </c>
      <c r="M1608" s="7">
        <v>10.595389000000001</v>
      </c>
      <c r="N1608" s="7">
        <v>14.330667</v>
      </c>
      <c r="O1608" s="7" t="s">
        <v>613</v>
      </c>
    </row>
    <row r="1609" spans="1:15" hidden="1" x14ac:dyDescent="0.25">
      <c r="A1609" s="2">
        <f t="shared" si="25"/>
        <v>1607</v>
      </c>
      <c r="B1609" s="7" t="s">
        <v>5204</v>
      </c>
      <c r="C1609" s="7" t="s">
        <v>5205</v>
      </c>
      <c r="D1609" s="7" t="s">
        <v>5204</v>
      </c>
      <c r="E1609" s="7" t="s">
        <v>16</v>
      </c>
      <c r="F1609" s="7" t="s">
        <v>5206</v>
      </c>
      <c r="G1609" s="17" t="s">
        <v>7747</v>
      </c>
      <c r="H1609" s="7" t="s">
        <v>28</v>
      </c>
      <c r="I1609" s="7" t="s">
        <v>61</v>
      </c>
      <c r="J1609" s="7" t="s">
        <v>505</v>
      </c>
      <c r="K1609" s="7" t="s">
        <v>877</v>
      </c>
      <c r="L1609" s="7" t="s">
        <v>61</v>
      </c>
      <c r="M1609" s="7">
        <v>10.603417</v>
      </c>
      <c r="N1609" s="7">
        <v>14.332000000000001</v>
      </c>
      <c r="O1609" s="7" t="s">
        <v>613</v>
      </c>
    </row>
    <row r="1610" spans="1:15" hidden="1" x14ac:dyDescent="0.25">
      <c r="A1610" s="2">
        <f t="shared" si="25"/>
        <v>1608</v>
      </c>
      <c r="B1610" s="7" t="s">
        <v>5216</v>
      </c>
      <c r="C1610" s="7" t="s">
        <v>5217</v>
      </c>
      <c r="D1610" s="7" t="s">
        <v>5216</v>
      </c>
      <c r="E1610" s="7" t="s">
        <v>16</v>
      </c>
      <c r="F1610" s="7" t="s">
        <v>5218</v>
      </c>
      <c r="G1610" s="17" t="s">
        <v>7747</v>
      </c>
      <c r="H1610" s="7" t="s">
        <v>28</v>
      </c>
      <c r="I1610" s="7" t="s">
        <v>61</v>
      </c>
      <c r="J1610" s="7" t="s">
        <v>505</v>
      </c>
      <c r="K1610" s="7" t="s">
        <v>506</v>
      </c>
      <c r="L1610" s="7" t="s">
        <v>61</v>
      </c>
      <c r="M1610" s="7">
        <v>10.589722999999999</v>
      </c>
      <c r="N1610" s="7">
        <v>14.319608000000001</v>
      </c>
      <c r="O1610" s="7" t="s">
        <v>613</v>
      </c>
    </row>
    <row r="1611" spans="1:15" hidden="1" x14ac:dyDescent="0.25">
      <c r="A1611" s="2">
        <f t="shared" si="25"/>
        <v>1609</v>
      </c>
      <c r="B1611" s="7" t="s">
        <v>5868</v>
      </c>
      <c r="C1611" s="7" t="s">
        <v>5869</v>
      </c>
      <c r="D1611" s="7" t="s">
        <v>5868</v>
      </c>
      <c r="E1611" s="7" t="s">
        <v>16</v>
      </c>
      <c r="F1611" s="7" t="s">
        <v>5870</v>
      </c>
      <c r="G1611" s="17" t="s">
        <v>7747</v>
      </c>
      <c r="H1611" s="7" t="s">
        <v>28</v>
      </c>
      <c r="I1611" s="7" t="s">
        <v>61</v>
      </c>
      <c r="J1611" s="7" t="s">
        <v>505</v>
      </c>
      <c r="K1611" s="7" t="s">
        <v>506</v>
      </c>
      <c r="L1611" s="7" t="s">
        <v>61</v>
      </c>
      <c r="M1611" s="7">
        <v>10.448142000000001</v>
      </c>
      <c r="N1611" s="7">
        <v>14.234572</v>
      </c>
      <c r="O1611" s="7" t="s">
        <v>23</v>
      </c>
    </row>
    <row r="1612" spans="1:15" hidden="1" x14ac:dyDescent="0.25">
      <c r="A1612" s="2">
        <f t="shared" si="25"/>
        <v>1610</v>
      </c>
      <c r="B1612" s="7" t="s">
        <v>6012</v>
      </c>
      <c r="C1612" s="7" t="s">
        <v>6013</v>
      </c>
      <c r="D1612" s="7" t="s">
        <v>6012</v>
      </c>
      <c r="E1612" s="7" t="s">
        <v>16</v>
      </c>
      <c r="F1612" s="7" t="s">
        <v>6014</v>
      </c>
      <c r="G1612" s="17" t="s">
        <v>7747</v>
      </c>
      <c r="H1612" s="7" t="s">
        <v>28</v>
      </c>
      <c r="I1612" s="7" t="s">
        <v>20</v>
      </c>
      <c r="J1612" s="7" t="s">
        <v>21</v>
      </c>
      <c r="K1612" s="7" t="s">
        <v>6015</v>
      </c>
      <c r="L1612" s="7" t="s">
        <v>61</v>
      </c>
      <c r="M1612" s="7">
        <v>11.22386</v>
      </c>
      <c r="N1612" s="7">
        <v>14.2963</v>
      </c>
      <c r="O1612" s="7" t="s">
        <v>23</v>
      </c>
    </row>
    <row r="1613" spans="1:15" hidden="1" x14ac:dyDescent="0.25">
      <c r="A1613" s="2">
        <f t="shared" si="25"/>
        <v>1611</v>
      </c>
      <c r="B1613" s="7" t="s">
        <v>6033</v>
      </c>
      <c r="C1613" s="7" t="s">
        <v>6034</v>
      </c>
      <c r="D1613" s="7" t="s">
        <v>6033</v>
      </c>
      <c r="E1613" s="7" t="s">
        <v>16</v>
      </c>
      <c r="F1613" s="7" t="s">
        <v>6035</v>
      </c>
      <c r="G1613" s="17" t="s">
        <v>7747</v>
      </c>
      <c r="H1613" s="7" t="s">
        <v>28</v>
      </c>
      <c r="I1613" s="7" t="s">
        <v>59</v>
      </c>
      <c r="J1613" s="7" t="s">
        <v>60</v>
      </c>
      <c r="K1613" s="7" t="s">
        <v>6036</v>
      </c>
      <c r="L1613" s="7" t="s">
        <v>61</v>
      </c>
      <c r="M1613" s="7">
        <v>10.01136</v>
      </c>
      <c r="N1613" s="7">
        <v>15.13386</v>
      </c>
      <c r="O1613" s="7" t="s">
        <v>23</v>
      </c>
    </row>
    <row r="1614" spans="1:15" hidden="1" x14ac:dyDescent="0.25">
      <c r="A1614" s="2">
        <f t="shared" si="25"/>
        <v>1612</v>
      </c>
      <c r="B1614" s="7" t="s">
        <v>6190</v>
      </c>
      <c r="C1614" s="7" t="s">
        <v>6191</v>
      </c>
      <c r="D1614" s="7" t="s">
        <v>6190</v>
      </c>
      <c r="E1614" s="7" t="s">
        <v>16</v>
      </c>
      <c r="F1614" s="7" t="s">
        <v>6192</v>
      </c>
      <c r="G1614" s="17" t="s">
        <v>7747</v>
      </c>
      <c r="H1614" s="7" t="s">
        <v>28</v>
      </c>
      <c r="I1614" s="7" t="s">
        <v>59</v>
      </c>
      <c r="J1614" s="7" t="s">
        <v>6193</v>
      </c>
      <c r="K1614" s="7" t="s">
        <v>227</v>
      </c>
      <c r="L1614" s="7" t="s">
        <v>61</v>
      </c>
      <c r="M1614" s="7">
        <v>10.750249999999999</v>
      </c>
      <c r="N1614" s="7">
        <v>13.911111</v>
      </c>
      <c r="O1614" s="7" t="s">
        <v>23</v>
      </c>
    </row>
    <row r="1615" spans="1:15" hidden="1" x14ac:dyDescent="0.25">
      <c r="A1615" s="2">
        <f t="shared" si="25"/>
        <v>1613</v>
      </c>
      <c r="B1615" s="7" t="s">
        <v>6257</v>
      </c>
      <c r="C1615" s="7" t="s">
        <v>6258</v>
      </c>
      <c r="D1615" s="7" t="s">
        <v>6257</v>
      </c>
      <c r="E1615" s="7" t="s">
        <v>16</v>
      </c>
      <c r="F1615" s="7" t="s">
        <v>6259</v>
      </c>
      <c r="G1615" s="17" t="s">
        <v>7747</v>
      </c>
      <c r="H1615" s="7" t="s">
        <v>28</v>
      </c>
      <c r="I1615" s="7" t="s">
        <v>59</v>
      </c>
      <c r="J1615" s="7" t="s">
        <v>226</v>
      </c>
      <c r="K1615" s="7" t="s">
        <v>6259</v>
      </c>
      <c r="L1615" s="7" t="s">
        <v>61</v>
      </c>
      <c r="M1615" s="7">
        <v>10.959139</v>
      </c>
      <c r="N1615" s="7">
        <v>13.906556</v>
      </c>
      <c r="O1615" s="7" t="s">
        <v>23</v>
      </c>
    </row>
    <row r="1616" spans="1:15" hidden="1" x14ac:dyDescent="0.25">
      <c r="A1616" s="2">
        <f t="shared" si="25"/>
        <v>1614</v>
      </c>
      <c r="B1616" s="7" t="s">
        <v>6260</v>
      </c>
      <c r="C1616" s="7" t="s">
        <v>6261</v>
      </c>
      <c r="D1616" s="7" t="s">
        <v>6260</v>
      </c>
      <c r="E1616" s="7" t="s">
        <v>16</v>
      </c>
      <c r="F1616" s="7" t="s">
        <v>1156</v>
      </c>
      <c r="G1616" s="17" t="s">
        <v>7747</v>
      </c>
      <c r="H1616" s="7" t="s">
        <v>28</v>
      </c>
      <c r="I1616" s="7" t="s">
        <v>59</v>
      </c>
      <c r="J1616" s="7" t="s">
        <v>60</v>
      </c>
      <c r="K1616" s="7" t="s">
        <v>1156</v>
      </c>
      <c r="L1616" s="7" t="s">
        <v>61</v>
      </c>
      <c r="M1616" s="7">
        <v>10.407313</v>
      </c>
      <c r="N1616" s="7">
        <v>14.860675000000001</v>
      </c>
      <c r="O1616" s="7" t="s">
        <v>23</v>
      </c>
    </row>
    <row r="1617" spans="1:15" hidden="1" x14ac:dyDescent="0.25">
      <c r="A1617" s="2">
        <f t="shared" si="25"/>
        <v>1615</v>
      </c>
      <c r="B1617" s="7" t="s">
        <v>6262</v>
      </c>
      <c r="C1617" s="7" t="s">
        <v>6263</v>
      </c>
      <c r="D1617" s="7" t="s">
        <v>6262</v>
      </c>
      <c r="E1617" s="7" t="s">
        <v>16</v>
      </c>
      <c r="F1617" s="7" t="s">
        <v>6264</v>
      </c>
      <c r="G1617" s="17" t="s">
        <v>7747</v>
      </c>
      <c r="H1617" s="7" t="s">
        <v>28</v>
      </c>
      <c r="I1617" s="7" t="s">
        <v>59</v>
      </c>
      <c r="J1617" s="7" t="s">
        <v>226</v>
      </c>
      <c r="K1617" s="7" t="s">
        <v>6259</v>
      </c>
      <c r="L1617" s="7" t="s">
        <v>61</v>
      </c>
      <c r="M1617" s="7">
        <v>10.94225</v>
      </c>
      <c r="N1617" s="7">
        <v>13.866528000000001</v>
      </c>
      <c r="O1617" s="7" t="s">
        <v>23</v>
      </c>
    </row>
    <row r="1618" spans="1:15" hidden="1" x14ac:dyDescent="0.25">
      <c r="A1618" s="2">
        <f t="shared" si="25"/>
        <v>1616</v>
      </c>
      <c r="B1618" s="7" t="s">
        <v>6269</v>
      </c>
      <c r="C1618" s="7" t="s">
        <v>6270</v>
      </c>
      <c r="D1618" s="7" t="s">
        <v>6269</v>
      </c>
      <c r="E1618" s="7" t="s">
        <v>16</v>
      </c>
      <c r="F1618" s="7" t="s">
        <v>466</v>
      </c>
      <c r="G1618" s="17" t="s">
        <v>7747</v>
      </c>
      <c r="H1618" s="7" t="s">
        <v>28</v>
      </c>
      <c r="I1618" s="7" t="s">
        <v>59</v>
      </c>
      <c r="J1618" s="7" t="s">
        <v>226</v>
      </c>
      <c r="K1618" s="7" t="s">
        <v>466</v>
      </c>
      <c r="L1618" s="7" t="s">
        <v>61</v>
      </c>
      <c r="M1618" s="7">
        <v>10.614833000000001</v>
      </c>
      <c r="N1618" s="7">
        <v>13.572333</v>
      </c>
      <c r="O1618" s="7" t="s">
        <v>23</v>
      </c>
    </row>
    <row r="1619" spans="1:15" hidden="1" x14ac:dyDescent="0.25">
      <c r="A1619" s="2">
        <f t="shared" si="25"/>
        <v>1617</v>
      </c>
      <c r="B1619" s="7" t="s">
        <v>6386</v>
      </c>
      <c r="C1619" s="7" t="s">
        <v>6387</v>
      </c>
      <c r="D1619" s="7" t="s">
        <v>6386</v>
      </c>
      <c r="E1619" s="7" t="s">
        <v>170</v>
      </c>
      <c r="F1619" s="7" t="s">
        <v>6388</v>
      </c>
      <c r="G1619" s="17" t="s">
        <v>7747</v>
      </c>
      <c r="H1619" s="7" t="s">
        <v>28</v>
      </c>
      <c r="I1619" s="7" t="s">
        <v>61</v>
      </c>
      <c r="J1619" s="7" t="s">
        <v>173</v>
      </c>
      <c r="K1619" s="7" t="s">
        <v>174</v>
      </c>
      <c r="L1619" s="7" t="s">
        <v>61</v>
      </c>
      <c r="M1619" s="7">
        <v>10.042376000000001</v>
      </c>
      <c r="N1619" s="7">
        <v>14.177223</v>
      </c>
      <c r="O1619" s="7" t="s">
        <v>23</v>
      </c>
    </row>
    <row r="1620" spans="1:15" hidden="1" x14ac:dyDescent="0.25">
      <c r="A1620" s="2">
        <f t="shared" si="25"/>
        <v>1618</v>
      </c>
      <c r="B1620" s="7" t="s">
        <v>6401</v>
      </c>
      <c r="C1620" s="7" t="s">
        <v>6402</v>
      </c>
      <c r="D1620" s="7" t="s">
        <v>6401</v>
      </c>
      <c r="E1620" s="7" t="s">
        <v>16</v>
      </c>
      <c r="F1620" s="7" t="s">
        <v>6403</v>
      </c>
      <c r="G1620" s="17" t="s">
        <v>7747</v>
      </c>
      <c r="H1620" s="7" t="s">
        <v>28</v>
      </c>
      <c r="I1620" s="7" t="s">
        <v>59</v>
      </c>
      <c r="J1620" s="7" t="s">
        <v>60</v>
      </c>
      <c r="K1620" s="7" t="s">
        <v>6404</v>
      </c>
      <c r="L1620" s="7" t="s">
        <v>61</v>
      </c>
      <c r="M1620" s="7">
        <v>10.667611000000001</v>
      </c>
      <c r="N1620" s="7">
        <v>15.023083</v>
      </c>
      <c r="O1620" s="7" t="s">
        <v>23</v>
      </c>
    </row>
    <row r="1621" spans="1:15" hidden="1" x14ac:dyDescent="0.25">
      <c r="A1621" s="2">
        <f t="shared" si="25"/>
        <v>1619</v>
      </c>
      <c r="B1621" s="7" t="s">
        <v>6415</v>
      </c>
      <c r="C1621" s="7" t="s">
        <v>6416</v>
      </c>
      <c r="D1621" s="7" t="s">
        <v>6415</v>
      </c>
      <c r="E1621" s="7" t="s">
        <v>16</v>
      </c>
      <c r="F1621" s="7" t="s">
        <v>573</v>
      </c>
      <c r="G1621" s="17" t="s">
        <v>7747</v>
      </c>
      <c r="H1621" s="7" t="s">
        <v>28</v>
      </c>
      <c r="I1621" s="7" t="s">
        <v>59</v>
      </c>
      <c r="J1621" s="7" t="s">
        <v>226</v>
      </c>
      <c r="K1621" s="7" t="s">
        <v>573</v>
      </c>
      <c r="L1621" s="7" t="s">
        <v>61</v>
      </c>
      <c r="M1621" s="7">
        <v>10.376773999999999</v>
      </c>
      <c r="N1621" s="7">
        <v>13.858157</v>
      </c>
      <c r="O1621" s="7" t="s">
        <v>23</v>
      </c>
    </row>
    <row r="1622" spans="1:15" hidden="1" x14ac:dyDescent="0.25">
      <c r="A1622" s="2">
        <f t="shared" si="25"/>
        <v>1620</v>
      </c>
      <c r="B1622" s="7" t="s">
        <v>6420</v>
      </c>
      <c r="C1622" s="7" t="s">
        <v>6421</v>
      </c>
      <c r="D1622" s="7" t="s">
        <v>6420</v>
      </c>
      <c r="E1622" s="7" t="s">
        <v>16</v>
      </c>
      <c r="F1622" s="7" t="s">
        <v>6422</v>
      </c>
      <c r="G1622" s="17" t="s">
        <v>7747</v>
      </c>
      <c r="H1622" s="7" t="s">
        <v>28</v>
      </c>
      <c r="I1622" s="7" t="s">
        <v>59</v>
      </c>
      <c r="J1622" s="7" t="s">
        <v>60</v>
      </c>
      <c r="K1622" s="7" t="s">
        <v>870</v>
      </c>
      <c r="L1622" s="7" t="s">
        <v>61</v>
      </c>
      <c r="M1622" s="7">
        <v>10.494361</v>
      </c>
      <c r="N1622" s="7">
        <v>15.196721999999999</v>
      </c>
      <c r="O1622" s="7" t="s">
        <v>23</v>
      </c>
    </row>
    <row r="1623" spans="1:15" hidden="1" x14ac:dyDescent="0.25">
      <c r="A1623" s="2">
        <f t="shared" si="25"/>
        <v>1621</v>
      </c>
      <c r="B1623" s="7" t="s">
        <v>6432</v>
      </c>
      <c r="C1623" s="7" t="s">
        <v>6433</v>
      </c>
      <c r="D1623" s="7" t="s">
        <v>6432</v>
      </c>
      <c r="E1623" s="7" t="s">
        <v>16</v>
      </c>
      <c r="F1623" s="7" t="s">
        <v>936</v>
      </c>
      <c r="G1623" s="17" t="s">
        <v>7747</v>
      </c>
      <c r="H1623" s="7" t="s">
        <v>28</v>
      </c>
      <c r="I1623" s="7" t="s">
        <v>59</v>
      </c>
      <c r="J1623" s="7" t="s">
        <v>60</v>
      </c>
      <c r="K1623" s="7" t="s">
        <v>936</v>
      </c>
      <c r="L1623" s="7" t="s">
        <v>61</v>
      </c>
      <c r="M1623" s="7">
        <v>10.006167</v>
      </c>
      <c r="N1623" s="7">
        <v>15.425083000000001</v>
      </c>
      <c r="O1623" s="7" t="s">
        <v>23</v>
      </c>
    </row>
    <row r="1624" spans="1:15" hidden="1" x14ac:dyDescent="0.25">
      <c r="A1624" s="2">
        <f t="shared" si="25"/>
        <v>1622</v>
      </c>
      <c r="B1624" s="7" t="s">
        <v>6495</v>
      </c>
      <c r="C1624" s="7" t="s">
        <v>6496</v>
      </c>
      <c r="D1624" s="7" t="s">
        <v>6495</v>
      </c>
      <c r="E1624" s="7" t="s">
        <v>16</v>
      </c>
      <c r="F1624" s="7" t="s">
        <v>6036</v>
      </c>
      <c r="G1624" s="17" t="s">
        <v>7747</v>
      </c>
      <c r="H1624" s="7" t="s">
        <v>28</v>
      </c>
      <c r="I1624" s="7" t="s">
        <v>59</v>
      </c>
      <c r="J1624" s="7" t="s">
        <v>60</v>
      </c>
      <c r="K1624" s="7" t="s">
        <v>6497</v>
      </c>
      <c r="L1624" s="7" t="s">
        <v>61</v>
      </c>
      <c r="M1624" s="7">
        <v>10.012028000000001</v>
      </c>
      <c r="N1624" s="7">
        <v>15.106472</v>
      </c>
      <c r="O1624" s="7" t="s">
        <v>23</v>
      </c>
    </row>
    <row r="1625" spans="1:15" hidden="1" x14ac:dyDescent="0.25">
      <c r="A1625" s="2">
        <f t="shared" si="25"/>
        <v>1623</v>
      </c>
      <c r="B1625" s="7" t="s">
        <v>6548</v>
      </c>
      <c r="C1625" s="7" t="s">
        <v>6549</v>
      </c>
      <c r="D1625" s="7" t="s">
        <v>6548</v>
      </c>
      <c r="E1625" s="7" t="s">
        <v>16</v>
      </c>
      <c r="F1625" s="7" t="s">
        <v>6550</v>
      </c>
      <c r="G1625" s="17" t="s">
        <v>7747</v>
      </c>
      <c r="H1625" s="7" t="s">
        <v>28</v>
      </c>
      <c r="I1625" s="7" t="s">
        <v>61</v>
      </c>
      <c r="J1625" s="7" t="s">
        <v>505</v>
      </c>
      <c r="K1625" s="7" t="s">
        <v>506</v>
      </c>
      <c r="L1625" s="7" t="s">
        <v>61</v>
      </c>
      <c r="M1625" s="7">
        <v>10.567306</v>
      </c>
      <c r="N1625" s="7">
        <v>14.260667</v>
      </c>
      <c r="O1625" s="7" t="s">
        <v>23</v>
      </c>
    </row>
    <row r="1626" spans="1:15" hidden="1" x14ac:dyDescent="0.25">
      <c r="A1626" s="2">
        <f t="shared" si="25"/>
        <v>1624</v>
      </c>
      <c r="B1626" s="7" t="s">
        <v>6566</v>
      </c>
      <c r="C1626" s="7" t="s">
        <v>6567</v>
      </c>
      <c r="D1626" s="7" t="s">
        <v>6566</v>
      </c>
      <c r="E1626" s="7" t="s">
        <v>16</v>
      </c>
      <c r="F1626" s="7" t="s">
        <v>6568</v>
      </c>
      <c r="G1626" s="17" t="s">
        <v>7747</v>
      </c>
      <c r="H1626" s="7" t="s">
        <v>28</v>
      </c>
      <c r="I1626" s="7" t="s">
        <v>61</v>
      </c>
      <c r="J1626" s="7" t="s">
        <v>505</v>
      </c>
      <c r="K1626" s="7" t="s">
        <v>1253</v>
      </c>
      <c r="L1626" s="7" t="s">
        <v>61</v>
      </c>
      <c r="M1626" s="7">
        <v>10.695971999999999</v>
      </c>
      <c r="N1626" s="7">
        <v>14.478139000000001</v>
      </c>
      <c r="O1626" s="7" t="s">
        <v>23</v>
      </c>
    </row>
    <row r="1627" spans="1:15" hidden="1" x14ac:dyDescent="0.25">
      <c r="A1627" s="2">
        <f t="shared" si="25"/>
        <v>1625</v>
      </c>
      <c r="B1627" s="7" t="s">
        <v>6601</v>
      </c>
      <c r="C1627" s="7" t="s">
        <v>6602</v>
      </c>
      <c r="D1627" s="7" t="s">
        <v>6601</v>
      </c>
      <c r="E1627" s="7" t="s">
        <v>16</v>
      </c>
      <c r="F1627" s="7" t="s">
        <v>6603</v>
      </c>
      <c r="G1627" s="17" t="s">
        <v>7747</v>
      </c>
      <c r="H1627" s="7" t="s">
        <v>28</v>
      </c>
      <c r="I1627" s="7" t="s">
        <v>59</v>
      </c>
      <c r="J1627" s="7" t="s">
        <v>60</v>
      </c>
      <c r="K1627" s="7" t="s">
        <v>6604</v>
      </c>
      <c r="L1627" s="7" t="s">
        <v>61</v>
      </c>
      <c r="M1627" s="7">
        <v>10.105111000000001</v>
      </c>
      <c r="N1627" s="7">
        <v>14.968667</v>
      </c>
      <c r="O1627" s="7" t="s">
        <v>23</v>
      </c>
    </row>
    <row r="1628" spans="1:15" hidden="1" x14ac:dyDescent="0.25">
      <c r="A1628" s="2">
        <f t="shared" si="25"/>
        <v>1626</v>
      </c>
      <c r="B1628" s="7" t="s">
        <v>6723</v>
      </c>
      <c r="C1628" s="7" t="s">
        <v>6724</v>
      </c>
      <c r="D1628" s="7" t="s">
        <v>6723</v>
      </c>
      <c r="E1628" s="7" t="s">
        <v>16</v>
      </c>
      <c r="F1628" s="7" t="s">
        <v>6725</v>
      </c>
      <c r="G1628" s="17" t="s">
        <v>7747</v>
      </c>
      <c r="H1628" s="7" t="s">
        <v>28</v>
      </c>
      <c r="I1628" s="7" t="s">
        <v>59</v>
      </c>
      <c r="J1628" s="7" t="s">
        <v>70</v>
      </c>
      <c r="K1628" s="7" t="s">
        <v>661</v>
      </c>
      <c r="L1628" s="7" t="s">
        <v>61</v>
      </c>
      <c r="M1628" s="7">
        <v>10.270930999999999</v>
      </c>
      <c r="N1628" s="7">
        <v>14.644629</v>
      </c>
      <c r="O1628" s="7" t="s">
        <v>23</v>
      </c>
    </row>
    <row r="1629" spans="1:15" hidden="1" x14ac:dyDescent="0.25">
      <c r="A1629" s="2">
        <f t="shared" si="25"/>
        <v>1627</v>
      </c>
      <c r="B1629" s="7" t="s">
        <v>6726</v>
      </c>
      <c r="C1629" s="7" t="s">
        <v>6727</v>
      </c>
      <c r="D1629" s="7" t="s">
        <v>6726</v>
      </c>
      <c r="E1629" s="7" t="s">
        <v>16</v>
      </c>
      <c r="F1629" s="7" t="s">
        <v>6728</v>
      </c>
      <c r="G1629" s="17" t="s">
        <v>7747</v>
      </c>
      <c r="H1629" s="7" t="s">
        <v>28</v>
      </c>
      <c r="I1629" s="7" t="s">
        <v>59</v>
      </c>
      <c r="J1629" s="7" t="s">
        <v>60</v>
      </c>
      <c r="K1629" s="7" t="s">
        <v>1156</v>
      </c>
      <c r="L1629" s="7" t="s">
        <v>61</v>
      </c>
      <c r="M1629" s="7">
        <v>10.460739</v>
      </c>
      <c r="N1629" s="7">
        <v>14.714650000000001</v>
      </c>
      <c r="O1629" s="7" t="s">
        <v>23</v>
      </c>
    </row>
    <row r="1630" spans="1:15" hidden="1" x14ac:dyDescent="0.25">
      <c r="A1630" s="2">
        <f t="shared" si="25"/>
        <v>1628</v>
      </c>
      <c r="B1630" s="7" t="s">
        <v>6732</v>
      </c>
      <c r="C1630" s="7" t="s">
        <v>6733</v>
      </c>
      <c r="D1630" s="7" t="s">
        <v>6732</v>
      </c>
      <c r="E1630" s="7" t="s">
        <v>16</v>
      </c>
      <c r="F1630" s="7" t="s">
        <v>6734</v>
      </c>
      <c r="G1630" s="17" t="s">
        <v>7747</v>
      </c>
      <c r="H1630" s="7" t="s">
        <v>28</v>
      </c>
      <c r="I1630" s="7" t="s">
        <v>20</v>
      </c>
      <c r="J1630" s="7" t="s">
        <v>21</v>
      </c>
      <c r="K1630" s="7" t="s">
        <v>6735</v>
      </c>
      <c r="L1630" s="7" t="s">
        <v>61</v>
      </c>
      <c r="M1630" s="7">
        <v>11.15605</v>
      </c>
      <c r="N1630" s="7">
        <v>15.042439</v>
      </c>
      <c r="O1630" s="7" t="s">
        <v>23</v>
      </c>
    </row>
    <row r="1631" spans="1:15" hidden="1" x14ac:dyDescent="0.25">
      <c r="A1631" s="2">
        <f t="shared" si="25"/>
        <v>1629</v>
      </c>
      <c r="B1631" s="7" t="s">
        <v>6742</v>
      </c>
      <c r="C1631" s="7" t="s">
        <v>6743</v>
      </c>
      <c r="D1631" s="7" t="s">
        <v>6742</v>
      </c>
      <c r="E1631" s="7" t="s">
        <v>16</v>
      </c>
      <c r="F1631" s="7" t="s">
        <v>6744</v>
      </c>
      <c r="G1631" s="17" t="s">
        <v>7747</v>
      </c>
      <c r="H1631" s="7" t="s">
        <v>28</v>
      </c>
      <c r="I1631" s="7" t="s">
        <v>59</v>
      </c>
      <c r="J1631" s="7" t="s">
        <v>226</v>
      </c>
      <c r="K1631" s="7" t="s">
        <v>466</v>
      </c>
      <c r="L1631" s="7" t="s">
        <v>61</v>
      </c>
      <c r="M1631" s="7">
        <v>10.70402</v>
      </c>
      <c r="N1631" s="7">
        <v>13.621629</v>
      </c>
      <c r="O1631" s="7" t="s">
        <v>23</v>
      </c>
    </row>
    <row r="1632" spans="1:15" hidden="1" x14ac:dyDescent="0.25">
      <c r="A1632" s="2">
        <f t="shared" si="25"/>
        <v>1630</v>
      </c>
      <c r="B1632" s="7" t="s">
        <v>6788</v>
      </c>
      <c r="C1632" s="7" t="s">
        <v>6789</v>
      </c>
      <c r="D1632" s="7" t="s">
        <v>6788</v>
      </c>
      <c r="E1632" s="7" t="s">
        <v>16</v>
      </c>
      <c r="F1632" s="7" t="s">
        <v>6790</v>
      </c>
      <c r="G1632" s="17" t="s">
        <v>7747</v>
      </c>
      <c r="H1632" s="7" t="s">
        <v>28</v>
      </c>
      <c r="I1632" s="7" t="s">
        <v>61</v>
      </c>
      <c r="J1632" s="7" t="s">
        <v>505</v>
      </c>
      <c r="K1632" s="7" t="s">
        <v>877</v>
      </c>
      <c r="L1632" s="7" t="s">
        <v>61</v>
      </c>
      <c r="M1632" s="7">
        <v>10.72085</v>
      </c>
      <c r="N1632" s="7">
        <v>14.232561</v>
      </c>
      <c r="O1632" s="7" t="s">
        <v>23</v>
      </c>
    </row>
    <row r="1633" spans="1:15" hidden="1" x14ac:dyDescent="0.25">
      <c r="A1633" s="2">
        <f t="shared" si="25"/>
        <v>1631</v>
      </c>
      <c r="B1633" s="7" t="s">
        <v>6795</v>
      </c>
      <c r="C1633" s="7" t="s">
        <v>6796</v>
      </c>
      <c r="D1633" s="7" t="s">
        <v>6795</v>
      </c>
      <c r="E1633" s="7" t="s">
        <v>16</v>
      </c>
      <c r="F1633" s="7" t="s">
        <v>6797</v>
      </c>
      <c r="G1633" s="17" t="s">
        <v>7747</v>
      </c>
      <c r="H1633" s="7" t="s">
        <v>28</v>
      </c>
      <c r="I1633" s="7" t="s">
        <v>59</v>
      </c>
      <c r="J1633" s="7" t="s">
        <v>60</v>
      </c>
      <c r="K1633" s="7" t="s">
        <v>718</v>
      </c>
      <c r="L1633" s="7" t="s">
        <v>61</v>
      </c>
      <c r="M1633" s="7">
        <v>10.179299</v>
      </c>
      <c r="N1633" s="7">
        <v>14.947343</v>
      </c>
      <c r="O1633" s="7" t="s">
        <v>23</v>
      </c>
    </row>
    <row r="1634" spans="1:15" hidden="1" x14ac:dyDescent="0.25">
      <c r="A1634" s="2">
        <f t="shared" si="25"/>
        <v>1632</v>
      </c>
      <c r="B1634" s="7" t="s">
        <v>6804</v>
      </c>
      <c r="C1634" s="7" t="s">
        <v>6805</v>
      </c>
      <c r="D1634" s="7" t="s">
        <v>6804</v>
      </c>
      <c r="E1634" s="7" t="s">
        <v>16</v>
      </c>
      <c r="F1634" s="7" t="s">
        <v>6806</v>
      </c>
      <c r="G1634" s="17" t="s">
        <v>7747</v>
      </c>
      <c r="H1634" s="7" t="s">
        <v>28</v>
      </c>
      <c r="I1634" s="7" t="s">
        <v>61</v>
      </c>
      <c r="J1634" s="7" t="s">
        <v>505</v>
      </c>
      <c r="K1634" s="7" t="s">
        <v>877</v>
      </c>
      <c r="L1634" s="7" t="s">
        <v>61</v>
      </c>
      <c r="M1634" s="7">
        <v>10.660450000000001</v>
      </c>
      <c r="N1634" s="7">
        <v>14.276263999999999</v>
      </c>
      <c r="O1634" s="7" t="s">
        <v>23</v>
      </c>
    </row>
    <row r="1635" spans="1:15" hidden="1" x14ac:dyDescent="0.25">
      <c r="A1635" s="2">
        <f t="shared" si="25"/>
        <v>1633</v>
      </c>
      <c r="B1635" s="7" t="s">
        <v>6847</v>
      </c>
      <c r="C1635" s="7" t="s">
        <v>6848</v>
      </c>
      <c r="D1635" s="7" t="s">
        <v>6847</v>
      </c>
      <c r="E1635" s="7" t="s">
        <v>16</v>
      </c>
      <c r="F1635" s="7" t="s">
        <v>6849</v>
      </c>
      <c r="G1635" s="17" t="s">
        <v>7747</v>
      </c>
      <c r="H1635" s="7" t="s">
        <v>28</v>
      </c>
      <c r="I1635" s="7" t="s">
        <v>61</v>
      </c>
      <c r="J1635" s="7" t="s">
        <v>505</v>
      </c>
      <c r="K1635" s="7" t="s">
        <v>877</v>
      </c>
      <c r="L1635" s="7" t="s">
        <v>61</v>
      </c>
      <c r="M1635" s="7">
        <v>10.7875</v>
      </c>
      <c r="N1635" s="7">
        <v>14.395799999999999</v>
      </c>
      <c r="O1635" s="7" t="s">
        <v>23</v>
      </c>
    </row>
    <row r="1636" spans="1:15" hidden="1" x14ac:dyDescent="0.25">
      <c r="A1636" s="2">
        <f t="shared" si="25"/>
        <v>1634</v>
      </c>
      <c r="B1636" s="7" t="s">
        <v>6850</v>
      </c>
      <c r="C1636" s="7" t="s">
        <v>6851</v>
      </c>
      <c r="D1636" s="7" t="s">
        <v>6850</v>
      </c>
      <c r="E1636" s="7" t="s">
        <v>16</v>
      </c>
      <c r="F1636" s="7" t="s">
        <v>6852</v>
      </c>
      <c r="G1636" s="17" t="s">
        <v>7747</v>
      </c>
      <c r="H1636" s="7" t="s">
        <v>28</v>
      </c>
      <c r="I1636" s="7" t="s">
        <v>59</v>
      </c>
      <c r="J1636" s="7" t="s">
        <v>60</v>
      </c>
      <c r="K1636" s="7" t="s">
        <v>6604</v>
      </c>
      <c r="L1636" s="7" t="s">
        <v>61</v>
      </c>
      <c r="M1636" s="7">
        <v>10.145799999999999</v>
      </c>
      <c r="N1636" s="7">
        <v>15.0634</v>
      </c>
      <c r="O1636" s="7" t="s">
        <v>23</v>
      </c>
    </row>
    <row r="1637" spans="1:15" hidden="1" x14ac:dyDescent="0.25">
      <c r="A1637" s="2">
        <f t="shared" si="25"/>
        <v>1635</v>
      </c>
      <c r="B1637" s="7" t="s">
        <v>6853</v>
      </c>
      <c r="C1637" s="7" t="s">
        <v>6854</v>
      </c>
      <c r="D1637" s="7" t="s">
        <v>6853</v>
      </c>
      <c r="E1637" s="7" t="s">
        <v>16</v>
      </c>
      <c r="F1637" s="7" t="s">
        <v>6855</v>
      </c>
      <c r="G1637" s="17" t="s">
        <v>7747</v>
      </c>
      <c r="H1637" s="7" t="s">
        <v>28</v>
      </c>
      <c r="I1637" s="7" t="s">
        <v>59</v>
      </c>
      <c r="J1637" s="7" t="s">
        <v>6193</v>
      </c>
      <c r="K1637" s="7" t="s">
        <v>6856</v>
      </c>
      <c r="L1637" s="7" t="s">
        <v>61</v>
      </c>
      <c r="M1637" s="7">
        <v>10.112500000000001</v>
      </c>
      <c r="N1637" s="7">
        <v>14.029199999999999</v>
      </c>
      <c r="O1637" s="7" t="s">
        <v>23</v>
      </c>
    </row>
    <row r="1638" spans="1:15" hidden="1" x14ac:dyDescent="0.25">
      <c r="A1638" s="2">
        <f t="shared" si="25"/>
        <v>1636</v>
      </c>
      <c r="B1638" s="7" t="s">
        <v>6857</v>
      </c>
      <c r="C1638" s="7" t="s">
        <v>6858</v>
      </c>
      <c r="D1638" s="7" t="s">
        <v>6857</v>
      </c>
      <c r="E1638" s="7" t="s">
        <v>16</v>
      </c>
      <c r="F1638" s="7" t="s">
        <v>6859</v>
      </c>
      <c r="G1638" s="17" t="s">
        <v>7747</v>
      </c>
      <c r="H1638" s="7" t="s">
        <v>28</v>
      </c>
      <c r="I1638" s="7" t="s">
        <v>59</v>
      </c>
      <c r="J1638" s="7" t="s">
        <v>60</v>
      </c>
      <c r="K1638" s="7" t="s">
        <v>59</v>
      </c>
      <c r="L1638" s="7" t="s">
        <v>61</v>
      </c>
      <c r="M1638" s="7">
        <v>10.470800000000001</v>
      </c>
      <c r="N1638" s="7">
        <v>15.0875</v>
      </c>
      <c r="O1638" s="7" t="s">
        <v>23</v>
      </c>
    </row>
    <row r="1639" spans="1:15" hidden="1" x14ac:dyDescent="0.25">
      <c r="A1639" s="2">
        <f t="shared" si="25"/>
        <v>1637</v>
      </c>
      <c r="B1639" s="7" t="s">
        <v>6866</v>
      </c>
      <c r="C1639" s="7" t="s">
        <v>6867</v>
      </c>
      <c r="D1639" s="7" t="s">
        <v>6866</v>
      </c>
      <c r="E1639" s="7" t="s">
        <v>16</v>
      </c>
      <c r="F1639" s="7" t="s">
        <v>6868</v>
      </c>
      <c r="G1639" s="17" t="s">
        <v>7747</v>
      </c>
      <c r="H1639" s="7" t="s">
        <v>28</v>
      </c>
      <c r="I1639" s="7" t="s">
        <v>61</v>
      </c>
      <c r="J1639" s="7" t="s">
        <v>505</v>
      </c>
      <c r="K1639" s="7" t="s">
        <v>1961</v>
      </c>
      <c r="L1639" s="7" t="s">
        <v>61</v>
      </c>
      <c r="M1639" s="7">
        <v>10.520799999999999</v>
      </c>
      <c r="N1639" s="7">
        <v>14.495799999999999</v>
      </c>
      <c r="O1639" s="7" t="s">
        <v>23</v>
      </c>
    </row>
    <row r="1640" spans="1:15" hidden="1" x14ac:dyDescent="0.25">
      <c r="A1640" s="2">
        <f t="shared" si="25"/>
        <v>1638</v>
      </c>
      <c r="B1640" s="7" t="s">
        <v>6869</v>
      </c>
      <c r="C1640" s="7" t="s">
        <v>6870</v>
      </c>
      <c r="D1640" s="7" t="s">
        <v>6869</v>
      </c>
      <c r="E1640" s="7" t="s">
        <v>16</v>
      </c>
      <c r="F1640" s="7" t="s">
        <v>6871</v>
      </c>
      <c r="G1640" s="17" t="s">
        <v>7747</v>
      </c>
      <c r="H1640" s="7" t="s">
        <v>28</v>
      </c>
      <c r="I1640" s="7" t="s">
        <v>59</v>
      </c>
      <c r="J1640" s="7" t="s">
        <v>60</v>
      </c>
      <c r="K1640" s="7" t="s">
        <v>1156</v>
      </c>
      <c r="L1640" s="7" t="s">
        <v>61</v>
      </c>
      <c r="M1640" s="7">
        <v>10.5792</v>
      </c>
      <c r="N1640" s="7">
        <v>14.8292</v>
      </c>
      <c r="O1640" s="7" t="s">
        <v>23</v>
      </c>
    </row>
    <row r="1641" spans="1:15" hidden="1" x14ac:dyDescent="0.25">
      <c r="A1641" s="2">
        <f t="shared" si="25"/>
        <v>1639</v>
      </c>
      <c r="B1641" s="7" t="s">
        <v>6878</v>
      </c>
      <c r="C1641" s="7" t="s">
        <v>6879</v>
      </c>
      <c r="D1641" s="7" t="s">
        <v>6878</v>
      </c>
      <c r="E1641" s="7" t="s">
        <v>16</v>
      </c>
      <c r="F1641" s="7" t="s">
        <v>6880</v>
      </c>
      <c r="G1641" s="17" t="s">
        <v>7747</v>
      </c>
      <c r="H1641" s="7" t="s">
        <v>28</v>
      </c>
      <c r="I1641" s="7" t="s">
        <v>61</v>
      </c>
      <c r="J1641" s="7" t="s">
        <v>505</v>
      </c>
      <c r="K1641" s="7" t="s">
        <v>1961</v>
      </c>
      <c r="L1641" s="7" t="s">
        <v>61</v>
      </c>
      <c r="M1641" s="7">
        <v>10.671319</v>
      </c>
      <c r="N1641" s="7">
        <v>14.729955</v>
      </c>
      <c r="O1641" s="7" t="s">
        <v>23</v>
      </c>
    </row>
    <row r="1642" spans="1:15" hidden="1" x14ac:dyDescent="0.25">
      <c r="A1642" s="2">
        <f t="shared" si="25"/>
        <v>1640</v>
      </c>
      <c r="B1642" s="7" t="s">
        <v>7183</v>
      </c>
      <c r="C1642" s="7" t="s">
        <v>7184</v>
      </c>
      <c r="D1642" s="7" t="s">
        <v>7183</v>
      </c>
      <c r="E1642" s="7" t="s">
        <v>7122</v>
      </c>
      <c r="F1642" s="7" t="s">
        <v>7185</v>
      </c>
      <c r="G1642" s="8" t="s">
        <v>18</v>
      </c>
      <c r="H1642" s="7" t="s">
        <v>28</v>
      </c>
      <c r="I1642" s="7" t="s">
        <v>20</v>
      </c>
      <c r="J1642" s="7" t="s">
        <v>21</v>
      </c>
      <c r="K1642" s="7" t="s">
        <v>22</v>
      </c>
      <c r="L1642" s="7" t="s">
        <v>61</v>
      </c>
      <c r="M1642" s="7">
        <v>11.327747199999999</v>
      </c>
      <c r="N1642" s="7">
        <v>14.4548694</v>
      </c>
      <c r="O1642" s="7" t="s">
        <v>23</v>
      </c>
    </row>
    <row r="1643" spans="1:15" hidden="1" x14ac:dyDescent="0.25">
      <c r="A1643" s="2">
        <f t="shared" si="25"/>
        <v>1641</v>
      </c>
      <c r="B1643" s="7" t="s">
        <v>7281</v>
      </c>
      <c r="C1643" s="7" t="s">
        <v>7282</v>
      </c>
      <c r="D1643" s="7" t="s">
        <v>7281</v>
      </c>
      <c r="E1643" s="7" t="s">
        <v>16</v>
      </c>
      <c r="F1643" s="7" t="s">
        <v>7283</v>
      </c>
      <c r="G1643" s="17" t="s">
        <v>7747</v>
      </c>
      <c r="H1643" s="7" t="s">
        <v>28</v>
      </c>
      <c r="I1643" s="7" t="s">
        <v>59</v>
      </c>
      <c r="J1643" s="7" t="s">
        <v>6193</v>
      </c>
      <c r="K1643" s="7" t="s">
        <v>573</v>
      </c>
      <c r="L1643" s="7" t="s">
        <v>61</v>
      </c>
      <c r="M1643" s="7">
        <v>10.474830000000001</v>
      </c>
      <c r="N1643" s="7">
        <v>13.88869</v>
      </c>
      <c r="O1643" s="7" t="s">
        <v>23</v>
      </c>
    </row>
    <row r="1644" spans="1:15" hidden="1" x14ac:dyDescent="0.25">
      <c r="A1644" s="2">
        <f t="shared" si="25"/>
        <v>1642</v>
      </c>
      <c r="B1644" s="7" t="s">
        <v>7287</v>
      </c>
      <c r="C1644" s="7" t="s">
        <v>7288</v>
      </c>
      <c r="D1644" s="7" t="s">
        <v>7287</v>
      </c>
      <c r="E1644" s="7" t="s">
        <v>16</v>
      </c>
      <c r="F1644" s="7" t="s">
        <v>7289</v>
      </c>
      <c r="G1644" s="17" t="s">
        <v>7747</v>
      </c>
      <c r="H1644" s="7" t="s">
        <v>28</v>
      </c>
      <c r="I1644" s="7" t="s">
        <v>59</v>
      </c>
      <c r="J1644" s="7" t="s">
        <v>6193</v>
      </c>
      <c r="K1644" s="7" t="s">
        <v>573</v>
      </c>
      <c r="L1644" s="7" t="s">
        <v>61</v>
      </c>
      <c r="M1644" s="7">
        <v>10.48517</v>
      </c>
      <c r="N1644" s="7">
        <v>13.815149999999999</v>
      </c>
      <c r="O1644" s="7" t="s">
        <v>23</v>
      </c>
    </row>
    <row r="1645" spans="1:15" hidden="1" x14ac:dyDescent="0.25">
      <c r="A1645" s="2">
        <f t="shared" si="25"/>
        <v>1643</v>
      </c>
      <c r="B1645" s="7" t="s">
        <v>7290</v>
      </c>
      <c r="C1645" s="7" t="s">
        <v>7291</v>
      </c>
      <c r="D1645" s="7" t="s">
        <v>7290</v>
      </c>
      <c r="E1645" s="7" t="s">
        <v>16</v>
      </c>
      <c r="F1645" s="7" t="s">
        <v>7292</v>
      </c>
      <c r="G1645" s="17" t="s">
        <v>7747</v>
      </c>
      <c r="H1645" s="7" t="s">
        <v>28</v>
      </c>
      <c r="I1645" s="7" t="s">
        <v>61</v>
      </c>
      <c r="J1645" s="7" t="s">
        <v>59</v>
      </c>
      <c r="K1645" s="7" t="s">
        <v>70</v>
      </c>
      <c r="L1645" s="7" t="s">
        <v>61</v>
      </c>
      <c r="M1645" s="7">
        <v>10.91858</v>
      </c>
      <c r="N1645" s="7">
        <v>14.59545</v>
      </c>
      <c r="O1645" s="7" t="s">
        <v>23</v>
      </c>
    </row>
    <row r="1646" spans="1:15" hidden="1" x14ac:dyDescent="0.25">
      <c r="A1646" s="2">
        <f t="shared" si="25"/>
        <v>1644</v>
      </c>
      <c r="B1646" s="7" t="s">
        <v>7293</v>
      </c>
      <c r="C1646" s="7" t="s">
        <v>7294</v>
      </c>
      <c r="D1646" s="7" t="s">
        <v>7293</v>
      </c>
      <c r="E1646" s="7" t="s">
        <v>16</v>
      </c>
      <c r="F1646" s="7" t="s">
        <v>7295</v>
      </c>
      <c r="G1646" s="8" t="s">
        <v>18</v>
      </c>
      <c r="H1646" s="7" t="s">
        <v>28</v>
      </c>
      <c r="I1646" s="7" t="s">
        <v>20</v>
      </c>
      <c r="J1646" s="7" t="s">
        <v>21</v>
      </c>
      <c r="K1646" s="7" t="s">
        <v>22</v>
      </c>
      <c r="L1646" s="7" t="s">
        <v>61</v>
      </c>
      <c r="M1646" s="7">
        <v>11.0436</v>
      </c>
      <c r="N1646" s="7">
        <v>14.43723</v>
      </c>
      <c r="O1646" s="7" t="s">
        <v>23</v>
      </c>
    </row>
    <row r="1647" spans="1:15" hidden="1" x14ac:dyDescent="0.25">
      <c r="A1647" s="2">
        <f t="shared" si="25"/>
        <v>1645</v>
      </c>
      <c r="B1647" s="7" t="s">
        <v>7296</v>
      </c>
      <c r="C1647" s="7" t="s">
        <v>7297</v>
      </c>
      <c r="D1647" s="7" t="s">
        <v>7296</v>
      </c>
      <c r="E1647" s="7" t="s">
        <v>16</v>
      </c>
      <c r="F1647" s="7" t="s">
        <v>7298</v>
      </c>
      <c r="G1647" s="17" t="s">
        <v>7747</v>
      </c>
      <c r="H1647" s="7" t="s">
        <v>28</v>
      </c>
      <c r="I1647" s="7" t="s">
        <v>59</v>
      </c>
      <c r="J1647" s="7" t="s">
        <v>7299</v>
      </c>
      <c r="K1647" s="7" t="s">
        <v>7300</v>
      </c>
      <c r="L1647" s="7" t="s">
        <v>61</v>
      </c>
      <c r="M1647" s="7">
        <v>10.491669999999999</v>
      </c>
      <c r="N1647" s="7">
        <v>14.39686</v>
      </c>
      <c r="O1647" s="7" t="s">
        <v>23</v>
      </c>
    </row>
    <row r="1648" spans="1:15" hidden="1" x14ac:dyDescent="0.25">
      <c r="A1648" s="2">
        <f t="shared" si="25"/>
        <v>1646</v>
      </c>
      <c r="B1648" s="7" t="s">
        <v>7301</v>
      </c>
      <c r="C1648" s="7" t="s">
        <v>7302</v>
      </c>
      <c r="D1648" s="7" t="s">
        <v>7301</v>
      </c>
      <c r="E1648" s="7" t="s">
        <v>16</v>
      </c>
      <c r="F1648" s="7" t="s">
        <v>7303</v>
      </c>
      <c r="G1648" s="17" t="s">
        <v>7747</v>
      </c>
      <c r="H1648" s="7" t="s">
        <v>28</v>
      </c>
      <c r="I1648" s="7" t="s">
        <v>61</v>
      </c>
      <c r="J1648" s="7" t="s">
        <v>1790</v>
      </c>
      <c r="K1648" s="7" t="s">
        <v>1791</v>
      </c>
      <c r="L1648" s="7" t="s">
        <v>61</v>
      </c>
      <c r="M1648" s="7">
        <v>10.91582</v>
      </c>
      <c r="N1648" s="7">
        <v>15.00109</v>
      </c>
      <c r="O1648" s="7" t="s">
        <v>23</v>
      </c>
    </row>
    <row r="1649" spans="1:15" hidden="1" x14ac:dyDescent="0.25">
      <c r="A1649" s="2">
        <f t="shared" si="25"/>
        <v>1647</v>
      </c>
      <c r="B1649" s="7" t="s">
        <v>7307</v>
      </c>
      <c r="C1649" s="7" t="s">
        <v>7308</v>
      </c>
      <c r="D1649" s="7" t="s">
        <v>7307</v>
      </c>
      <c r="E1649" s="7" t="s">
        <v>16</v>
      </c>
      <c r="F1649" s="7" t="s">
        <v>7309</v>
      </c>
      <c r="G1649" s="17" t="s">
        <v>7747</v>
      </c>
      <c r="H1649" s="7" t="s">
        <v>28</v>
      </c>
      <c r="I1649" s="7" t="s">
        <v>61</v>
      </c>
      <c r="J1649" s="7" t="s">
        <v>505</v>
      </c>
      <c r="K1649" s="7" t="s">
        <v>1961</v>
      </c>
      <c r="L1649" s="7" t="s">
        <v>61</v>
      </c>
      <c r="M1649" s="7">
        <v>10.77286</v>
      </c>
      <c r="N1649" s="7">
        <v>14.70856</v>
      </c>
      <c r="O1649" s="7" t="s">
        <v>23</v>
      </c>
    </row>
    <row r="1650" spans="1:15" hidden="1" x14ac:dyDescent="0.25">
      <c r="A1650" s="2">
        <f t="shared" si="25"/>
        <v>1648</v>
      </c>
      <c r="B1650" s="7" t="s">
        <v>7657</v>
      </c>
      <c r="C1650" s="7" t="s">
        <v>7658</v>
      </c>
      <c r="D1650" s="7" t="s">
        <v>7657</v>
      </c>
      <c r="E1650" s="7" t="s">
        <v>16</v>
      </c>
      <c r="F1650" s="7" t="s">
        <v>7659</v>
      </c>
      <c r="G1650" s="17" t="s">
        <v>7747</v>
      </c>
      <c r="H1650" s="7" t="s">
        <v>28</v>
      </c>
      <c r="I1650" s="7" t="s">
        <v>61</v>
      </c>
      <c r="J1650" s="7" t="s">
        <v>513</v>
      </c>
      <c r="K1650" s="7" t="s">
        <v>514</v>
      </c>
      <c r="L1650" s="7" t="s">
        <v>61</v>
      </c>
      <c r="M1650" s="10">
        <v>11.04204</v>
      </c>
      <c r="N1650" s="10">
        <v>14.131913000000001</v>
      </c>
      <c r="O1650" s="7" t="s">
        <v>23</v>
      </c>
    </row>
    <row r="1651" spans="1:15" hidden="1" x14ac:dyDescent="0.25">
      <c r="A1651" s="2">
        <f t="shared" si="25"/>
        <v>1649</v>
      </c>
      <c r="B1651" s="7" t="s">
        <v>7660</v>
      </c>
      <c r="C1651" s="7" t="s">
        <v>7661</v>
      </c>
      <c r="D1651" s="7" t="s">
        <v>7660</v>
      </c>
      <c r="E1651" s="7" t="s">
        <v>16</v>
      </c>
      <c r="F1651" s="7" t="s">
        <v>7662</v>
      </c>
      <c r="G1651" s="17" t="s">
        <v>7747</v>
      </c>
      <c r="H1651" s="7" t="s">
        <v>28</v>
      </c>
      <c r="I1651" s="7" t="s">
        <v>172</v>
      </c>
      <c r="J1651" s="7" t="s">
        <v>173</v>
      </c>
      <c r="K1651" s="7" t="s">
        <v>174</v>
      </c>
      <c r="L1651" s="7" t="s">
        <v>61</v>
      </c>
      <c r="M1651" s="10">
        <v>9.9226489999999998</v>
      </c>
      <c r="N1651" s="10">
        <v>13.948767</v>
      </c>
      <c r="O1651" s="7" t="s">
        <v>23</v>
      </c>
    </row>
    <row r="1652" spans="1:15" hidden="1" x14ac:dyDescent="0.25">
      <c r="A1652" s="2">
        <f t="shared" si="25"/>
        <v>1650</v>
      </c>
      <c r="B1652" s="7" t="s">
        <v>40</v>
      </c>
      <c r="C1652" s="7" t="s">
        <v>41</v>
      </c>
      <c r="D1652" s="7" t="s">
        <v>40</v>
      </c>
      <c r="E1652" s="7" t="s">
        <v>42</v>
      </c>
      <c r="F1652" s="7" t="s">
        <v>43</v>
      </c>
      <c r="G1652" s="17" t="s">
        <v>7747</v>
      </c>
      <c r="H1652" s="7" t="s">
        <v>28</v>
      </c>
      <c r="I1652" s="7" t="s">
        <v>44</v>
      </c>
      <c r="J1652" s="7" t="s">
        <v>45</v>
      </c>
      <c r="K1652" s="7" t="s">
        <v>46</v>
      </c>
      <c r="L1652" s="7" t="s">
        <v>47</v>
      </c>
      <c r="M1652" s="7">
        <v>7.0131810000000003</v>
      </c>
      <c r="N1652" s="7">
        <v>14.976239</v>
      </c>
      <c r="O1652" s="7" t="s">
        <v>23</v>
      </c>
    </row>
    <row r="1653" spans="1:15" hidden="1" x14ac:dyDescent="0.25">
      <c r="A1653" s="2">
        <f t="shared" si="25"/>
        <v>1651</v>
      </c>
      <c r="B1653" s="7" t="s">
        <v>411</v>
      </c>
      <c r="C1653" s="7" t="s">
        <v>412</v>
      </c>
      <c r="D1653" s="7" t="s">
        <v>411</v>
      </c>
      <c r="E1653" s="7" t="s">
        <v>42</v>
      </c>
      <c r="F1653" s="7" t="s">
        <v>413</v>
      </c>
      <c r="G1653" s="17" t="s">
        <v>7747</v>
      </c>
      <c r="H1653" s="7" t="s">
        <v>28</v>
      </c>
      <c r="I1653" s="7" t="s">
        <v>47</v>
      </c>
      <c r="J1653" s="7" t="s">
        <v>45</v>
      </c>
      <c r="K1653" s="7" t="s">
        <v>46</v>
      </c>
      <c r="L1653" s="7" t="s">
        <v>47</v>
      </c>
      <c r="M1653" s="7">
        <v>6.7493059999999998</v>
      </c>
      <c r="N1653" s="7">
        <v>14.580722</v>
      </c>
      <c r="O1653" s="7" t="s">
        <v>23</v>
      </c>
    </row>
    <row r="1654" spans="1:15" hidden="1" x14ac:dyDescent="0.25">
      <c r="A1654" s="2">
        <f t="shared" si="25"/>
        <v>1652</v>
      </c>
      <c r="B1654" s="7" t="s">
        <v>945</v>
      </c>
      <c r="C1654" s="7" t="s">
        <v>946</v>
      </c>
      <c r="D1654" s="7" t="s">
        <v>945</v>
      </c>
      <c r="E1654" s="7" t="s">
        <v>74</v>
      </c>
      <c r="F1654" s="7" t="s">
        <v>947</v>
      </c>
      <c r="G1654" s="17" t="s">
        <v>7747</v>
      </c>
      <c r="H1654" s="7" t="s">
        <v>28</v>
      </c>
      <c r="I1654" s="7" t="s">
        <v>76</v>
      </c>
      <c r="J1654" s="7" t="s">
        <v>904</v>
      </c>
      <c r="K1654" s="7" t="s">
        <v>76</v>
      </c>
      <c r="L1654" s="7" t="s">
        <v>47</v>
      </c>
      <c r="M1654" s="7">
        <v>5.9833769999999999</v>
      </c>
      <c r="N1654" s="7">
        <v>14.439457000000001</v>
      </c>
      <c r="O1654" s="7" t="s">
        <v>23</v>
      </c>
    </row>
    <row r="1655" spans="1:15" hidden="1" x14ac:dyDescent="0.25">
      <c r="A1655" s="2">
        <f t="shared" si="25"/>
        <v>1653</v>
      </c>
      <c r="B1655" s="7" t="s">
        <v>990</v>
      </c>
      <c r="C1655" s="7" t="s">
        <v>991</v>
      </c>
      <c r="D1655" s="7" t="s">
        <v>990</v>
      </c>
      <c r="E1655" s="7" t="s">
        <v>74</v>
      </c>
      <c r="F1655" s="7" t="s">
        <v>992</v>
      </c>
      <c r="G1655" s="17" t="s">
        <v>7747</v>
      </c>
      <c r="H1655" s="7" t="s">
        <v>28</v>
      </c>
      <c r="I1655" s="7" t="s">
        <v>76</v>
      </c>
      <c r="J1655" s="7" t="s">
        <v>904</v>
      </c>
      <c r="K1655" s="7" t="s">
        <v>993</v>
      </c>
      <c r="L1655" s="7" t="s">
        <v>47</v>
      </c>
      <c r="M1655" s="7">
        <v>5.5891359999999999</v>
      </c>
      <c r="N1655" s="7">
        <v>14.085990000000001</v>
      </c>
      <c r="O1655" s="7" t="s">
        <v>23</v>
      </c>
    </row>
    <row r="1656" spans="1:15" hidden="1" x14ac:dyDescent="0.25">
      <c r="A1656" s="2">
        <f t="shared" si="25"/>
        <v>1654</v>
      </c>
      <c r="B1656" s="7" t="s">
        <v>1003</v>
      </c>
      <c r="C1656" s="7" t="s">
        <v>1004</v>
      </c>
      <c r="D1656" s="7" t="s">
        <v>1003</v>
      </c>
      <c r="E1656" s="7" t="s">
        <v>170</v>
      </c>
      <c r="F1656" s="7" t="s">
        <v>1005</v>
      </c>
      <c r="G1656" s="17" t="s">
        <v>7747</v>
      </c>
      <c r="H1656" s="7" t="s">
        <v>19</v>
      </c>
      <c r="I1656" s="7" t="s">
        <v>234</v>
      </c>
      <c r="J1656" s="7" t="s">
        <v>732</v>
      </c>
      <c r="K1656" s="7" t="s">
        <v>1006</v>
      </c>
      <c r="L1656" s="7" t="s">
        <v>47</v>
      </c>
      <c r="M1656" s="7">
        <v>7.3103889999999998</v>
      </c>
      <c r="N1656" s="7">
        <v>15.160111000000001</v>
      </c>
      <c r="O1656" s="7" t="s">
        <v>23</v>
      </c>
    </row>
    <row r="1657" spans="1:15" hidden="1" x14ac:dyDescent="0.25">
      <c r="A1657" s="2">
        <f t="shared" si="25"/>
        <v>1655</v>
      </c>
      <c r="B1657" s="7" t="s">
        <v>1015</v>
      </c>
      <c r="C1657" s="7" t="s">
        <v>1016</v>
      </c>
      <c r="D1657" s="7" t="s">
        <v>1015</v>
      </c>
      <c r="E1657" s="7" t="s">
        <v>42</v>
      </c>
      <c r="F1657" s="7" t="s">
        <v>1017</v>
      </c>
      <c r="G1657" s="17" t="s">
        <v>7747</v>
      </c>
      <c r="H1657" s="7" t="s">
        <v>28</v>
      </c>
      <c r="I1657" s="7" t="s">
        <v>47</v>
      </c>
      <c r="J1657" s="7" t="s">
        <v>45</v>
      </c>
      <c r="K1657" s="7" t="s">
        <v>1018</v>
      </c>
      <c r="L1657" s="7" t="s">
        <v>47</v>
      </c>
      <c r="M1657" s="7">
        <v>6.3286939999999996</v>
      </c>
      <c r="N1657" s="7">
        <v>14.725</v>
      </c>
      <c r="O1657" s="7" t="s">
        <v>23</v>
      </c>
    </row>
    <row r="1658" spans="1:15" hidden="1" x14ac:dyDescent="0.25">
      <c r="A1658" s="2">
        <f t="shared" si="25"/>
        <v>1656</v>
      </c>
      <c r="B1658" s="7" t="s">
        <v>1129</v>
      </c>
      <c r="C1658" s="7" t="s">
        <v>1130</v>
      </c>
      <c r="D1658" s="7" t="s">
        <v>1129</v>
      </c>
      <c r="E1658" s="7" t="s">
        <v>42</v>
      </c>
      <c r="F1658" s="7" t="s">
        <v>1131</v>
      </c>
      <c r="G1658" s="17" t="s">
        <v>7747</v>
      </c>
      <c r="H1658" s="7" t="s">
        <v>28</v>
      </c>
      <c r="I1658" s="7" t="s">
        <v>47</v>
      </c>
      <c r="J1658" s="7" t="s">
        <v>47</v>
      </c>
      <c r="K1658" s="7" t="s">
        <v>1132</v>
      </c>
      <c r="L1658" s="7" t="s">
        <v>47</v>
      </c>
      <c r="M1658" s="7">
        <v>6.4254319999999998</v>
      </c>
      <c r="N1658" s="7">
        <v>13.386085</v>
      </c>
      <c r="O1658" s="7" t="s">
        <v>23</v>
      </c>
    </row>
    <row r="1659" spans="1:15" x14ac:dyDescent="0.25">
      <c r="A1659" s="2">
        <f t="shared" si="25"/>
        <v>1657</v>
      </c>
      <c r="B1659" s="7" t="s">
        <v>1285</v>
      </c>
      <c r="C1659" s="7" t="s">
        <v>1286</v>
      </c>
      <c r="D1659" s="7" t="s">
        <v>1285</v>
      </c>
      <c r="E1659" s="7" t="s">
        <v>131</v>
      </c>
      <c r="F1659" s="7" t="s">
        <v>1287</v>
      </c>
      <c r="G1659" s="8" t="s">
        <v>18</v>
      </c>
      <c r="H1659" s="7" t="s">
        <v>28</v>
      </c>
      <c r="I1659" s="7" t="s">
        <v>194</v>
      </c>
      <c r="J1659" s="7" t="s">
        <v>1054</v>
      </c>
      <c r="K1659" s="7" t="s">
        <v>1152</v>
      </c>
      <c r="L1659" s="7" t="s">
        <v>47</v>
      </c>
      <c r="M1659" s="7">
        <v>5.8903999999999996</v>
      </c>
      <c r="N1659" s="7">
        <v>13.52262</v>
      </c>
      <c r="O1659" s="7" t="s">
        <v>23</v>
      </c>
    </row>
    <row r="1660" spans="1:15" hidden="1" x14ac:dyDescent="0.25">
      <c r="A1660" s="2">
        <f t="shared" si="25"/>
        <v>1658</v>
      </c>
      <c r="B1660" s="7" t="s">
        <v>1416</v>
      </c>
      <c r="C1660" s="7" t="s">
        <v>1417</v>
      </c>
      <c r="D1660" s="7" t="s">
        <v>1416</v>
      </c>
      <c r="E1660" s="7" t="s">
        <v>74</v>
      </c>
      <c r="F1660" s="7" t="s">
        <v>1418</v>
      </c>
      <c r="G1660" s="17" t="s">
        <v>7747</v>
      </c>
      <c r="H1660" s="7" t="s">
        <v>28</v>
      </c>
      <c r="I1660" s="7" t="s">
        <v>76</v>
      </c>
      <c r="J1660" s="7" t="s">
        <v>77</v>
      </c>
      <c r="K1660" s="7" t="s">
        <v>76</v>
      </c>
      <c r="L1660" s="7" t="s">
        <v>47</v>
      </c>
      <c r="M1660" s="7">
        <v>5.8921169999999998</v>
      </c>
      <c r="N1660" s="7">
        <v>14.557543000000001</v>
      </c>
      <c r="O1660" s="7" t="s">
        <v>23</v>
      </c>
    </row>
    <row r="1661" spans="1:15" hidden="1" x14ac:dyDescent="0.25">
      <c r="A1661" s="2">
        <f t="shared" si="25"/>
        <v>1659</v>
      </c>
      <c r="B1661" s="7" t="s">
        <v>1625</v>
      </c>
      <c r="C1661" s="7" t="s">
        <v>1626</v>
      </c>
      <c r="D1661" s="7" t="s">
        <v>1625</v>
      </c>
      <c r="E1661" s="7" t="s">
        <v>42</v>
      </c>
      <c r="F1661" s="7" t="s">
        <v>1627</v>
      </c>
      <c r="G1661" s="17" t="s">
        <v>7747</v>
      </c>
      <c r="H1661" s="7" t="s">
        <v>28</v>
      </c>
      <c r="I1661" s="7" t="s">
        <v>47</v>
      </c>
      <c r="J1661" s="7" t="s">
        <v>45</v>
      </c>
      <c r="K1661" s="7" t="s">
        <v>1018</v>
      </c>
      <c r="L1661" s="7" t="s">
        <v>47</v>
      </c>
      <c r="M1661" s="7">
        <v>6.5196480000000001</v>
      </c>
      <c r="N1661" s="7">
        <v>14.298069999999999</v>
      </c>
      <c r="O1661" s="7" t="s">
        <v>23</v>
      </c>
    </row>
    <row r="1662" spans="1:15" hidden="1" x14ac:dyDescent="0.25">
      <c r="A1662" s="2">
        <f t="shared" si="25"/>
        <v>1660</v>
      </c>
      <c r="B1662" s="7" t="s">
        <v>1628</v>
      </c>
      <c r="C1662" s="7" t="s">
        <v>1629</v>
      </c>
      <c r="D1662" s="7" t="s">
        <v>1628</v>
      </c>
      <c r="E1662" s="7" t="s">
        <v>170</v>
      </c>
      <c r="F1662" s="7" t="s">
        <v>1630</v>
      </c>
      <c r="G1662" s="17" t="s">
        <v>7747</v>
      </c>
      <c r="H1662" s="7" t="s">
        <v>19</v>
      </c>
      <c r="I1662" s="7" t="s">
        <v>234</v>
      </c>
      <c r="J1662" s="7" t="s">
        <v>732</v>
      </c>
      <c r="K1662" s="7" t="s">
        <v>1006</v>
      </c>
      <c r="L1662" s="7" t="s">
        <v>47</v>
      </c>
      <c r="M1662" s="7">
        <v>7.5566222219999997</v>
      </c>
      <c r="N1662" s="7">
        <v>15.394305559999999</v>
      </c>
      <c r="O1662" s="7" t="s">
        <v>23</v>
      </c>
    </row>
    <row r="1663" spans="1:15" hidden="1" x14ac:dyDescent="0.25">
      <c r="A1663" s="2">
        <f t="shared" si="25"/>
        <v>1661</v>
      </c>
      <c r="B1663" s="7" t="s">
        <v>1952</v>
      </c>
      <c r="C1663" s="7" t="s">
        <v>1953</v>
      </c>
      <c r="D1663" s="7" t="s">
        <v>1952</v>
      </c>
      <c r="E1663" s="7" t="s">
        <v>42</v>
      </c>
      <c r="F1663" s="7" t="s">
        <v>1954</v>
      </c>
      <c r="G1663" s="17" t="s">
        <v>7747</v>
      </c>
      <c r="H1663" s="7" t="s">
        <v>28</v>
      </c>
      <c r="I1663" s="7" t="s">
        <v>47</v>
      </c>
      <c r="J1663" s="7" t="s">
        <v>45</v>
      </c>
      <c r="K1663" s="7" t="s">
        <v>46</v>
      </c>
      <c r="L1663" s="7" t="s">
        <v>47</v>
      </c>
      <c r="M1663" s="7">
        <v>6.8366670000000003</v>
      </c>
      <c r="N1663" s="7">
        <v>14.679194000000001</v>
      </c>
      <c r="O1663" s="7" t="s">
        <v>23</v>
      </c>
    </row>
    <row r="1664" spans="1:15" hidden="1" x14ac:dyDescent="0.25">
      <c r="A1664" s="2">
        <f t="shared" si="25"/>
        <v>1662</v>
      </c>
      <c r="B1664" s="7" t="s">
        <v>2576</v>
      </c>
      <c r="C1664" s="7" t="s">
        <v>2577</v>
      </c>
      <c r="D1664" s="7" t="s">
        <v>2576</v>
      </c>
      <c r="E1664" s="7" t="s">
        <v>74</v>
      </c>
      <c r="F1664" s="7" t="s">
        <v>2578</v>
      </c>
      <c r="G1664" s="17" t="s">
        <v>7747</v>
      </c>
      <c r="H1664" s="7" t="s">
        <v>28</v>
      </c>
      <c r="I1664" s="7" t="s">
        <v>76</v>
      </c>
      <c r="J1664" s="7" t="s">
        <v>77</v>
      </c>
      <c r="K1664" s="7" t="s">
        <v>76</v>
      </c>
      <c r="L1664" s="7" t="s">
        <v>47</v>
      </c>
      <c r="M1664" s="7">
        <v>5.8949569999999998</v>
      </c>
      <c r="N1664" s="7">
        <v>14.549227999999999</v>
      </c>
      <c r="O1664" s="7" t="s">
        <v>23</v>
      </c>
    </row>
    <row r="1665" spans="1:15" hidden="1" x14ac:dyDescent="0.25">
      <c r="A1665" s="2">
        <f t="shared" si="25"/>
        <v>1663</v>
      </c>
      <c r="B1665" s="7" t="s">
        <v>2722</v>
      </c>
      <c r="C1665" s="7" t="s">
        <v>2723</v>
      </c>
      <c r="D1665" s="7" t="s">
        <v>2722</v>
      </c>
      <c r="E1665" s="7" t="s">
        <v>42</v>
      </c>
      <c r="F1665" s="7" t="s">
        <v>2724</v>
      </c>
      <c r="G1665" s="17" t="s">
        <v>7747</v>
      </c>
      <c r="H1665" s="7" t="s">
        <v>19</v>
      </c>
      <c r="I1665" s="7" t="s">
        <v>47</v>
      </c>
      <c r="J1665" s="7" t="s">
        <v>45</v>
      </c>
      <c r="K1665" s="7" t="s">
        <v>1018</v>
      </c>
      <c r="L1665" s="7" t="s">
        <v>47</v>
      </c>
      <c r="M1665" s="7">
        <v>6.5581149999999999</v>
      </c>
      <c r="N1665" s="7">
        <v>14.257445000000001</v>
      </c>
      <c r="O1665" s="7" t="s">
        <v>23</v>
      </c>
    </row>
    <row r="1666" spans="1:15" hidden="1" x14ac:dyDescent="0.25">
      <c r="A1666" s="2">
        <f t="shared" si="25"/>
        <v>1664</v>
      </c>
      <c r="B1666" s="7" t="s">
        <v>2770</v>
      </c>
      <c r="C1666" s="7" t="s">
        <v>2771</v>
      </c>
      <c r="D1666" s="7" t="s">
        <v>2770</v>
      </c>
      <c r="E1666" s="7" t="s">
        <v>42</v>
      </c>
      <c r="F1666" s="7" t="s">
        <v>2772</v>
      </c>
      <c r="G1666" s="17" t="s">
        <v>7747</v>
      </c>
      <c r="H1666" s="7" t="s">
        <v>19</v>
      </c>
      <c r="I1666" s="7" t="s">
        <v>47</v>
      </c>
      <c r="J1666" s="7" t="s">
        <v>45</v>
      </c>
      <c r="K1666" s="7" t="s">
        <v>1018</v>
      </c>
      <c r="L1666" s="7" t="s">
        <v>47</v>
      </c>
      <c r="M1666" s="7">
        <v>6.8434340000000002</v>
      </c>
      <c r="N1666" s="7">
        <v>14.151503</v>
      </c>
      <c r="O1666" s="7" t="s">
        <v>23</v>
      </c>
    </row>
    <row r="1667" spans="1:15" hidden="1" x14ac:dyDescent="0.25">
      <c r="A1667" s="2">
        <f t="shared" si="25"/>
        <v>1665</v>
      </c>
      <c r="B1667" s="7" t="s">
        <v>2773</v>
      </c>
      <c r="C1667" s="7" t="s">
        <v>2774</v>
      </c>
      <c r="D1667" s="7" t="s">
        <v>2773</v>
      </c>
      <c r="E1667" s="7" t="s">
        <v>42</v>
      </c>
      <c r="F1667" s="7" t="s">
        <v>2775</v>
      </c>
      <c r="G1667" s="17" t="s">
        <v>7747</v>
      </c>
      <c r="H1667" s="7" t="s">
        <v>19</v>
      </c>
      <c r="I1667" s="7" t="s">
        <v>47</v>
      </c>
      <c r="J1667" s="7" t="s">
        <v>45</v>
      </c>
      <c r="K1667" s="7" t="s">
        <v>1018</v>
      </c>
      <c r="L1667" s="7" t="s">
        <v>47</v>
      </c>
      <c r="M1667" s="7">
        <v>6.5585889999999996</v>
      </c>
      <c r="N1667" s="7">
        <v>14.257821</v>
      </c>
      <c r="O1667" s="7" t="s">
        <v>23</v>
      </c>
    </row>
    <row r="1668" spans="1:15" hidden="1" x14ac:dyDescent="0.25">
      <c r="A1668" s="2">
        <f t="shared" si="25"/>
        <v>1666</v>
      </c>
      <c r="B1668" s="7" t="s">
        <v>3025</v>
      </c>
      <c r="C1668" s="7" t="s">
        <v>3026</v>
      </c>
      <c r="D1668" s="7" t="s">
        <v>3025</v>
      </c>
      <c r="E1668" s="7" t="s">
        <v>42</v>
      </c>
      <c r="F1668" s="7" t="s">
        <v>3027</v>
      </c>
      <c r="G1668" s="17" t="s">
        <v>7747</v>
      </c>
      <c r="H1668" s="7" t="s">
        <v>28</v>
      </c>
      <c r="I1668" s="7" t="s">
        <v>47</v>
      </c>
      <c r="J1668" s="7" t="s">
        <v>45</v>
      </c>
      <c r="K1668" s="7" t="s">
        <v>1018</v>
      </c>
      <c r="L1668" s="7" t="s">
        <v>47</v>
      </c>
      <c r="M1668" s="7">
        <v>6.5129200000000003</v>
      </c>
      <c r="N1668" s="7">
        <v>14.28619</v>
      </c>
      <c r="O1668" s="7" t="s">
        <v>23</v>
      </c>
    </row>
    <row r="1669" spans="1:15" hidden="1" x14ac:dyDescent="0.25">
      <c r="A1669" s="2">
        <f t="shared" ref="A1669:A1732" si="26">+A1668+1</f>
        <v>1667</v>
      </c>
      <c r="B1669" s="7" t="s">
        <v>3132</v>
      </c>
      <c r="C1669" s="7" t="s">
        <v>3133</v>
      </c>
      <c r="D1669" s="7" t="s">
        <v>3132</v>
      </c>
      <c r="E1669" s="7" t="s">
        <v>42</v>
      </c>
      <c r="F1669" s="7" t="s">
        <v>3134</v>
      </c>
      <c r="G1669" s="17" t="s">
        <v>7747</v>
      </c>
      <c r="H1669" s="7" t="s">
        <v>28</v>
      </c>
      <c r="I1669" s="7" t="s">
        <v>47</v>
      </c>
      <c r="J1669" s="7" t="s">
        <v>45</v>
      </c>
      <c r="K1669" s="7" t="s">
        <v>1018</v>
      </c>
      <c r="L1669" s="7" t="s">
        <v>47</v>
      </c>
      <c r="M1669" s="7">
        <v>6.5198330000000002</v>
      </c>
      <c r="N1669" s="7">
        <v>14.291221999999999</v>
      </c>
      <c r="O1669" s="7" t="s">
        <v>23</v>
      </c>
    </row>
    <row r="1670" spans="1:15" hidden="1" x14ac:dyDescent="0.25">
      <c r="A1670" s="2">
        <f t="shared" si="26"/>
        <v>1668</v>
      </c>
      <c r="B1670" s="7" t="s">
        <v>4428</v>
      </c>
      <c r="C1670" s="7" t="s">
        <v>4429</v>
      </c>
      <c r="D1670" s="7" t="s">
        <v>4428</v>
      </c>
      <c r="E1670" s="7" t="s">
        <v>74</v>
      </c>
      <c r="F1670" s="7" t="s">
        <v>76</v>
      </c>
      <c r="G1670" s="17" t="s">
        <v>7747</v>
      </c>
      <c r="H1670" s="7" t="s">
        <v>19</v>
      </c>
      <c r="I1670" s="7" t="s">
        <v>76</v>
      </c>
      <c r="J1670" s="7" t="s">
        <v>77</v>
      </c>
      <c r="K1670" s="7" t="s">
        <v>76</v>
      </c>
      <c r="L1670" s="7" t="s">
        <v>47</v>
      </c>
      <c r="M1670" s="7">
        <v>5.8836750000000002</v>
      </c>
      <c r="N1670" s="7">
        <v>14.547117999999999</v>
      </c>
      <c r="O1670" s="7" t="s">
        <v>23</v>
      </c>
    </row>
    <row r="1671" spans="1:15" hidden="1" x14ac:dyDescent="0.25">
      <c r="A1671" s="2">
        <f t="shared" si="26"/>
        <v>1669</v>
      </c>
      <c r="B1671" s="7" t="s">
        <v>5914</v>
      </c>
      <c r="C1671" s="7" t="s">
        <v>5915</v>
      </c>
      <c r="D1671" s="7" t="s">
        <v>5914</v>
      </c>
      <c r="E1671" s="7" t="s">
        <v>42</v>
      </c>
      <c r="F1671" s="7" t="s">
        <v>5916</v>
      </c>
      <c r="G1671" s="17" t="s">
        <v>7747</v>
      </c>
      <c r="H1671" s="7" t="s">
        <v>28</v>
      </c>
      <c r="I1671" s="7" t="s">
        <v>47</v>
      </c>
      <c r="J1671" s="7" t="s">
        <v>45</v>
      </c>
      <c r="K1671" s="7" t="s">
        <v>5917</v>
      </c>
      <c r="L1671" s="7" t="s">
        <v>47</v>
      </c>
      <c r="M1671" s="7">
        <v>6.7425800000000002</v>
      </c>
      <c r="N1671" s="7">
        <v>14.95933</v>
      </c>
      <c r="O1671" s="7" t="s">
        <v>23</v>
      </c>
    </row>
    <row r="1672" spans="1:15" hidden="1" x14ac:dyDescent="0.25">
      <c r="A1672" s="2">
        <f t="shared" si="26"/>
        <v>1670</v>
      </c>
      <c r="B1672" s="7" t="s">
        <v>5936</v>
      </c>
      <c r="C1672" s="7" t="s">
        <v>5937</v>
      </c>
      <c r="D1672" s="7" t="s">
        <v>5936</v>
      </c>
      <c r="E1672" s="7" t="s">
        <v>42</v>
      </c>
      <c r="F1672" s="7" t="s">
        <v>5938</v>
      </c>
      <c r="G1672" s="17" t="s">
        <v>7747</v>
      </c>
      <c r="H1672" s="7" t="s">
        <v>28</v>
      </c>
      <c r="I1672" s="7" t="s">
        <v>47</v>
      </c>
      <c r="J1672" s="7" t="s">
        <v>45</v>
      </c>
      <c r="K1672" s="7" t="s">
        <v>1018</v>
      </c>
      <c r="L1672" s="7" t="s">
        <v>47</v>
      </c>
      <c r="M1672" s="7">
        <v>6.4134599999999997</v>
      </c>
      <c r="N1672" s="7">
        <v>14.21979</v>
      </c>
      <c r="O1672" s="7" t="s">
        <v>23</v>
      </c>
    </row>
    <row r="1673" spans="1:15" hidden="1" x14ac:dyDescent="0.25">
      <c r="A1673" s="2">
        <f t="shared" si="26"/>
        <v>1671</v>
      </c>
      <c r="B1673" s="7" t="s">
        <v>5951</v>
      </c>
      <c r="C1673" s="7" t="s">
        <v>5952</v>
      </c>
      <c r="D1673" s="7" t="s">
        <v>5951</v>
      </c>
      <c r="E1673" s="7" t="s">
        <v>42</v>
      </c>
      <c r="F1673" s="7" t="s">
        <v>45</v>
      </c>
      <c r="G1673" s="17" t="s">
        <v>7747</v>
      </c>
      <c r="H1673" s="7" t="s">
        <v>28</v>
      </c>
      <c r="I1673" s="7" t="s">
        <v>47</v>
      </c>
      <c r="J1673" s="7" t="s">
        <v>235</v>
      </c>
      <c r="K1673" s="7" t="s">
        <v>4037</v>
      </c>
      <c r="L1673" s="7" t="s">
        <v>47</v>
      </c>
      <c r="M1673" s="7">
        <v>6.9688629999999998</v>
      </c>
      <c r="N1673" s="7">
        <v>14.051608999999999</v>
      </c>
      <c r="O1673" s="7" t="s">
        <v>23</v>
      </c>
    </row>
    <row r="1674" spans="1:15" hidden="1" x14ac:dyDescent="0.25">
      <c r="A1674" s="2">
        <f t="shared" si="26"/>
        <v>1672</v>
      </c>
      <c r="B1674" s="7" t="s">
        <v>6016</v>
      </c>
      <c r="C1674" s="7" t="s">
        <v>6017</v>
      </c>
      <c r="D1674" s="7" t="s">
        <v>6016</v>
      </c>
      <c r="E1674" s="7" t="s">
        <v>42</v>
      </c>
      <c r="F1674" s="7" t="s">
        <v>6018</v>
      </c>
      <c r="G1674" s="17" t="s">
        <v>7747</v>
      </c>
      <c r="H1674" s="7" t="s">
        <v>28</v>
      </c>
      <c r="I1674" s="7" t="s">
        <v>47</v>
      </c>
      <c r="J1674" s="7" t="s">
        <v>45</v>
      </c>
      <c r="K1674" s="7" t="s">
        <v>1018</v>
      </c>
      <c r="L1674" s="7" t="s">
        <v>47</v>
      </c>
      <c r="M1674" s="7">
        <v>6.70906</v>
      </c>
      <c r="N1674" s="7">
        <v>14.20514</v>
      </c>
      <c r="O1674" s="7" t="s">
        <v>23</v>
      </c>
    </row>
    <row r="1675" spans="1:15" hidden="1" x14ac:dyDescent="0.25">
      <c r="A1675" s="2">
        <f t="shared" si="26"/>
        <v>1673</v>
      </c>
      <c r="B1675" s="7" t="s">
        <v>6141</v>
      </c>
      <c r="C1675" s="7" t="s">
        <v>6142</v>
      </c>
      <c r="D1675" s="7" t="s">
        <v>6141</v>
      </c>
      <c r="E1675" s="7" t="s">
        <v>74</v>
      </c>
      <c r="F1675" s="7" t="s">
        <v>6143</v>
      </c>
      <c r="G1675" s="17" t="s">
        <v>7747</v>
      </c>
      <c r="H1675" s="7" t="s">
        <v>28</v>
      </c>
      <c r="I1675" s="7" t="s">
        <v>76</v>
      </c>
      <c r="J1675" s="7" t="s">
        <v>77</v>
      </c>
      <c r="K1675" s="7" t="s">
        <v>76</v>
      </c>
      <c r="L1675" s="7" t="s">
        <v>47</v>
      </c>
      <c r="M1675" s="7">
        <v>5.6055400000000004</v>
      </c>
      <c r="N1675" s="7">
        <v>14.36239</v>
      </c>
      <c r="O1675" s="7" t="s">
        <v>23</v>
      </c>
    </row>
    <row r="1676" spans="1:15" hidden="1" x14ac:dyDescent="0.25">
      <c r="A1676" s="2">
        <f t="shared" si="26"/>
        <v>1674</v>
      </c>
      <c r="B1676" s="7" t="s">
        <v>6155</v>
      </c>
      <c r="C1676" s="7" t="s">
        <v>6156</v>
      </c>
      <c r="D1676" s="7" t="s">
        <v>6155</v>
      </c>
      <c r="E1676" s="7" t="s">
        <v>42</v>
      </c>
      <c r="F1676" s="7" t="s">
        <v>6157</v>
      </c>
      <c r="G1676" s="17" t="s">
        <v>7747</v>
      </c>
      <c r="H1676" s="7" t="s">
        <v>28</v>
      </c>
      <c r="I1676" s="7" t="s">
        <v>47</v>
      </c>
      <c r="J1676" s="7" t="s">
        <v>45</v>
      </c>
      <c r="K1676" s="7" t="s">
        <v>1132</v>
      </c>
      <c r="L1676" s="7" t="s">
        <v>47</v>
      </c>
      <c r="M1676" s="7">
        <v>6.4114699999999996</v>
      </c>
      <c r="N1676" s="7">
        <v>13.87828</v>
      </c>
      <c r="O1676" s="7" t="s">
        <v>23</v>
      </c>
    </row>
    <row r="1677" spans="1:15" hidden="1" x14ac:dyDescent="0.25">
      <c r="A1677" s="2">
        <f t="shared" si="26"/>
        <v>1675</v>
      </c>
      <c r="B1677" s="7" t="s">
        <v>6158</v>
      </c>
      <c r="C1677" s="7" t="s">
        <v>6159</v>
      </c>
      <c r="D1677" s="7" t="s">
        <v>6158</v>
      </c>
      <c r="E1677" s="7" t="s">
        <v>170</v>
      </c>
      <c r="F1677" s="7" t="s">
        <v>6160</v>
      </c>
      <c r="G1677" s="17" t="s">
        <v>7747</v>
      </c>
      <c r="H1677" s="7" t="s">
        <v>19</v>
      </c>
      <c r="I1677" s="7" t="s">
        <v>234</v>
      </c>
      <c r="J1677" s="7" t="s">
        <v>258</v>
      </c>
      <c r="K1677" s="7" t="s">
        <v>1006</v>
      </c>
      <c r="L1677" s="7" t="s">
        <v>47</v>
      </c>
      <c r="M1677" s="7">
        <v>7.2898870000000002</v>
      </c>
      <c r="N1677" s="7">
        <v>15.12289</v>
      </c>
      <c r="O1677" s="7" t="s">
        <v>23</v>
      </c>
    </row>
    <row r="1678" spans="1:15" hidden="1" x14ac:dyDescent="0.25">
      <c r="A1678" s="2">
        <f t="shared" si="26"/>
        <v>1676</v>
      </c>
      <c r="B1678" s="7" t="s">
        <v>6161</v>
      </c>
      <c r="C1678" s="7" t="s">
        <v>6162</v>
      </c>
      <c r="D1678" s="7" t="s">
        <v>6161</v>
      </c>
      <c r="E1678" s="7" t="s">
        <v>42</v>
      </c>
      <c r="F1678" s="7" t="s">
        <v>6163</v>
      </c>
      <c r="G1678" s="17" t="s">
        <v>7747</v>
      </c>
      <c r="H1678" s="7" t="s">
        <v>28</v>
      </c>
      <c r="I1678" s="7" t="s">
        <v>47</v>
      </c>
      <c r="J1678" s="7" t="s">
        <v>47</v>
      </c>
      <c r="K1678" s="7" t="s">
        <v>1132</v>
      </c>
      <c r="L1678" s="7" t="s">
        <v>47</v>
      </c>
      <c r="M1678" s="7">
        <v>6.3273060000000001</v>
      </c>
      <c r="N1678" s="7">
        <v>13.543889</v>
      </c>
      <c r="O1678" s="7" t="s">
        <v>23</v>
      </c>
    </row>
    <row r="1679" spans="1:15" hidden="1" x14ac:dyDescent="0.25">
      <c r="A1679" s="2">
        <f t="shared" si="26"/>
        <v>1677</v>
      </c>
      <c r="B1679" s="7" t="s">
        <v>6243</v>
      </c>
      <c r="C1679" s="7" t="s">
        <v>6244</v>
      </c>
      <c r="D1679" s="7" t="s">
        <v>6243</v>
      </c>
      <c r="E1679" s="7" t="s">
        <v>42</v>
      </c>
      <c r="F1679" s="7" t="s">
        <v>6245</v>
      </c>
      <c r="G1679" s="17" t="s">
        <v>7747</v>
      </c>
      <c r="H1679" s="7" t="s">
        <v>28</v>
      </c>
      <c r="I1679" s="7" t="s">
        <v>47</v>
      </c>
      <c r="J1679" s="7" t="s">
        <v>45</v>
      </c>
      <c r="K1679" s="7" t="s">
        <v>5917</v>
      </c>
      <c r="L1679" s="7" t="s">
        <v>47</v>
      </c>
      <c r="M1679" s="7">
        <v>6.7486389999999998</v>
      </c>
      <c r="N1679" s="7">
        <v>14.948028000000001</v>
      </c>
      <c r="O1679" s="7" t="s">
        <v>23</v>
      </c>
    </row>
    <row r="1680" spans="1:15" hidden="1" x14ac:dyDescent="0.25">
      <c r="A1680" s="2">
        <f t="shared" si="26"/>
        <v>1678</v>
      </c>
      <c r="B1680" s="7" t="s">
        <v>6361</v>
      </c>
      <c r="C1680" s="7" t="s">
        <v>6362</v>
      </c>
      <c r="D1680" s="7" t="s">
        <v>6361</v>
      </c>
      <c r="E1680" s="7" t="s">
        <v>42</v>
      </c>
      <c r="F1680" s="7" t="s">
        <v>6363</v>
      </c>
      <c r="G1680" s="17" t="s">
        <v>7747</v>
      </c>
      <c r="H1680" s="7" t="s">
        <v>28</v>
      </c>
      <c r="I1680" s="7" t="s">
        <v>47</v>
      </c>
      <c r="J1680" s="7" t="s">
        <v>45</v>
      </c>
      <c r="K1680" s="7" t="s">
        <v>1018</v>
      </c>
      <c r="L1680" s="7" t="s">
        <v>47</v>
      </c>
      <c r="M1680" s="7">
        <v>6.3798880000000002</v>
      </c>
      <c r="N1680" s="7">
        <v>14.316743000000001</v>
      </c>
      <c r="O1680" s="7" t="s">
        <v>23</v>
      </c>
    </row>
    <row r="1681" spans="1:15" hidden="1" x14ac:dyDescent="0.25">
      <c r="A1681" s="2">
        <f t="shared" si="26"/>
        <v>1679</v>
      </c>
      <c r="B1681" s="7" t="s">
        <v>6409</v>
      </c>
      <c r="C1681" s="7" t="s">
        <v>6410</v>
      </c>
      <c r="D1681" s="7" t="s">
        <v>6409</v>
      </c>
      <c r="E1681" s="7" t="s">
        <v>42</v>
      </c>
      <c r="F1681" s="7" t="s">
        <v>6411</v>
      </c>
      <c r="G1681" s="17" t="s">
        <v>7747</v>
      </c>
      <c r="H1681" s="7" t="s">
        <v>19</v>
      </c>
      <c r="I1681" s="7" t="s">
        <v>47</v>
      </c>
      <c r="J1681" s="7" t="s">
        <v>45</v>
      </c>
      <c r="K1681" s="7" t="s">
        <v>1018</v>
      </c>
      <c r="L1681" s="7" t="s">
        <v>47</v>
      </c>
      <c r="M1681" s="7">
        <v>6.5013620000000003</v>
      </c>
      <c r="N1681" s="7">
        <v>14.066504999999999</v>
      </c>
      <c r="O1681" s="7" t="s">
        <v>23</v>
      </c>
    </row>
    <row r="1682" spans="1:15" hidden="1" x14ac:dyDescent="0.25">
      <c r="A1682" s="2">
        <f t="shared" si="26"/>
        <v>1680</v>
      </c>
      <c r="B1682" s="7" t="s">
        <v>6448</v>
      </c>
      <c r="C1682" s="7" t="s">
        <v>6449</v>
      </c>
      <c r="D1682" s="7" t="s">
        <v>6448</v>
      </c>
      <c r="E1682" s="7" t="s">
        <v>74</v>
      </c>
      <c r="F1682" s="7" t="s">
        <v>6450</v>
      </c>
      <c r="G1682" s="17" t="s">
        <v>7747</v>
      </c>
      <c r="H1682" s="7" t="s">
        <v>19</v>
      </c>
      <c r="I1682" s="7" t="s">
        <v>76</v>
      </c>
      <c r="J1682" s="7" t="s">
        <v>77</v>
      </c>
      <c r="K1682" s="7" t="s">
        <v>76</v>
      </c>
      <c r="L1682" s="7" t="s">
        <v>47</v>
      </c>
      <c r="M1682" s="7">
        <v>5.745584</v>
      </c>
      <c r="N1682" s="7">
        <v>14.441516</v>
      </c>
      <c r="O1682" s="7" t="s">
        <v>23</v>
      </c>
    </row>
    <row r="1683" spans="1:15" hidden="1" x14ac:dyDescent="0.25">
      <c r="A1683" s="2">
        <f t="shared" si="26"/>
        <v>1681</v>
      </c>
      <c r="B1683" s="7" t="s">
        <v>6451</v>
      </c>
      <c r="C1683" s="7" t="s">
        <v>6452</v>
      </c>
      <c r="D1683" s="7" t="s">
        <v>6451</v>
      </c>
      <c r="E1683" s="7" t="s">
        <v>74</v>
      </c>
      <c r="F1683" s="7" t="s">
        <v>6453</v>
      </c>
      <c r="G1683" s="17" t="s">
        <v>7747</v>
      </c>
      <c r="H1683" s="7" t="s">
        <v>19</v>
      </c>
      <c r="I1683" s="7" t="s">
        <v>76</v>
      </c>
      <c r="J1683" s="7" t="s">
        <v>77</v>
      </c>
      <c r="K1683" s="7" t="s">
        <v>76</v>
      </c>
      <c r="L1683" s="7" t="s">
        <v>47</v>
      </c>
      <c r="M1683" s="7">
        <v>5.7447889999999999</v>
      </c>
      <c r="N1683" s="7">
        <v>14.441345</v>
      </c>
      <c r="O1683" s="7" t="s">
        <v>23</v>
      </c>
    </row>
    <row r="1684" spans="1:15" hidden="1" x14ac:dyDescent="0.25">
      <c r="A1684" s="2">
        <f t="shared" si="26"/>
        <v>1682</v>
      </c>
      <c r="B1684" s="7" t="s">
        <v>6470</v>
      </c>
      <c r="C1684" s="7" t="s">
        <v>6471</v>
      </c>
      <c r="D1684" s="7" t="s">
        <v>6470</v>
      </c>
      <c r="E1684" s="7" t="s">
        <v>42</v>
      </c>
      <c r="F1684" s="7" t="s">
        <v>6472</v>
      </c>
      <c r="G1684" s="17" t="s">
        <v>7747</v>
      </c>
      <c r="H1684" s="7" t="s">
        <v>19</v>
      </c>
      <c r="I1684" s="7" t="s">
        <v>47</v>
      </c>
      <c r="J1684" s="7" t="s">
        <v>45</v>
      </c>
      <c r="K1684" s="7" t="s">
        <v>1132</v>
      </c>
      <c r="L1684" s="7" t="s">
        <v>47</v>
      </c>
      <c r="M1684" s="7">
        <v>6.3509010000000004</v>
      </c>
      <c r="N1684" s="7">
        <v>13.739127</v>
      </c>
      <c r="O1684" s="7" t="s">
        <v>23</v>
      </c>
    </row>
    <row r="1685" spans="1:15" hidden="1" x14ac:dyDescent="0.25">
      <c r="A1685" s="2">
        <f t="shared" si="26"/>
        <v>1683</v>
      </c>
      <c r="B1685" s="7" t="s">
        <v>6473</v>
      </c>
      <c r="C1685" s="7" t="s">
        <v>6474</v>
      </c>
      <c r="D1685" s="7" t="s">
        <v>6473</v>
      </c>
      <c r="E1685" s="7" t="s">
        <v>42</v>
      </c>
      <c r="F1685" s="7" t="s">
        <v>1954</v>
      </c>
      <c r="G1685" s="17" t="s">
        <v>7747</v>
      </c>
      <c r="H1685" s="7" t="s">
        <v>28</v>
      </c>
      <c r="I1685" s="7" t="s">
        <v>47</v>
      </c>
      <c r="J1685" s="7" t="s">
        <v>45</v>
      </c>
      <c r="K1685" s="7" t="s">
        <v>46</v>
      </c>
      <c r="L1685" s="7" t="s">
        <v>47</v>
      </c>
      <c r="M1685" s="7">
        <v>6.8320559999999997</v>
      </c>
      <c r="N1685" s="7">
        <v>14.689667</v>
      </c>
      <c r="O1685" s="7" t="s">
        <v>23</v>
      </c>
    </row>
    <row r="1686" spans="1:15" hidden="1" x14ac:dyDescent="0.25">
      <c r="A1686" s="2">
        <f t="shared" si="26"/>
        <v>1684</v>
      </c>
      <c r="B1686" s="7" t="s">
        <v>6478</v>
      </c>
      <c r="C1686" s="7" t="s">
        <v>6479</v>
      </c>
      <c r="D1686" s="7" t="s">
        <v>6478</v>
      </c>
      <c r="E1686" s="7" t="s">
        <v>42</v>
      </c>
      <c r="F1686" s="7" t="s">
        <v>6480</v>
      </c>
      <c r="G1686" s="17" t="s">
        <v>7747</v>
      </c>
      <c r="H1686" s="7" t="s">
        <v>28</v>
      </c>
      <c r="I1686" s="7" t="s">
        <v>47</v>
      </c>
      <c r="J1686" s="7" t="s">
        <v>235</v>
      </c>
      <c r="K1686" s="7" t="s">
        <v>5860</v>
      </c>
      <c r="L1686" s="7" t="s">
        <v>47</v>
      </c>
      <c r="M1686" s="7">
        <v>7.11998</v>
      </c>
      <c r="N1686" s="7">
        <v>14.328474999999999</v>
      </c>
      <c r="O1686" s="7" t="s">
        <v>23</v>
      </c>
    </row>
    <row r="1687" spans="1:15" hidden="1" x14ac:dyDescent="0.25">
      <c r="A1687" s="2">
        <f t="shared" si="26"/>
        <v>1685</v>
      </c>
      <c r="B1687" s="7" t="s">
        <v>6481</v>
      </c>
      <c r="C1687" s="7" t="s">
        <v>6482</v>
      </c>
      <c r="D1687" s="7" t="s">
        <v>6481</v>
      </c>
      <c r="E1687" s="7" t="s">
        <v>42</v>
      </c>
      <c r="F1687" s="7" t="s">
        <v>6163</v>
      </c>
      <c r="G1687" s="17" t="s">
        <v>7747</v>
      </c>
      <c r="H1687" s="7" t="s">
        <v>28</v>
      </c>
      <c r="I1687" s="7" t="s">
        <v>47</v>
      </c>
      <c r="J1687" s="7" t="s">
        <v>47</v>
      </c>
      <c r="K1687" s="7" t="s">
        <v>1132</v>
      </c>
      <c r="L1687" s="7" t="s">
        <v>47</v>
      </c>
      <c r="M1687" s="7">
        <v>6.3419169999999996</v>
      </c>
      <c r="N1687" s="7">
        <v>13.529059</v>
      </c>
      <c r="O1687" s="7" t="s">
        <v>23</v>
      </c>
    </row>
    <row r="1688" spans="1:15" hidden="1" x14ac:dyDescent="0.25">
      <c r="A1688" s="2">
        <f t="shared" si="26"/>
        <v>1686</v>
      </c>
      <c r="B1688" s="7" t="s">
        <v>6545</v>
      </c>
      <c r="C1688" s="7" t="s">
        <v>6546</v>
      </c>
      <c r="D1688" s="7" t="s">
        <v>6545</v>
      </c>
      <c r="E1688" s="7" t="s">
        <v>74</v>
      </c>
      <c r="F1688" s="7" t="s">
        <v>6547</v>
      </c>
      <c r="G1688" s="17" t="s">
        <v>7747</v>
      </c>
      <c r="H1688" s="7" t="s">
        <v>19</v>
      </c>
      <c r="I1688" s="7" t="s">
        <v>76</v>
      </c>
      <c r="J1688" s="7" t="s">
        <v>77</v>
      </c>
      <c r="K1688" s="7" t="s">
        <v>993</v>
      </c>
      <c r="L1688" s="7" t="s">
        <v>47</v>
      </c>
      <c r="M1688" s="7">
        <v>5.5631969999999997</v>
      </c>
      <c r="N1688" s="7">
        <v>14.087555999999999</v>
      </c>
      <c r="O1688" s="7" t="s">
        <v>23</v>
      </c>
    </row>
    <row r="1689" spans="1:15" hidden="1" x14ac:dyDescent="0.25">
      <c r="A1689" s="2">
        <f t="shared" si="26"/>
        <v>1687</v>
      </c>
      <c r="B1689" s="7" t="s">
        <v>6551</v>
      </c>
      <c r="C1689" s="7" t="s">
        <v>6552</v>
      </c>
      <c r="D1689" s="7" t="s">
        <v>6551</v>
      </c>
      <c r="E1689" s="7" t="s">
        <v>42</v>
      </c>
      <c r="F1689" s="7" t="s">
        <v>6553</v>
      </c>
      <c r="G1689" s="17" t="s">
        <v>7747</v>
      </c>
      <c r="H1689" s="7" t="s">
        <v>28</v>
      </c>
      <c r="I1689" s="7" t="s">
        <v>47</v>
      </c>
      <c r="J1689" s="7" t="s">
        <v>235</v>
      </c>
      <c r="K1689" s="7" t="s">
        <v>5860</v>
      </c>
      <c r="L1689" s="7" t="s">
        <v>47</v>
      </c>
      <c r="M1689" s="7">
        <v>7.0499299999999998</v>
      </c>
      <c r="N1689" s="7">
        <v>14.43802</v>
      </c>
      <c r="O1689" s="7" t="s">
        <v>23</v>
      </c>
    </row>
    <row r="1690" spans="1:15" hidden="1" x14ac:dyDescent="0.25">
      <c r="A1690" s="2">
        <f t="shared" si="26"/>
        <v>1688</v>
      </c>
      <c r="B1690" s="7" t="s">
        <v>6557</v>
      </c>
      <c r="C1690" s="7" t="s">
        <v>6558</v>
      </c>
      <c r="D1690" s="7" t="s">
        <v>6557</v>
      </c>
      <c r="E1690" s="7" t="s">
        <v>42</v>
      </c>
      <c r="F1690" s="7" t="s">
        <v>6559</v>
      </c>
      <c r="G1690" s="17" t="s">
        <v>7747</v>
      </c>
      <c r="H1690" s="7" t="s">
        <v>19</v>
      </c>
      <c r="I1690" s="7" t="s">
        <v>47</v>
      </c>
      <c r="J1690" s="7" t="s">
        <v>45</v>
      </c>
      <c r="K1690" s="7" t="s">
        <v>1018</v>
      </c>
      <c r="L1690" s="7" t="s">
        <v>47</v>
      </c>
      <c r="M1690" s="7">
        <v>6.1363570000000003</v>
      </c>
      <c r="N1690" s="7">
        <v>14.382668000000001</v>
      </c>
      <c r="O1690" s="7" t="s">
        <v>23</v>
      </c>
    </row>
    <row r="1691" spans="1:15" hidden="1" x14ac:dyDescent="0.25">
      <c r="A1691" s="2">
        <f t="shared" si="26"/>
        <v>1689</v>
      </c>
      <c r="B1691" s="7" t="s">
        <v>6577</v>
      </c>
      <c r="C1691" s="7" t="s">
        <v>6578</v>
      </c>
      <c r="D1691" s="7" t="s">
        <v>6577</v>
      </c>
      <c r="E1691" s="7" t="s">
        <v>170</v>
      </c>
      <c r="F1691" s="7" t="s">
        <v>6579</v>
      </c>
      <c r="G1691" s="17" t="s">
        <v>7747</v>
      </c>
      <c r="H1691" s="7" t="s">
        <v>19</v>
      </c>
      <c r="I1691" s="7" t="s">
        <v>234</v>
      </c>
      <c r="J1691" s="7" t="s">
        <v>732</v>
      </c>
      <c r="K1691" s="7" t="s">
        <v>1006</v>
      </c>
      <c r="L1691" s="7" t="s">
        <v>47</v>
      </c>
      <c r="M1691" s="7">
        <v>7.5524440000000004</v>
      </c>
      <c r="N1691" s="7">
        <v>15.438361</v>
      </c>
      <c r="O1691" s="7" t="s">
        <v>23</v>
      </c>
    </row>
    <row r="1692" spans="1:15" hidden="1" x14ac:dyDescent="0.25">
      <c r="A1692" s="2">
        <f t="shared" si="26"/>
        <v>1690</v>
      </c>
      <c r="B1692" s="7" t="s">
        <v>6605</v>
      </c>
      <c r="C1692" s="7" t="s">
        <v>6606</v>
      </c>
      <c r="D1692" s="7" t="s">
        <v>6605</v>
      </c>
      <c r="E1692" s="7" t="s">
        <v>42</v>
      </c>
      <c r="F1692" s="7" t="s">
        <v>6559</v>
      </c>
      <c r="G1692" s="17" t="s">
        <v>7747</v>
      </c>
      <c r="H1692" s="7" t="s">
        <v>19</v>
      </c>
      <c r="I1692" s="7" t="s">
        <v>47</v>
      </c>
      <c r="J1692" s="7" t="s">
        <v>45</v>
      </c>
      <c r="K1692" s="7" t="s">
        <v>1018</v>
      </c>
      <c r="L1692" s="7" t="s">
        <v>47</v>
      </c>
      <c r="M1692" s="7">
        <v>6.1365829999999999</v>
      </c>
      <c r="N1692" s="7">
        <v>14.382444</v>
      </c>
      <c r="O1692" s="7" t="s">
        <v>23</v>
      </c>
    </row>
    <row r="1693" spans="1:15" hidden="1" x14ac:dyDescent="0.25">
      <c r="A1693" s="2">
        <f t="shared" si="26"/>
        <v>1691</v>
      </c>
      <c r="B1693" s="7" t="s">
        <v>6607</v>
      </c>
      <c r="C1693" s="7" t="s">
        <v>6608</v>
      </c>
      <c r="D1693" s="7" t="s">
        <v>6607</v>
      </c>
      <c r="E1693" s="7" t="s">
        <v>170</v>
      </c>
      <c r="F1693" s="7" t="s">
        <v>6609</v>
      </c>
      <c r="G1693" s="17" t="s">
        <v>7747</v>
      </c>
      <c r="H1693" s="7" t="s">
        <v>28</v>
      </c>
      <c r="I1693" s="7" t="s">
        <v>234</v>
      </c>
      <c r="J1693" s="7" t="s">
        <v>732</v>
      </c>
      <c r="K1693" s="7" t="s">
        <v>1006</v>
      </c>
      <c r="L1693" s="7" t="s">
        <v>47</v>
      </c>
      <c r="M1693" s="7">
        <v>7.3462800000000001</v>
      </c>
      <c r="N1693" s="7">
        <v>15.296709999999999</v>
      </c>
      <c r="O1693" s="7" t="s">
        <v>23</v>
      </c>
    </row>
    <row r="1694" spans="1:15" hidden="1" x14ac:dyDescent="0.25">
      <c r="A1694" s="2">
        <f t="shared" si="26"/>
        <v>1692</v>
      </c>
      <c r="B1694" s="7" t="s">
        <v>6610</v>
      </c>
      <c r="C1694" s="7" t="s">
        <v>6611</v>
      </c>
      <c r="D1694" s="7" t="s">
        <v>6610</v>
      </c>
      <c r="E1694" s="7" t="s">
        <v>170</v>
      </c>
      <c r="F1694" s="7" t="s">
        <v>6612</v>
      </c>
      <c r="G1694" s="17" t="s">
        <v>7747</v>
      </c>
      <c r="H1694" s="7" t="s">
        <v>28</v>
      </c>
      <c r="I1694" s="7" t="s">
        <v>234</v>
      </c>
      <c r="J1694" s="7" t="s">
        <v>732</v>
      </c>
      <c r="K1694" s="7" t="s">
        <v>1006</v>
      </c>
      <c r="L1694" s="7" t="s">
        <v>47</v>
      </c>
      <c r="M1694" s="7">
        <v>7.4565900000000003</v>
      </c>
      <c r="N1694" s="7">
        <v>15.372479999999999</v>
      </c>
      <c r="O1694" s="7" t="s">
        <v>23</v>
      </c>
    </row>
    <row r="1695" spans="1:15" hidden="1" x14ac:dyDescent="0.25">
      <c r="A1695" s="2">
        <f t="shared" si="26"/>
        <v>1693</v>
      </c>
      <c r="B1695" s="7" t="s">
        <v>6613</v>
      </c>
      <c r="C1695" s="7" t="s">
        <v>6614</v>
      </c>
      <c r="D1695" s="7" t="s">
        <v>6613</v>
      </c>
      <c r="E1695" s="7" t="s">
        <v>170</v>
      </c>
      <c r="F1695" s="7" t="s">
        <v>6615</v>
      </c>
      <c r="G1695" s="17" t="s">
        <v>7747</v>
      </c>
      <c r="H1695" s="7" t="s">
        <v>28</v>
      </c>
      <c r="I1695" s="7" t="s">
        <v>234</v>
      </c>
      <c r="J1695" s="7" t="s">
        <v>732</v>
      </c>
      <c r="K1695" s="7" t="s">
        <v>1006</v>
      </c>
      <c r="L1695" s="7" t="s">
        <v>47</v>
      </c>
      <c r="M1695" s="7">
        <v>7.1640600000000001</v>
      </c>
      <c r="N1695" s="7">
        <v>14.836372000000001</v>
      </c>
      <c r="O1695" s="7" t="s">
        <v>23</v>
      </c>
    </row>
    <row r="1696" spans="1:15" hidden="1" x14ac:dyDescent="0.25">
      <c r="A1696" s="2">
        <f t="shared" si="26"/>
        <v>1694</v>
      </c>
      <c r="B1696" s="7" t="s">
        <v>6767</v>
      </c>
      <c r="C1696" s="7" t="s">
        <v>6768</v>
      </c>
      <c r="D1696" s="7" t="s">
        <v>6767</v>
      </c>
      <c r="E1696" s="7" t="s">
        <v>74</v>
      </c>
      <c r="F1696" s="7" t="s">
        <v>6769</v>
      </c>
      <c r="G1696" s="17" t="s">
        <v>7747</v>
      </c>
      <c r="H1696" s="7" t="s">
        <v>28</v>
      </c>
      <c r="I1696" s="7" t="s">
        <v>76</v>
      </c>
      <c r="J1696" s="7" t="s">
        <v>77</v>
      </c>
      <c r="K1696" s="7" t="s">
        <v>76</v>
      </c>
      <c r="L1696" s="7" t="s">
        <v>47</v>
      </c>
      <c r="M1696" s="7">
        <v>5.8863719999999997</v>
      </c>
      <c r="N1696" s="7">
        <v>14.564285</v>
      </c>
      <c r="O1696" s="7" t="s">
        <v>23</v>
      </c>
    </row>
    <row r="1697" spans="1:15" hidden="1" x14ac:dyDescent="0.25">
      <c r="A1697" s="2">
        <f t="shared" si="26"/>
        <v>1695</v>
      </c>
      <c r="B1697" s="7" t="s">
        <v>7044</v>
      </c>
      <c r="C1697" s="7" t="s">
        <v>7045</v>
      </c>
      <c r="D1697" s="7" t="s">
        <v>7044</v>
      </c>
      <c r="E1697" s="7" t="s">
        <v>170</v>
      </c>
      <c r="F1697" s="7" t="s">
        <v>7046</v>
      </c>
      <c r="G1697" s="17" t="s">
        <v>7747</v>
      </c>
      <c r="H1697" s="7" t="s">
        <v>28</v>
      </c>
      <c r="I1697" s="7" t="s">
        <v>172</v>
      </c>
      <c r="J1697" s="7" t="s">
        <v>7047</v>
      </c>
      <c r="K1697" s="7" t="s">
        <v>1630</v>
      </c>
      <c r="L1697" s="7" t="s">
        <v>47</v>
      </c>
      <c r="M1697" s="7">
        <v>7.5407900000000003</v>
      </c>
      <c r="N1697" s="7">
        <v>15.449840999999999</v>
      </c>
      <c r="O1697" s="7" t="s">
        <v>23</v>
      </c>
    </row>
    <row r="1698" spans="1:15" hidden="1" x14ac:dyDescent="0.25">
      <c r="A1698" s="2">
        <f t="shared" si="26"/>
        <v>1696</v>
      </c>
      <c r="B1698" s="7" t="s">
        <v>7048</v>
      </c>
      <c r="C1698" s="7" t="s">
        <v>7049</v>
      </c>
      <c r="D1698" s="7" t="s">
        <v>7048</v>
      </c>
      <c r="E1698" s="7" t="s">
        <v>42</v>
      </c>
      <c r="F1698" s="7" t="s">
        <v>7050</v>
      </c>
      <c r="G1698" s="17" t="s">
        <v>7747</v>
      </c>
      <c r="H1698" s="7" t="s">
        <v>28</v>
      </c>
      <c r="I1698" s="7" t="s">
        <v>47</v>
      </c>
      <c r="J1698" s="7" t="s">
        <v>45</v>
      </c>
      <c r="K1698" s="7" t="s">
        <v>1018</v>
      </c>
      <c r="L1698" s="7" t="s">
        <v>47</v>
      </c>
      <c r="M1698" s="7">
        <v>7.1677160000000004</v>
      </c>
      <c r="N1698" s="7">
        <v>14.475781</v>
      </c>
      <c r="O1698" s="7" t="s">
        <v>23</v>
      </c>
    </row>
    <row r="1699" spans="1:15" hidden="1" x14ac:dyDescent="0.25">
      <c r="A1699" s="2">
        <f t="shared" si="26"/>
        <v>1697</v>
      </c>
      <c r="B1699" s="7" t="s">
        <v>7077</v>
      </c>
      <c r="C1699" s="7" t="s">
        <v>7078</v>
      </c>
      <c r="D1699" s="7" t="s">
        <v>7077</v>
      </c>
      <c r="E1699" s="7" t="s">
        <v>74</v>
      </c>
      <c r="F1699" s="7" t="s">
        <v>7079</v>
      </c>
      <c r="G1699" s="17" t="s">
        <v>7747</v>
      </c>
      <c r="H1699" s="7" t="s">
        <v>28</v>
      </c>
      <c r="I1699" s="7" t="s">
        <v>76</v>
      </c>
      <c r="J1699" s="7" t="s">
        <v>7040</v>
      </c>
      <c r="K1699" s="7" t="s">
        <v>993</v>
      </c>
      <c r="L1699" s="7" t="s">
        <v>47</v>
      </c>
      <c r="M1699" s="7">
        <v>5.4982980000000001</v>
      </c>
      <c r="N1699" s="7">
        <v>14.299773</v>
      </c>
      <c r="O1699" s="7" t="s">
        <v>23</v>
      </c>
    </row>
    <row r="1700" spans="1:15" hidden="1" x14ac:dyDescent="0.25">
      <c r="A1700" s="2">
        <f t="shared" si="26"/>
        <v>1698</v>
      </c>
      <c r="B1700" s="7" t="s">
        <v>7139</v>
      </c>
      <c r="C1700" s="7" t="s">
        <v>7140</v>
      </c>
      <c r="D1700" s="7" t="s">
        <v>7139</v>
      </c>
      <c r="E1700" s="7" t="s">
        <v>74</v>
      </c>
      <c r="F1700" s="7" t="s">
        <v>7141</v>
      </c>
      <c r="G1700" s="17" t="s">
        <v>7747</v>
      </c>
      <c r="H1700" s="7" t="s">
        <v>28</v>
      </c>
      <c r="I1700" s="7" t="s">
        <v>76</v>
      </c>
      <c r="J1700" s="7" t="s">
        <v>7040</v>
      </c>
      <c r="K1700" s="7" t="s">
        <v>76</v>
      </c>
      <c r="L1700" s="7" t="s">
        <v>47</v>
      </c>
      <c r="M1700" s="7">
        <v>5.9071100000000003</v>
      </c>
      <c r="N1700" s="7">
        <v>14.539350000000001</v>
      </c>
      <c r="O1700" s="7" t="s">
        <v>23</v>
      </c>
    </row>
    <row r="1701" spans="1:15" hidden="1" x14ac:dyDescent="0.25">
      <c r="A1701" s="2">
        <f t="shared" si="26"/>
        <v>1699</v>
      </c>
      <c r="B1701" s="12" t="s">
        <v>7352</v>
      </c>
      <c r="C1701" s="7" t="s">
        <v>7353</v>
      </c>
      <c r="D1701" s="12" t="s">
        <v>7352</v>
      </c>
      <c r="E1701" s="7" t="s">
        <v>42</v>
      </c>
      <c r="F1701" s="7" t="s">
        <v>7354</v>
      </c>
      <c r="G1701" s="17" t="s">
        <v>7747</v>
      </c>
      <c r="H1701" s="7" t="s">
        <v>28</v>
      </c>
      <c r="I1701" s="7" t="s">
        <v>47</v>
      </c>
      <c r="J1701" s="7" t="s">
        <v>45</v>
      </c>
      <c r="K1701" s="7" t="s">
        <v>1018</v>
      </c>
      <c r="L1701" s="7" t="s">
        <v>47</v>
      </c>
      <c r="M1701" s="7">
        <v>6.5330310000000003</v>
      </c>
      <c r="N1701" s="7">
        <v>14.277452</v>
      </c>
      <c r="O1701" s="7" t="s">
        <v>23</v>
      </c>
    </row>
    <row r="1702" spans="1:15" hidden="1" x14ac:dyDescent="0.25">
      <c r="A1702" s="2">
        <f t="shared" si="26"/>
        <v>1700</v>
      </c>
      <c r="B1702" s="7" t="s">
        <v>7467</v>
      </c>
      <c r="C1702" s="7" t="s">
        <v>7468</v>
      </c>
      <c r="D1702" s="7" t="s">
        <v>7467</v>
      </c>
      <c r="E1702" s="7" t="s">
        <v>74</v>
      </c>
      <c r="F1702" s="7" t="s">
        <v>7469</v>
      </c>
      <c r="G1702" s="17" t="s">
        <v>7747</v>
      </c>
      <c r="H1702" s="7" t="s">
        <v>28</v>
      </c>
      <c r="I1702" s="7" t="s">
        <v>76</v>
      </c>
      <c r="J1702" s="7" t="s">
        <v>904</v>
      </c>
      <c r="K1702" s="7" t="s">
        <v>76</v>
      </c>
      <c r="L1702" s="7" t="s">
        <v>47</v>
      </c>
      <c r="M1702" s="7">
        <v>5.8277340000000004</v>
      </c>
      <c r="N1702" s="7">
        <v>14.566141</v>
      </c>
      <c r="O1702" s="7" t="s">
        <v>23</v>
      </c>
    </row>
    <row r="1703" spans="1:15" hidden="1" x14ac:dyDescent="0.25">
      <c r="A1703" s="2">
        <f t="shared" si="26"/>
        <v>1701</v>
      </c>
      <c r="B1703" s="7" t="s">
        <v>7537</v>
      </c>
      <c r="C1703" s="7" t="s">
        <v>7538</v>
      </c>
      <c r="D1703" s="7" t="s">
        <v>7537</v>
      </c>
      <c r="E1703" s="7" t="s">
        <v>42</v>
      </c>
      <c r="F1703" s="7" t="s">
        <v>7539</v>
      </c>
      <c r="G1703" s="17" t="s">
        <v>7747</v>
      </c>
      <c r="H1703" s="7" t="s">
        <v>28</v>
      </c>
      <c r="I1703" s="7" t="s">
        <v>47</v>
      </c>
      <c r="J1703" s="7" t="s">
        <v>7540</v>
      </c>
      <c r="K1703" s="7" t="s">
        <v>1132</v>
      </c>
      <c r="L1703" s="7" t="s">
        <v>47</v>
      </c>
      <c r="M1703" s="7">
        <v>6.3069170000000003</v>
      </c>
      <c r="N1703" s="7">
        <v>13.637361</v>
      </c>
      <c r="O1703" s="7" t="s">
        <v>23</v>
      </c>
    </row>
    <row r="1704" spans="1:15" hidden="1" x14ac:dyDescent="0.25">
      <c r="A1704" s="2">
        <f t="shared" si="26"/>
        <v>1702</v>
      </c>
      <c r="B1704" s="7" t="s">
        <v>7541</v>
      </c>
      <c r="C1704" s="7" t="s">
        <v>7542</v>
      </c>
      <c r="D1704" s="7" t="s">
        <v>7541</v>
      </c>
      <c r="E1704" s="7" t="s">
        <v>42</v>
      </c>
      <c r="F1704" s="7" t="s">
        <v>7543</v>
      </c>
      <c r="G1704" s="17" t="s">
        <v>7747</v>
      </c>
      <c r="H1704" s="7" t="s">
        <v>28</v>
      </c>
      <c r="I1704" s="7" t="s">
        <v>47</v>
      </c>
      <c r="J1704" s="7" t="s">
        <v>7540</v>
      </c>
      <c r="K1704" s="7" t="s">
        <v>1132</v>
      </c>
      <c r="L1704" s="7" t="s">
        <v>47</v>
      </c>
      <c r="M1704" s="7">
        <v>6.4559530000000001</v>
      </c>
      <c r="N1704" s="7">
        <v>13.945722</v>
      </c>
      <c r="O1704" s="7" t="s">
        <v>23</v>
      </c>
    </row>
    <row r="1705" spans="1:15" hidden="1" x14ac:dyDescent="0.25">
      <c r="A1705" s="2">
        <f t="shared" si="26"/>
        <v>1703</v>
      </c>
      <c r="B1705" s="7" t="s">
        <v>7648</v>
      </c>
      <c r="C1705" s="7" t="s">
        <v>7649</v>
      </c>
      <c r="D1705" s="7" t="s">
        <v>7648</v>
      </c>
      <c r="E1705" s="10" t="s">
        <v>170</v>
      </c>
      <c r="F1705" s="7" t="s">
        <v>7650</v>
      </c>
      <c r="G1705" s="17" t="s">
        <v>7747</v>
      </c>
      <c r="H1705" s="7" t="s">
        <v>28</v>
      </c>
      <c r="I1705" s="7" t="s">
        <v>234</v>
      </c>
      <c r="J1705" s="7" t="s">
        <v>732</v>
      </c>
      <c r="K1705" s="7" t="s">
        <v>1006</v>
      </c>
      <c r="L1705" s="7" t="s">
        <v>47</v>
      </c>
      <c r="M1705" s="10">
        <v>7.7587130000000002</v>
      </c>
      <c r="N1705" s="10">
        <v>15.352148</v>
      </c>
      <c r="O1705" s="7" t="s">
        <v>23</v>
      </c>
    </row>
    <row r="1706" spans="1:15" hidden="1" x14ac:dyDescent="0.25">
      <c r="A1706" s="2">
        <f t="shared" si="26"/>
        <v>1704</v>
      </c>
      <c r="B1706" s="7" t="s">
        <v>99</v>
      </c>
      <c r="C1706" s="7" t="s">
        <v>100</v>
      </c>
      <c r="D1706" s="7" t="s">
        <v>99</v>
      </c>
      <c r="E1706" s="7" t="s">
        <v>42</v>
      </c>
      <c r="F1706" s="7" t="s">
        <v>101</v>
      </c>
      <c r="G1706" s="17" t="s">
        <v>7747</v>
      </c>
      <c r="H1706" s="7" t="s">
        <v>28</v>
      </c>
      <c r="I1706" s="7" t="s">
        <v>102</v>
      </c>
      <c r="J1706" s="7" t="s">
        <v>103</v>
      </c>
      <c r="K1706" s="7" t="s">
        <v>104</v>
      </c>
      <c r="L1706" s="7" t="s">
        <v>44</v>
      </c>
      <c r="M1706" s="7">
        <v>6.8271940000000004</v>
      </c>
      <c r="N1706" s="7">
        <v>13.176917</v>
      </c>
      <c r="O1706" s="7" t="s">
        <v>23</v>
      </c>
    </row>
    <row r="1707" spans="1:15" hidden="1" x14ac:dyDescent="0.25">
      <c r="A1707" s="2">
        <f t="shared" si="26"/>
        <v>1705</v>
      </c>
      <c r="B1707" s="7" t="s">
        <v>399</v>
      </c>
      <c r="C1707" s="7" t="s">
        <v>400</v>
      </c>
      <c r="D1707" s="7" t="s">
        <v>399</v>
      </c>
      <c r="E1707" s="7" t="s">
        <v>170</v>
      </c>
      <c r="F1707" s="7" t="s">
        <v>401</v>
      </c>
      <c r="G1707" s="17" t="s">
        <v>7747</v>
      </c>
      <c r="H1707" s="7" t="s">
        <v>28</v>
      </c>
      <c r="I1707" s="7" t="s">
        <v>234</v>
      </c>
      <c r="J1707" s="7" t="s">
        <v>235</v>
      </c>
      <c r="K1707" s="7" t="s">
        <v>402</v>
      </c>
      <c r="L1707" s="7" t="s">
        <v>44</v>
      </c>
      <c r="M1707" s="7">
        <v>7.9004709999999996</v>
      </c>
      <c r="N1707" s="7">
        <v>13.617796</v>
      </c>
      <c r="O1707" s="7" t="s">
        <v>23</v>
      </c>
    </row>
    <row r="1708" spans="1:15" hidden="1" x14ac:dyDescent="0.25">
      <c r="A1708" s="2">
        <f t="shared" si="26"/>
        <v>1706</v>
      </c>
      <c r="B1708" s="7" t="s">
        <v>403</v>
      </c>
      <c r="C1708" s="7" t="s">
        <v>404</v>
      </c>
      <c r="D1708" s="7" t="s">
        <v>403</v>
      </c>
      <c r="E1708" s="7" t="s">
        <v>42</v>
      </c>
      <c r="F1708" s="7" t="s">
        <v>405</v>
      </c>
      <c r="G1708" s="17" t="s">
        <v>7747</v>
      </c>
      <c r="H1708" s="7" t="s">
        <v>19</v>
      </c>
      <c r="I1708" s="7" t="s">
        <v>44</v>
      </c>
      <c r="J1708" s="7" t="s">
        <v>235</v>
      </c>
      <c r="K1708" s="7" t="s">
        <v>406</v>
      </c>
      <c r="L1708" s="7" t="s">
        <v>44</v>
      </c>
      <c r="M1708" s="7">
        <v>7.4138270000000004</v>
      </c>
      <c r="N1708" s="7">
        <v>13.553395</v>
      </c>
      <c r="O1708" s="7" t="s">
        <v>23</v>
      </c>
    </row>
    <row r="1709" spans="1:15" hidden="1" x14ac:dyDescent="0.25">
      <c r="A1709" s="2">
        <f t="shared" si="26"/>
        <v>1707</v>
      </c>
      <c r="B1709" s="7" t="s">
        <v>650</v>
      </c>
      <c r="C1709" s="7" t="s">
        <v>651</v>
      </c>
      <c r="D1709" s="7" t="s">
        <v>650</v>
      </c>
      <c r="E1709" s="7" t="s">
        <v>42</v>
      </c>
      <c r="F1709" s="7" t="s">
        <v>652</v>
      </c>
      <c r="G1709" s="17" t="s">
        <v>7747</v>
      </c>
      <c r="H1709" s="7" t="s">
        <v>19</v>
      </c>
      <c r="I1709" s="7" t="s">
        <v>44</v>
      </c>
      <c r="J1709" s="7" t="s">
        <v>235</v>
      </c>
      <c r="K1709" s="7" t="s">
        <v>406</v>
      </c>
      <c r="L1709" s="7" t="s">
        <v>44</v>
      </c>
      <c r="M1709" s="7">
        <v>7.5750000000000002</v>
      </c>
      <c r="N1709" s="7">
        <v>13.56095</v>
      </c>
      <c r="O1709" s="7" t="s">
        <v>23</v>
      </c>
    </row>
    <row r="1710" spans="1:15" hidden="1" x14ac:dyDescent="0.25">
      <c r="A1710" s="2">
        <f t="shared" si="26"/>
        <v>1708</v>
      </c>
      <c r="B1710" s="7" t="s">
        <v>898</v>
      </c>
      <c r="C1710" s="7" t="s">
        <v>899</v>
      </c>
      <c r="D1710" s="7" t="s">
        <v>898</v>
      </c>
      <c r="E1710" s="7" t="s">
        <v>42</v>
      </c>
      <c r="F1710" s="7" t="s">
        <v>900</v>
      </c>
      <c r="G1710" s="17" t="s">
        <v>7747</v>
      </c>
      <c r="H1710" s="7" t="s">
        <v>28</v>
      </c>
      <c r="I1710" s="7" t="s">
        <v>44</v>
      </c>
      <c r="J1710" s="7" t="s">
        <v>235</v>
      </c>
      <c r="K1710" s="7" t="s">
        <v>406</v>
      </c>
      <c r="L1710" s="7" t="s">
        <v>44</v>
      </c>
      <c r="M1710" s="7">
        <v>7.5845560000000001</v>
      </c>
      <c r="N1710" s="7">
        <v>13.777139</v>
      </c>
      <c r="O1710" s="7" t="s">
        <v>23</v>
      </c>
    </row>
    <row r="1711" spans="1:15" hidden="1" x14ac:dyDescent="0.25">
      <c r="A1711" s="2">
        <f t="shared" si="26"/>
        <v>1709</v>
      </c>
      <c r="B1711" s="7" t="s">
        <v>1011</v>
      </c>
      <c r="C1711" s="7" t="s">
        <v>1012</v>
      </c>
      <c r="D1711" s="7" t="s">
        <v>1011</v>
      </c>
      <c r="E1711" s="7" t="s">
        <v>42</v>
      </c>
      <c r="F1711" s="7" t="s">
        <v>1013</v>
      </c>
      <c r="G1711" s="17" t="s">
        <v>7747</v>
      </c>
      <c r="H1711" s="7" t="s">
        <v>28</v>
      </c>
      <c r="I1711" s="7" t="s">
        <v>44</v>
      </c>
      <c r="J1711" s="7" t="s">
        <v>235</v>
      </c>
      <c r="K1711" s="7" t="s">
        <v>1014</v>
      </c>
      <c r="L1711" s="7" t="s">
        <v>44</v>
      </c>
      <c r="M1711" s="7">
        <v>7.2202390000000003</v>
      </c>
      <c r="N1711" s="7">
        <v>13.357117000000001</v>
      </c>
      <c r="O1711" s="7" t="s">
        <v>23</v>
      </c>
    </row>
    <row r="1712" spans="1:15" hidden="1" x14ac:dyDescent="0.25">
      <c r="A1712" s="2">
        <f t="shared" si="26"/>
        <v>1710</v>
      </c>
      <c r="B1712" s="7" t="s">
        <v>1342</v>
      </c>
      <c r="C1712" s="7" t="s">
        <v>1343</v>
      </c>
      <c r="D1712" s="7" t="s">
        <v>1342</v>
      </c>
      <c r="E1712" s="7" t="s">
        <v>42</v>
      </c>
      <c r="F1712" s="7" t="s">
        <v>1344</v>
      </c>
      <c r="G1712" s="17" t="s">
        <v>7747</v>
      </c>
      <c r="H1712" s="7" t="s">
        <v>28</v>
      </c>
      <c r="I1712" s="7" t="s">
        <v>47</v>
      </c>
      <c r="J1712" s="7" t="s">
        <v>47</v>
      </c>
      <c r="K1712" s="7" t="s">
        <v>104</v>
      </c>
      <c r="L1712" s="7" t="s">
        <v>44</v>
      </c>
      <c r="M1712" s="7">
        <v>6.4695720000000003</v>
      </c>
      <c r="N1712" s="7">
        <v>13.275081999999999</v>
      </c>
      <c r="O1712" s="7" t="s">
        <v>23</v>
      </c>
    </row>
    <row r="1713" spans="1:15" hidden="1" x14ac:dyDescent="0.25">
      <c r="A1713" s="2">
        <f t="shared" si="26"/>
        <v>1711</v>
      </c>
      <c r="B1713" s="7" t="s">
        <v>1428</v>
      </c>
      <c r="C1713" s="7" t="s">
        <v>1429</v>
      </c>
      <c r="D1713" s="7" t="s">
        <v>1428</v>
      </c>
      <c r="E1713" s="7" t="s">
        <v>42</v>
      </c>
      <c r="F1713" s="7" t="s">
        <v>1430</v>
      </c>
      <c r="G1713" s="17" t="s">
        <v>7747</v>
      </c>
      <c r="H1713" s="7" t="s">
        <v>28</v>
      </c>
      <c r="I1713" s="7" t="s">
        <v>44</v>
      </c>
      <c r="J1713" s="7" t="s">
        <v>235</v>
      </c>
      <c r="K1713" s="7" t="s">
        <v>1431</v>
      </c>
      <c r="L1713" s="7" t="s">
        <v>44</v>
      </c>
      <c r="M1713" s="7">
        <v>7.3185830000000003</v>
      </c>
      <c r="N1713" s="7">
        <v>13.586221999999999</v>
      </c>
      <c r="O1713" s="7" t="s">
        <v>23</v>
      </c>
    </row>
    <row r="1714" spans="1:15" hidden="1" x14ac:dyDescent="0.25">
      <c r="A1714" s="2">
        <f t="shared" si="26"/>
        <v>1712</v>
      </c>
      <c r="B1714" s="7" t="s">
        <v>1560</v>
      </c>
      <c r="C1714" s="7" t="s">
        <v>1561</v>
      </c>
      <c r="D1714" s="7" t="s">
        <v>1560</v>
      </c>
      <c r="E1714" s="7" t="s">
        <v>42</v>
      </c>
      <c r="F1714" s="7" t="s">
        <v>1562</v>
      </c>
      <c r="G1714" s="17" t="s">
        <v>7747</v>
      </c>
      <c r="H1714" s="7" t="s">
        <v>28</v>
      </c>
      <c r="I1714" s="7" t="s">
        <v>44</v>
      </c>
      <c r="J1714" s="7" t="s">
        <v>235</v>
      </c>
      <c r="K1714" s="7" t="s">
        <v>1431</v>
      </c>
      <c r="L1714" s="7" t="s">
        <v>44</v>
      </c>
      <c r="M1714" s="7">
        <v>7.2962400000000001</v>
      </c>
      <c r="N1714" s="7">
        <v>13.568860000000001</v>
      </c>
      <c r="O1714" s="7" t="s">
        <v>23</v>
      </c>
    </row>
    <row r="1715" spans="1:15" hidden="1" x14ac:dyDescent="0.25">
      <c r="A1715" s="2">
        <f t="shared" si="26"/>
        <v>1713</v>
      </c>
      <c r="B1715" s="7" t="s">
        <v>1579</v>
      </c>
      <c r="C1715" s="7" t="s">
        <v>1580</v>
      </c>
      <c r="D1715" s="7" t="s">
        <v>1579</v>
      </c>
      <c r="E1715" s="7" t="s">
        <v>42</v>
      </c>
      <c r="F1715" s="7" t="s">
        <v>1581</v>
      </c>
      <c r="G1715" s="17" t="s">
        <v>7747</v>
      </c>
      <c r="H1715" s="7" t="s">
        <v>28</v>
      </c>
      <c r="I1715" s="7" t="s">
        <v>44</v>
      </c>
      <c r="J1715" s="7" t="s">
        <v>235</v>
      </c>
      <c r="K1715" s="7" t="s">
        <v>1431</v>
      </c>
      <c r="L1715" s="7" t="s">
        <v>44</v>
      </c>
      <c r="M1715" s="7">
        <v>7.3225319999999998</v>
      </c>
      <c r="N1715" s="7">
        <v>13.588034</v>
      </c>
      <c r="O1715" s="7" t="s">
        <v>23</v>
      </c>
    </row>
    <row r="1716" spans="1:15" hidden="1" x14ac:dyDescent="0.25">
      <c r="A1716" s="2">
        <f t="shared" si="26"/>
        <v>1714</v>
      </c>
      <c r="B1716" s="7" t="s">
        <v>1834</v>
      </c>
      <c r="C1716" s="7" t="s">
        <v>1835</v>
      </c>
      <c r="D1716" s="7" t="s">
        <v>1834</v>
      </c>
      <c r="E1716" s="7" t="s">
        <v>42</v>
      </c>
      <c r="F1716" s="7" t="s">
        <v>1836</v>
      </c>
      <c r="G1716" s="17" t="s">
        <v>7747</v>
      </c>
      <c r="H1716" s="7" t="s">
        <v>28</v>
      </c>
      <c r="I1716" s="7" t="s">
        <v>44</v>
      </c>
      <c r="J1716" s="7" t="s">
        <v>235</v>
      </c>
      <c r="K1716" s="7" t="s">
        <v>1431</v>
      </c>
      <c r="L1716" s="7" t="s">
        <v>44</v>
      </c>
      <c r="M1716" s="7">
        <v>7.3346229999999997</v>
      </c>
      <c r="N1716" s="7">
        <v>13.576738000000001</v>
      </c>
      <c r="O1716" s="7" t="s">
        <v>23</v>
      </c>
    </row>
    <row r="1717" spans="1:15" hidden="1" x14ac:dyDescent="0.25">
      <c r="A1717" s="2">
        <f t="shared" si="26"/>
        <v>1715</v>
      </c>
      <c r="B1717" s="7" t="s">
        <v>1837</v>
      </c>
      <c r="C1717" s="7" t="s">
        <v>1838</v>
      </c>
      <c r="D1717" s="7" t="s">
        <v>1837</v>
      </c>
      <c r="E1717" s="7" t="s">
        <v>42</v>
      </c>
      <c r="F1717" s="7" t="s">
        <v>1839</v>
      </c>
      <c r="G1717" s="17" t="s">
        <v>7747</v>
      </c>
      <c r="H1717" s="7" t="s">
        <v>28</v>
      </c>
      <c r="I1717" s="7" t="s">
        <v>44</v>
      </c>
      <c r="J1717" s="7" t="s">
        <v>235</v>
      </c>
      <c r="K1717" s="7" t="s">
        <v>1431</v>
      </c>
      <c r="L1717" s="7" t="s">
        <v>44</v>
      </c>
      <c r="M1717" s="7">
        <v>7.2969080000000002</v>
      </c>
      <c r="N1717" s="7">
        <v>13.579713999999999</v>
      </c>
      <c r="O1717" s="7" t="s">
        <v>23</v>
      </c>
    </row>
    <row r="1718" spans="1:15" hidden="1" x14ac:dyDescent="0.25">
      <c r="A1718" s="2">
        <f t="shared" si="26"/>
        <v>1716</v>
      </c>
      <c r="B1718" s="7" t="s">
        <v>1840</v>
      </c>
      <c r="C1718" s="7" t="s">
        <v>1841</v>
      </c>
      <c r="D1718" s="7" t="s">
        <v>1840</v>
      </c>
      <c r="E1718" s="7" t="s">
        <v>42</v>
      </c>
      <c r="F1718" s="7" t="s">
        <v>1842</v>
      </c>
      <c r="G1718" s="17" t="s">
        <v>7747</v>
      </c>
      <c r="H1718" s="7" t="s">
        <v>28</v>
      </c>
      <c r="I1718" s="7" t="s">
        <v>44</v>
      </c>
      <c r="J1718" s="7" t="s">
        <v>235</v>
      </c>
      <c r="K1718" s="7" t="s">
        <v>1431</v>
      </c>
      <c r="L1718" s="7" t="s">
        <v>44</v>
      </c>
      <c r="M1718" s="7">
        <v>7.4126349999999999</v>
      </c>
      <c r="N1718" s="7">
        <v>13.549448</v>
      </c>
      <c r="O1718" s="7" t="s">
        <v>23</v>
      </c>
    </row>
    <row r="1719" spans="1:15" hidden="1" x14ac:dyDescent="0.25">
      <c r="A1719" s="2">
        <f t="shared" si="26"/>
        <v>1717</v>
      </c>
      <c r="B1719" s="7" t="s">
        <v>1843</v>
      </c>
      <c r="C1719" s="7" t="s">
        <v>1844</v>
      </c>
      <c r="D1719" s="7" t="s">
        <v>1843</v>
      </c>
      <c r="E1719" s="7" t="s">
        <v>42</v>
      </c>
      <c r="F1719" s="7" t="s">
        <v>1845</v>
      </c>
      <c r="G1719" s="17" t="s">
        <v>7747</v>
      </c>
      <c r="H1719" s="7" t="s">
        <v>28</v>
      </c>
      <c r="I1719" s="7" t="s">
        <v>44</v>
      </c>
      <c r="J1719" s="7" t="s">
        <v>235</v>
      </c>
      <c r="K1719" s="7" t="s">
        <v>1431</v>
      </c>
      <c r="L1719" s="7" t="s">
        <v>44</v>
      </c>
      <c r="M1719" s="7">
        <v>7.3296260000000002</v>
      </c>
      <c r="N1719" s="7">
        <v>13.578984</v>
      </c>
      <c r="O1719" s="7" t="s">
        <v>23</v>
      </c>
    </row>
    <row r="1720" spans="1:15" hidden="1" x14ac:dyDescent="0.25">
      <c r="A1720" s="2">
        <f t="shared" si="26"/>
        <v>1718</v>
      </c>
      <c r="B1720" s="7" t="s">
        <v>1982</v>
      </c>
      <c r="C1720" s="7" t="s">
        <v>1983</v>
      </c>
      <c r="D1720" s="7" t="s">
        <v>1982</v>
      </c>
      <c r="E1720" s="7" t="s">
        <v>42</v>
      </c>
      <c r="F1720" s="7" t="s">
        <v>1984</v>
      </c>
      <c r="G1720" s="17" t="s">
        <v>7747</v>
      </c>
      <c r="H1720" s="7" t="s">
        <v>28</v>
      </c>
      <c r="I1720" s="7" t="s">
        <v>44</v>
      </c>
      <c r="J1720" s="7" t="s">
        <v>235</v>
      </c>
      <c r="K1720" s="7" t="s">
        <v>1431</v>
      </c>
      <c r="L1720" s="7" t="s">
        <v>44</v>
      </c>
      <c r="M1720" s="7">
        <v>7.3280500000000002</v>
      </c>
      <c r="N1720" s="7">
        <v>13.571440000000001</v>
      </c>
      <c r="O1720" s="7" t="s">
        <v>23</v>
      </c>
    </row>
    <row r="1721" spans="1:15" hidden="1" x14ac:dyDescent="0.25">
      <c r="A1721" s="2">
        <f t="shared" si="26"/>
        <v>1719</v>
      </c>
      <c r="B1721" s="7" t="s">
        <v>2057</v>
      </c>
      <c r="C1721" s="7" t="s">
        <v>2058</v>
      </c>
      <c r="D1721" s="7" t="s">
        <v>2057</v>
      </c>
      <c r="E1721" s="7" t="s">
        <v>42</v>
      </c>
      <c r="F1721" s="7" t="s">
        <v>2059</v>
      </c>
      <c r="G1721" s="17" t="s">
        <v>7747</v>
      </c>
      <c r="H1721" s="7" t="s">
        <v>28</v>
      </c>
      <c r="I1721" s="7" t="s">
        <v>44</v>
      </c>
      <c r="J1721" s="7" t="s">
        <v>235</v>
      </c>
      <c r="K1721" s="7" t="s">
        <v>1431</v>
      </c>
      <c r="L1721" s="7" t="s">
        <v>44</v>
      </c>
      <c r="M1721" s="7">
        <v>7.2964840000000004</v>
      </c>
      <c r="N1721" s="7">
        <v>13.603700999999999</v>
      </c>
      <c r="O1721" s="7" t="s">
        <v>23</v>
      </c>
    </row>
    <row r="1722" spans="1:15" hidden="1" x14ac:dyDescent="0.25">
      <c r="A1722" s="2">
        <f t="shared" si="26"/>
        <v>1720</v>
      </c>
      <c r="B1722" s="7" t="s">
        <v>2080</v>
      </c>
      <c r="C1722" s="7" t="s">
        <v>2081</v>
      </c>
      <c r="D1722" s="7" t="s">
        <v>2080</v>
      </c>
      <c r="E1722" s="7" t="s">
        <v>42</v>
      </c>
      <c r="F1722" s="7" t="s">
        <v>2082</v>
      </c>
      <c r="G1722" s="17" t="s">
        <v>7747</v>
      </c>
      <c r="H1722" s="7" t="s">
        <v>28</v>
      </c>
      <c r="I1722" s="7" t="s">
        <v>44</v>
      </c>
      <c r="J1722" s="7" t="s">
        <v>235</v>
      </c>
      <c r="K1722" s="7" t="s">
        <v>1431</v>
      </c>
      <c r="L1722" s="7" t="s">
        <v>44</v>
      </c>
      <c r="M1722" s="7">
        <v>7.3870639999999996</v>
      </c>
      <c r="N1722" s="7">
        <v>13.549194</v>
      </c>
      <c r="O1722" s="7" t="s">
        <v>23</v>
      </c>
    </row>
    <row r="1723" spans="1:15" hidden="1" x14ac:dyDescent="0.25">
      <c r="A1723" s="2">
        <f t="shared" si="26"/>
        <v>1721</v>
      </c>
      <c r="B1723" s="7" t="s">
        <v>2101</v>
      </c>
      <c r="C1723" s="7" t="s">
        <v>2102</v>
      </c>
      <c r="D1723" s="7" t="s">
        <v>2101</v>
      </c>
      <c r="E1723" s="7" t="s">
        <v>42</v>
      </c>
      <c r="F1723" s="7" t="s">
        <v>2103</v>
      </c>
      <c r="G1723" s="17" t="s">
        <v>7747</v>
      </c>
      <c r="H1723" s="7" t="s">
        <v>28</v>
      </c>
      <c r="I1723" s="7" t="s">
        <v>44</v>
      </c>
      <c r="J1723" s="7" t="s">
        <v>235</v>
      </c>
      <c r="K1723" s="7" t="s">
        <v>1431</v>
      </c>
      <c r="L1723" s="7" t="s">
        <v>44</v>
      </c>
      <c r="M1723" s="7">
        <v>7.3573700000000004</v>
      </c>
      <c r="N1723" s="7">
        <v>13.581490000000001</v>
      </c>
      <c r="O1723" s="7" t="s">
        <v>23</v>
      </c>
    </row>
    <row r="1724" spans="1:15" hidden="1" x14ac:dyDescent="0.25">
      <c r="A1724" s="2">
        <f t="shared" si="26"/>
        <v>1722</v>
      </c>
      <c r="B1724" s="7" t="s">
        <v>2253</v>
      </c>
      <c r="C1724" s="7" t="s">
        <v>2254</v>
      </c>
      <c r="D1724" s="7" t="s">
        <v>2253</v>
      </c>
      <c r="E1724" s="7" t="s">
        <v>42</v>
      </c>
      <c r="F1724" s="7" t="s">
        <v>2255</v>
      </c>
      <c r="G1724" s="17" t="s">
        <v>7747</v>
      </c>
      <c r="H1724" s="7" t="s">
        <v>19</v>
      </c>
      <c r="I1724" s="7" t="s">
        <v>44</v>
      </c>
      <c r="J1724" s="7" t="s">
        <v>235</v>
      </c>
      <c r="K1724" s="7" t="s">
        <v>406</v>
      </c>
      <c r="L1724" s="7" t="s">
        <v>44</v>
      </c>
      <c r="M1724" s="7">
        <v>7.4183139999999996</v>
      </c>
      <c r="N1724" s="7">
        <v>13.551437999999999</v>
      </c>
      <c r="O1724" s="7" t="s">
        <v>23</v>
      </c>
    </row>
    <row r="1725" spans="1:15" hidden="1" x14ac:dyDescent="0.25">
      <c r="A1725" s="2">
        <f t="shared" si="26"/>
        <v>1723</v>
      </c>
      <c r="B1725" s="7" t="s">
        <v>2560</v>
      </c>
      <c r="C1725" s="7" t="s">
        <v>2561</v>
      </c>
      <c r="D1725" s="7" t="s">
        <v>2560</v>
      </c>
      <c r="E1725" s="7" t="s">
        <v>42</v>
      </c>
      <c r="F1725" s="7" t="s">
        <v>2562</v>
      </c>
      <c r="G1725" s="17" t="s">
        <v>7747</v>
      </c>
      <c r="H1725" s="7" t="s">
        <v>28</v>
      </c>
      <c r="I1725" s="7" t="s">
        <v>44</v>
      </c>
      <c r="J1725" s="7" t="s">
        <v>235</v>
      </c>
      <c r="K1725" s="7" t="s">
        <v>1431</v>
      </c>
      <c r="L1725" s="7" t="s">
        <v>44</v>
      </c>
      <c r="M1725" s="7">
        <v>7.3243609999999997</v>
      </c>
      <c r="N1725" s="7">
        <v>13.593556</v>
      </c>
      <c r="O1725" s="7" t="s">
        <v>23</v>
      </c>
    </row>
    <row r="1726" spans="1:15" hidden="1" x14ac:dyDescent="0.25">
      <c r="A1726" s="2">
        <f t="shared" si="26"/>
        <v>1724</v>
      </c>
      <c r="B1726" s="7" t="s">
        <v>2566</v>
      </c>
      <c r="C1726" s="7" t="s">
        <v>2567</v>
      </c>
      <c r="D1726" s="7" t="s">
        <v>2566</v>
      </c>
      <c r="E1726" s="7" t="s">
        <v>42</v>
      </c>
      <c r="F1726" s="7" t="s">
        <v>2568</v>
      </c>
      <c r="G1726" s="17" t="s">
        <v>7747</v>
      </c>
      <c r="H1726" s="7" t="s">
        <v>19</v>
      </c>
      <c r="I1726" s="7" t="s">
        <v>102</v>
      </c>
      <c r="J1726" s="7" t="s">
        <v>103</v>
      </c>
      <c r="K1726" s="7" t="s">
        <v>2569</v>
      </c>
      <c r="L1726" s="7" t="s">
        <v>44</v>
      </c>
      <c r="M1726" s="7">
        <v>7.3697379999999999</v>
      </c>
      <c r="N1726" s="7">
        <v>12.662181</v>
      </c>
      <c r="O1726" s="7" t="s">
        <v>23</v>
      </c>
    </row>
    <row r="1727" spans="1:15" hidden="1" x14ac:dyDescent="0.25">
      <c r="A1727" s="2">
        <f t="shared" si="26"/>
        <v>1725</v>
      </c>
      <c r="B1727" s="7" t="s">
        <v>2725</v>
      </c>
      <c r="C1727" s="7" t="s">
        <v>2726</v>
      </c>
      <c r="D1727" s="7" t="s">
        <v>2725</v>
      </c>
      <c r="E1727" s="7" t="s">
        <v>42</v>
      </c>
      <c r="F1727" s="7" t="s">
        <v>2727</v>
      </c>
      <c r="G1727" s="17" t="s">
        <v>7747</v>
      </c>
      <c r="H1727" s="7" t="s">
        <v>28</v>
      </c>
      <c r="I1727" s="7" t="s">
        <v>44</v>
      </c>
      <c r="J1727" s="7" t="s">
        <v>235</v>
      </c>
      <c r="K1727" s="7" t="s">
        <v>1431</v>
      </c>
      <c r="L1727" s="7" t="s">
        <v>44</v>
      </c>
      <c r="M1727" s="7">
        <v>7.3109250000000001</v>
      </c>
      <c r="N1727" s="7">
        <v>13.547790000000001</v>
      </c>
      <c r="O1727" s="7" t="s">
        <v>23</v>
      </c>
    </row>
    <row r="1728" spans="1:15" hidden="1" x14ac:dyDescent="0.25">
      <c r="A1728" s="2">
        <f t="shared" si="26"/>
        <v>1726</v>
      </c>
      <c r="B1728" s="7" t="s">
        <v>2845</v>
      </c>
      <c r="C1728" s="7" t="s">
        <v>2846</v>
      </c>
      <c r="D1728" s="7" t="s">
        <v>2845</v>
      </c>
      <c r="E1728" s="7" t="s">
        <v>42</v>
      </c>
      <c r="F1728" s="7" t="s">
        <v>2847</v>
      </c>
      <c r="G1728" s="17" t="s">
        <v>7747</v>
      </c>
      <c r="H1728" s="7" t="s">
        <v>28</v>
      </c>
      <c r="I1728" s="7" t="s">
        <v>44</v>
      </c>
      <c r="J1728" s="7" t="s">
        <v>235</v>
      </c>
      <c r="K1728" s="7" t="s">
        <v>1431</v>
      </c>
      <c r="L1728" s="7" t="s">
        <v>44</v>
      </c>
      <c r="M1728" s="7">
        <v>7.33209</v>
      </c>
      <c r="N1728" s="7">
        <v>13.58494</v>
      </c>
      <c r="O1728" s="7" t="s">
        <v>23</v>
      </c>
    </row>
    <row r="1729" spans="1:15" hidden="1" x14ac:dyDescent="0.25">
      <c r="A1729" s="2">
        <f t="shared" si="26"/>
        <v>1727</v>
      </c>
      <c r="B1729" s="7" t="s">
        <v>2854</v>
      </c>
      <c r="C1729" s="7" t="s">
        <v>2855</v>
      </c>
      <c r="D1729" s="7" t="s">
        <v>2854</v>
      </c>
      <c r="E1729" s="7" t="s">
        <v>42</v>
      </c>
      <c r="F1729" s="7" t="s">
        <v>2856</v>
      </c>
      <c r="G1729" s="17" t="s">
        <v>7747</v>
      </c>
      <c r="H1729" s="7" t="s">
        <v>28</v>
      </c>
      <c r="I1729" s="7" t="s">
        <v>44</v>
      </c>
      <c r="J1729" s="7" t="s">
        <v>235</v>
      </c>
      <c r="K1729" s="7" t="s">
        <v>2857</v>
      </c>
      <c r="L1729" s="7" t="s">
        <v>44</v>
      </c>
      <c r="M1729" s="7">
        <v>7.3095999999999997</v>
      </c>
      <c r="N1729" s="7">
        <v>13.598330000000001</v>
      </c>
      <c r="O1729" s="7" t="s">
        <v>23</v>
      </c>
    </row>
    <row r="1730" spans="1:15" hidden="1" x14ac:dyDescent="0.25">
      <c r="A1730" s="2">
        <f t="shared" si="26"/>
        <v>1728</v>
      </c>
      <c r="B1730" s="7" t="s">
        <v>2903</v>
      </c>
      <c r="C1730" s="7" t="s">
        <v>2904</v>
      </c>
      <c r="D1730" s="7" t="s">
        <v>2903</v>
      </c>
      <c r="E1730" s="7" t="s">
        <v>42</v>
      </c>
      <c r="F1730" s="7" t="s">
        <v>2905</v>
      </c>
      <c r="G1730" s="17" t="s">
        <v>7747</v>
      </c>
      <c r="H1730" s="7" t="s">
        <v>19</v>
      </c>
      <c r="I1730" s="7" t="s">
        <v>44</v>
      </c>
      <c r="J1730" s="7" t="s">
        <v>235</v>
      </c>
      <c r="K1730" s="7" t="s">
        <v>2906</v>
      </c>
      <c r="L1730" s="7" t="s">
        <v>44</v>
      </c>
      <c r="M1730" s="7">
        <v>7.4143749999999997</v>
      </c>
      <c r="N1730" s="7">
        <v>13.54744</v>
      </c>
      <c r="O1730" s="7" t="s">
        <v>613</v>
      </c>
    </row>
    <row r="1731" spans="1:15" hidden="1" x14ac:dyDescent="0.25">
      <c r="A1731" s="2">
        <f t="shared" si="26"/>
        <v>1729</v>
      </c>
      <c r="B1731" s="7" t="s">
        <v>3022</v>
      </c>
      <c r="C1731" s="7" t="s">
        <v>3023</v>
      </c>
      <c r="D1731" s="7" t="s">
        <v>3022</v>
      </c>
      <c r="E1731" s="7" t="s">
        <v>42</v>
      </c>
      <c r="F1731" s="7" t="s">
        <v>3024</v>
      </c>
      <c r="G1731" s="17" t="s">
        <v>7747</v>
      </c>
      <c r="H1731" s="7" t="s">
        <v>19</v>
      </c>
      <c r="I1731" s="7" t="s">
        <v>44</v>
      </c>
      <c r="J1731" s="7" t="s">
        <v>235</v>
      </c>
      <c r="K1731" s="7" t="s">
        <v>406</v>
      </c>
      <c r="L1731" s="7" t="s">
        <v>44</v>
      </c>
      <c r="M1731" s="7">
        <v>7.4322699999999999</v>
      </c>
      <c r="N1731" s="7">
        <v>13.557088</v>
      </c>
      <c r="O1731" s="7" t="s">
        <v>23</v>
      </c>
    </row>
    <row r="1732" spans="1:15" hidden="1" x14ac:dyDescent="0.25">
      <c r="A1732" s="2">
        <f t="shared" si="26"/>
        <v>1730</v>
      </c>
      <c r="B1732" s="7" t="s">
        <v>3098</v>
      </c>
      <c r="C1732" s="7" t="s">
        <v>3099</v>
      </c>
      <c r="D1732" s="7" t="s">
        <v>3098</v>
      </c>
      <c r="E1732" s="7" t="s">
        <v>42</v>
      </c>
      <c r="F1732" s="7" t="s">
        <v>3100</v>
      </c>
      <c r="G1732" s="17" t="s">
        <v>7747</v>
      </c>
      <c r="H1732" s="7" t="s">
        <v>28</v>
      </c>
      <c r="I1732" s="7" t="s">
        <v>44</v>
      </c>
      <c r="J1732" s="7" t="s">
        <v>235</v>
      </c>
      <c r="K1732" s="7" t="s">
        <v>3101</v>
      </c>
      <c r="L1732" s="7" t="s">
        <v>44</v>
      </c>
      <c r="M1732" s="7">
        <v>7.3018900000000002</v>
      </c>
      <c r="N1732" s="7">
        <v>13.581160000000001</v>
      </c>
      <c r="O1732" s="7" t="s">
        <v>23</v>
      </c>
    </row>
    <row r="1733" spans="1:15" hidden="1" x14ac:dyDescent="0.25">
      <c r="A1733" s="2">
        <f t="shared" ref="A1733:A1796" si="27">+A1732+1</f>
        <v>1731</v>
      </c>
      <c r="B1733" s="7" t="s">
        <v>3102</v>
      </c>
      <c r="C1733" s="7" t="s">
        <v>3103</v>
      </c>
      <c r="D1733" s="7" t="s">
        <v>3102</v>
      </c>
      <c r="E1733" s="7" t="s">
        <v>42</v>
      </c>
      <c r="F1733" s="7" t="s">
        <v>3104</v>
      </c>
      <c r="G1733" s="17" t="s">
        <v>7747</v>
      </c>
      <c r="H1733" s="7" t="s">
        <v>28</v>
      </c>
      <c r="I1733" s="7" t="s">
        <v>44</v>
      </c>
      <c r="J1733" s="7" t="s">
        <v>235</v>
      </c>
      <c r="K1733" s="7" t="s">
        <v>3101</v>
      </c>
      <c r="L1733" s="7" t="s">
        <v>44</v>
      </c>
      <c r="M1733" s="7">
        <v>7.329472</v>
      </c>
      <c r="N1733" s="7">
        <v>13.568389</v>
      </c>
      <c r="O1733" s="7" t="s">
        <v>23</v>
      </c>
    </row>
    <row r="1734" spans="1:15" hidden="1" x14ac:dyDescent="0.25">
      <c r="A1734" s="2">
        <f t="shared" si="27"/>
        <v>1732</v>
      </c>
      <c r="B1734" s="7" t="s">
        <v>3276</v>
      </c>
      <c r="C1734" s="7" t="s">
        <v>3277</v>
      </c>
      <c r="D1734" s="7" t="s">
        <v>3276</v>
      </c>
      <c r="E1734" s="7" t="s">
        <v>42</v>
      </c>
      <c r="F1734" s="7" t="s">
        <v>3278</v>
      </c>
      <c r="G1734" s="17" t="s">
        <v>7747</v>
      </c>
      <c r="H1734" s="7" t="s">
        <v>28</v>
      </c>
      <c r="I1734" s="7" t="s">
        <v>44</v>
      </c>
      <c r="J1734" s="7" t="s">
        <v>235</v>
      </c>
      <c r="K1734" s="7" t="s">
        <v>3101</v>
      </c>
      <c r="L1734" s="7" t="s">
        <v>44</v>
      </c>
      <c r="M1734" s="7">
        <v>7.33277</v>
      </c>
      <c r="N1734" s="7">
        <v>13.592139</v>
      </c>
      <c r="O1734" s="7" t="s">
        <v>23</v>
      </c>
    </row>
    <row r="1735" spans="1:15" hidden="1" x14ac:dyDescent="0.25">
      <c r="A1735" s="2">
        <f t="shared" si="27"/>
        <v>1733</v>
      </c>
      <c r="B1735" s="7" t="s">
        <v>3374</v>
      </c>
      <c r="C1735" s="7" t="s">
        <v>3375</v>
      </c>
      <c r="D1735" s="7" t="s">
        <v>3374</v>
      </c>
      <c r="E1735" s="7" t="s">
        <v>42</v>
      </c>
      <c r="F1735" s="7" t="s">
        <v>3376</v>
      </c>
      <c r="G1735" s="17" t="s">
        <v>7747</v>
      </c>
      <c r="H1735" s="7" t="s">
        <v>28</v>
      </c>
      <c r="I1735" s="7" t="s">
        <v>47</v>
      </c>
      <c r="J1735" s="7" t="s">
        <v>47</v>
      </c>
      <c r="K1735" s="7" t="s">
        <v>104</v>
      </c>
      <c r="L1735" s="7" t="s">
        <v>44</v>
      </c>
      <c r="M1735" s="7">
        <v>6.4556069999999997</v>
      </c>
      <c r="N1735" s="7">
        <v>13.276820000000001</v>
      </c>
      <c r="O1735" s="7" t="s">
        <v>23</v>
      </c>
    </row>
    <row r="1736" spans="1:15" hidden="1" x14ac:dyDescent="0.25">
      <c r="A1736" s="2">
        <f t="shared" si="27"/>
        <v>1734</v>
      </c>
      <c r="B1736" s="7" t="s">
        <v>3412</v>
      </c>
      <c r="C1736" s="7" t="s">
        <v>3413</v>
      </c>
      <c r="D1736" s="7" t="s">
        <v>3412</v>
      </c>
      <c r="E1736" s="7" t="s">
        <v>42</v>
      </c>
      <c r="F1736" s="7" t="s">
        <v>3414</v>
      </c>
      <c r="G1736" s="17" t="s">
        <v>7747</v>
      </c>
      <c r="H1736" s="7" t="s">
        <v>28</v>
      </c>
      <c r="I1736" s="7" t="s">
        <v>44</v>
      </c>
      <c r="J1736" s="7" t="s">
        <v>235</v>
      </c>
      <c r="K1736" s="7" t="s">
        <v>3101</v>
      </c>
      <c r="L1736" s="7" t="s">
        <v>44</v>
      </c>
      <c r="M1736" s="7">
        <v>7.3101099999999999</v>
      </c>
      <c r="N1736" s="7">
        <v>13.57368</v>
      </c>
      <c r="O1736" s="7" t="s">
        <v>23</v>
      </c>
    </row>
    <row r="1737" spans="1:15" hidden="1" x14ac:dyDescent="0.25">
      <c r="A1737" s="2">
        <f t="shared" si="27"/>
        <v>1735</v>
      </c>
      <c r="B1737" s="7" t="s">
        <v>3491</v>
      </c>
      <c r="C1737" s="7" t="s">
        <v>3492</v>
      </c>
      <c r="D1737" s="7" t="s">
        <v>3491</v>
      </c>
      <c r="E1737" s="7" t="s">
        <v>42</v>
      </c>
      <c r="F1737" s="7" t="s">
        <v>3493</v>
      </c>
      <c r="G1737" s="17" t="s">
        <v>7747</v>
      </c>
      <c r="H1737" s="7" t="s">
        <v>28</v>
      </c>
      <c r="I1737" s="7" t="s">
        <v>44</v>
      </c>
      <c r="J1737" s="7" t="s">
        <v>235</v>
      </c>
      <c r="K1737" s="7" t="s">
        <v>3101</v>
      </c>
      <c r="L1737" s="7" t="s">
        <v>44</v>
      </c>
      <c r="M1737" s="7">
        <v>7.3309350000000002</v>
      </c>
      <c r="N1737" s="7">
        <v>13.590002</v>
      </c>
      <c r="O1737" s="7" t="s">
        <v>23</v>
      </c>
    </row>
    <row r="1738" spans="1:15" hidden="1" x14ac:dyDescent="0.25">
      <c r="A1738" s="2">
        <f t="shared" si="27"/>
        <v>1736</v>
      </c>
      <c r="B1738" s="7" t="s">
        <v>3503</v>
      </c>
      <c r="C1738" s="7" t="s">
        <v>3504</v>
      </c>
      <c r="D1738" s="7" t="s">
        <v>3503</v>
      </c>
      <c r="E1738" s="7" t="s">
        <v>42</v>
      </c>
      <c r="F1738" s="7" t="s">
        <v>3505</v>
      </c>
      <c r="G1738" s="17" t="s">
        <v>7747</v>
      </c>
      <c r="H1738" s="7" t="s">
        <v>28</v>
      </c>
      <c r="I1738" s="7" t="s">
        <v>44</v>
      </c>
      <c r="J1738" s="7" t="s">
        <v>235</v>
      </c>
      <c r="K1738" s="7" t="s">
        <v>3101</v>
      </c>
      <c r="L1738" s="7" t="s">
        <v>44</v>
      </c>
      <c r="M1738" s="7">
        <v>7.302962</v>
      </c>
      <c r="N1738" s="7">
        <v>13.593737000000001</v>
      </c>
      <c r="O1738" s="7" t="s">
        <v>23</v>
      </c>
    </row>
    <row r="1739" spans="1:15" hidden="1" x14ac:dyDescent="0.25">
      <c r="A1739" s="2">
        <f t="shared" si="27"/>
        <v>1737</v>
      </c>
      <c r="B1739" s="7" t="s">
        <v>3506</v>
      </c>
      <c r="C1739" s="7" t="s">
        <v>3507</v>
      </c>
      <c r="D1739" s="7" t="s">
        <v>3506</v>
      </c>
      <c r="E1739" s="7" t="s">
        <v>42</v>
      </c>
      <c r="F1739" s="7" t="s">
        <v>2103</v>
      </c>
      <c r="G1739" s="17" t="s">
        <v>7747</v>
      </c>
      <c r="H1739" s="7" t="s">
        <v>28</v>
      </c>
      <c r="I1739" s="7" t="s">
        <v>44</v>
      </c>
      <c r="J1739" s="7" t="s">
        <v>235</v>
      </c>
      <c r="K1739" s="7" t="s">
        <v>3101</v>
      </c>
      <c r="L1739" s="7" t="s">
        <v>44</v>
      </c>
      <c r="M1739" s="7">
        <v>7.3402219999999998</v>
      </c>
      <c r="N1739" s="7">
        <v>13.576074999999999</v>
      </c>
      <c r="O1739" s="7" t="s">
        <v>23</v>
      </c>
    </row>
    <row r="1740" spans="1:15" hidden="1" x14ac:dyDescent="0.25">
      <c r="A1740" s="2">
        <f t="shared" si="27"/>
        <v>1738</v>
      </c>
      <c r="B1740" s="7" t="s">
        <v>3577</v>
      </c>
      <c r="C1740" s="7" t="s">
        <v>3578</v>
      </c>
      <c r="D1740" s="7" t="s">
        <v>3577</v>
      </c>
      <c r="E1740" s="7" t="s">
        <v>42</v>
      </c>
      <c r="F1740" s="7" t="s">
        <v>3579</v>
      </c>
      <c r="G1740" s="17" t="s">
        <v>7747</v>
      </c>
      <c r="H1740" s="7" t="s">
        <v>28</v>
      </c>
      <c r="I1740" s="7" t="s">
        <v>44</v>
      </c>
      <c r="J1740" s="7" t="s">
        <v>235</v>
      </c>
      <c r="K1740" s="7" t="s">
        <v>3580</v>
      </c>
      <c r="L1740" s="7" t="s">
        <v>44</v>
      </c>
      <c r="M1740" s="7">
        <v>7.4373060000000004</v>
      </c>
      <c r="N1740" s="7">
        <v>13.557667</v>
      </c>
      <c r="O1740" s="7" t="s">
        <v>23</v>
      </c>
    </row>
    <row r="1741" spans="1:15" hidden="1" x14ac:dyDescent="0.25">
      <c r="A1741" s="2">
        <f t="shared" si="27"/>
        <v>1739</v>
      </c>
      <c r="B1741" s="7" t="s">
        <v>3716</v>
      </c>
      <c r="C1741" s="7" t="s">
        <v>3717</v>
      </c>
      <c r="D1741" s="7" t="s">
        <v>3716</v>
      </c>
      <c r="E1741" s="7" t="s">
        <v>42</v>
      </c>
      <c r="F1741" s="7" t="s">
        <v>3718</v>
      </c>
      <c r="G1741" s="17" t="s">
        <v>7747</v>
      </c>
      <c r="H1741" s="7" t="s">
        <v>28</v>
      </c>
      <c r="I1741" s="7" t="s">
        <v>44</v>
      </c>
      <c r="J1741" s="7" t="s">
        <v>235</v>
      </c>
      <c r="K1741" s="7" t="s">
        <v>3101</v>
      </c>
      <c r="L1741" s="7" t="s">
        <v>44</v>
      </c>
      <c r="M1741" s="7">
        <v>7.3346400000000003</v>
      </c>
      <c r="N1741" s="7">
        <v>13.60341</v>
      </c>
      <c r="O1741" s="7" t="s">
        <v>23</v>
      </c>
    </row>
    <row r="1742" spans="1:15" hidden="1" x14ac:dyDescent="0.25">
      <c r="A1742" s="2">
        <f t="shared" si="27"/>
        <v>1740</v>
      </c>
      <c r="B1742" s="7" t="s">
        <v>3719</v>
      </c>
      <c r="C1742" s="7" t="s">
        <v>3720</v>
      </c>
      <c r="D1742" s="7" t="s">
        <v>3719</v>
      </c>
      <c r="E1742" s="7" t="s">
        <v>42</v>
      </c>
      <c r="F1742" s="7" t="s">
        <v>3721</v>
      </c>
      <c r="G1742" s="17" t="s">
        <v>7747</v>
      </c>
      <c r="H1742" s="7" t="s">
        <v>19</v>
      </c>
      <c r="I1742" s="7" t="s">
        <v>44</v>
      </c>
      <c r="J1742" s="7" t="s">
        <v>235</v>
      </c>
      <c r="K1742" s="7" t="s">
        <v>3101</v>
      </c>
      <c r="L1742" s="7" t="s">
        <v>44</v>
      </c>
      <c r="M1742" s="7">
        <v>7.3216999999999999</v>
      </c>
      <c r="N1742" s="7">
        <v>13.5777</v>
      </c>
      <c r="O1742" s="7" t="s">
        <v>23</v>
      </c>
    </row>
    <row r="1743" spans="1:15" hidden="1" x14ac:dyDescent="0.25">
      <c r="A1743" s="2">
        <f t="shared" si="27"/>
        <v>1741</v>
      </c>
      <c r="B1743" s="7" t="s">
        <v>3821</v>
      </c>
      <c r="C1743" s="7" t="s">
        <v>3822</v>
      </c>
      <c r="D1743" s="7" t="s">
        <v>3821</v>
      </c>
      <c r="E1743" s="7" t="s">
        <v>42</v>
      </c>
      <c r="F1743" s="7" t="s">
        <v>2568</v>
      </c>
      <c r="G1743" s="17" t="s">
        <v>7747</v>
      </c>
      <c r="H1743" s="7" t="s">
        <v>28</v>
      </c>
      <c r="I1743" s="7" t="s">
        <v>102</v>
      </c>
      <c r="J1743" s="7" t="s">
        <v>103</v>
      </c>
      <c r="K1743" s="7" t="s">
        <v>2569</v>
      </c>
      <c r="L1743" s="7" t="s">
        <v>44</v>
      </c>
      <c r="M1743" s="7">
        <v>7.3718490000000001</v>
      </c>
      <c r="N1743" s="7">
        <v>12.653734</v>
      </c>
      <c r="O1743" s="7" t="s">
        <v>23</v>
      </c>
    </row>
    <row r="1744" spans="1:15" hidden="1" x14ac:dyDescent="0.25">
      <c r="A1744" s="2">
        <f t="shared" si="27"/>
        <v>1742</v>
      </c>
      <c r="B1744" s="7" t="s">
        <v>3838</v>
      </c>
      <c r="C1744" s="7" t="s">
        <v>3839</v>
      </c>
      <c r="D1744" s="7" t="s">
        <v>3838</v>
      </c>
      <c r="E1744" s="7" t="s">
        <v>42</v>
      </c>
      <c r="F1744" s="7" t="s">
        <v>3840</v>
      </c>
      <c r="G1744" s="17" t="s">
        <v>7747</v>
      </c>
      <c r="H1744" s="7" t="s">
        <v>28</v>
      </c>
      <c r="I1744" s="7" t="s">
        <v>44</v>
      </c>
      <c r="J1744" s="7" t="s">
        <v>235</v>
      </c>
      <c r="K1744" s="7" t="s">
        <v>3101</v>
      </c>
      <c r="L1744" s="7" t="s">
        <v>44</v>
      </c>
      <c r="M1744" s="7">
        <v>7.2897369999999997</v>
      </c>
      <c r="N1744" s="7">
        <v>13.577116999999999</v>
      </c>
      <c r="O1744" s="7" t="s">
        <v>23</v>
      </c>
    </row>
    <row r="1745" spans="1:15" hidden="1" x14ac:dyDescent="0.25">
      <c r="A1745" s="2">
        <f t="shared" si="27"/>
        <v>1743</v>
      </c>
      <c r="B1745" s="7" t="s">
        <v>4022</v>
      </c>
      <c r="C1745" s="7" t="s">
        <v>4023</v>
      </c>
      <c r="D1745" s="7" t="s">
        <v>4022</v>
      </c>
      <c r="E1745" s="7" t="s">
        <v>42</v>
      </c>
      <c r="F1745" s="7" t="s">
        <v>4024</v>
      </c>
      <c r="G1745" s="17" t="s">
        <v>7747</v>
      </c>
      <c r="H1745" s="7" t="s">
        <v>19</v>
      </c>
      <c r="I1745" s="7" t="s">
        <v>44</v>
      </c>
      <c r="J1745" s="7" t="s">
        <v>235</v>
      </c>
      <c r="K1745" s="7" t="s">
        <v>3101</v>
      </c>
      <c r="L1745" s="7" t="s">
        <v>44</v>
      </c>
      <c r="M1745" s="7">
        <v>7.1550929999999999</v>
      </c>
      <c r="N1745" s="7">
        <v>13.719018</v>
      </c>
      <c r="O1745" s="7" t="s">
        <v>23</v>
      </c>
    </row>
    <row r="1746" spans="1:15" hidden="1" x14ac:dyDescent="0.25">
      <c r="A1746" s="2">
        <f t="shared" si="27"/>
        <v>1744</v>
      </c>
      <c r="B1746" s="7" t="s">
        <v>4034</v>
      </c>
      <c r="C1746" s="7" t="s">
        <v>4035</v>
      </c>
      <c r="D1746" s="7" t="s">
        <v>4034</v>
      </c>
      <c r="E1746" s="7" t="s">
        <v>42</v>
      </c>
      <c r="F1746" s="7" t="s">
        <v>4036</v>
      </c>
      <c r="G1746" s="17" t="s">
        <v>7747</v>
      </c>
      <c r="H1746" s="7" t="s">
        <v>19</v>
      </c>
      <c r="I1746" s="7" t="s">
        <v>44</v>
      </c>
      <c r="J1746" s="7" t="s">
        <v>235</v>
      </c>
      <c r="K1746" s="7" t="s">
        <v>4037</v>
      </c>
      <c r="L1746" s="7" t="s">
        <v>44</v>
      </c>
      <c r="M1746" s="7">
        <v>7.0313540000000003</v>
      </c>
      <c r="N1746" s="7">
        <v>13.946262000000001</v>
      </c>
      <c r="O1746" s="7" t="s">
        <v>23</v>
      </c>
    </row>
    <row r="1747" spans="1:15" hidden="1" x14ac:dyDescent="0.25">
      <c r="A1747" s="2">
        <f t="shared" si="27"/>
        <v>1745</v>
      </c>
      <c r="B1747" s="7" t="s">
        <v>4149</v>
      </c>
      <c r="C1747" s="7" t="s">
        <v>4150</v>
      </c>
      <c r="D1747" s="7" t="s">
        <v>4149</v>
      </c>
      <c r="E1747" s="7" t="s">
        <v>42</v>
      </c>
      <c r="F1747" s="7" t="s">
        <v>4151</v>
      </c>
      <c r="G1747" s="17" t="s">
        <v>7747</v>
      </c>
      <c r="H1747" s="7" t="s">
        <v>19</v>
      </c>
      <c r="I1747" s="7" t="s">
        <v>44</v>
      </c>
      <c r="J1747" s="7" t="s">
        <v>235</v>
      </c>
      <c r="K1747" s="7" t="s">
        <v>4037</v>
      </c>
      <c r="L1747" s="7" t="s">
        <v>44</v>
      </c>
      <c r="M1747" s="7">
        <v>7.0960279999999996</v>
      </c>
      <c r="N1747" s="7">
        <v>13.849861000000001</v>
      </c>
      <c r="O1747" s="7" t="s">
        <v>23</v>
      </c>
    </row>
    <row r="1748" spans="1:15" hidden="1" x14ac:dyDescent="0.25">
      <c r="A1748" s="2">
        <f t="shared" si="27"/>
        <v>1746</v>
      </c>
      <c r="B1748" s="7" t="s">
        <v>4674</v>
      </c>
      <c r="C1748" s="7" t="s">
        <v>4675</v>
      </c>
      <c r="D1748" s="7" t="s">
        <v>4674</v>
      </c>
      <c r="E1748" s="7" t="s">
        <v>42</v>
      </c>
      <c r="F1748" s="7" t="s">
        <v>4676</v>
      </c>
      <c r="G1748" s="17" t="s">
        <v>7747</v>
      </c>
      <c r="H1748" s="7" t="s">
        <v>19</v>
      </c>
      <c r="I1748" s="7" t="s">
        <v>47</v>
      </c>
      <c r="J1748" s="7" t="s">
        <v>47</v>
      </c>
      <c r="K1748" s="7" t="s">
        <v>104</v>
      </c>
      <c r="L1748" s="7" t="s">
        <v>44</v>
      </c>
      <c r="M1748" s="7">
        <v>6.4647220000000001</v>
      </c>
      <c r="N1748" s="7">
        <v>13.263265000000001</v>
      </c>
      <c r="O1748" s="7" t="s">
        <v>23</v>
      </c>
    </row>
    <row r="1749" spans="1:15" hidden="1" x14ac:dyDescent="0.25">
      <c r="A1749" s="2">
        <f t="shared" si="27"/>
        <v>1747</v>
      </c>
      <c r="B1749" s="7" t="s">
        <v>4696</v>
      </c>
      <c r="C1749" s="7" t="s">
        <v>4697</v>
      </c>
      <c r="D1749" s="7" t="s">
        <v>4696</v>
      </c>
      <c r="E1749" s="7" t="s">
        <v>42</v>
      </c>
      <c r="F1749" s="7" t="s">
        <v>4698</v>
      </c>
      <c r="G1749" s="17" t="s">
        <v>7747</v>
      </c>
      <c r="H1749" s="7" t="s">
        <v>19</v>
      </c>
      <c r="I1749" s="7" t="s">
        <v>44</v>
      </c>
      <c r="J1749" s="7" t="s">
        <v>235</v>
      </c>
      <c r="K1749" s="7" t="s">
        <v>3101</v>
      </c>
      <c r="L1749" s="7" t="s">
        <v>44</v>
      </c>
      <c r="M1749" s="7">
        <v>7.3279170000000002</v>
      </c>
      <c r="N1749" s="7">
        <v>13.604056</v>
      </c>
      <c r="O1749" s="7" t="s">
        <v>23</v>
      </c>
    </row>
    <row r="1750" spans="1:15" hidden="1" x14ac:dyDescent="0.25">
      <c r="A1750" s="2">
        <f t="shared" si="27"/>
        <v>1748</v>
      </c>
      <c r="B1750" s="7" t="s">
        <v>4699</v>
      </c>
      <c r="C1750" s="7" t="s">
        <v>4700</v>
      </c>
      <c r="D1750" s="7" t="s">
        <v>4699</v>
      </c>
      <c r="E1750" s="7" t="s">
        <v>42</v>
      </c>
      <c r="F1750" s="7" t="s">
        <v>4701</v>
      </c>
      <c r="G1750" s="17" t="s">
        <v>7747</v>
      </c>
      <c r="H1750" s="7" t="s">
        <v>19</v>
      </c>
      <c r="I1750" s="7" t="s">
        <v>44</v>
      </c>
      <c r="J1750" s="7" t="s">
        <v>235</v>
      </c>
      <c r="K1750" s="7" t="s">
        <v>3101</v>
      </c>
      <c r="L1750" s="7" t="s">
        <v>44</v>
      </c>
      <c r="M1750" s="7">
        <v>7.3210350000000002</v>
      </c>
      <c r="N1750" s="7">
        <v>13.593658</v>
      </c>
      <c r="O1750" s="7" t="s">
        <v>23</v>
      </c>
    </row>
    <row r="1751" spans="1:15" hidden="1" x14ac:dyDescent="0.25">
      <c r="A1751" s="2">
        <f t="shared" si="27"/>
        <v>1749</v>
      </c>
      <c r="B1751" s="7" t="s">
        <v>4867</v>
      </c>
      <c r="C1751" s="7" t="s">
        <v>4868</v>
      </c>
      <c r="D1751" s="7" t="s">
        <v>4867</v>
      </c>
      <c r="E1751" s="7" t="s">
        <v>42</v>
      </c>
      <c r="F1751" s="7" t="s">
        <v>4869</v>
      </c>
      <c r="G1751" s="17" t="s">
        <v>7747</v>
      </c>
      <c r="H1751" s="7" t="s">
        <v>28</v>
      </c>
      <c r="I1751" s="7" t="s">
        <v>44</v>
      </c>
      <c r="J1751" s="7" t="s">
        <v>235</v>
      </c>
      <c r="K1751" s="7" t="s">
        <v>3101</v>
      </c>
      <c r="L1751" s="7" t="s">
        <v>44</v>
      </c>
      <c r="M1751" s="7">
        <v>7.317412</v>
      </c>
      <c r="N1751" s="7">
        <v>13.597588999999999</v>
      </c>
      <c r="O1751" s="7" t="s">
        <v>23</v>
      </c>
    </row>
    <row r="1752" spans="1:15" hidden="1" x14ac:dyDescent="0.25">
      <c r="A1752" s="2">
        <f t="shared" si="27"/>
        <v>1750</v>
      </c>
      <c r="B1752" s="7" t="s">
        <v>4888</v>
      </c>
      <c r="C1752" s="7" t="s">
        <v>4889</v>
      </c>
      <c r="D1752" s="7" t="s">
        <v>4888</v>
      </c>
      <c r="E1752" s="7" t="s">
        <v>42</v>
      </c>
      <c r="F1752" s="7" t="s">
        <v>4890</v>
      </c>
      <c r="G1752" s="17" t="s">
        <v>7747</v>
      </c>
      <c r="H1752" s="7" t="s">
        <v>28</v>
      </c>
      <c r="I1752" s="7" t="s">
        <v>44</v>
      </c>
      <c r="J1752" s="7" t="s">
        <v>235</v>
      </c>
      <c r="K1752" s="7" t="s">
        <v>3101</v>
      </c>
      <c r="L1752" s="7" t="s">
        <v>44</v>
      </c>
      <c r="M1752" s="7">
        <v>7.3099550000000004</v>
      </c>
      <c r="N1752" s="7">
        <v>13.599223</v>
      </c>
      <c r="O1752" s="7" t="s">
        <v>23</v>
      </c>
    </row>
    <row r="1753" spans="1:15" hidden="1" x14ac:dyDescent="0.25">
      <c r="A1753" s="2">
        <f t="shared" si="27"/>
        <v>1751</v>
      </c>
      <c r="B1753" s="7" t="s">
        <v>4891</v>
      </c>
      <c r="C1753" s="7" t="s">
        <v>4892</v>
      </c>
      <c r="D1753" s="7" t="s">
        <v>4891</v>
      </c>
      <c r="E1753" s="7" t="s">
        <v>42</v>
      </c>
      <c r="F1753" s="7" t="s">
        <v>4893</v>
      </c>
      <c r="G1753" s="17" t="s">
        <v>7747</v>
      </c>
      <c r="H1753" s="7" t="s">
        <v>28</v>
      </c>
      <c r="I1753" s="7" t="s">
        <v>44</v>
      </c>
      <c r="J1753" s="7" t="s">
        <v>235</v>
      </c>
      <c r="K1753" s="7" t="s">
        <v>4894</v>
      </c>
      <c r="L1753" s="7" t="s">
        <v>44</v>
      </c>
      <c r="M1753" s="7">
        <v>7.3825560000000001</v>
      </c>
      <c r="N1753" s="7">
        <v>13.549333000000001</v>
      </c>
      <c r="O1753" s="7" t="s">
        <v>23</v>
      </c>
    </row>
    <row r="1754" spans="1:15" hidden="1" x14ac:dyDescent="0.25">
      <c r="A1754" s="2">
        <f t="shared" si="27"/>
        <v>1752</v>
      </c>
      <c r="B1754" s="7" t="s">
        <v>5195</v>
      </c>
      <c r="C1754" s="7" t="s">
        <v>5196</v>
      </c>
      <c r="D1754" s="7" t="s">
        <v>5195</v>
      </c>
      <c r="E1754" s="7" t="s">
        <v>42</v>
      </c>
      <c r="F1754" s="7" t="s">
        <v>5197</v>
      </c>
      <c r="G1754" s="17" t="s">
        <v>7747</v>
      </c>
      <c r="H1754" s="7" t="s">
        <v>28</v>
      </c>
      <c r="I1754" s="7" t="s">
        <v>44</v>
      </c>
      <c r="J1754" s="7" t="s">
        <v>235</v>
      </c>
      <c r="K1754" s="7" t="s">
        <v>3101</v>
      </c>
      <c r="L1754" s="7" t="s">
        <v>44</v>
      </c>
      <c r="M1754" s="7">
        <v>7.4119999999999999</v>
      </c>
      <c r="N1754" s="7">
        <v>13.548806000000001</v>
      </c>
      <c r="O1754" s="7" t="s">
        <v>613</v>
      </c>
    </row>
    <row r="1755" spans="1:15" hidden="1" x14ac:dyDescent="0.25">
      <c r="A1755" s="2">
        <f t="shared" si="27"/>
        <v>1753</v>
      </c>
      <c r="B1755" s="7" t="s">
        <v>5267</v>
      </c>
      <c r="C1755" s="7" t="s">
        <v>5268</v>
      </c>
      <c r="D1755" s="7" t="s">
        <v>5267</v>
      </c>
      <c r="E1755" s="7" t="s">
        <v>42</v>
      </c>
      <c r="F1755" s="7" t="s">
        <v>5269</v>
      </c>
      <c r="G1755" s="17" t="s">
        <v>7747</v>
      </c>
      <c r="H1755" s="7" t="s">
        <v>28</v>
      </c>
      <c r="I1755" s="7" t="s">
        <v>44</v>
      </c>
      <c r="J1755" s="7" t="s">
        <v>235</v>
      </c>
      <c r="K1755" s="7" t="s">
        <v>3101</v>
      </c>
      <c r="L1755" s="7" t="s">
        <v>44</v>
      </c>
      <c r="M1755" s="7">
        <v>7.3262349999999996</v>
      </c>
      <c r="N1755" s="7">
        <v>13.585054</v>
      </c>
      <c r="O1755" s="7" t="s">
        <v>613</v>
      </c>
    </row>
    <row r="1756" spans="1:15" hidden="1" x14ac:dyDescent="0.25">
      <c r="A1756" s="2">
        <f t="shared" si="27"/>
        <v>1754</v>
      </c>
      <c r="B1756" s="7" t="s">
        <v>5353</v>
      </c>
      <c r="C1756" s="7" t="s">
        <v>5354</v>
      </c>
      <c r="D1756" s="7" t="s">
        <v>5353</v>
      </c>
      <c r="E1756" s="7" t="s">
        <v>42</v>
      </c>
      <c r="F1756" s="7" t="s">
        <v>5355</v>
      </c>
      <c r="G1756" s="17" t="s">
        <v>7747</v>
      </c>
      <c r="H1756" s="7" t="s">
        <v>28</v>
      </c>
      <c r="I1756" s="7" t="s">
        <v>44</v>
      </c>
      <c r="J1756" s="7" t="s">
        <v>235</v>
      </c>
      <c r="K1756" s="7" t="s">
        <v>3101</v>
      </c>
      <c r="L1756" s="7" t="s">
        <v>44</v>
      </c>
      <c r="M1756" s="7">
        <v>7.3281080000000003</v>
      </c>
      <c r="N1756" s="7">
        <v>13.58263</v>
      </c>
      <c r="O1756" s="7" t="s">
        <v>613</v>
      </c>
    </row>
    <row r="1757" spans="1:15" hidden="1" x14ac:dyDescent="0.25">
      <c r="A1757" s="2">
        <f t="shared" si="27"/>
        <v>1755</v>
      </c>
      <c r="B1757" s="7" t="s">
        <v>5475</v>
      </c>
      <c r="C1757" s="7" t="s">
        <v>5476</v>
      </c>
      <c r="D1757" s="7" t="s">
        <v>5475</v>
      </c>
      <c r="E1757" s="7" t="s">
        <v>42</v>
      </c>
      <c r="F1757" s="7" t="s">
        <v>5477</v>
      </c>
      <c r="G1757" s="17" t="s">
        <v>7747</v>
      </c>
      <c r="H1757" s="7" t="s">
        <v>28</v>
      </c>
      <c r="I1757" s="7" t="s">
        <v>44</v>
      </c>
      <c r="J1757" s="7" t="s">
        <v>235</v>
      </c>
      <c r="K1757" s="7" t="s">
        <v>3101</v>
      </c>
      <c r="L1757" s="7" t="s">
        <v>44</v>
      </c>
      <c r="M1757" s="7">
        <v>7.3239999999999998</v>
      </c>
      <c r="N1757" s="7">
        <v>13.584417</v>
      </c>
      <c r="O1757" s="7" t="s">
        <v>613</v>
      </c>
    </row>
    <row r="1758" spans="1:15" hidden="1" x14ac:dyDescent="0.25">
      <c r="A1758" s="2">
        <f t="shared" si="27"/>
        <v>1756</v>
      </c>
      <c r="B1758" s="7" t="s">
        <v>5656</v>
      </c>
      <c r="C1758" s="7" t="s">
        <v>5657</v>
      </c>
      <c r="D1758" s="7" t="s">
        <v>5656</v>
      </c>
      <c r="E1758" s="7" t="s">
        <v>42</v>
      </c>
      <c r="F1758" s="7" t="s">
        <v>5658</v>
      </c>
      <c r="G1758" s="17" t="s">
        <v>7747</v>
      </c>
      <c r="H1758" s="7" t="s">
        <v>28</v>
      </c>
      <c r="I1758" s="7" t="s">
        <v>44</v>
      </c>
      <c r="J1758" s="7" t="s">
        <v>235</v>
      </c>
      <c r="K1758" s="7" t="s">
        <v>3101</v>
      </c>
      <c r="L1758" s="7" t="s">
        <v>44</v>
      </c>
      <c r="M1758" s="7">
        <v>7.30375</v>
      </c>
      <c r="N1758" s="7">
        <v>13.588778</v>
      </c>
      <c r="O1758" s="7" t="s">
        <v>23</v>
      </c>
    </row>
    <row r="1759" spans="1:15" hidden="1" x14ac:dyDescent="0.25">
      <c r="A1759" s="2">
        <f t="shared" si="27"/>
        <v>1757</v>
      </c>
      <c r="B1759" s="7" t="s">
        <v>5839</v>
      </c>
      <c r="C1759" s="7" t="s">
        <v>5840</v>
      </c>
      <c r="D1759" s="7" t="s">
        <v>5839</v>
      </c>
      <c r="E1759" s="7" t="s">
        <v>42</v>
      </c>
      <c r="F1759" s="7" t="s">
        <v>5841</v>
      </c>
      <c r="G1759" s="17" t="s">
        <v>7747</v>
      </c>
      <c r="H1759" s="7" t="s">
        <v>28</v>
      </c>
      <c r="I1759" s="7" t="s">
        <v>44</v>
      </c>
      <c r="J1759" s="7" t="s">
        <v>235</v>
      </c>
      <c r="K1759" s="7" t="s">
        <v>3101</v>
      </c>
      <c r="L1759" s="7" t="s">
        <v>44</v>
      </c>
      <c r="M1759" s="7">
        <v>7.2422370000000003</v>
      </c>
      <c r="N1759" s="7">
        <v>13.558166999999999</v>
      </c>
      <c r="O1759" s="7" t="s">
        <v>23</v>
      </c>
    </row>
    <row r="1760" spans="1:15" hidden="1" x14ac:dyDescent="0.25">
      <c r="A1760" s="2">
        <f t="shared" si="27"/>
        <v>1758</v>
      </c>
      <c r="B1760" s="7" t="s">
        <v>5857</v>
      </c>
      <c r="C1760" s="7" t="s">
        <v>5858</v>
      </c>
      <c r="D1760" s="7" t="s">
        <v>5857</v>
      </c>
      <c r="E1760" s="7" t="s">
        <v>42</v>
      </c>
      <c r="F1760" s="7" t="s">
        <v>5859</v>
      </c>
      <c r="G1760" s="17" t="s">
        <v>7747</v>
      </c>
      <c r="H1760" s="7" t="s">
        <v>28</v>
      </c>
      <c r="I1760" s="7" t="s">
        <v>44</v>
      </c>
      <c r="J1760" s="7" t="s">
        <v>235</v>
      </c>
      <c r="K1760" s="7" t="s">
        <v>5860</v>
      </c>
      <c r="L1760" s="7" t="s">
        <v>44</v>
      </c>
      <c r="M1760" s="7">
        <v>7.1790469999999997</v>
      </c>
      <c r="N1760" s="7">
        <v>14.148662</v>
      </c>
      <c r="O1760" s="7" t="s">
        <v>23</v>
      </c>
    </row>
    <row r="1761" spans="1:15" hidden="1" x14ac:dyDescent="0.25">
      <c r="A1761" s="2">
        <f t="shared" si="27"/>
        <v>1759</v>
      </c>
      <c r="B1761" s="7" t="s">
        <v>5881</v>
      </c>
      <c r="C1761" s="7" t="s">
        <v>5882</v>
      </c>
      <c r="D1761" s="7" t="s">
        <v>5881</v>
      </c>
      <c r="E1761" s="7" t="s">
        <v>42</v>
      </c>
      <c r="F1761" s="7" t="s">
        <v>5883</v>
      </c>
      <c r="G1761" s="17" t="s">
        <v>7747</v>
      </c>
      <c r="H1761" s="7" t="s">
        <v>28</v>
      </c>
      <c r="I1761" s="7" t="s">
        <v>102</v>
      </c>
      <c r="J1761" s="7" t="s">
        <v>103</v>
      </c>
      <c r="K1761" s="7" t="s">
        <v>1014</v>
      </c>
      <c r="L1761" s="7" t="s">
        <v>44</v>
      </c>
      <c r="M1761" s="7">
        <v>7.0278929999999997</v>
      </c>
      <c r="N1761" s="7">
        <v>12.826055</v>
      </c>
      <c r="O1761" s="7" t="s">
        <v>23</v>
      </c>
    </row>
    <row r="1762" spans="1:15" hidden="1" x14ac:dyDescent="0.25">
      <c r="A1762" s="2">
        <f t="shared" si="27"/>
        <v>1760</v>
      </c>
      <c r="B1762" s="7" t="s">
        <v>5918</v>
      </c>
      <c r="C1762" s="7" t="s">
        <v>5919</v>
      </c>
      <c r="D1762" s="7" t="s">
        <v>5918</v>
      </c>
      <c r="E1762" s="7" t="s">
        <v>42</v>
      </c>
      <c r="F1762" s="7" t="s">
        <v>5920</v>
      </c>
      <c r="G1762" s="17" t="s">
        <v>7747</v>
      </c>
      <c r="H1762" s="7" t="s">
        <v>28</v>
      </c>
      <c r="I1762" s="7" t="s">
        <v>44</v>
      </c>
      <c r="J1762" s="7" t="s">
        <v>732</v>
      </c>
      <c r="K1762" s="7" t="s">
        <v>5920</v>
      </c>
      <c r="L1762" s="7" t="s">
        <v>44</v>
      </c>
      <c r="M1762" s="7">
        <v>7.4247100000000001</v>
      </c>
      <c r="N1762" s="7">
        <v>13.929080000000001</v>
      </c>
      <c r="O1762" s="7" t="s">
        <v>23</v>
      </c>
    </row>
    <row r="1763" spans="1:15" hidden="1" x14ac:dyDescent="0.25">
      <c r="A1763" s="2">
        <f t="shared" si="27"/>
        <v>1761</v>
      </c>
      <c r="B1763" s="7" t="s">
        <v>6046</v>
      </c>
      <c r="C1763" s="7" t="s">
        <v>6047</v>
      </c>
      <c r="D1763" s="7" t="s">
        <v>6046</v>
      </c>
      <c r="E1763" s="7" t="s">
        <v>42</v>
      </c>
      <c r="F1763" s="7" t="s">
        <v>6048</v>
      </c>
      <c r="G1763" s="17" t="s">
        <v>7747</v>
      </c>
      <c r="H1763" s="7" t="s">
        <v>28</v>
      </c>
      <c r="I1763" s="7" t="s">
        <v>102</v>
      </c>
      <c r="J1763" s="7" t="s">
        <v>103</v>
      </c>
      <c r="K1763" s="7" t="s">
        <v>1014</v>
      </c>
      <c r="L1763" s="7" t="s">
        <v>44</v>
      </c>
      <c r="M1763" s="7">
        <v>6.9945380000000004</v>
      </c>
      <c r="N1763" s="7">
        <v>12.999995</v>
      </c>
      <c r="O1763" s="7" t="s">
        <v>23</v>
      </c>
    </row>
    <row r="1764" spans="1:15" hidden="1" x14ac:dyDescent="0.25">
      <c r="A1764" s="2">
        <f t="shared" si="27"/>
        <v>1762</v>
      </c>
      <c r="B1764" s="7" t="s">
        <v>6069</v>
      </c>
      <c r="C1764" s="7" t="s">
        <v>6070</v>
      </c>
      <c r="D1764" s="7" t="s">
        <v>6069</v>
      </c>
      <c r="E1764" s="7" t="s">
        <v>42</v>
      </c>
      <c r="F1764" s="7" t="s">
        <v>6071</v>
      </c>
      <c r="G1764" s="17" t="s">
        <v>7747</v>
      </c>
      <c r="H1764" s="7" t="s">
        <v>28</v>
      </c>
      <c r="I1764" s="7" t="s">
        <v>102</v>
      </c>
      <c r="J1764" s="7" t="s">
        <v>103</v>
      </c>
      <c r="K1764" s="7" t="s">
        <v>1014</v>
      </c>
      <c r="L1764" s="7" t="s">
        <v>44</v>
      </c>
      <c r="M1764" s="7">
        <v>6.9617100000000001</v>
      </c>
      <c r="N1764" s="7">
        <v>12.94182</v>
      </c>
      <c r="O1764" s="7" t="s">
        <v>23</v>
      </c>
    </row>
    <row r="1765" spans="1:15" hidden="1" x14ac:dyDescent="0.25">
      <c r="A1765" s="2">
        <f t="shared" si="27"/>
        <v>1763</v>
      </c>
      <c r="B1765" s="7" t="s">
        <v>6152</v>
      </c>
      <c r="C1765" s="7" t="s">
        <v>6153</v>
      </c>
      <c r="D1765" s="7" t="s">
        <v>6152</v>
      </c>
      <c r="E1765" s="7" t="s">
        <v>42</v>
      </c>
      <c r="F1765" s="7" t="s">
        <v>6154</v>
      </c>
      <c r="G1765" s="17" t="s">
        <v>7747</v>
      </c>
      <c r="H1765" s="7" t="s">
        <v>28</v>
      </c>
      <c r="I1765" s="7" t="s">
        <v>102</v>
      </c>
      <c r="J1765" s="7" t="s">
        <v>103</v>
      </c>
      <c r="K1765" s="7" t="s">
        <v>1014</v>
      </c>
      <c r="L1765" s="7" t="s">
        <v>44</v>
      </c>
      <c r="M1765" s="7">
        <v>6.8941670000000004</v>
      </c>
      <c r="N1765" s="7">
        <v>13.048833</v>
      </c>
      <c r="O1765" s="7" t="s">
        <v>23</v>
      </c>
    </row>
    <row r="1766" spans="1:15" hidden="1" x14ac:dyDescent="0.25">
      <c r="A1766" s="2">
        <f t="shared" si="27"/>
        <v>1764</v>
      </c>
      <c r="B1766" s="7" t="s">
        <v>6178</v>
      </c>
      <c r="C1766" s="7" t="s">
        <v>6179</v>
      </c>
      <c r="D1766" s="7" t="s">
        <v>6178</v>
      </c>
      <c r="E1766" s="7" t="s">
        <v>170</v>
      </c>
      <c r="F1766" s="7" t="s">
        <v>6180</v>
      </c>
      <c r="G1766" s="17" t="s">
        <v>7747</v>
      </c>
      <c r="H1766" s="7" t="s">
        <v>19</v>
      </c>
      <c r="I1766" s="7" t="s">
        <v>234</v>
      </c>
      <c r="J1766" s="7" t="s">
        <v>732</v>
      </c>
      <c r="K1766" s="7" t="s">
        <v>885</v>
      </c>
      <c r="L1766" s="7" t="s">
        <v>44</v>
      </c>
      <c r="M1766" s="7">
        <v>8.1985480000000006</v>
      </c>
      <c r="N1766" s="7">
        <v>13.640499</v>
      </c>
      <c r="O1766" s="7" t="s">
        <v>23</v>
      </c>
    </row>
    <row r="1767" spans="1:15" hidden="1" x14ac:dyDescent="0.25">
      <c r="A1767" s="2">
        <f t="shared" si="27"/>
        <v>1765</v>
      </c>
      <c r="B1767" s="7" t="s">
        <v>6184</v>
      </c>
      <c r="C1767" s="7" t="s">
        <v>6185</v>
      </c>
      <c r="D1767" s="7" t="s">
        <v>6184</v>
      </c>
      <c r="E1767" s="7" t="s">
        <v>42</v>
      </c>
      <c r="F1767" s="7" t="s">
        <v>6186</v>
      </c>
      <c r="G1767" s="17" t="s">
        <v>7747</v>
      </c>
      <c r="H1767" s="7" t="s">
        <v>28</v>
      </c>
      <c r="I1767" s="7" t="s">
        <v>44</v>
      </c>
      <c r="J1767" s="7" t="s">
        <v>235</v>
      </c>
      <c r="K1767" s="7" t="s">
        <v>5860</v>
      </c>
      <c r="L1767" s="7" t="s">
        <v>44</v>
      </c>
      <c r="M1767" s="7">
        <v>7.2403719999999998</v>
      </c>
      <c r="N1767" s="7">
        <v>14.023059999999999</v>
      </c>
      <c r="O1767" s="7" t="s">
        <v>23</v>
      </c>
    </row>
    <row r="1768" spans="1:15" hidden="1" x14ac:dyDescent="0.25">
      <c r="A1768" s="2">
        <f t="shared" si="27"/>
        <v>1766</v>
      </c>
      <c r="B1768" s="7" t="s">
        <v>6187</v>
      </c>
      <c r="C1768" s="7" t="s">
        <v>6188</v>
      </c>
      <c r="D1768" s="7" t="s">
        <v>6187</v>
      </c>
      <c r="E1768" s="7" t="s">
        <v>42</v>
      </c>
      <c r="F1768" s="7" t="s">
        <v>6189</v>
      </c>
      <c r="G1768" s="17" t="s">
        <v>7747</v>
      </c>
      <c r="H1768" s="7" t="s">
        <v>19</v>
      </c>
      <c r="I1768" s="7" t="s">
        <v>44</v>
      </c>
      <c r="J1768" s="7" t="s">
        <v>235</v>
      </c>
      <c r="K1768" s="7" t="s">
        <v>3580</v>
      </c>
      <c r="L1768" s="7" t="s">
        <v>44</v>
      </c>
      <c r="M1768" s="7">
        <v>7.5756389999999998</v>
      </c>
      <c r="N1768" s="7">
        <v>13.562028</v>
      </c>
      <c r="O1768" s="7" t="s">
        <v>23</v>
      </c>
    </row>
    <row r="1769" spans="1:15" hidden="1" x14ac:dyDescent="0.25">
      <c r="A1769" s="2">
        <f t="shared" si="27"/>
        <v>1767</v>
      </c>
      <c r="B1769" s="7" t="s">
        <v>6297</v>
      </c>
      <c r="C1769" s="7" t="s">
        <v>6298</v>
      </c>
      <c r="D1769" s="7" t="s">
        <v>6297</v>
      </c>
      <c r="E1769" s="7" t="s">
        <v>42</v>
      </c>
      <c r="F1769" s="7" t="s">
        <v>6299</v>
      </c>
      <c r="G1769" s="17" t="s">
        <v>7747</v>
      </c>
      <c r="H1769" s="7" t="s">
        <v>19</v>
      </c>
      <c r="I1769" s="7" t="s">
        <v>102</v>
      </c>
      <c r="J1769" s="7" t="s">
        <v>103</v>
      </c>
      <c r="K1769" s="7" t="s">
        <v>104</v>
      </c>
      <c r="L1769" s="7" t="s">
        <v>44</v>
      </c>
      <c r="M1769" s="7">
        <v>6.6808329999999998</v>
      </c>
      <c r="N1769" s="7">
        <v>13.099</v>
      </c>
      <c r="O1769" s="7" t="s">
        <v>23</v>
      </c>
    </row>
    <row r="1770" spans="1:15" hidden="1" x14ac:dyDescent="0.25">
      <c r="A1770" s="2">
        <f t="shared" si="27"/>
        <v>1768</v>
      </c>
      <c r="B1770" s="7" t="s">
        <v>6309</v>
      </c>
      <c r="C1770" s="7" t="s">
        <v>6310</v>
      </c>
      <c r="D1770" s="7" t="s">
        <v>6309</v>
      </c>
      <c r="E1770" s="7" t="s">
        <v>170</v>
      </c>
      <c r="F1770" s="7" t="s">
        <v>6311</v>
      </c>
      <c r="G1770" s="17" t="s">
        <v>7747</v>
      </c>
      <c r="H1770" s="7" t="s">
        <v>28</v>
      </c>
      <c r="I1770" s="7" t="s">
        <v>234</v>
      </c>
      <c r="J1770" s="7" t="s">
        <v>732</v>
      </c>
      <c r="K1770" s="7" t="s">
        <v>6312</v>
      </c>
      <c r="L1770" s="7" t="s">
        <v>44</v>
      </c>
      <c r="M1770" s="7">
        <v>7.8624679999999998</v>
      </c>
      <c r="N1770" s="7">
        <v>13.589921</v>
      </c>
      <c r="O1770" s="7" t="s">
        <v>23</v>
      </c>
    </row>
    <row r="1771" spans="1:15" hidden="1" x14ac:dyDescent="0.25">
      <c r="A1771" s="2">
        <f t="shared" si="27"/>
        <v>1769</v>
      </c>
      <c r="B1771" s="7" t="s">
        <v>6367</v>
      </c>
      <c r="C1771" s="7" t="s">
        <v>6368</v>
      </c>
      <c r="D1771" s="7" t="s">
        <v>6367</v>
      </c>
      <c r="E1771" s="7" t="s">
        <v>42</v>
      </c>
      <c r="F1771" s="7" t="s">
        <v>6369</v>
      </c>
      <c r="G1771" s="17" t="s">
        <v>7747</v>
      </c>
      <c r="H1771" s="7" t="s">
        <v>28</v>
      </c>
      <c r="I1771" s="7" t="s">
        <v>44</v>
      </c>
      <c r="J1771" s="7" t="s">
        <v>235</v>
      </c>
      <c r="K1771" s="7" t="s">
        <v>1014</v>
      </c>
      <c r="L1771" s="7" t="s">
        <v>44</v>
      </c>
      <c r="M1771" s="7">
        <v>7.2764879999999996</v>
      </c>
      <c r="N1771" s="7">
        <v>13.272443000000001</v>
      </c>
      <c r="O1771" s="7" t="s">
        <v>23</v>
      </c>
    </row>
    <row r="1772" spans="1:15" hidden="1" x14ac:dyDescent="0.25">
      <c r="A1772" s="2">
        <f t="shared" si="27"/>
        <v>1770</v>
      </c>
      <c r="B1772" s="7" t="s">
        <v>6370</v>
      </c>
      <c r="C1772" s="7" t="s">
        <v>6371</v>
      </c>
      <c r="D1772" s="7" t="s">
        <v>6370</v>
      </c>
      <c r="E1772" s="7" t="s">
        <v>42</v>
      </c>
      <c r="F1772" s="7" t="s">
        <v>6372</v>
      </c>
      <c r="G1772" s="17" t="s">
        <v>7747</v>
      </c>
      <c r="H1772" s="7" t="s">
        <v>28</v>
      </c>
      <c r="I1772" s="7" t="s">
        <v>102</v>
      </c>
      <c r="J1772" s="7" t="s">
        <v>103</v>
      </c>
      <c r="K1772" s="7" t="s">
        <v>1014</v>
      </c>
      <c r="L1772" s="7" t="s">
        <v>44</v>
      </c>
      <c r="M1772" s="7">
        <v>7.0053999999999998</v>
      </c>
      <c r="N1772" s="7">
        <v>13.143872</v>
      </c>
      <c r="O1772" s="7" t="s">
        <v>23</v>
      </c>
    </row>
    <row r="1773" spans="1:15" hidden="1" x14ac:dyDescent="0.25">
      <c r="A1773" s="2">
        <f t="shared" si="27"/>
        <v>1771</v>
      </c>
      <c r="B1773" s="7" t="s">
        <v>6376</v>
      </c>
      <c r="C1773" s="7" t="s">
        <v>6377</v>
      </c>
      <c r="D1773" s="7" t="s">
        <v>6376</v>
      </c>
      <c r="E1773" s="7" t="s">
        <v>42</v>
      </c>
      <c r="F1773" s="7" t="s">
        <v>6378</v>
      </c>
      <c r="G1773" s="17" t="s">
        <v>7747</v>
      </c>
      <c r="H1773" s="7" t="s">
        <v>28</v>
      </c>
      <c r="I1773" s="7" t="s">
        <v>44</v>
      </c>
      <c r="J1773" s="7" t="s">
        <v>235</v>
      </c>
      <c r="K1773" s="7" t="s">
        <v>1431</v>
      </c>
      <c r="L1773" s="7" t="s">
        <v>44</v>
      </c>
      <c r="M1773" s="7">
        <v>7.2766580000000003</v>
      </c>
      <c r="N1773" s="7">
        <v>13.77622</v>
      </c>
      <c r="O1773" s="7" t="s">
        <v>23</v>
      </c>
    </row>
    <row r="1774" spans="1:15" hidden="1" x14ac:dyDescent="0.25">
      <c r="A1774" s="2">
        <f t="shared" si="27"/>
        <v>1772</v>
      </c>
      <c r="B1774" s="7" t="s">
        <v>6405</v>
      </c>
      <c r="C1774" s="7" t="s">
        <v>6406</v>
      </c>
      <c r="D1774" s="7" t="s">
        <v>6405</v>
      </c>
      <c r="E1774" s="7" t="s">
        <v>42</v>
      </c>
      <c r="F1774" s="7" t="s">
        <v>6407</v>
      </c>
      <c r="G1774" s="17" t="s">
        <v>7747</v>
      </c>
      <c r="H1774" s="7" t="s">
        <v>19</v>
      </c>
      <c r="I1774" s="7" t="s">
        <v>102</v>
      </c>
      <c r="J1774" s="7" t="s">
        <v>103</v>
      </c>
      <c r="K1774" s="7" t="s">
        <v>6408</v>
      </c>
      <c r="L1774" s="7" t="s">
        <v>44</v>
      </c>
      <c r="M1774" s="7">
        <v>6.596444</v>
      </c>
      <c r="N1774" s="7">
        <v>12.881722</v>
      </c>
      <c r="O1774" s="7" t="s">
        <v>23</v>
      </c>
    </row>
    <row r="1775" spans="1:15" hidden="1" x14ac:dyDescent="0.25">
      <c r="A1775" s="2">
        <f t="shared" si="27"/>
        <v>1773</v>
      </c>
      <c r="B1775" s="7" t="s">
        <v>6412</v>
      </c>
      <c r="C1775" s="7" t="s">
        <v>6413</v>
      </c>
      <c r="D1775" s="7" t="s">
        <v>6412</v>
      </c>
      <c r="E1775" s="7" t="s">
        <v>170</v>
      </c>
      <c r="F1775" s="7" t="s">
        <v>6414</v>
      </c>
      <c r="G1775" s="17" t="s">
        <v>7747</v>
      </c>
      <c r="H1775" s="7" t="s">
        <v>28</v>
      </c>
      <c r="I1775" s="7" t="s">
        <v>234</v>
      </c>
      <c r="J1775" s="7" t="s">
        <v>732</v>
      </c>
      <c r="K1775" s="7" t="s">
        <v>1006</v>
      </c>
      <c r="L1775" s="7" t="s">
        <v>44</v>
      </c>
      <c r="M1775" s="7">
        <v>7.726972</v>
      </c>
      <c r="N1775" s="7">
        <v>14.644028</v>
      </c>
      <c r="O1775" s="7" t="s">
        <v>23</v>
      </c>
    </row>
    <row r="1776" spans="1:15" hidden="1" x14ac:dyDescent="0.25">
      <c r="A1776" s="2">
        <f t="shared" si="27"/>
        <v>1774</v>
      </c>
      <c r="B1776" s="7" t="s">
        <v>6441</v>
      </c>
      <c r="C1776" s="7" t="s">
        <v>6442</v>
      </c>
      <c r="D1776" s="7" t="s">
        <v>6441</v>
      </c>
      <c r="E1776" s="7" t="s">
        <v>170</v>
      </c>
      <c r="F1776" s="7" t="s">
        <v>6443</v>
      </c>
      <c r="G1776" s="17" t="s">
        <v>7747</v>
      </c>
      <c r="H1776" s="7" t="s">
        <v>28</v>
      </c>
      <c r="I1776" s="7" t="s">
        <v>234</v>
      </c>
      <c r="J1776" s="7" t="s">
        <v>732</v>
      </c>
      <c r="K1776" s="7" t="s">
        <v>885</v>
      </c>
      <c r="L1776" s="7" t="s">
        <v>44</v>
      </c>
      <c r="M1776" s="7">
        <v>8.0854020000000002</v>
      </c>
      <c r="N1776" s="7">
        <v>13.590923</v>
      </c>
      <c r="O1776" s="7" t="s">
        <v>23</v>
      </c>
    </row>
    <row r="1777" spans="1:15" hidden="1" x14ac:dyDescent="0.25">
      <c r="A1777" s="2">
        <f t="shared" si="27"/>
        <v>1775</v>
      </c>
      <c r="B1777" s="7" t="s">
        <v>6459</v>
      </c>
      <c r="C1777" s="7" t="s">
        <v>6460</v>
      </c>
      <c r="D1777" s="7" t="s">
        <v>6459</v>
      </c>
      <c r="E1777" s="7" t="s">
        <v>42</v>
      </c>
      <c r="F1777" s="7" t="s">
        <v>6461</v>
      </c>
      <c r="G1777" s="17" t="s">
        <v>7747</v>
      </c>
      <c r="H1777" s="7" t="s">
        <v>19</v>
      </c>
      <c r="I1777" s="7" t="s">
        <v>102</v>
      </c>
      <c r="J1777" s="7" t="s">
        <v>103</v>
      </c>
      <c r="K1777" s="7" t="s">
        <v>104</v>
      </c>
      <c r="L1777" s="7" t="s">
        <v>44</v>
      </c>
      <c r="M1777" s="7">
        <v>6.5978180000000002</v>
      </c>
      <c r="N1777" s="7">
        <v>13.105095</v>
      </c>
      <c r="O1777" s="7" t="s">
        <v>23</v>
      </c>
    </row>
    <row r="1778" spans="1:15" hidden="1" x14ac:dyDescent="0.25">
      <c r="A1778" s="2">
        <f t="shared" si="27"/>
        <v>1776</v>
      </c>
      <c r="B1778" s="7" t="s">
        <v>6492</v>
      </c>
      <c r="C1778" s="7" t="s">
        <v>6493</v>
      </c>
      <c r="D1778" s="7" t="s">
        <v>6492</v>
      </c>
      <c r="E1778" s="7" t="s">
        <v>170</v>
      </c>
      <c r="F1778" s="7" t="s">
        <v>6494</v>
      </c>
      <c r="G1778" s="17" t="s">
        <v>7747</v>
      </c>
      <c r="H1778" s="7" t="s">
        <v>28</v>
      </c>
      <c r="I1778" s="7" t="s">
        <v>44</v>
      </c>
      <c r="J1778" s="7" t="s">
        <v>732</v>
      </c>
      <c r="K1778" s="7" t="s">
        <v>6312</v>
      </c>
      <c r="L1778" s="7" t="s">
        <v>44</v>
      </c>
      <c r="M1778" s="7">
        <v>7.7253480000000003</v>
      </c>
      <c r="N1778" s="7">
        <v>13.539253</v>
      </c>
      <c r="O1778" s="7" t="s">
        <v>23</v>
      </c>
    </row>
    <row r="1779" spans="1:15" hidden="1" x14ac:dyDescent="0.25">
      <c r="A1779" s="2">
        <f t="shared" si="27"/>
        <v>1777</v>
      </c>
      <c r="B1779" s="7" t="s">
        <v>6501</v>
      </c>
      <c r="C1779" s="7" t="s">
        <v>6502</v>
      </c>
      <c r="D1779" s="7" t="s">
        <v>6501</v>
      </c>
      <c r="E1779" s="7" t="s">
        <v>42</v>
      </c>
      <c r="F1779" s="7" t="s">
        <v>6503</v>
      </c>
      <c r="G1779" s="17" t="s">
        <v>7747</v>
      </c>
      <c r="H1779" s="7" t="s">
        <v>28</v>
      </c>
      <c r="I1779" s="7" t="s">
        <v>102</v>
      </c>
      <c r="J1779" s="7" t="s">
        <v>103</v>
      </c>
      <c r="K1779" s="7" t="s">
        <v>104</v>
      </c>
      <c r="L1779" s="7" t="s">
        <v>44</v>
      </c>
      <c r="M1779" s="7">
        <v>6.6073890000000004</v>
      </c>
      <c r="N1779" s="7">
        <v>12.998417</v>
      </c>
      <c r="O1779" s="7" t="s">
        <v>23</v>
      </c>
    </row>
    <row r="1780" spans="1:15" hidden="1" x14ac:dyDescent="0.25">
      <c r="A1780" s="2">
        <f t="shared" si="27"/>
        <v>1778</v>
      </c>
      <c r="B1780" s="7" t="s">
        <v>6560</v>
      </c>
      <c r="C1780" s="7" t="s">
        <v>6561</v>
      </c>
      <c r="D1780" s="7" t="s">
        <v>6560</v>
      </c>
      <c r="E1780" s="7" t="s">
        <v>170</v>
      </c>
      <c r="F1780" s="7" t="s">
        <v>6562</v>
      </c>
      <c r="G1780" s="17" t="s">
        <v>7747</v>
      </c>
      <c r="H1780" s="7" t="s">
        <v>19</v>
      </c>
      <c r="I1780" s="7" t="s">
        <v>234</v>
      </c>
      <c r="J1780" s="7" t="s">
        <v>258</v>
      </c>
      <c r="K1780" s="7" t="s">
        <v>885</v>
      </c>
      <c r="L1780" s="7" t="s">
        <v>44</v>
      </c>
      <c r="M1780" s="7">
        <v>8.1940570000000008</v>
      </c>
      <c r="N1780" s="7">
        <v>13.639842</v>
      </c>
      <c r="O1780" s="7" t="s">
        <v>23</v>
      </c>
    </row>
    <row r="1781" spans="1:15" hidden="1" x14ac:dyDescent="0.25">
      <c r="A1781" s="2">
        <f t="shared" si="27"/>
        <v>1779</v>
      </c>
      <c r="B1781" s="7" t="s">
        <v>6655</v>
      </c>
      <c r="C1781" s="7" t="s">
        <v>6656</v>
      </c>
      <c r="D1781" s="7" t="s">
        <v>6655</v>
      </c>
      <c r="E1781" s="7" t="s">
        <v>42</v>
      </c>
      <c r="F1781" s="7" t="s">
        <v>6657</v>
      </c>
      <c r="G1781" s="17" t="s">
        <v>7747</v>
      </c>
      <c r="H1781" s="7" t="s">
        <v>28</v>
      </c>
      <c r="I1781" s="7" t="s">
        <v>102</v>
      </c>
      <c r="J1781" s="7" t="s">
        <v>103</v>
      </c>
      <c r="K1781" s="7" t="s">
        <v>104</v>
      </c>
      <c r="L1781" s="7" t="s">
        <v>44</v>
      </c>
      <c r="M1781" s="7">
        <v>6.5982130000000003</v>
      </c>
      <c r="N1781" s="7">
        <v>12.883041</v>
      </c>
      <c r="O1781" s="7" t="s">
        <v>23</v>
      </c>
    </row>
    <row r="1782" spans="1:15" hidden="1" x14ac:dyDescent="0.25">
      <c r="A1782" s="2">
        <f t="shared" si="27"/>
        <v>1780</v>
      </c>
      <c r="B1782" s="7" t="s">
        <v>6745</v>
      </c>
      <c r="C1782" s="7" t="s">
        <v>6746</v>
      </c>
      <c r="D1782" s="7" t="s">
        <v>6745</v>
      </c>
      <c r="E1782" s="7" t="s">
        <v>42</v>
      </c>
      <c r="F1782" s="7" t="s">
        <v>6747</v>
      </c>
      <c r="G1782" s="17" t="s">
        <v>7747</v>
      </c>
      <c r="H1782" s="7" t="s">
        <v>28</v>
      </c>
      <c r="I1782" s="7" t="s">
        <v>44</v>
      </c>
      <c r="J1782" s="7" t="s">
        <v>235</v>
      </c>
      <c r="K1782" s="7" t="s">
        <v>5920</v>
      </c>
      <c r="L1782" s="7" t="s">
        <v>44</v>
      </c>
      <c r="M1782" s="7">
        <v>7.5157780000000001</v>
      </c>
      <c r="N1782" s="7">
        <v>13.888667</v>
      </c>
      <c r="O1782" s="7" t="s">
        <v>23</v>
      </c>
    </row>
    <row r="1783" spans="1:15" hidden="1" x14ac:dyDescent="0.25">
      <c r="A1783" s="2">
        <f t="shared" si="27"/>
        <v>1781</v>
      </c>
      <c r="B1783" s="7" t="s">
        <v>6899</v>
      </c>
      <c r="C1783" s="7" t="s">
        <v>6900</v>
      </c>
      <c r="D1783" s="7" t="s">
        <v>6899</v>
      </c>
      <c r="E1783" s="7" t="s">
        <v>42</v>
      </c>
      <c r="F1783" s="7" t="s">
        <v>6901</v>
      </c>
      <c r="G1783" s="17" t="s">
        <v>7747</v>
      </c>
      <c r="H1783" s="7" t="s">
        <v>19</v>
      </c>
      <c r="I1783" s="7" t="s">
        <v>47</v>
      </c>
      <c r="J1783" s="7" t="s">
        <v>47</v>
      </c>
      <c r="K1783" s="7" t="s">
        <v>6902</v>
      </c>
      <c r="L1783" s="7" t="s">
        <v>44</v>
      </c>
      <c r="M1783" s="7">
        <v>6.4642499999999998</v>
      </c>
      <c r="N1783" s="7">
        <v>13.26389</v>
      </c>
      <c r="O1783" s="7" t="s">
        <v>23</v>
      </c>
    </row>
    <row r="1784" spans="1:15" hidden="1" x14ac:dyDescent="0.25">
      <c r="A1784" s="2">
        <f t="shared" si="27"/>
        <v>1782</v>
      </c>
      <c r="B1784" s="7" t="s">
        <v>7104</v>
      </c>
      <c r="C1784" s="7" t="s">
        <v>7105</v>
      </c>
      <c r="D1784" s="7" t="s">
        <v>7104</v>
      </c>
      <c r="E1784" s="7" t="s">
        <v>42</v>
      </c>
      <c r="F1784" s="7" t="s">
        <v>7106</v>
      </c>
      <c r="G1784" s="17" t="s">
        <v>7747</v>
      </c>
      <c r="H1784" s="7" t="s">
        <v>28</v>
      </c>
      <c r="I1784" s="7" t="s">
        <v>44</v>
      </c>
      <c r="J1784" s="7" t="s">
        <v>7107</v>
      </c>
      <c r="K1784" s="7" t="s">
        <v>7108</v>
      </c>
      <c r="L1784" s="7" t="s">
        <v>44</v>
      </c>
      <c r="M1784" s="7">
        <v>7.3184319999999996</v>
      </c>
      <c r="N1784" s="7">
        <v>13.569753</v>
      </c>
      <c r="O1784" s="7" t="s">
        <v>23</v>
      </c>
    </row>
    <row r="1785" spans="1:15" hidden="1" x14ac:dyDescent="0.25">
      <c r="A1785" s="2">
        <f t="shared" si="27"/>
        <v>1783</v>
      </c>
      <c r="B1785" s="7" t="s">
        <v>7168</v>
      </c>
      <c r="C1785" s="7" t="s">
        <v>7169</v>
      </c>
      <c r="D1785" s="7" t="s">
        <v>7168</v>
      </c>
      <c r="E1785" s="7" t="s">
        <v>170</v>
      </c>
      <c r="F1785" s="7" t="s">
        <v>7170</v>
      </c>
      <c r="G1785" s="17" t="s">
        <v>7747</v>
      </c>
      <c r="H1785" s="7" t="s">
        <v>28</v>
      </c>
      <c r="I1785" s="7" t="s">
        <v>172</v>
      </c>
      <c r="J1785" s="7" t="s">
        <v>7047</v>
      </c>
      <c r="K1785" s="7" t="s">
        <v>1630</v>
      </c>
      <c r="L1785" s="7" t="s">
        <v>44</v>
      </c>
      <c r="M1785" s="7">
        <v>7.6966190000000001</v>
      </c>
      <c r="N1785" s="7">
        <v>14.542510999999999</v>
      </c>
      <c r="O1785" s="7" t="s">
        <v>23</v>
      </c>
    </row>
    <row r="1786" spans="1:15" hidden="1" x14ac:dyDescent="0.25">
      <c r="A1786" s="2">
        <f t="shared" si="27"/>
        <v>1784</v>
      </c>
      <c r="B1786" s="7" t="s">
        <v>7544</v>
      </c>
      <c r="C1786" s="7" t="s">
        <v>7545</v>
      </c>
      <c r="D1786" s="7" t="s">
        <v>7544</v>
      </c>
      <c r="E1786" s="7" t="s">
        <v>42</v>
      </c>
      <c r="F1786" s="7" t="s">
        <v>7546</v>
      </c>
      <c r="G1786" s="17" t="s">
        <v>7747</v>
      </c>
      <c r="H1786" s="7" t="s">
        <v>28</v>
      </c>
      <c r="I1786" s="7" t="s">
        <v>102</v>
      </c>
      <c r="J1786" s="7" t="s">
        <v>7547</v>
      </c>
      <c r="K1786" s="7" t="s">
        <v>7548</v>
      </c>
      <c r="L1786" s="7" t="s">
        <v>44</v>
      </c>
      <c r="M1786" s="7">
        <v>6.4782570000000002</v>
      </c>
      <c r="N1786" s="7">
        <v>13.265807000000001</v>
      </c>
      <c r="O1786" s="7" t="s">
        <v>23</v>
      </c>
    </row>
    <row r="1787" spans="1:15" hidden="1" x14ac:dyDescent="0.25">
      <c r="A1787" s="2">
        <f t="shared" si="27"/>
        <v>1785</v>
      </c>
      <c r="B1787" s="7" t="s">
        <v>7694</v>
      </c>
      <c r="C1787" s="7" t="s">
        <v>7695</v>
      </c>
      <c r="D1787" s="7" t="s">
        <v>7694</v>
      </c>
      <c r="E1787" s="7" t="s">
        <v>42</v>
      </c>
      <c r="F1787" s="11" t="s">
        <v>7696</v>
      </c>
      <c r="G1787" s="17" t="s">
        <v>7747</v>
      </c>
      <c r="H1787" s="7" t="s">
        <v>28</v>
      </c>
      <c r="I1787" s="7" t="s">
        <v>44</v>
      </c>
      <c r="J1787" s="7" t="s">
        <v>235</v>
      </c>
      <c r="K1787" s="7" t="s">
        <v>3101</v>
      </c>
      <c r="L1787" s="7" t="s">
        <v>44</v>
      </c>
      <c r="M1787" s="12">
        <v>7.3248009999999999</v>
      </c>
      <c r="N1787" s="12">
        <v>13.548888</v>
      </c>
      <c r="O1787" s="7" t="s">
        <v>23</v>
      </c>
    </row>
    <row r="1788" spans="1:15" hidden="1" x14ac:dyDescent="0.25">
      <c r="A1788" s="2">
        <f t="shared" si="27"/>
        <v>1786</v>
      </c>
      <c r="B1788" s="7" t="s">
        <v>7720</v>
      </c>
      <c r="C1788" s="7" t="s">
        <v>7721</v>
      </c>
      <c r="D1788" s="7" t="s">
        <v>7720</v>
      </c>
      <c r="E1788" s="7" t="s">
        <v>42</v>
      </c>
      <c r="F1788" s="7" t="s">
        <v>7722</v>
      </c>
      <c r="G1788" s="17" t="s">
        <v>7747</v>
      </c>
      <c r="H1788" s="7" t="s">
        <v>28</v>
      </c>
      <c r="I1788" s="7" t="s">
        <v>47</v>
      </c>
      <c r="J1788" s="7" t="s">
        <v>47</v>
      </c>
      <c r="K1788" s="7" t="s">
        <v>104</v>
      </c>
      <c r="L1788" s="7" t="s">
        <v>44</v>
      </c>
      <c r="M1788" s="7">
        <v>6.4303150000000002</v>
      </c>
      <c r="N1788" s="7">
        <v>13.330802</v>
      </c>
      <c r="O1788" s="7" t="s">
        <v>23</v>
      </c>
    </row>
    <row r="1789" spans="1:15" x14ac:dyDescent="0.25">
      <c r="A1789" s="2">
        <f t="shared" si="27"/>
        <v>1787</v>
      </c>
      <c r="B1789" s="7" t="s">
        <v>148</v>
      </c>
      <c r="C1789" s="7" t="s">
        <v>149</v>
      </c>
      <c r="D1789" s="7" t="s">
        <v>148</v>
      </c>
      <c r="E1789" s="7" t="s">
        <v>34</v>
      </c>
      <c r="F1789" s="7" t="s">
        <v>150</v>
      </c>
      <c r="G1789" s="17" t="s">
        <v>7747</v>
      </c>
      <c r="H1789" s="7" t="s">
        <v>28</v>
      </c>
      <c r="I1789" s="7" t="s">
        <v>151</v>
      </c>
      <c r="J1789" s="7" t="s">
        <v>152</v>
      </c>
      <c r="K1789" s="7" t="s">
        <v>153</v>
      </c>
      <c r="L1789" s="7" t="s">
        <v>7744</v>
      </c>
      <c r="M1789" s="7">
        <v>4.6047500000000001</v>
      </c>
      <c r="N1789" s="7">
        <v>9.8095099999999995</v>
      </c>
      <c r="O1789" s="7" t="s">
        <v>23</v>
      </c>
    </row>
    <row r="1790" spans="1:15" x14ac:dyDescent="0.25">
      <c r="A1790" s="2">
        <f t="shared" si="27"/>
        <v>1788</v>
      </c>
      <c r="B1790" s="7" t="s">
        <v>162</v>
      </c>
      <c r="C1790" s="7" t="s">
        <v>163</v>
      </c>
      <c r="D1790" s="7" t="s">
        <v>162</v>
      </c>
      <c r="E1790" s="7" t="s">
        <v>131</v>
      </c>
      <c r="F1790" s="7" t="s">
        <v>164</v>
      </c>
      <c r="G1790" s="17" t="s">
        <v>7747</v>
      </c>
      <c r="H1790" s="7" t="s">
        <v>28</v>
      </c>
      <c r="I1790" s="7" t="s">
        <v>165</v>
      </c>
      <c r="J1790" s="7" t="s">
        <v>166</v>
      </c>
      <c r="K1790" s="7" t="s">
        <v>167</v>
      </c>
      <c r="L1790" s="7" t="s">
        <v>7744</v>
      </c>
      <c r="M1790" s="7">
        <v>4.9741900000000001</v>
      </c>
      <c r="N1790" s="7">
        <v>10.229229999999999</v>
      </c>
      <c r="O1790" s="7" t="s">
        <v>23</v>
      </c>
    </row>
    <row r="1791" spans="1:15" x14ac:dyDescent="0.25">
      <c r="A1791" s="2">
        <f t="shared" si="27"/>
        <v>1789</v>
      </c>
      <c r="B1791" s="7" t="s">
        <v>330</v>
      </c>
      <c r="C1791" s="7" t="s">
        <v>331</v>
      </c>
      <c r="D1791" s="7" t="s">
        <v>330</v>
      </c>
      <c r="E1791" s="7" t="s">
        <v>34</v>
      </c>
      <c r="F1791" s="7" t="s">
        <v>332</v>
      </c>
      <c r="G1791" s="17" t="s">
        <v>7747</v>
      </c>
      <c r="H1791" s="7" t="s">
        <v>28</v>
      </c>
      <c r="I1791" s="7" t="s">
        <v>151</v>
      </c>
      <c r="J1791" s="7" t="s">
        <v>152</v>
      </c>
      <c r="K1791" s="7" t="s">
        <v>333</v>
      </c>
      <c r="L1791" s="7" t="s">
        <v>7744</v>
      </c>
      <c r="M1791" s="7">
        <v>4.9723040000000003</v>
      </c>
      <c r="N1791" s="7">
        <v>9.9402880000000007</v>
      </c>
      <c r="O1791" s="7" t="s">
        <v>23</v>
      </c>
    </row>
    <row r="1792" spans="1:15" x14ac:dyDescent="0.25">
      <c r="A1792" s="2">
        <f t="shared" si="27"/>
        <v>1790</v>
      </c>
      <c r="B1792" s="7" t="s">
        <v>367</v>
      </c>
      <c r="C1792" s="7" t="s">
        <v>368</v>
      </c>
      <c r="D1792" s="7" t="s">
        <v>367</v>
      </c>
      <c r="E1792" s="7" t="s">
        <v>34</v>
      </c>
      <c r="F1792" s="7" t="s">
        <v>369</v>
      </c>
      <c r="G1792" s="8" t="s">
        <v>36</v>
      </c>
      <c r="H1792" s="7" t="s">
        <v>28</v>
      </c>
      <c r="I1792" s="7" t="s">
        <v>108</v>
      </c>
      <c r="J1792" s="7" t="s">
        <v>109</v>
      </c>
      <c r="K1792" s="7" t="s">
        <v>370</v>
      </c>
      <c r="L1792" s="7" t="s">
        <v>7744</v>
      </c>
      <c r="M1792" s="7">
        <v>4.8634170000000001</v>
      </c>
      <c r="N1792" s="7">
        <v>9.6634720000000005</v>
      </c>
      <c r="O1792" s="7" t="s">
        <v>23</v>
      </c>
    </row>
    <row r="1793" spans="1:15" x14ac:dyDescent="0.25">
      <c r="A1793" s="2">
        <f t="shared" si="27"/>
        <v>1791</v>
      </c>
      <c r="B1793" s="7" t="s">
        <v>632</v>
      </c>
      <c r="C1793" s="7" t="s">
        <v>633</v>
      </c>
      <c r="D1793" s="7" t="s">
        <v>632</v>
      </c>
      <c r="E1793" s="7" t="s">
        <v>34</v>
      </c>
      <c r="F1793" s="7" t="s">
        <v>634</v>
      </c>
      <c r="G1793" s="8" t="s">
        <v>18</v>
      </c>
      <c r="H1793" s="7" t="s">
        <v>28</v>
      </c>
      <c r="I1793" s="7" t="s">
        <v>151</v>
      </c>
      <c r="J1793" s="7" t="s">
        <v>152</v>
      </c>
      <c r="K1793" s="7" t="s">
        <v>635</v>
      </c>
      <c r="L1793" s="7" t="s">
        <v>7744</v>
      </c>
      <c r="M1793" s="7">
        <v>4.7097920000000002</v>
      </c>
      <c r="N1793" s="7">
        <v>9.7479770000000006</v>
      </c>
      <c r="O1793" s="7" t="s">
        <v>23</v>
      </c>
    </row>
    <row r="1794" spans="1:15" x14ac:dyDescent="0.25">
      <c r="A1794" s="2">
        <f t="shared" si="27"/>
        <v>1792</v>
      </c>
      <c r="B1794" s="7" t="s">
        <v>686</v>
      </c>
      <c r="C1794" s="7" t="s">
        <v>687</v>
      </c>
      <c r="D1794" s="7" t="s">
        <v>686</v>
      </c>
      <c r="E1794" s="7" t="s">
        <v>131</v>
      </c>
      <c r="F1794" s="7" t="s">
        <v>688</v>
      </c>
      <c r="G1794" s="17" t="s">
        <v>7747</v>
      </c>
      <c r="H1794" s="7" t="s">
        <v>28</v>
      </c>
      <c r="I1794" s="7" t="s">
        <v>165</v>
      </c>
      <c r="J1794" s="7" t="s">
        <v>166</v>
      </c>
      <c r="K1794" s="7" t="s">
        <v>167</v>
      </c>
      <c r="L1794" s="7" t="s">
        <v>7744</v>
      </c>
      <c r="M1794" s="7">
        <v>4.7744999999999997</v>
      </c>
      <c r="N1794" s="7">
        <v>10.292332999999999</v>
      </c>
      <c r="O1794" s="7" t="s">
        <v>23</v>
      </c>
    </row>
    <row r="1795" spans="1:15" x14ac:dyDescent="0.25">
      <c r="A1795" s="2">
        <f t="shared" si="27"/>
        <v>1793</v>
      </c>
      <c r="B1795" s="7" t="s">
        <v>712</v>
      </c>
      <c r="C1795" s="7" t="s">
        <v>713</v>
      </c>
      <c r="D1795" s="7" t="s">
        <v>712</v>
      </c>
      <c r="E1795" s="7" t="s">
        <v>131</v>
      </c>
      <c r="F1795" s="7" t="s">
        <v>714</v>
      </c>
      <c r="G1795" s="17" t="s">
        <v>7747</v>
      </c>
      <c r="H1795" s="7" t="s">
        <v>28</v>
      </c>
      <c r="I1795" s="7" t="s">
        <v>165</v>
      </c>
      <c r="J1795" s="7" t="s">
        <v>715</v>
      </c>
      <c r="K1795" s="7" t="s">
        <v>714</v>
      </c>
      <c r="L1795" s="7" t="s">
        <v>7744</v>
      </c>
      <c r="M1795" s="7">
        <v>5.1633889999999996</v>
      </c>
      <c r="N1795" s="7">
        <v>10.036611000000001</v>
      </c>
      <c r="O1795" s="7" t="s">
        <v>23</v>
      </c>
    </row>
    <row r="1796" spans="1:15" x14ac:dyDescent="0.25">
      <c r="A1796" s="2">
        <f t="shared" si="27"/>
        <v>1794</v>
      </c>
      <c r="B1796" s="7" t="s">
        <v>797</v>
      </c>
      <c r="C1796" s="7" t="s">
        <v>798</v>
      </c>
      <c r="D1796" s="7" t="s">
        <v>797</v>
      </c>
      <c r="E1796" s="7" t="s">
        <v>131</v>
      </c>
      <c r="F1796" s="7" t="s">
        <v>799</v>
      </c>
      <c r="G1796" s="17" t="s">
        <v>7747</v>
      </c>
      <c r="H1796" s="7" t="s">
        <v>28</v>
      </c>
      <c r="I1796" s="7" t="s">
        <v>165</v>
      </c>
      <c r="J1796" s="7" t="s">
        <v>715</v>
      </c>
      <c r="K1796" s="7" t="s">
        <v>800</v>
      </c>
      <c r="L1796" s="7" t="s">
        <v>7744</v>
      </c>
      <c r="M1796" s="7">
        <v>5.0668049999999996</v>
      </c>
      <c r="N1796" s="7">
        <v>10.216673999999999</v>
      </c>
      <c r="O1796" s="7" t="s">
        <v>23</v>
      </c>
    </row>
    <row r="1797" spans="1:15" x14ac:dyDescent="0.25">
      <c r="A1797" s="2">
        <f t="shared" ref="A1797:A1860" si="28">+A1796+1</f>
        <v>1795</v>
      </c>
      <c r="B1797" s="7" t="s">
        <v>1288</v>
      </c>
      <c r="C1797" s="7" t="s">
        <v>1289</v>
      </c>
      <c r="D1797" s="7" t="s">
        <v>1288</v>
      </c>
      <c r="E1797" s="7" t="s">
        <v>131</v>
      </c>
      <c r="F1797" s="7" t="s">
        <v>800</v>
      </c>
      <c r="G1797" s="17" t="s">
        <v>7747</v>
      </c>
      <c r="H1797" s="7" t="s">
        <v>28</v>
      </c>
      <c r="I1797" s="7" t="s">
        <v>165</v>
      </c>
      <c r="J1797" s="7" t="s">
        <v>715</v>
      </c>
      <c r="K1797" s="7" t="s">
        <v>800</v>
      </c>
      <c r="L1797" s="7" t="s">
        <v>7744</v>
      </c>
      <c r="M1797" s="7">
        <v>5.0770499999999998</v>
      </c>
      <c r="N1797" s="7">
        <v>10.181570000000001</v>
      </c>
      <c r="O1797" s="7" t="s">
        <v>23</v>
      </c>
    </row>
    <row r="1798" spans="1:15" x14ac:dyDescent="0.25">
      <c r="A1798" s="2">
        <f t="shared" si="28"/>
        <v>1796</v>
      </c>
      <c r="B1798" s="7" t="s">
        <v>1306</v>
      </c>
      <c r="C1798" s="7" t="s">
        <v>1307</v>
      </c>
      <c r="D1798" s="7" t="s">
        <v>1306</v>
      </c>
      <c r="E1798" s="7" t="s">
        <v>131</v>
      </c>
      <c r="F1798" s="7" t="s">
        <v>1308</v>
      </c>
      <c r="G1798" s="17" t="s">
        <v>7747</v>
      </c>
      <c r="H1798" s="7" t="s">
        <v>28</v>
      </c>
      <c r="I1798" s="7" t="s">
        <v>165</v>
      </c>
      <c r="J1798" s="7" t="s">
        <v>1309</v>
      </c>
      <c r="K1798" s="7" t="s">
        <v>1310</v>
      </c>
      <c r="L1798" s="7" t="s">
        <v>7744</v>
      </c>
      <c r="M1798" s="7">
        <v>5.1165000000000003</v>
      </c>
      <c r="N1798" s="7">
        <v>9.9460560000000005</v>
      </c>
      <c r="O1798" s="7" t="s">
        <v>23</v>
      </c>
    </row>
    <row r="1799" spans="1:15" x14ac:dyDescent="0.25">
      <c r="A1799" s="2">
        <f t="shared" si="28"/>
        <v>1797</v>
      </c>
      <c r="B1799" s="7" t="s">
        <v>1311</v>
      </c>
      <c r="C1799" s="7" t="s">
        <v>1312</v>
      </c>
      <c r="D1799" s="7" t="s">
        <v>1311</v>
      </c>
      <c r="E1799" s="7" t="s">
        <v>131</v>
      </c>
      <c r="F1799" s="7" t="s">
        <v>1313</v>
      </c>
      <c r="G1799" s="8" t="s">
        <v>18</v>
      </c>
      <c r="H1799" s="7" t="s">
        <v>28</v>
      </c>
      <c r="I1799" s="7" t="s">
        <v>165</v>
      </c>
      <c r="J1799" s="7" t="s">
        <v>1314</v>
      </c>
      <c r="K1799" s="7" t="s">
        <v>1315</v>
      </c>
      <c r="L1799" s="7" t="s">
        <v>7744</v>
      </c>
      <c r="M1799" s="7">
        <v>5.0845039999999999</v>
      </c>
      <c r="N1799" s="7">
        <v>9.769304</v>
      </c>
      <c r="O1799" s="7" t="s">
        <v>23</v>
      </c>
    </row>
    <row r="1800" spans="1:15" x14ac:dyDescent="0.25">
      <c r="A1800" s="2">
        <f t="shared" si="28"/>
        <v>1798</v>
      </c>
      <c r="B1800" s="7" t="s">
        <v>1405</v>
      </c>
      <c r="C1800" s="7" t="s">
        <v>1406</v>
      </c>
      <c r="D1800" s="7" t="s">
        <v>1405</v>
      </c>
      <c r="E1800" s="7" t="s">
        <v>34</v>
      </c>
      <c r="F1800" s="7" t="s">
        <v>1407</v>
      </c>
      <c r="G1800" s="8" t="s">
        <v>18</v>
      </c>
      <c r="H1800" s="7" t="s">
        <v>28</v>
      </c>
      <c r="I1800" s="7" t="s">
        <v>151</v>
      </c>
      <c r="J1800" s="7" t="s">
        <v>152</v>
      </c>
      <c r="K1800" s="7" t="s">
        <v>1408</v>
      </c>
      <c r="L1800" s="7" t="s">
        <v>7744</v>
      </c>
      <c r="M1800" s="7">
        <v>4.85304</v>
      </c>
      <c r="N1800" s="7">
        <v>9.8334919999999997</v>
      </c>
      <c r="O1800" s="7" t="s">
        <v>23</v>
      </c>
    </row>
    <row r="1801" spans="1:15" x14ac:dyDescent="0.25">
      <c r="A1801" s="2">
        <f t="shared" si="28"/>
        <v>1799</v>
      </c>
      <c r="B1801" s="7" t="s">
        <v>1422</v>
      </c>
      <c r="C1801" s="7" t="s">
        <v>1423</v>
      </c>
      <c r="D1801" s="7" t="s">
        <v>1422</v>
      </c>
      <c r="E1801" s="7" t="s">
        <v>131</v>
      </c>
      <c r="F1801" s="7" t="s">
        <v>1424</v>
      </c>
      <c r="G1801" s="17" t="s">
        <v>7747</v>
      </c>
      <c r="H1801" s="7" t="s">
        <v>28</v>
      </c>
      <c r="I1801" s="7" t="s">
        <v>165</v>
      </c>
      <c r="J1801" s="7" t="s">
        <v>1309</v>
      </c>
      <c r="K1801" s="7" t="s">
        <v>1310</v>
      </c>
      <c r="L1801" s="7" t="s">
        <v>7744</v>
      </c>
      <c r="M1801" s="7">
        <v>5.0613890000000001</v>
      </c>
      <c r="N1801" s="7">
        <v>9.8936670000000007</v>
      </c>
      <c r="O1801" s="7" t="s">
        <v>23</v>
      </c>
    </row>
    <row r="1802" spans="1:15" x14ac:dyDescent="0.25">
      <c r="A1802" s="2">
        <f t="shared" si="28"/>
        <v>1800</v>
      </c>
      <c r="B1802" s="7" t="s">
        <v>1668</v>
      </c>
      <c r="C1802" s="7" t="s">
        <v>1669</v>
      </c>
      <c r="D1802" s="7" t="s">
        <v>1668</v>
      </c>
      <c r="E1802" s="7" t="s">
        <v>34</v>
      </c>
      <c r="F1802" s="7" t="s">
        <v>1670</v>
      </c>
      <c r="G1802" s="17" t="s">
        <v>7747</v>
      </c>
      <c r="H1802" s="7" t="s">
        <v>28</v>
      </c>
      <c r="I1802" s="7" t="s">
        <v>151</v>
      </c>
      <c r="J1802" s="7" t="s">
        <v>152</v>
      </c>
      <c r="K1802" s="7" t="s">
        <v>333</v>
      </c>
      <c r="L1802" s="7" t="s">
        <v>7744</v>
      </c>
      <c r="M1802" s="7">
        <v>4.9617950000000004</v>
      </c>
      <c r="N1802" s="7">
        <v>9.9390400000000003</v>
      </c>
      <c r="O1802" s="7" t="s">
        <v>23</v>
      </c>
    </row>
    <row r="1803" spans="1:15" x14ac:dyDescent="0.25">
      <c r="A1803" s="2">
        <f t="shared" si="28"/>
        <v>1801</v>
      </c>
      <c r="B1803" s="7" t="s">
        <v>1714</v>
      </c>
      <c r="C1803" s="7" t="s">
        <v>1715</v>
      </c>
      <c r="D1803" s="7" t="s">
        <v>1714</v>
      </c>
      <c r="E1803" s="7" t="s">
        <v>34</v>
      </c>
      <c r="F1803" s="7" t="s">
        <v>1716</v>
      </c>
      <c r="G1803" s="8" t="s">
        <v>18</v>
      </c>
      <c r="H1803" s="7" t="s">
        <v>28</v>
      </c>
      <c r="I1803" s="7" t="s">
        <v>151</v>
      </c>
      <c r="J1803" s="7" t="s">
        <v>152</v>
      </c>
      <c r="K1803" s="7" t="s">
        <v>1717</v>
      </c>
      <c r="L1803" s="7" t="s">
        <v>7744</v>
      </c>
      <c r="M1803" s="7">
        <v>4.936299</v>
      </c>
      <c r="N1803" s="7">
        <v>9.9313350000000007</v>
      </c>
      <c r="O1803" s="7" t="s">
        <v>613</v>
      </c>
    </row>
    <row r="1804" spans="1:15" x14ac:dyDescent="0.25">
      <c r="A1804" s="2">
        <f t="shared" si="28"/>
        <v>1802</v>
      </c>
      <c r="B1804" s="7" t="s">
        <v>1747</v>
      </c>
      <c r="C1804" s="7" t="s">
        <v>1748</v>
      </c>
      <c r="D1804" s="7" t="s">
        <v>1747</v>
      </c>
      <c r="E1804" s="7" t="s">
        <v>131</v>
      </c>
      <c r="F1804" s="7" t="s">
        <v>167</v>
      </c>
      <c r="G1804" s="17" t="s">
        <v>7747</v>
      </c>
      <c r="H1804" s="7" t="s">
        <v>28</v>
      </c>
      <c r="I1804" s="7" t="s">
        <v>165</v>
      </c>
      <c r="J1804" s="7" t="s">
        <v>166</v>
      </c>
      <c r="K1804" s="7" t="s">
        <v>167</v>
      </c>
      <c r="L1804" s="7" t="s">
        <v>7744</v>
      </c>
      <c r="M1804" s="7">
        <v>4.8526340000000001</v>
      </c>
      <c r="N1804" s="7">
        <v>10.243321999999999</v>
      </c>
      <c r="O1804" s="7" t="s">
        <v>23</v>
      </c>
    </row>
    <row r="1805" spans="1:15" x14ac:dyDescent="0.25">
      <c r="A1805" s="2">
        <f t="shared" si="28"/>
        <v>1803</v>
      </c>
      <c r="B1805" s="7" t="s">
        <v>1867</v>
      </c>
      <c r="C1805" s="7" t="s">
        <v>1868</v>
      </c>
      <c r="D1805" s="7" t="s">
        <v>1867</v>
      </c>
      <c r="E1805" s="7" t="s">
        <v>131</v>
      </c>
      <c r="F1805" s="7" t="s">
        <v>1869</v>
      </c>
      <c r="G1805" s="17" t="s">
        <v>7747</v>
      </c>
      <c r="H1805" s="7" t="s">
        <v>28</v>
      </c>
      <c r="I1805" s="7" t="s">
        <v>165</v>
      </c>
      <c r="J1805" s="7" t="s">
        <v>1309</v>
      </c>
      <c r="K1805" s="7" t="s">
        <v>1870</v>
      </c>
      <c r="L1805" s="7" t="s">
        <v>7744</v>
      </c>
      <c r="M1805" s="7">
        <v>5.1017219999999996</v>
      </c>
      <c r="N1805" s="7">
        <v>9.8460560000000008</v>
      </c>
      <c r="O1805" s="7" t="s">
        <v>23</v>
      </c>
    </row>
    <row r="1806" spans="1:15" x14ac:dyDescent="0.25">
      <c r="A1806" s="2">
        <f t="shared" si="28"/>
        <v>1804</v>
      </c>
      <c r="B1806" s="7" t="s">
        <v>2256</v>
      </c>
      <c r="C1806" s="7" t="s">
        <v>2257</v>
      </c>
      <c r="D1806" s="7" t="s">
        <v>2256</v>
      </c>
      <c r="E1806" s="7" t="s">
        <v>34</v>
      </c>
      <c r="F1806" s="7" t="s">
        <v>2258</v>
      </c>
      <c r="G1806" s="17" t="s">
        <v>7747</v>
      </c>
      <c r="H1806" s="7" t="s">
        <v>19</v>
      </c>
      <c r="I1806" s="7" t="s">
        <v>151</v>
      </c>
      <c r="J1806" s="7" t="s">
        <v>152</v>
      </c>
      <c r="K1806" s="7" t="s">
        <v>2259</v>
      </c>
      <c r="L1806" s="7" t="s">
        <v>7744</v>
      </c>
      <c r="M1806" s="7">
        <v>4.9432989999999997</v>
      </c>
      <c r="N1806" s="7">
        <v>9.9436</v>
      </c>
      <c r="O1806" s="7" t="s">
        <v>23</v>
      </c>
    </row>
    <row r="1807" spans="1:15" x14ac:dyDescent="0.25">
      <c r="A1807" s="2">
        <f t="shared" si="28"/>
        <v>1805</v>
      </c>
      <c r="B1807" s="7" t="s">
        <v>2388</v>
      </c>
      <c r="C1807" s="7" t="s">
        <v>2389</v>
      </c>
      <c r="D1807" s="7" t="s">
        <v>2388</v>
      </c>
      <c r="E1807" s="7" t="s">
        <v>34</v>
      </c>
      <c r="F1807" s="7" t="s">
        <v>2390</v>
      </c>
      <c r="G1807" s="17" t="s">
        <v>7747</v>
      </c>
      <c r="H1807" s="7" t="s">
        <v>19</v>
      </c>
      <c r="I1807" s="7" t="s">
        <v>151</v>
      </c>
      <c r="J1807" s="7" t="s">
        <v>152</v>
      </c>
      <c r="K1807" s="7" t="s">
        <v>2259</v>
      </c>
      <c r="L1807" s="7" t="s">
        <v>7744</v>
      </c>
      <c r="M1807" s="7">
        <v>4.9568469999999998</v>
      </c>
      <c r="N1807" s="7">
        <v>9.9386390000000002</v>
      </c>
      <c r="O1807" s="7" t="s">
        <v>613</v>
      </c>
    </row>
    <row r="1808" spans="1:15" x14ac:dyDescent="0.25">
      <c r="A1808" s="2">
        <f t="shared" si="28"/>
        <v>1806</v>
      </c>
      <c r="B1808" s="7" t="s">
        <v>2610</v>
      </c>
      <c r="C1808" s="7" t="s">
        <v>2611</v>
      </c>
      <c r="D1808" s="7" t="s">
        <v>2610</v>
      </c>
      <c r="E1808" s="7" t="s">
        <v>131</v>
      </c>
      <c r="F1808" s="7" t="s">
        <v>2612</v>
      </c>
      <c r="G1808" s="17" t="s">
        <v>7747</v>
      </c>
      <c r="H1808" s="7" t="s">
        <v>28</v>
      </c>
      <c r="I1808" s="7" t="s">
        <v>165</v>
      </c>
      <c r="J1808" s="7" t="s">
        <v>715</v>
      </c>
      <c r="K1808" s="7" t="s">
        <v>165</v>
      </c>
      <c r="L1808" s="7" t="s">
        <v>7744</v>
      </c>
      <c r="M1808" s="7">
        <v>5.1525800000000004</v>
      </c>
      <c r="N1808" s="7">
        <v>10.166230000000001</v>
      </c>
      <c r="O1808" s="7" t="s">
        <v>23</v>
      </c>
    </row>
    <row r="1809" spans="1:15" x14ac:dyDescent="0.25">
      <c r="A1809" s="2">
        <f t="shared" si="28"/>
        <v>1807</v>
      </c>
      <c r="B1809" s="7" t="s">
        <v>2728</v>
      </c>
      <c r="C1809" s="7" t="s">
        <v>2729</v>
      </c>
      <c r="D1809" s="7" t="s">
        <v>2728</v>
      </c>
      <c r="E1809" s="7" t="s">
        <v>34</v>
      </c>
      <c r="F1809" s="7" t="s">
        <v>2730</v>
      </c>
      <c r="G1809" s="17" t="s">
        <v>7747</v>
      </c>
      <c r="H1809" s="7" t="s">
        <v>28</v>
      </c>
      <c r="I1809" s="7" t="s">
        <v>151</v>
      </c>
      <c r="J1809" s="7" t="s">
        <v>152</v>
      </c>
      <c r="K1809" s="7" t="s">
        <v>1717</v>
      </c>
      <c r="L1809" s="7" t="s">
        <v>7744</v>
      </c>
      <c r="M1809" s="7">
        <v>4.9448280000000002</v>
      </c>
      <c r="N1809" s="7">
        <v>9.9232379999999996</v>
      </c>
      <c r="O1809" s="7" t="s">
        <v>23</v>
      </c>
    </row>
    <row r="1810" spans="1:15" x14ac:dyDescent="0.25">
      <c r="A1810" s="2">
        <f t="shared" si="28"/>
        <v>1808</v>
      </c>
      <c r="B1810" s="7" t="s">
        <v>2907</v>
      </c>
      <c r="C1810" s="7" t="s">
        <v>2908</v>
      </c>
      <c r="D1810" s="7" t="s">
        <v>2907</v>
      </c>
      <c r="E1810" s="7" t="s">
        <v>34</v>
      </c>
      <c r="F1810" s="7" t="s">
        <v>2909</v>
      </c>
      <c r="G1810" s="8" t="s">
        <v>18</v>
      </c>
      <c r="H1810" s="7" t="s">
        <v>19</v>
      </c>
      <c r="I1810" s="7" t="s">
        <v>151</v>
      </c>
      <c r="J1810" s="7" t="s">
        <v>152</v>
      </c>
      <c r="K1810" s="7" t="s">
        <v>2910</v>
      </c>
      <c r="L1810" s="7" t="s">
        <v>7744</v>
      </c>
      <c r="M1810" s="7">
        <v>4.9714499999999999</v>
      </c>
      <c r="N1810" s="7">
        <v>9.9169990000000006</v>
      </c>
      <c r="O1810" s="7" t="s">
        <v>23</v>
      </c>
    </row>
    <row r="1811" spans="1:15" x14ac:dyDescent="0.25">
      <c r="A1811" s="2">
        <f t="shared" si="28"/>
        <v>1809</v>
      </c>
      <c r="B1811" s="7" t="s">
        <v>3324</v>
      </c>
      <c r="C1811" s="7" t="s">
        <v>3325</v>
      </c>
      <c r="D1811" s="7" t="s">
        <v>3324</v>
      </c>
      <c r="E1811" s="7" t="s">
        <v>131</v>
      </c>
      <c r="F1811" s="7" t="s">
        <v>3326</v>
      </c>
      <c r="G1811" s="17" t="s">
        <v>7747</v>
      </c>
      <c r="H1811" s="7" t="s">
        <v>28</v>
      </c>
      <c r="I1811" s="7" t="s">
        <v>165</v>
      </c>
      <c r="J1811" s="7" t="s">
        <v>715</v>
      </c>
      <c r="K1811" s="7" t="s">
        <v>165</v>
      </c>
      <c r="L1811" s="7" t="s">
        <v>7744</v>
      </c>
      <c r="M1811" s="7">
        <v>5.1073599999999999</v>
      </c>
      <c r="N1811" s="7">
        <v>10.18317</v>
      </c>
      <c r="O1811" s="7" t="s">
        <v>23</v>
      </c>
    </row>
    <row r="1812" spans="1:15" x14ac:dyDescent="0.25">
      <c r="A1812" s="2">
        <f t="shared" si="28"/>
        <v>1810</v>
      </c>
      <c r="B1812" s="7" t="s">
        <v>3456</v>
      </c>
      <c r="C1812" s="7" t="s">
        <v>3457</v>
      </c>
      <c r="D1812" s="7" t="s">
        <v>3456</v>
      </c>
      <c r="E1812" s="7" t="s">
        <v>131</v>
      </c>
      <c r="F1812" s="7" t="s">
        <v>3458</v>
      </c>
      <c r="G1812" s="17" t="s">
        <v>7747</v>
      </c>
      <c r="H1812" s="7" t="s">
        <v>28</v>
      </c>
      <c r="I1812" s="7" t="s">
        <v>165</v>
      </c>
      <c r="J1812" s="7" t="s">
        <v>715</v>
      </c>
      <c r="K1812" s="7" t="s">
        <v>165</v>
      </c>
      <c r="L1812" s="7" t="s">
        <v>7744</v>
      </c>
      <c r="M1812" s="7">
        <v>5.1547999999999998</v>
      </c>
      <c r="N1812" s="7">
        <v>10.17008</v>
      </c>
      <c r="O1812" s="7" t="s">
        <v>613</v>
      </c>
    </row>
    <row r="1813" spans="1:15" x14ac:dyDescent="0.25">
      <c r="A1813" s="2">
        <f t="shared" si="28"/>
        <v>1811</v>
      </c>
      <c r="B1813" s="7" t="s">
        <v>3648</v>
      </c>
      <c r="C1813" s="7" t="s">
        <v>3649</v>
      </c>
      <c r="D1813" s="7" t="s">
        <v>3648</v>
      </c>
      <c r="E1813" s="7" t="s">
        <v>34</v>
      </c>
      <c r="F1813" s="7" t="s">
        <v>3650</v>
      </c>
      <c r="G1813" s="17" t="s">
        <v>7747</v>
      </c>
      <c r="H1813" s="7" t="s">
        <v>28</v>
      </c>
      <c r="I1813" s="7" t="s">
        <v>151</v>
      </c>
      <c r="J1813" s="7" t="s">
        <v>152</v>
      </c>
      <c r="K1813" s="7" t="s">
        <v>2259</v>
      </c>
      <c r="L1813" s="7" t="s">
        <v>7744</v>
      </c>
      <c r="M1813" s="7">
        <v>4.9499110000000002</v>
      </c>
      <c r="N1813" s="7">
        <v>9.9377189999999995</v>
      </c>
      <c r="O1813" s="7" t="s">
        <v>23</v>
      </c>
    </row>
    <row r="1814" spans="1:15" x14ac:dyDescent="0.25">
      <c r="A1814" s="2">
        <f t="shared" si="28"/>
        <v>1812</v>
      </c>
      <c r="B1814" s="7" t="s">
        <v>3739</v>
      </c>
      <c r="C1814" s="7" t="s">
        <v>3740</v>
      </c>
      <c r="D1814" s="7" t="s">
        <v>3739</v>
      </c>
      <c r="E1814" s="7" t="s">
        <v>34</v>
      </c>
      <c r="F1814" s="7" t="s">
        <v>3741</v>
      </c>
      <c r="G1814" s="17" t="s">
        <v>7747</v>
      </c>
      <c r="H1814" s="7" t="s">
        <v>19</v>
      </c>
      <c r="I1814" s="7" t="s">
        <v>151</v>
      </c>
      <c r="J1814" s="7" t="s">
        <v>152</v>
      </c>
      <c r="K1814" s="7" t="s">
        <v>3742</v>
      </c>
      <c r="L1814" s="7" t="s">
        <v>7744</v>
      </c>
      <c r="M1814" s="7">
        <v>4.9266670000000001</v>
      </c>
      <c r="N1814" s="7">
        <v>9.891</v>
      </c>
      <c r="O1814" s="7" t="s">
        <v>23</v>
      </c>
    </row>
    <row r="1815" spans="1:15" x14ac:dyDescent="0.25">
      <c r="A1815" s="2">
        <f t="shared" si="28"/>
        <v>1813</v>
      </c>
      <c r="B1815" s="7" t="s">
        <v>4025</v>
      </c>
      <c r="C1815" s="7" t="s">
        <v>4026</v>
      </c>
      <c r="D1815" s="7" t="s">
        <v>4025</v>
      </c>
      <c r="E1815" s="7" t="s">
        <v>34</v>
      </c>
      <c r="F1815" s="7" t="s">
        <v>4027</v>
      </c>
      <c r="G1815" s="17" t="s">
        <v>7747</v>
      </c>
      <c r="H1815" s="7" t="s">
        <v>19</v>
      </c>
      <c r="I1815" s="7" t="s">
        <v>151</v>
      </c>
      <c r="J1815" s="7" t="s">
        <v>152</v>
      </c>
      <c r="K1815" s="7" t="s">
        <v>4028</v>
      </c>
      <c r="L1815" s="7" t="s">
        <v>7744</v>
      </c>
      <c r="M1815" s="7">
        <v>5.0229150000000002</v>
      </c>
      <c r="N1815" s="7">
        <v>9.9660860000000007</v>
      </c>
      <c r="O1815" s="7" t="s">
        <v>23</v>
      </c>
    </row>
    <row r="1816" spans="1:15" x14ac:dyDescent="0.25">
      <c r="A1816" s="2">
        <f t="shared" si="28"/>
        <v>1814</v>
      </c>
      <c r="B1816" s="7" t="s">
        <v>4057</v>
      </c>
      <c r="C1816" s="7" t="s">
        <v>4058</v>
      </c>
      <c r="D1816" s="7" t="s">
        <v>4057</v>
      </c>
      <c r="E1816" s="7" t="s">
        <v>131</v>
      </c>
      <c r="F1816" s="7" t="s">
        <v>714</v>
      </c>
      <c r="G1816" s="17" t="s">
        <v>7747</v>
      </c>
      <c r="H1816" s="7" t="s">
        <v>28</v>
      </c>
      <c r="I1816" s="7" t="s">
        <v>165</v>
      </c>
      <c r="J1816" s="7" t="s">
        <v>715</v>
      </c>
      <c r="K1816" s="7" t="s">
        <v>714</v>
      </c>
      <c r="L1816" s="7" t="s">
        <v>7744</v>
      </c>
      <c r="M1816" s="7">
        <v>5.1428269999999996</v>
      </c>
      <c r="N1816" s="7">
        <v>10.019307</v>
      </c>
      <c r="O1816" s="7" t="s">
        <v>23</v>
      </c>
    </row>
    <row r="1817" spans="1:15" x14ac:dyDescent="0.25">
      <c r="A1817" s="2">
        <f t="shared" si="28"/>
        <v>1815</v>
      </c>
      <c r="B1817" s="7" t="s">
        <v>4100</v>
      </c>
      <c r="C1817" s="7" t="s">
        <v>4101</v>
      </c>
      <c r="D1817" s="7" t="s">
        <v>4100</v>
      </c>
      <c r="E1817" s="7" t="s">
        <v>34</v>
      </c>
      <c r="F1817" s="7" t="s">
        <v>4102</v>
      </c>
      <c r="G1817" s="17" t="s">
        <v>7747</v>
      </c>
      <c r="H1817" s="7" t="s">
        <v>28</v>
      </c>
      <c r="I1817" s="7" t="s">
        <v>151</v>
      </c>
      <c r="J1817" s="7" t="s">
        <v>152</v>
      </c>
      <c r="K1817" s="7" t="s">
        <v>1408</v>
      </c>
      <c r="L1817" s="7" t="s">
        <v>7744</v>
      </c>
      <c r="M1817" s="7">
        <v>4.8759949999999996</v>
      </c>
      <c r="N1817" s="7">
        <v>9.8637759999999997</v>
      </c>
      <c r="O1817" s="7" t="s">
        <v>23</v>
      </c>
    </row>
    <row r="1818" spans="1:15" x14ac:dyDescent="0.25">
      <c r="A1818" s="2">
        <f t="shared" si="28"/>
        <v>1816</v>
      </c>
      <c r="B1818" s="7" t="s">
        <v>4371</v>
      </c>
      <c r="C1818" s="7" t="s">
        <v>4372</v>
      </c>
      <c r="D1818" s="7" t="s">
        <v>4371</v>
      </c>
      <c r="E1818" s="7" t="s">
        <v>131</v>
      </c>
      <c r="F1818" s="7" t="s">
        <v>1310</v>
      </c>
      <c r="G1818" s="17" t="s">
        <v>7747</v>
      </c>
      <c r="H1818" s="7" t="s">
        <v>19</v>
      </c>
      <c r="I1818" s="7" t="s">
        <v>165</v>
      </c>
      <c r="J1818" s="7" t="s">
        <v>1309</v>
      </c>
      <c r="K1818" s="7" t="s">
        <v>1310</v>
      </c>
      <c r="L1818" s="7" t="s">
        <v>7744</v>
      </c>
      <c r="M1818" s="7">
        <v>5.1247299999999996</v>
      </c>
      <c r="N1818" s="7">
        <v>9.9426100000000002</v>
      </c>
      <c r="O1818" s="7" t="s">
        <v>23</v>
      </c>
    </row>
    <row r="1819" spans="1:15" x14ac:dyDescent="0.25">
      <c r="A1819" s="2">
        <f t="shared" si="28"/>
        <v>1817</v>
      </c>
      <c r="B1819" s="7" t="s">
        <v>4376</v>
      </c>
      <c r="C1819" s="7" t="s">
        <v>4377</v>
      </c>
      <c r="D1819" s="7" t="s">
        <v>4376</v>
      </c>
      <c r="E1819" s="7" t="s">
        <v>34</v>
      </c>
      <c r="F1819" s="7" t="s">
        <v>3741</v>
      </c>
      <c r="G1819" s="8" t="s">
        <v>18</v>
      </c>
      <c r="H1819" s="7" t="s">
        <v>28</v>
      </c>
      <c r="I1819" s="7" t="s">
        <v>151</v>
      </c>
      <c r="J1819" s="7" t="s">
        <v>152</v>
      </c>
      <c r="K1819" s="7" t="s">
        <v>3742</v>
      </c>
      <c r="L1819" s="7" t="s">
        <v>7744</v>
      </c>
      <c r="M1819" s="7">
        <v>4.9224240000000004</v>
      </c>
      <c r="N1819" s="7">
        <v>9.893497</v>
      </c>
      <c r="O1819" s="7" t="s">
        <v>23</v>
      </c>
    </row>
    <row r="1820" spans="1:15" x14ac:dyDescent="0.25">
      <c r="A1820" s="2">
        <f t="shared" si="28"/>
        <v>1818</v>
      </c>
      <c r="B1820" s="7" t="s">
        <v>4462</v>
      </c>
      <c r="C1820" s="7" t="s">
        <v>4463</v>
      </c>
      <c r="D1820" s="7" t="s">
        <v>4462</v>
      </c>
      <c r="E1820" s="7" t="s">
        <v>131</v>
      </c>
      <c r="F1820" s="7" t="s">
        <v>4464</v>
      </c>
      <c r="G1820" s="17" t="s">
        <v>7747</v>
      </c>
      <c r="H1820" s="7" t="s">
        <v>19</v>
      </c>
      <c r="I1820" s="7" t="s">
        <v>165</v>
      </c>
      <c r="J1820" s="7" t="s">
        <v>715</v>
      </c>
      <c r="K1820" s="7" t="s">
        <v>714</v>
      </c>
      <c r="L1820" s="7" t="s">
        <v>7744</v>
      </c>
      <c r="M1820" s="7">
        <v>5.1649700000000003</v>
      </c>
      <c r="N1820" s="7">
        <v>10.08859</v>
      </c>
      <c r="O1820" s="7" t="s">
        <v>23</v>
      </c>
    </row>
    <row r="1821" spans="1:15" x14ac:dyDescent="0.25">
      <c r="A1821" s="2">
        <f t="shared" si="28"/>
        <v>1819</v>
      </c>
      <c r="B1821" s="7" t="s">
        <v>4482</v>
      </c>
      <c r="C1821" s="7" t="s">
        <v>4483</v>
      </c>
      <c r="D1821" s="7" t="s">
        <v>4482</v>
      </c>
      <c r="E1821" s="7" t="s">
        <v>131</v>
      </c>
      <c r="F1821" s="7" t="s">
        <v>4484</v>
      </c>
      <c r="G1821" s="17" t="s">
        <v>7747</v>
      </c>
      <c r="H1821" s="7" t="s">
        <v>28</v>
      </c>
      <c r="I1821" s="7" t="s">
        <v>165</v>
      </c>
      <c r="J1821" s="7" t="s">
        <v>715</v>
      </c>
      <c r="K1821" s="7" t="s">
        <v>165</v>
      </c>
      <c r="L1821" s="7" t="s">
        <v>7744</v>
      </c>
      <c r="M1821" s="7">
        <v>5.1540720000000002</v>
      </c>
      <c r="N1821" s="7">
        <v>10.159383</v>
      </c>
      <c r="O1821" s="7" t="s">
        <v>23</v>
      </c>
    </row>
    <row r="1822" spans="1:15" x14ac:dyDescent="0.25">
      <c r="A1822" s="2">
        <f t="shared" si="28"/>
        <v>1820</v>
      </c>
      <c r="B1822" s="7" t="s">
        <v>4555</v>
      </c>
      <c r="C1822" s="7" t="s">
        <v>4556</v>
      </c>
      <c r="D1822" s="7" t="s">
        <v>4555</v>
      </c>
      <c r="E1822" s="7" t="s">
        <v>131</v>
      </c>
      <c r="F1822" s="7" t="s">
        <v>4557</v>
      </c>
      <c r="G1822" s="17" t="s">
        <v>7747</v>
      </c>
      <c r="H1822" s="7" t="s">
        <v>28</v>
      </c>
      <c r="I1822" s="7" t="s">
        <v>165</v>
      </c>
      <c r="J1822" s="7" t="s">
        <v>715</v>
      </c>
      <c r="K1822" s="7" t="s">
        <v>4557</v>
      </c>
      <c r="L1822" s="7" t="s">
        <v>7744</v>
      </c>
      <c r="M1822" s="7">
        <v>5.1036669999999997</v>
      </c>
      <c r="N1822" s="7">
        <v>10.075278000000001</v>
      </c>
      <c r="O1822" s="7" t="s">
        <v>23</v>
      </c>
    </row>
    <row r="1823" spans="1:15" x14ac:dyDescent="0.25">
      <c r="A1823" s="2">
        <f t="shared" si="28"/>
        <v>1821</v>
      </c>
      <c r="B1823" s="7" t="s">
        <v>4564</v>
      </c>
      <c r="C1823" s="7" t="s">
        <v>4565</v>
      </c>
      <c r="D1823" s="7" t="s">
        <v>4564</v>
      </c>
      <c r="E1823" s="7" t="s">
        <v>131</v>
      </c>
      <c r="F1823" s="7" t="s">
        <v>4566</v>
      </c>
      <c r="G1823" s="17" t="s">
        <v>7747</v>
      </c>
      <c r="H1823" s="7" t="s">
        <v>28</v>
      </c>
      <c r="I1823" s="7" t="s">
        <v>165</v>
      </c>
      <c r="J1823" s="7" t="s">
        <v>715</v>
      </c>
      <c r="K1823" s="7" t="s">
        <v>165</v>
      </c>
      <c r="L1823" s="7" t="s">
        <v>7744</v>
      </c>
      <c r="M1823" s="7">
        <v>5.1532299999999998</v>
      </c>
      <c r="N1823" s="7">
        <v>10.12814</v>
      </c>
      <c r="O1823" s="7" t="s">
        <v>23</v>
      </c>
    </row>
    <row r="1824" spans="1:15" x14ac:dyDescent="0.25">
      <c r="A1824" s="2">
        <f t="shared" si="28"/>
        <v>1822</v>
      </c>
      <c r="B1824" s="7" t="s">
        <v>4579</v>
      </c>
      <c r="C1824" s="7" t="s">
        <v>4580</v>
      </c>
      <c r="D1824" s="7" t="s">
        <v>4579</v>
      </c>
      <c r="E1824" s="7" t="s">
        <v>34</v>
      </c>
      <c r="F1824" s="7" t="s">
        <v>4581</v>
      </c>
      <c r="G1824" s="8" t="s">
        <v>18</v>
      </c>
      <c r="H1824" s="7" t="s">
        <v>19</v>
      </c>
      <c r="I1824" s="7" t="s">
        <v>151</v>
      </c>
      <c r="J1824" s="7" t="s">
        <v>152</v>
      </c>
      <c r="K1824" s="7" t="s">
        <v>1408</v>
      </c>
      <c r="L1824" s="7" t="s">
        <v>7744</v>
      </c>
      <c r="M1824" s="7">
        <v>4.8483999999999998</v>
      </c>
      <c r="N1824" s="7">
        <v>9.8259000000000007</v>
      </c>
      <c r="O1824" s="7" t="s">
        <v>23</v>
      </c>
    </row>
    <row r="1825" spans="1:15" x14ac:dyDescent="0.25">
      <c r="A1825" s="2">
        <f t="shared" si="28"/>
        <v>1823</v>
      </c>
      <c r="B1825" s="7" t="s">
        <v>4582</v>
      </c>
      <c r="C1825" s="7" t="s">
        <v>4583</v>
      </c>
      <c r="D1825" s="7" t="s">
        <v>4582</v>
      </c>
      <c r="E1825" s="7" t="s">
        <v>34</v>
      </c>
      <c r="F1825" s="7" t="s">
        <v>4581</v>
      </c>
      <c r="G1825" s="17" t="s">
        <v>7747</v>
      </c>
      <c r="H1825" s="7" t="s">
        <v>19</v>
      </c>
      <c r="I1825" s="7" t="s">
        <v>151</v>
      </c>
      <c r="J1825" s="7" t="s">
        <v>152</v>
      </c>
      <c r="K1825" s="7" t="s">
        <v>1408</v>
      </c>
      <c r="L1825" s="7" t="s">
        <v>7744</v>
      </c>
      <c r="M1825" s="7">
        <v>4.850886</v>
      </c>
      <c r="N1825" s="7">
        <v>9.8316669999999995</v>
      </c>
      <c r="O1825" s="7" t="s">
        <v>23</v>
      </c>
    </row>
    <row r="1826" spans="1:15" x14ac:dyDescent="0.25">
      <c r="A1826" s="2">
        <f t="shared" si="28"/>
        <v>1824</v>
      </c>
      <c r="B1826" s="7" t="s">
        <v>4610</v>
      </c>
      <c r="C1826" s="7" t="s">
        <v>4611</v>
      </c>
      <c r="D1826" s="7" t="s">
        <v>4610</v>
      </c>
      <c r="E1826" s="7" t="s">
        <v>131</v>
      </c>
      <c r="F1826" s="7" t="s">
        <v>1310</v>
      </c>
      <c r="G1826" s="17" t="s">
        <v>7747</v>
      </c>
      <c r="H1826" s="7" t="s">
        <v>19</v>
      </c>
      <c r="I1826" s="7" t="s">
        <v>165</v>
      </c>
      <c r="J1826" s="7" t="s">
        <v>1309</v>
      </c>
      <c r="K1826" s="7" t="s">
        <v>1310</v>
      </c>
      <c r="L1826" s="7" t="s">
        <v>7744</v>
      </c>
      <c r="M1826" s="7">
        <v>5.1240220000000001</v>
      </c>
      <c r="N1826" s="7">
        <v>9.9424720000000004</v>
      </c>
      <c r="O1826" s="7" t="s">
        <v>23</v>
      </c>
    </row>
    <row r="1827" spans="1:15" x14ac:dyDescent="0.25">
      <c r="A1827" s="2">
        <f t="shared" si="28"/>
        <v>1825</v>
      </c>
      <c r="B1827" s="7" t="s">
        <v>4668</v>
      </c>
      <c r="C1827" s="7" t="s">
        <v>4669</v>
      </c>
      <c r="D1827" s="7" t="s">
        <v>4668</v>
      </c>
      <c r="E1827" s="7" t="s">
        <v>131</v>
      </c>
      <c r="F1827" s="7" t="s">
        <v>1315</v>
      </c>
      <c r="G1827" s="8" t="s">
        <v>18</v>
      </c>
      <c r="H1827" s="7" t="s">
        <v>19</v>
      </c>
      <c r="I1827" s="7" t="s">
        <v>165</v>
      </c>
      <c r="J1827" s="7" t="s">
        <v>1314</v>
      </c>
      <c r="K1827" s="7" t="s">
        <v>1315</v>
      </c>
      <c r="L1827" s="7" t="s">
        <v>7744</v>
      </c>
      <c r="M1827" s="7">
        <v>5.0767499999999997</v>
      </c>
      <c r="N1827" s="7">
        <v>9.7753610000000002</v>
      </c>
      <c r="O1827" s="7" t="s">
        <v>23</v>
      </c>
    </row>
    <row r="1828" spans="1:15" x14ac:dyDescent="0.25">
      <c r="A1828" s="2">
        <f t="shared" si="28"/>
        <v>1826</v>
      </c>
      <c r="B1828" s="7" t="s">
        <v>4670</v>
      </c>
      <c r="C1828" s="7" t="s">
        <v>4671</v>
      </c>
      <c r="D1828" s="7" t="s">
        <v>4670</v>
      </c>
      <c r="E1828" s="7" t="s">
        <v>131</v>
      </c>
      <c r="F1828" s="7" t="s">
        <v>1315</v>
      </c>
      <c r="G1828" s="8" t="s">
        <v>18</v>
      </c>
      <c r="H1828" s="7" t="s">
        <v>28</v>
      </c>
      <c r="I1828" s="7" t="s">
        <v>165</v>
      </c>
      <c r="J1828" s="7" t="s">
        <v>1314</v>
      </c>
      <c r="K1828" s="7" t="s">
        <v>1315</v>
      </c>
      <c r="L1828" s="7" t="s">
        <v>7744</v>
      </c>
      <c r="M1828" s="7">
        <v>5.0737569999999996</v>
      </c>
      <c r="N1828" s="7">
        <v>9.7635380000000005</v>
      </c>
      <c r="O1828" s="7" t="s">
        <v>23</v>
      </c>
    </row>
    <row r="1829" spans="1:15" x14ac:dyDescent="0.25">
      <c r="A1829" s="2">
        <f t="shared" si="28"/>
        <v>1827</v>
      </c>
      <c r="B1829" s="7" t="s">
        <v>5017</v>
      </c>
      <c r="C1829" s="7" t="s">
        <v>5018</v>
      </c>
      <c r="D1829" s="7" t="s">
        <v>5017</v>
      </c>
      <c r="E1829" s="7" t="s">
        <v>34</v>
      </c>
      <c r="F1829" s="7" t="s">
        <v>5019</v>
      </c>
      <c r="G1829" s="8" t="s">
        <v>18</v>
      </c>
      <c r="H1829" s="7" t="s">
        <v>28</v>
      </c>
      <c r="I1829" s="7" t="s">
        <v>151</v>
      </c>
      <c r="J1829" s="7" t="s">
        <v>152</v>
      </c>
      <c r="K1829" s="7" t="s">
        <v>4576</v>
      </c>
      <c r="L1829" s="7" t="s">
        <v>7744</v>
      </c>
      <c r="M1829" s="7">
        <v>4.82951</v>
      </c>
      <c r="N1829" s="7">
        <v>9.6786399999999997</v>
      </c>
      <c r="O1829" s="7" t="s">
        <v>23</v>
      </c>
    </row>
    <row r="1830" spans="1:15" x14ac:dyDescent="0.25">
      <c r="A1830" s="2">
        <f t="shared" si="28"/>
        <v>1828</v>
      </c>
      <c r="B1830" s="7" t="s">
        <v>6173</v>
      </c>
      <c r="C1830" s="7" t="s">
        <v>6174</v>
      </c>
      <c r="D1830" s="7" t="s">
        <v>6173</v>
      </c>
      <c r="E1830" s="7" t="s">
        <v>50</v>
      </c>
      <c r="F1830" s="7" t="s">
        <v>6175</v>
      </c>
      <c r="G1830" s="17" t="s">
        <v>7747</v>
      </c>
      <c r="H1830" s="7" t="s">
        <v>28</v>
      </c>
      <c r="I1830" s="7" t="s">
        <v>1516</v>
      </c>
      <c r="J1830" s="7" t="s">
        <v>4599</v>
      </c>
      <c r="K1830" s="7" t="s">
        <v>153</v>
      </c>
      <c r="L1830" s="7" t="s">
        <v>7744</v>
      </c>
      <c r="M1830" s="7">
        <v>4.5128329999999997</v>
      </c>
      <c r="N1830" s="7">
        <v>10.285306</v>
      </c>
      <c r="O1830" s="7" t="s">
        <v>23</v>
      </c>
    </row>
    <row r="1831" spans="1:15" x14ac:dyDescent="0.25">
      <c r="A1831" s="2">
        <f t="shared" si="28"/>
        <v>1829</v>
      </c>
      <c r="B1831" s="7" t="s">
        <v>6695</v>
      </c>
      <c r="C1831" s="7" t="s">
        <v>6696</v>
      </c>
      <c r="D1831" s="7" t="s">
        <v>6695</v>
      </c>
      <c r="E1831" s="7" t="s">
        <v>34</v>
      </c>
      <c r="F1831" s="7" t="s">
        <v>6697</v>
      </c>
      <c r="G1831" s="8" t="s">
        <v>18</v>
      </c>
      <c r="H1831" s="7" t="s">
        <v>28</v>
      </c>
      <c r="I1831" s="7" t="s">
        <v>151</v>
      </c>
      <c r="J1831" s="7" t="s">
        <v>152</v>
      </c>
      <c r="K1831" s="7" t="s">
        <v>6698</v>
      </c>
      <c r="L1831" s="7" t="s">
        <v>7744</v>
      </c>
      <c r="M1831" s="7">
        <v>4.8058189999999996</v>
      </c>
      <c r="N1831" s="7">
        <v>9.7655309999999993</v>
      </c>
      <c r="O1831" s="7" t="s">
        <v>23</v>
      </c>
    </row>
    <row r="1832" spans="1:15" x14ac:dyDescent="0.25">
      <c r="A1832" s="2">
        <f t="shared" si="28"/>
        <v>1830</v>
      </c>
      <c r="B1832" s="7" t="s">
        <v>6932</v>
      </c>
      <c r="C1832" s="7" t="s">
        <v>6933</v>
      </c>
      <c r="D1832" s="7" t="s">
        <v>6932</v>
      </c>
      <c r="E1832" s="7" t="s">
        <v>131</v>
      </c>
      <c r="F1832" s="7" t="s">
        <v>6934</v>
      </c>
      <c r="G1832" s="17" t="s">
        <v>7747</v>
      </c>
      <c r="H1832" s="7" t="s">
        <v>28</v>
      </c>
      <c r="I1832" s="7" t="s">
        <v>522</v>
      </c>
      <c r="J1832" s="7" t="s">
        <v>317</v>
      </c>
      <c r="K1832" s="7" t="s">
        <v>6935</v>
      </c>
      <c r="L1832" s="7" t="s">
        <v>7744</v>
      </c>
      <c r="M1832" s="7">
        <v>5.1884499999999996</v>
      </c>
      <c r="N1832" s="7">
        <v>9.9850700000000003</v>
      </c>
      <c r="O1832" s="7" t="s">
        <v>23</v>
      </c>
    </row>
    <row r="1833" spans="1:15" x14ac:dyDescent="0.25">
      <c r="A1833" s="2">
        <f t="shared" si="28"/>
        <v>1831</v>
      </c>
      <c r="B1833" s="7" t="s">
        <v>7275</v>
      </c>
      <c r="C1833" s="7" t="s">
        <v>7276</v>
      </c>
      <c r="D1833" s="7" t="s">
        <v>7275</v>
      </c>
      <c r="E1833" s="7" t="s">
        <v>34</v>
      </c>
      <c r="F1833" s="7" t="s">
        <v>7277</v>
      </c>
      <c r="G1833" s="8" t="s">
        <v>18</v>
      </c>
      <c r="H1833" s="7" t="s">
        <v>28</v>
      </c>
      <c r="I1833" s="7" t="s">
        <v>165</v>
      </c>
      <c r="J1833" s="7" t="s">
        <v>7063</v>
      </c>
      <c r="K1833" s="7" t="s">
        <v>1389</v>
      </c>
      <c r="L1833" s="7" t="s">
        <v>7744</v>
      </c>
      <c r="M1833" s="7">
        <v>5.0864000000000003</v>
      </c>
      <c r="N1833" s="7">
        <v>9.8047810000000002</v>
      </c>
      <c r="O1833" s="7" t="s">
        <v>23</v>
      </c>
    </row>
    <row r="1834" spans="1:15" x14ac:dyDescent="0.25">
      <c r="A1834" s="2">
        <f t="shared" si="28"/>
        <v>1832</v>
      </c>
      <c r="B1834" s="7" t="s">
        <v>7364</v>
      </c>
      <c r="C1834" s="7" t="s">
        <v>7365</v>
      </c>
      <c r="D1834" s="7" t="s">
        <v>7364</v>
      </c>
      <c r="E1834" s="7" t="s">
        <v>26</v>
      </c>
      <c r="F1834" s="7" t="s">
        <v>7366</v>
      </c>
      <c r="G1834" s="8" t="s">
        <v>18</v>
      </c>
      <c r="H1834" s="7" t="s">
        <v>28</v>
      </c>
      <c r="I1834" s="7" t="s">
        <v>1010</v>
      </c>
      <c r="J1834" s="7" t="s">
        <v>195</v>
      </c>
      <c r="K1834" s="7" t="s">
        <v>241</v>
      </c>
      <c r="L1834" s="7" t="s">
        <v>7744</v>
      </c>
      <c r="M1834" s="7">
        <v>4.7012999999999998</v>
      </c>
      <c r="N1834" s="7">
        <v>10.233700000000001</v>
      </c>
      <c r="O1834" s="7" t="s">
        <v>23</v>
      </c>
    </row>
    <row r="1835" spans="1:15" x14ac:dyDescent="0.25">
      <c r="A1835" s="2">
        <f t="shared" si="28"/>
        <v>1833</v>
      </c>
      <c r="B1835" s="7" t="s">
        <v>7530</v>
      </c>
      <c r="C1835" s="7" t="s">
        <v>7531</v>
      </c>
      <c r="D1835" s="7" t="s">
        <v>7530</v>
      </c>
      <c r="E1835" s="7" t="s">
        <v>50</v>
      </c>
      <c r="F1835" s="7" t="s">
        <v>7532</v>
      </c>
      <c r="G1835" s="17" t="s">
        <v>7747</v>
      </c>
      <c r="H1835" s="7" t="s">
        <v>28</v>
      </c>
      <c r="I1835" s="7" t="s">
        <v>1516</v>
      </c>
      <c r="J1835" s="7" t="s">
        <v>7533</v>
      </c>
      <c r="K1835" s="7" t="s">
        <v>153</v>
      </c>
      <c r="L1835" s="7" t="s">
        <v>7744</v>
      </c>
      <c r="M1835" s="7">
        <v>4.7014360000000002</v>
      </c>
      <c r="N1835" s="7">
        <v>10.233653</v>
      </c>
      <c r="O1835" s="7" t="s">
        <v>23</v>
      </c>
    </row>
    <row r="1836" spans="1:15" x14ac:dyDescent="0.25">
      <c r="A1836" s="2">
        <f t="shared" si="28"/>
        <v>1834</v>
      </c>
      <c r="B1836" s="7" t="s">
        <v>129</v>
      </c>
      <c r="C1836" s="7" t="s">
        <v>130</v>
      </c>
      <c r="D1836" s="7" t="s">
        <v>129</v>
      </c>
      <c r="E1836" s="7" t="s">
        <v>131</v>
      </c>
      <c r="F1836" s="7" t="s">
        <v>132</v>
      </c>
      <c r="G1836" s="17" t="s">
        <v>7747</v>
      </c>
      <c r="H1836" s="7" t="s">
        <v>28</v>
      </c>
      <c r="I1836" s="7" t="s">
        <v>133</v>
      </c>
      <c r="J1836" s="7" t="s">
        <v>134</v>
      </c>
      <c r="K1836" s="7" t="s">
        <v>135</v>
      </c>
      <c r="L1836" s="7" t="s">
        <v>136</v>
      </c>
      <c r="M1836" s="7">
        <v>4.6001979999999998</v>
      </c>
      <c r="N1836" s="7">
        <v>11.475698</v>
      </c>
      <c r="O1836" s="7" t="s">
        <v>23</v>
      </c>
    </row>
    <row r="1837" spans="1:15" hidden="1" x14ac:dyDescent="0.25">
      <c r="A1837" s="2">
        <f t="shared" si="28"/>
        <v>1835</v>
      </c>
      <c r="B1837" s="7" t="s">
        <v>180</v>
      </c>
      <c r="C1837" s="7" t="s">
        <v>181</v>
      </c>
      <c r="D1837" s="7" t="s">
        <v>180</v>
      </c>
      <c r="E1837" s="7" t="s">
        <v>182</v>
      </c>
      <c r="F1837" s="7" t="s">
        <v>183</v>
      </c>
      <c r="G1837" s="17" t="s">
        <v>7747</v>
      </c>
      <c r="H1837" s="7" t="s">
        <v>28</v>
      </c>
      <c r="I1837" s="7" t="s">
        <v>184</v>
      </c>
      <c r="J1837" s="7" t="s">
        <v>185</v>
      </c>
      <c r="K1837" s="7" t="s">
        <v>186</v>
      </c>
      <c r="L1837" s="7" t="s">
        <v>136</v>
      </c>
      <c r="M1837" s="7">
        <v>3.9939</v>
      </c>
      <c r="N1837" s="7">
        <v>11.59984</v>
      </c>
      <c r="O1837" s="7" t="s">
        <v>23</v>
      </c>
    </row>
    <row r="1838" spans="1:15" hidden="1" x14ac:dyDescent="0.25">
      <c r="A1838" s="2">
        <f t="shared" si="28"/>
        <v>1836</v>
      </c>
      <c r="B1838" s="7" t="s">
        <v>248</v>
      </c>
      <c r="C1838" s="7" t="s">
        <v>249</v>
      </c>
      <c r="D1838" s="7" t="s">
        <v>248</v>
      </c>
      <c r="E1838" s="7" t="s">
        <v>250</v>
      </c>
      <c r="F1838" s="7" t="s">
        <v>251</v>
      </c>
      <c r="G1838" s="17" t="s">
        <v>7747</v>
      </c>
      <c r="H1838" s="7" t="s">
        <v>28</v>
      </c>
      <c r="I1838" s="7" t="s">
        <v>252</v>
      </c>
      <c r="J1838" s="7" t="s">
        <v>253</v>
      </c>
      <c r="K1838" s="7" t="s">
        <v>254</v>
      </c>
      <c r="L1838" s="7" t="s">
        <v>136</v>
      </c>
      <c r="M1838" s="7">
        <v>2.42</v>
      </c>
      <c r="N1838" s="7">
        <v>12.260361</v>
      </c>
      <c r="O1838" s="7" t="s">
        <v>23</v>
      </c>
    </row>
    <row r="1839" spans="1:15" hidden="1" x14ac:dyDescent="0.25">
      <c r="A1839" s="2">
        <f t="shared" si="28"/>
        <v>1837</v>
      </c>
      <c r="B1839" s="7" t="s">
        <v>272</v>
      </c>
      <c r="C1839" s="7" t="s">
        <v>273</v>
      </c>
      <c r="D1839" s="7" t="s">
        <v>272</v>
      </c>
      <c r="E1839" s="7" t="s">
        <v>182</v>
      </c>
      <c r="F1839" s="7" t="s">
        <v>274</v>
      </c>
      <c r="G1839" s="17" t="s">
        <v>7747</v>
      </c>
      <c r="H1839" s="7" t="s">
        <v>28</v>
      </c>
      <c r="I1839" s="7" t="s">
        <v>275</v>
      </c>
      <c r="J1839" s="7" t="s">
        <v>276</v>
      </c>
      <c r="K1839" s="7" t="s">
        <v>277</v>
      </c>
      <c r="L1839" s="7" t="s">
        <v>136</v>
      </c>
      <c r="M1839" s="7">
        <v>3.4271980000000002</v>
      </c>
      <c r="N1839" s="7">
        <v>11.2799</v>
      </c>
      <c r="O1839" s="7" t="s">
        <v>23</v>
      </c>
    </row>
    <row r="1840" spans="1:15" hidden="1" x14ac:dyDescent="0.25">
      <c r="A1840" s="2">
        <f t="shared" si="28"/>
        <v>1838</v>
      </c>
      <c r="B1840" s="7" t="s">
        <v>283</v>
      </c>
      <c r="C1840" s="7" t="s">
        <v>284</v>
      </c>
      <c r="D1840" s="7" t="s">
        <v>283</v>
      </c>
      <c r="E1840" s="7" t="s">
        <v>182</v>
      </c>
      <c r="F1840" s="7" t="s">
        <v>285</v>
      </c>
      <c r="G1840" s="17" t="s">
        <v>7747</v>
      </c>
      <c r="H1840" s="7" t="s">
        <v>28</v>
      </c>
      <c r="I1840" s="7" t="s">
        <v>286</v>
      </c>
      <c r="J1840" s="7" t="s">
        <v>287</v>
      </c>
      <c r="K1840" s="7" t="s">
        <v>288</v>
      </c>
      <c r="L1840" s="7" t="s">
        <v>136</v>
      </c>
      <c r="M1840" s="7">
        <v>4.1472449999999998</v>
      </c>
      <c r="N1840" s="7">
        <v>11.512238999999999</v>
      </c>
      <c r="O1840" s="7" t="s">
        <v>23</v>
      </c>
    </row>
    <row r="1841" spans="1:15" hidden="1" x14ac:dyDescent="0.25">
      <c r="A1841" s="2">
        <f t="shared" si="28"/>
        <v>1839</v>
      </c>
      <c r="B1841" s="7" t="s">
        <v>294</v>
      </c>
      <c r="C1841" s="7" t="s">
        <v>295</v>
      </c>
      <c r="D1841" s="7" t="s">
        <v>294</v>
      </c>
      <c r="E1841" s="7" t="s">
        <v>182</v>
      </c>
      <c r="F1841" s="7" t="s">
        <v>296</v>
      </c>
      <c r="G1841" s="17" t="s">
        <v>7747</v>
      </c>
      <c r="H1841" s="7" t="s">
        <v>28</v>
      </c>
      <c r="I1841" s="7" t="s">
        <v>297</v>
      </c>
      <c r="J1841" s="7" t="s">
        <v>298</v>
      </c>
      <c r="K1841" s="7" t="s">
        <v>299</v>
      </c>
      <c r="L1841" s="7" t="s">
        <v>136</v>
      </c>
      <c r="M1841" s="7">
        <v>4.26295</v>
      </c>
      <c r="N1841" s="7">
        <v>10.96026</v>
      </c>
      <c r="O1841" s="7" t="s">
        <v>23</v>
      </c>
    </row>
    <row r="1842" spans="1:15" hidden="1" x14ac:dyDescent="0.25">
      <c r="A1842" s="2">
        <f t="shared" si="28"/>
        <v>1840</v>
      </c>
      <c r="B1842" s="7" t="s">
        <v>308</v>
      </c>
      <c r="C1842" s="7" t="s">
        <v>309</v>
      </c>
      <c r="D1842" s="7" t="s">
        <v>308</v>
      </c>
      <c r="E1842" s="7" t="s">
        <v>250</v>
      </c>
      <c r="F1842" s="7" t="s">
        <v>310</v>
      </c>
      <c r="G1842" s="17" t="s">
        <v>7747</v>
      </c>
      <c r="H1842" s="7" t="s">
        <v>28</v>
      </c>
      <c r="I1842" s="7" t="s">
        <v>311</v>
      </c>
      <c r="J1842" s="7" t="s">
        <v>312</v>
      </c>
      <c r="K1842" s="7" t="s">
        <v>313</v>
      </c>
      <c r="L1842" s="7" t="s">
        <v>136</v>
      </c>
      <c r="M1842" s="7">
        <v>2.8416670000000002</v>
      </c>
      <c r="N1842" s="7">
        <v>11.558861</v>
      </c>
      <c r="O1842" s="7" t="s">
        <v>23</v>
      </c>
    </row>
    <row r="1843" spans="1:15" hidden="1" x14ac:dyDescent="0.25">
      <c r="A1843" s="2">
        <f t="shared" si="28"/>
        <v>1841</v>
      </c>
      <c r="B1843" s="7" t="s">
        <v>319</v>
      </c>
      <c r="C1843" s="7" t="s">
        <v>320</v>
      </c>
      <c r="D1843" s="7" t="s">
        <v>319</v>
      </c>
      <c r="E1843" s="7" t="s">
        <v>250</v>
      </c>
      <c r="F1843" s="7" t="s">
        <v>321</v>
      </c>
      <c r="G1843" s="17" t="s">
        <v>7747</v>
      </c>
      <c r="H1843" s="7" t="s">
        <v>28</v>
      </c>
      <c r="I1843" s="7" t="s">
        <v>322</v>
      </c>
      <c r="J1843" s="7" t="s">
        <v>323</v>
      </c>
      <c r="K1843" s="7" t="s">
        <v>324</v>
      </c>
      <c r="L1843" s="7" t="s">
        <v>136</v>
      </c>
      <c r="M1843" s="7">
        <v>3.20045</v>
      </c>
      <c r="N1843" s="7">
        <v>11.948378999999999</v>
      </c>
      <c r="O1843" s="7" t="s">
        <v>23</v>
      </c>
    </row>
    <row r="1844" spans="1:15" hidden="1" x14ac:dyDescent="0.25">
      <c r="A1844" s="2">
        <f t="shared" si="28"/>
        <v>1842</v>
      </c>
      <c r="B1844" s="7" t="s">
        <v>334</v>
      </c>
      <c r="C1844" s="7" t="s">
        <v>335</v>
      </c>
      <c r="D1844" s="7" t="s">
        <v>334</v>
      </c>
      <c r="E1844" s="7" t="s">
        <v>182</v>
      </c>
      <c r="F1844" s="7" t="s">
        <v>336</v>
      </c>
      <c r="G1844" s="17" t="s">
        <v>7747</v>
      </c>
      <c r="H1844" s="7" t="s">
        <v>28</v>
      </c>
      <c r="I1844" s="7" t="s">
        <v>286</v>
      </c>
      <c r="J1844" s="7" t="s">
        <v>287</v>
      </c>
      <c r="K1844" s="7" t="s">
        <v>337</v>
      </c>
      <c r="L1844" s="7" t="s">
        <v>136</v>
      </c>
      <c r="M1844" s="7">
        <v>4.2196129999999998</v>
      </c>
      <c r="N1844" s="7">
        <v>11.363479999999999</v>
      </c>
      <c r="O1844" s="7" t="s">
        <v>23</v>
      </c>
    </row>
    <row r="1845" spans="1:15" hidden="1" x14ac:dyDescent="0.25">
      <c r="A1845" s="2">
        <f t="shared" si="28"/>
        <v>1843</v>
      </c>
      <c r="B1845" s="7" t="s">
        <v>338</v>
      </c>
      <c r="C1845" s="7" t="s">
        <v>339</v>
      </c>
      <c r="D1845" s="7" t="s">
        <v>338</v>
      </c>
      <c r="E1845" s="7" t="s">
        <v>250</v>
      </c>
      <c r="F1845" s="7" t="s">
        <v>340</v>
      </c>
      <c r="G1845" s="17" t="s">
        <v>7747</v>
      </c>
      <c r="H1845" s="7" t="s">
        <v>28</v>
      </c>
      <c r="I1845" s="7" t="s">
        <v>341</v>
      </c>
      <c r="J1845" s="7" t="s">
        <v>323</v>
      </c>
      <c r="K1845" s="7" t="s">
        <v>342</v>
      </c>
      <c r="L1845" s="7" t="s">
        <v>136</v>
      </c>
      <c r="M1845" s="7">
        <v>3.1907220000000001</v>
      </c>
      <c r="N1845" s="7">
        <v>11.224667</v>
      </c>
      <c r="O1845" s="7" t="s">
        <v>23</v>
      </c>
    </row>
    <row r="1846" spans="1:15" hidden="1" x14ac:dyDescent="0.25">
      <c r="A1846" s="2">
        <f t="shared" si="28"/>
        <v>1844</v>
      </c>
      <c r="B1846" s="7" t="s">
        <v>343</v>
      </c>
      <c r="C1846" s="7" t="s">
        <v>344</v>
      </c>
      <c r="D1846" s="7" t="s">
        <v>343</v>
      </c>
      <c r="E1846" s="7" t="s">
        <v>250</v>
      </c>
      <c r="F1846" s="7" t="s">
        <v>345</v>
      </c>
      <c r="G1846" s="17" t="s">
        <v>7747</v>
      </c>
      <c r="H1846" s="7" t="s">
        <v>28</v>
      </c>
      <c r="I1846" s="7" t="s">
        <v>341</v>
      </c>
      <c r="J1846" s="7" t="s">
        <v>323</v>
      </c>
      <c r="K1846" s="7" t="s">
        <v>342</v>
      </c>
      <c r="L1846" s="7" t="s">
        <v>136</v>
      </c>
      <c r="M1846" s="7">
        <v>3.349297</v>
      </c>
      <c r="N1846" s="7">
        <v>11.220005</v>
      </c>
      <c r="O1846" s="7" t="s">
        <v>23</v>
      </c>
    </row>
    <row r="1847" spans="1:15" hidden="1" x14ac:dyDescent="0.25">
      <c r="A1847" s="2">
        <f t="shared" si="28"/>
        <v>1845</v>
      </c>
      <c r="B1847" s="7" t="s">
        <v>371</v>
      </c>
      <c r="C1847" s="7" t="s">
        <v>372</v>
      </c>
      <c r="D1847" s="7" t="s">
        <v>371</v>
      </c>
      <c r="E1847" s="7" t="s">
        <v>182</v>
      </c>
      <c r="F1847" s="7" t="s">
        <v>373</v>
      </c>
      <c r="G1847" s="17" t="s">
        <v>7747</v>
      </c>
      <c r="H1847" s="7" t="s">
        <v>28</v>
      </c>
      <c r="I1847" s="7" t="s">
        <v>374</v>
      </c>
      <c r="J1847" s="7" t="s">
        <v>134</v>
      </c>
      <c r="K1847" s="7" t="s">
        <v>375</v>
      </c>
      <c r="L1847" s="7" t="s">
        <v>136</v>
      </c>
      <c r="M1847" s="7">
        <v>4.7234759999999998</v>
      </c>
      <c r="N1847" s="7">
        <v>11.690512</v>
      </c>
      <c r="O1847" s="7" t="s">
        <v>23</v>
      </c>
    </row>
    <row r="1848" spans="1:15" hidden="1" x14ac:dyDescent="0.25">
      <c r="A1848" s="2">
        <f t="shared" si="28"/>
        <v>1846</v>
      </c>
      <c r="B1848" s="7" t="s">
        <v>380</v>
      </c>
      <c r="C1848" s="7" t="s">
        <v>381</v>
      </c>
      <c r="D1848" s="7" t="s">
        <v>380</v>
      </c>
      <c r="E1848" s="7" t="s">
        <v>182</v>
      </c>
      <c r="F1848" s="7" t="s">
        <v>382</v>
      </c>
      <c r="G1848" s="17" t="s">
        <v>7747</v>
      </c>
      <c r="H1848" s="7" t="s">
        <v>28</v>
      </c>
      <c r="I1848" s="7" t="s">
        <v>374</v>
      </c>
      <c r="J1848" s="7" t="s">
        <v>134</v>
      </c>
      <c r="K1848" s="7" t="s">
        <v>383</v>
      </c>
      <c r="L1848" s="7" t="s">
        <v>136</v>
      </c>
      <c r="M1848" s="7">
        <v>5.1002539999999996</v>
      </c>
      <c r="N1848" s="7">
        <v>12.08738</v>
      </c>
      <c r="O1848" s="7" t="s">
        <v>23</v>
      </c>
    </row>
    <row r="1849" spans="1:15" hidden="1" x14ac:dyDescent="0.25">
      <c r="A1849" s="2">
        <f t="shared" si="28"/>
        <v>1847</v>
      </c>
      <c r="B1849" s="7" t="s">
        <v>387</v>
      </c>
      <c r="C1849" s="7" t="s">
        <v>388</v>
      </c>
      <c r="D1849" s="7" t="s">
        <v>387</v>
      </c>
      <c r="E1849" s="7" t="s">
        <v>250</v>
      </c>
      <c r="F1849" s="7" t="s">
        <v>389</v>
      </c>
      <c r="G1849" s="17" t="s">
        <v>7747</v>
      </c>
      <c r="H1849" s="7" t="s">
        <v>28</v>
      </c>
      <c r="I1849" s="7" t="s">
        <v>341</v>
      </c>
      <c r="J1849" s="7" t="s">
        <v>323</v>
      </c>
      <c r="K1849" s="7" t="s">
        <v>342</v>
      </c>
      <c r="L1849" s="7" t="s">
        <v>136</v>
      </c>
      <c r="M1849" s="7">
        <v>3.2702610000000001</v>
      </c>
      <c r="N1849" s="7">
        <v>11.191618999999999</v>
      </c>
      <c r="O1849" s="7" t="s">
        <v>23</v>
      </c>
    </row>
    <row r="1850" spans="1:15" hidden="1" x14ac:dyDescent="0.25">
      <c r="A1850" s="2">
        <f t="shared" si="28"/>
        <v>1848</v>
      </c>
      <c r="B1850" s="7" t="s">
        <v>434</v>
      </c>
      <c r="C1850" s="7" t="s">
        <v>435</v>
      </c>
      <c r="D1850" s="7" t="s">
        <v>434</v>
      </c>
      <c r="E1850" s="7" t="s">
        <v>250</v>
      </c>
      <c r="F1850" s="7" t="s">
        <v>436</v>
      </c>
      <c r="G1850" s="17" t="s">
        <v>7747</v>
      </c>
      <c r="H1850" s="7" t="s">
        <v>28</v>
      </c>
      <c r="I1850" s="7" t="s">
        <v>322</v>
      </c>
      <c r="J1850" s="7" t="s">
        <v>312</v>
      </c>
      <c r="K1850" s="7" t="s">
        <v>437</v>
      </c>
      <c r="L1850" s="7" t="s">
        <v>136</v>
      </c>
      <c r="M1850" s="7">
        <v>2.656444</v>
      </c>
      <c r="N1850" s="7">
        <v>11.741167000000001</v>
      </c>
      <c r="O1850" s="7" t="s">
        <v>23</v>
      </c>
    </row>
    <row r="1851" spans="1:15" hidden="1" x14ac:dyDescent="0.25">
      <c r="A1851" s="2">
        <f t="shared" si="28"/>
        <v>1849</v>
      </c>
      <c r="B1851" s="7" t="s">
        <v>482</v>
      </c>
      <c r="C1851" s="7" t="s">
        <v>483</v>
      </c>
      <c r="D1851" s="7" t="s">
        <v>482</v>
      </c>
      <c r="E1851" s="7" t="s">
        <v>182</v>
      </c>
      <c r="F1851" s="7" t="s">
        <v>484</v>
      </c>
      <c r="G1851" s="17" t="s">
        <v>7747</v>
      </c>
      <c r="H1851" s="7" t="s">
        <v>28</v>
      </c>
      <c r="I1851" s="7" t="s">
        <v>275</v>
      </c>
      <c r="J1851" s="7" t="s">
        <v>208</v>
      </c>
      <c r="K1851" s="7" t="s">
        <v>485</v>
      </c>
      <c r="L1851" s="7" t="s">
        <v>136</v>
      </c>
      <c r="M1851" s="7">
        <v>3.5748530000000001</v>
      </c>
      <c r="N1851" s="7">
        <v>11.142967000000001</v>
      </c>
      <c r="O1851" s="7" t="s">
        <v>23</v>
      </c>
    </row>
    <row r="1852" spans="1:15" hidden="1" x14ac:dyDescent="0.25">
      <c r="A1852" s="2">
        <f t="shared" si="28"/>
        <v>1850</v>
      </c>
      <c r="B1852" s="7" t="s">
        <v>515</v>
      </c>
      <c r="C1852" s="7" t="s">
        <v>516</v>
      </c>
      <c r="D1852" s="7" t="s">
        <v>515</v>
      </c>
      <c r="E1852" s="7" t="s">
        <v>250</v>
      </c>
      <c r="F1852" s="7" t="s">
        <v>517</v>
      </c>
      <c r="G1852" s="17" t="s">
        <v>7747</v>
      </c>
      <c r="H1852" s="7" t="s">
        <v>28</v>
      </c>
      <c r="I1852" s="7" t="s">
        <v>311</v>
      </c>
      <c r="J1852" s="7" t="s">
        <v>312</v>
      </c>
      <c r="K1852" s="7" t="s">
        <v>518</v>
      </c>
      <c r="L1852" s="7" t="s">
        <v>136</v>
      </c>
      <c r="M1852" s="7">
        <v>2.9825499999999998</v>
      </c>
      <c r="N1852" s="7">
        <v>11.561223</v>
      </c>
      <c r="O1852" s="7" t="s">
        <v>23</v>
      </c>
    </row>
    <row r="1853" spans="1:15" hidden="1" x14ac:dyDescent="0.25">
      <c r="A1853" s="2">
        <f t="shared" si="28"/>
        <v>1851</v>
      </c>
      <c r="B1853" s="7" t="s">
        <v>538</v>
      </c>
      <c r="C1853" s="7" t="s">
        <v>539</v>
      </c>
      <c r="D1853" s="7" t="s">
        <v>538</v>
      </c>
      <c r="E1853" s="7" t="s">
        <v>250</v>
      </c>
      <c r="F1853" s="7" t="s">
        <v>540</v>
      </c>
      <c r="G1853" s="17" t="s">
        <v>7747</v>
      </c>
      <c r="H1853" s="7" t="s">
        <v>28</v>
      </c>
      <c r="I1853" s="7" t="s">
        <v>322</v>
      </c>
      <c r="J1853" s="7" t="s">
        <v>253</v>
      </c>
      <c r="K1853" s="7" t="s">
        <v>324</v>
      </c>
      <c r="L1853" s="7" t="s">
        <v>136</v>
      </c>
      <c r="M1853" s="7">
        <v>2.6518600000000001</v>
      </c>
      <c r="N1853" s="7">
        <v>12.150824999999999</v>
      </c>
      <c r="O1853" s="7" t="s">
        <v>23</v>
      </c>
    </row>
    <row r="1854" spans="1:15" hidden="1" x14ac:dyDescent="0.25">
      <c r="A1854" s="2">
        <f t="shared" si="28"/>
        <v>1852</v>
      </c>
      <c r="B1854" s="7" t="s">
        <v>554</v>
      </c>
      <c r="C1854" s="7" t="s">
        <v>555</v>
      </c>
      <c r="D1854" s="7" t="s">
        <v>554</v>
      </c>
      <c r="E1854" s="7" t="s">
        <v>182</v>
      </c>
      <c r="F1854" s="7" t="s">
        <v>556</v>
      </c>
      <c r="G1854" s="17" t="s">
        <v>7747</v>
      </c>
      <c r="H1854" s="7" t="s">
        <v>28</v>
      </c>
      <c r="I1854" s="7" t="s">
        <v>275</v>
      </c>
      <c r="J1854" s="7" t="s">
        <v>276</v>
      </c>
      <c r="K1854" s="7" t="s">
        <v>557</v>
      </c>
      <c r="L1854" s="7" t="s">
        <v>136</v>
      </c>
      <c r="M1854" s="7">
        <v>3.7959619999999998</v>
      </c>
      <c r="N1854" s="7">
        <v>11.371364</v>
      </c>
      <c r="O1854" s="7" t="s">
        <v>23</v>
      </c>
    </row>
    <row r="1855" spans="1:15" hidden="1" x14ac:dyDescent="0.25">
      <c r="A1855" s="2">
        <f t="shared" si="28"/>
        <v>1853</v>
      </c>
      <c r="B1855" s="7" t="s">
        <v>594</v>
      </c>
      <c r="C1855" s="7" t="s">
        <v>595</v>
      </c>
      <c r="D1855" s="7" t="s">
        <v>594</v>
      </c>
      <c r="E1855" s="7" t="s">
        <v>182</v>
      </c>
      <c r="F1855" s="7" t="s">
        <v>596</v>
      </c>
      <c r="G1855" s="17" t="s">
        <v>7747</v>
      </c>
      <c r="H1855" s="7" t="s">
        <v>28</v>
      </c>
      <c r="I1855" s="7" t="s">
        <v>275</v>
      </c>
      <c r="J1855" s="7" t="s">
        <v>208</v>
      </c>
      <c r="K1855" s="7" t="s">
        <v>485</v>
      </c>
      <c r="L1855" s="7" t="s">
        <v>136</v>
      </c>
      <c r="M1855" s="7">
        <v>3.730111</v>
      </c>
      <c r="N1855" s="7">
        <v>11.171528</v>
      </c>
      <c r="O1855" s="7" t="s">
        <v>23</v>
      </c>
    </row>
    <row r="1856" spans="1:15" hidden="1" x14ac:dyDescent="0.25">
      <c r="A1856" s="2">
        <f t="shared" si="28"/>
        <v>1854</v>
      </c>
      <c r="B1856" s="7" t="s">
        <v>597</v>
      </c>
      <c r="C1856" s="7" t="s">
        <v>598</v>
      </c>
      <c r="D1856" s="7" t="s">
        <v>597</v>
      </c>
      <c r="E1856" s="7" t="s">
        <v>182</v>
      </c>
      <c r="F1856" s="7" t="s">
        <v>599</v>
      </c>
      <c r="G1856" s="17" t="s">
        <v>7747</v>
      </c>
      <c r="H1856" s="7" t="s">
        <v>28</v>
      </c>
      <c r="I1856" s="7" t="s">
        <v>600</v>
      </c>
      <c r="J1856" s="7" t="s">
        <v>208</v>
      </c>
      <c r="K1856" s="7" t="s">
        <v>485</v>
      </c>
      <c r="L1856" s="7" t="s">
        <v>136</v>
      </c>
      <c r="M1856" s="7">
        <v>3.8720279999999998</v>
      </c>
      <c r="N1856" s="7">
        <v>10.898833</v>
      </c>
      <c r="O1856" s="7" t="s">
        <v>23</v>
      </c>
    </row>
    <row r="1857" spans="1:15" hidden="1" x14ac:dyDescent="0.25">
      <c r="A1857" s="2">
        <f t="shared" si="28"/>
        <v>1855</v>
      </c>
      <c r="B1857" s="7" t="s">
        <v>605</v>
      </c>
      <c r="C1857" s="7" t="s">
        <v>606</v>
      </c>
      <c r="D1857" s="7" t="s">
        <v>605</v>
      </c>
      <c r="E1857" s="7" t="s">
        <v>182</v>
      </c>
      <c r="F1857" s="7" t="s">
        <v>607</v>
      </c>
      <c r="G1857" s="17" t="s">
        <v>7747</v>
      </c>
      <c r="H1857" s="7" t="s">
        <v>19</v>
      </c>
      <c r="I1857" s="7" t="s">
        <v>600</v>
      </c>
      <c r="J1857" s="7" t="s">
        <v>208</v>
      </c>
      <c r="K1857" s="7" t="s">
        <v>485</v>
      </c>
      <c r="L1857" s="7" t="s">
        <v>136</v>
      </c>
      <c r="M1857" s="7">
        <v>3.801917</v>
      </c>
      <c r="N1857" s="7">
        <v>11.046823</v>
      </c>
      <c r="O1857" s="7" t="s">
        <v>23</v>
      </c>
    </row>
    <row r="1858" spans="1:15" hidden="1" x14ac:dyDescent="0.25">
      <c r="A1858" s="2">
        <f t="shared" si="28"/>
        <v>1856</v>
      </c>
      <c r="B1858" s="7" t="s">
        <v>643</v>
      </c>
      <c r="C1858" s="7" t="s">
        <v>644</v>
      </c>
      <c r="D1858" s="7" t="s">
        <v>643</v>
      </c>
      <c r="E1858" s="7" t="s">
        <v>182</v>
      </c>
      <c r="F1858" s="7" t="s">
        <v>645</v>
      </c>
      <c r="G1858" s="17" t="s">
        <v>7747</v>
      </c>
      <c r="H1858" s="7" t="s">
        <v>28</v>
      </c>
      <c r="I1858" s="7" t="s">
        <v>297</v>
      </c>
      <c r="J1858" s="7" t="s">
        <v>287</v>
      </c>
      <c r="K1858" s="7" t="s">
        <v>645</v>
      </c>
      <c r="L1858" s="7" t="s">
        <v>136</v>
      </c>
      <c r="M1858" s="7">
        <v>3.9043700000000001</v>
      </c>
      <c r="N1858" s="7">
        <v>11.2254</v>
      </c>
      <c r="O1858" s="7" t="s">
        <v>23</v>
      </c>
    </row>
    <row r="1859" spans="1:15" hidden="1" x14ac:dyDescent="0.25">
      <c r="A1859" s="2">
        <f t="shared" si="28"/>
        <v>1857</v>
      </c>
      <c r="B1859" s="7" t="s">
        <v>653</v>
      </c>
      <c r="C1859" s="7" t="s">
        <v>654</v>
      </c>
      <c r="D1859" s="7" t="s">
        <v>653</v>
      </c>
      <c r="E1859" s="7" t="s">
        <v>182</v>
      </c>
      <c r="F1859" s="7" t="s">
        <v>655</v>
      </c>
      <c r="G1859" s="17" t="s">
        <v>7747</v>
      </c>
      <c r="H1859" s="7" t="s">
        <v>28</v>
      </c>
      <c r="I1859" s="7" t="s">
        <v>286</v>
      </c>
      <c r="J1859" s="7" t="s">
        <v>287</v>
      </c>
      <c r="K1859" s="7" t="s">
        <v>288</v>
      </c>
      <c r="L1859" s="7" t="s">
        <v>136</v>
      </c>
      <c r="M1859" s="7">
        <v>4.0891299999999999</v>
      </c>
      <c r="N1859" s="7">
        <v>11.485671999999999</v>
      </c>
      <c r="O1859" s="7" t="s">
        <v>23</v>
      </c>
    </row>
    <row r="1860" spans="1:15" x14ac:dyDescent="0.25">
      <c r="A1860" s="2">
        <f t="shared" si="28"/>
        <v>1858</v>
      </c>
      <c r="B1860" s="7" t="s">
        <v>702</v>
      </c>
      <c r="C1860" s="7" t="s">
        <v>703</v>
      </c>
      <c r="D1860" s="7" t="s">
        <v>702</v>
      </c>
      <c r="E1860" s="7" t="s">
        <v>131</v>
      </c>
      <c r="F1860" s="7" t="s">
        <v>704</v>
      </c>
      <c r="G1860" s="17" t="s">
        <v>7747</v>
      </c>
      <c r="H1860" s="7" t="s">
        <v>28</v>
      </c>
      <c r="I1860" s="7" t="s">
        <v>133</v>
      </c>
      <c r="J1860" s="7" t="s">
        <v>705</v>
      </c>
      <c r="K1860" s="7" t="s">
        <v>706</v>
      </c>
      <c r="L1860" s="7" t="s">
        <v>136</v>
      </c>
      <c r="M1860" s="7">
        <v>4.6678059999999997</v>
      </c>
      <c r="N1860" s="7">
        <v>11.171749999999999</v>
      </c>
      <c r="O1860" s="7" t="s">
        <v>23</v>
      </c>
    </row>
    <row r="1861" spans="1:15" hidden="1" x14ac:dyDescent="0.25">
      <c r="A1861" s="2">
        <f t="shared" ref="A1861:A1924" si="29">+A1860+1</f>
        <v>1859</v>
      </c>
      <c r="B1861" s="7" t="s">
        <v>804</v>
      </c>
      <c r="C1861" s="7" t="s">
        <v>805</v>
      </c>
      <c r="D1861" s="7" t="s">
        <v>804</v>
      </c>
      <c r="E1861" s="7" t="s">
        <v>182</v>
      </c>
      <c r="F1861" s="7" t="s">
        <v>806</v>
      </c>
      <c r="G1861" s="17" t="s">
        <v>7747</v>
      </c>
      <c r="H1861" s="7" t="s">
        <v>28</v>
      </c>
      <c r="I1861" s="7" t="s">
        <v>807</v>
      </c>
      <c r="J1861" s="7" t="s">
        <v>185</v>
      </c>
      <c r="K1861" s="7" t="s">
        <v>808</v>
      </c>
      <c r="L1861" s="7" t="s">
        <v>136</v>
      </c>
      <c r="M1861" s="7">
        <v>3.9198300000000001</v>
      </c>
      <c r="N1861" s="7">
        <v>11.525758</v>
      </c>
      <c r="O1861" s="7" t="s">
        <v>23</v>
      </c>
    </row>
    <row r="1862" spans="1:15" hidden="1" x14ac:dyDescent="0.25">
      <c r="A1862" s="2">
        <f t="shared" si="29"/>
        <v>1860</v>
      </c>
      <c r="B1862" s="7" t="s">
        <v>814</v>
      </c>
      <c r="C1862" s="7" t="s">
        <v>815</v>
      </c>
      <c r="D1862" s="7" t="s">
        <v>814</v>
      </c>
      <c r="E1862" s="7" t="s">
        <v>182</v>
      </c>
      <c r="F1862" s="7" t="s">
        <v>816</v>
      </c>
      <c r="G1862" s="17" t="s">
        <v>7747</v>
      </c>
      <c r="H1862" s="7" t="s">
        <v>28</v>
      </c>
      <c r="I1862" s="7" t="s">
        <v>817</v>
      </c>
      <c r="J1862" s="7" t="s">
        <v>818</v>
      </c>
      <c r="K1862" s="7" t="s">
        <v>819</v>
      </c>
      <c r="L1862" s="7" t="s">
        <v>136</v>
      </c>
      <c r="M1862" s="7">
        <v>3.8691499999999999</v>
      </c>
      <c r="N1862" s="7">
        <v>11.888489</v>
      </c>
      <c r="O1862" s="7" t="s">
        <v>23</v>
      </c>
    </row>
    <row r="1863" spans="1:15" hidden="1" x14ac:dyDescent="0.25">
      <c r="A1863" s="2">
        <f t="shared" si="29"/>
        <v>1861</v>
      </c>
      <c r="B1863" s="7" t="s">
        <v>820</v>
      </c>
      <c r="C1863" s="7" t="s">
        <v>821</v>
      </c>
      <c r="D1863" s="7" t="s">
        <v>820</v>
      </c>
      <c r="E1863" s="7" t="s">
        <v>250</v>
      </c>
      <c r="F1863" s="7" t="s">
        <v>822</v>
      </c>
      <c r="G1863" s="17" t="s">
        <v>7747</v>
      </c>
      <c r="H1863" s="7" t="s">
        <v>28</v>
      </c>
      <c r="I1863" s="7" t="s">
        <v>322</v>
      </c>
      <c r="J1863" s="7" t="s">
        <v>253</v>
      </c>
      <c r="K1863" s="7" t="s">
        <v>324</v>
      </c>
      <c r="L1863" s="7" t="s">
        <v>136</v>
      </c>
      <c r="M1863" s="7">
        <v>2.823928</v>
      </c>
      <c r="N1863" s="7">
        <v>12.253677</v>
      </c>
      <c r="O1863" s="7" t="s">
        <v>23</v>
      </c>
    </row>
    <row r="1864" spans="1:15" hidden="1" x14ac:dyDescent="0.25">
      <c r="A1864" s="2">
        <f t="shared" si="29"/>
        <v>1862</v>
      </c>
      <c r="B1864" s="7" t="s">
        <v>823</v>
      </c>
      <c r="C1864" s="7" t="s">
        <v>824</v>
      </c>
      <c r="D1864" s="7" t="s">
        <v>823</v>
      </c>
      <c r="E1864" s="7" t="s">
        <v>182</v>
      </c>
      <c r="F1864" s="7" t="s">
        <v>825</v>
      </c>
      <c r="G1864" s="17" t="s">
        <v>7747</v>
      </c>
      <c r="H1864" s="7" t="s">
        <v>28</v>
      </c>
      <c r="I1864" s="7" t="s">
        <v>817</v>
      </c>
      <c r="J1864" s="7" t="s">
        <v>826</v>
      </c>
      <c r="K1864" s="7" t="s">
        <v>827</v>
      </c>
      <c r="L1864" s="7" t="s">
        <v>136</v>
      </c>
      <c r="M1864" s="7">
        <v>3.929325</v>
      </c>
      <c r="N1864" s="7">
        <v>11.775477</v>
      </c>
      <c r="O1864" s="7" t="s">
        <v>23</v>
      </c>
    </row>
    <row r="1865" spans="1:15" hidden="1" x14ac:dyDescent="0.25">
      <c r="A1865" s="2">
        <f t="shared" si="29"/>
        <v>1863</v>
      </c>
      <c r="B1865" s="7" t="s">
        <v>878</v>
      </c>
      <c r="C1865" s="7" t="s">
        <v>879</v>
      </c>
      <c r="D1865" s="7" t="s">
        <v>878</v>
      </c>
      <c r="E1865" s="7" t="s">
        <v>250</v>
      </c>
      <c r="F1865" s="7" t="s">
        <v>880</v>
      </c>
      <c r="G1865" s="17" t="s">
        <v>7747</v>
      </c>
      <c r="H1865" s="7" t="s">
        <v>28</v>
      </c>
      <c r="I1865" s="7" t="s">
        <v>252</v>
      </c>
      <c r="J1865" s="7" t="s">
        <v>253</v>
      </c>
      <c r="K1865" s="7" t="s">
        <v>881</v>
      </c>
      <c r="L1865" s="7" t="s">
        <v>136</v>
      </c>
      <c r="M1865" s="7">
        <v>2.58555</v>
      </c>
      <c r="N1865" s="7">
        <v>12.791161000000001</v>
      </c>
      <c r="O1865" s="7" t="s">
        <v>23</v>
      </c>
    </row>
    <row r="1866" spans="1:15" hidden="1" x14ac:dyDescent="0.25">
      <c r="A1866" s="2">
        <f t="shared" si="29"/>
        <v>1864</v>
      </c>
      <c r="B1866" s="7" t="s">
        <v>961</v>
      </c>
      <c r="C1866" s="7" t="s">
        <v>962</v>
      </c>
      <c r="D1866" s="7" t="s">
        <v>961</v>
      </c>
      <c r="E1866" s="7" t="s">
        <v>250</v>
      </c>
      <c r="F1866" s="7" t="s">
        <v>963</v>
      </c>
      <c r="G1866" s="17" t="s">
        <v>7747</v>
      </c>
      <c r="H1866" s="7" t="s">
        <v>28</v>
      </c>
      <c r="I1866" s="7" t="s">
        <v>311</v>
      </c>
      <c r="J1866" s="7" t="s">
        <v>312</v>
      </c>
      <c r="K1866" s="7" t="s">
        <v>313</v>
      </c>
      <c r="L1866" s="7" t="s">
        <v>136</v>
      </c>
      <c r="M1866" s="7">
        <v>2.7882220000000002</v>
      </c>
      <c r="N1866" s="7">
        <v>11.365778000000001</v>
      </c>
      <c r="O1866" s="7" t="s">
        <v>23</v>
      </c>
    </row>
    <row r="1867" spans="1:15" hidden="1" x14ac:dyDescent="0.25">
      <c r="A1867" s="2">
        <f t="shared" si="29"/>
        <v>1865</v>
      </c>
      <c r="B1867" s="7" t="s">
        <v>964</v>
      </c>
      <c r="C1867" s="7" t="s">
        <v>965</v>
      </c>
      <c r="D1867" s="7" t="s">
        <v>964</v>
      </c>
      <c r="E1867" s="7" t="s">
        <v>250</v>
      </c>
      <c r="F1867" s="7" t="s">
        <v>966</v>
      </c>
      <c r="G1867" s="17" t="s">
        <v>7747</v>
      </c>
      <c r="H1867" s="7" t="s">
        <v>28</v>
      </c>
      <c r="I1867" s="7" t="s">
        <v>311</v>
      </c>
      <c r="J1867" s="7" t="s">
        <v>312</v>
      </c>
      <c r="K1867" s="7" t="s">
        <v>967</v>
      </c>
      <c r="L1867" s="7" t="s">
        <v>136</v>
      </c>
      <c r="M1867" s="7">
        <v>3.150528</v>
      </c>
      <c r="N1867" s="7">
        <v>11.1305</v>
      </c>
      <c r="O1867" s="7" t="s">
        <v>23</v>
      </c>
    </row>
    <row r="1868" spans="1:15" x14ac:dyDescent="0.25">
      <c r="A1868" s="2">
        <f t="shared" si="29"/>
        <v>1866</v>
      </c>
      <c r="B1868" s="7" t="s">
        <v>1143</v>
      </c>
      <c r="C1868" s="7" t="s">
        <v>1144</v>
      </c>
      <c r="D1868" s="7" t="s">
        <v>1143</v>
      </c>
      <c r="E1868" s="7" t="s">
        <v>131</v>
      </c>
      <c r="F1868" s="7" t="s">
        <v>1145</v>
      </c>
      <c r="G1868" s="17" t="s">
        <v>7747</v>
      </c>
      <c r="H1868" s="7" t="s">
        <v>28</v>
      </c>
      <c r="I1868" s="7" t="s">
        <v>133</v>
      </c>
      <c r="J1868" s="7" t="s">
        <v>705</v>
      </c>
      <c r="K1868" s="7" t="s">
        <v>133</v>
      </c>
      <c r="L1868" s="7" t="s">
        <v>136</v>
      </c>
      <c r="M1868" s="7">
        <v>4.7475100000000001</v>
      </c>
      <c r="N1868" s="7">
        <v>11.24198</v>
      </c>
      <c r="O1868" s="7" t="s">
        <v>23</v>
      </c>
    </row>
    <row r="1869" spans="1:15" x14ac:dyDescent="0.25">
      <c r="A1869" s="2">
        <f t="shared" si="29"/>
        <v>1867</v>
      </c>
      <c r="B1869" s="7" t="s">
        <v>1146</v>
      </c>
      <c r="C1869" s="7" t="s">
        <v>1147</v>
      </c>
      <c r="D1869" s="7" t="s">
        <v>1146</v>
      </c>
      <c r="E1869" s="7" t="s">
        <v>131</v>
      </c>
      <c r="F1869" s="7" t="s">
        <v>1148</v>
      </c>
      <c r="G1869" s="17" t="s">
        <v>7747</v>
      </c>
      <c r="H1869" s="7" t="s">
        <v>28</v>
      </c>
      <c r="I1869" s="7" t="s">
        <v>133</v>
      </c>
      <c r="J1869" s="7" t="s">
        <v>705</v>
      </c>
      <c r="K1869" s="7" t="s">
        <v>133</v>
      </c>
      <c r="L1869" s="7" t="s">
        <v>136</v>
      </c>
      <c r="M1869" s="7">
        <v>4.7377219999999998</v>
      </c>
      <c r="N1869" s="7">
        <v>11.235777000000001</v>
      </c>
      <c r="O1869" s="7" t="s">
        <v>23</v>
      </c>
    </row>
    <row r="1870" spans="1:15" hidden="1" x14ac:dyDescent="0.25">
      <c r="A1870" s="2">
        <f t="shared" si="29"/>
        <v>1868</v>
      </c>
      <c r="B1870" s="7" t="s">
        <v>1162</v>
      </c>
      <c r="C1870" s="7" t="s">
        <v>1163</v>
      </c>
      <c r="D1870" s="7" t="s">
        <v>1162</v>
      </c>
      <c r="E1870" s="7" t="s">
        <v>250</v>
      </c>
      <c r="F1870" s="7" t="s">
        <v>1164</v>
      </c>
      <c r="G1870" s="17" t="s">
        <v>7747</v>
      </c>
      <c r="H1870" s="7" t="s">
        <v>28</v>
      </c>
      <c r="I1870" s="7" t="s">
        <v>252</v>
      </c>
      <c r="J1870" s="7" t="s">
        <v>253</v>
      </c>
      <c r="K1870" s="7" t="s">
        <v>881</v>
      </c>
      <c r="L1870" s="7" t="s">
        <v>136</v>
      </c>
      <c r="M1870" s="7">
        <v>2.6685189999999999</v>
      </c>
      <c r="N1870" s="7">
        <v>12.862976</v>
      </c>
      <c r="O1870" s="7" t="s">
        <v>23</v>
      </c>
    </row>
    <row r="1871" spans="1:15" hidden="1" x14ac:dyDescent="0.25">
      <c r="A1871" s="2">
        <f t="shared" si="29"/>
        <v>1869</v>
      </c>
      <c r="B1871" s="7" t="s">
        <v>1168</v>
      </c>
      <c r="C1871" s="7" t="s">
        <v>1169</v>
      </c>
      <c r="D1871" s="7" t="s">
        <v>1168</v>
      </c>
      <c r="E1871" s="7" t="s">
        <v>182</v>
      </c>
      <c r="F1871" s="7" t="s">
        <v>1170</v>
      </c>
      <c r="G1871" s="17" t="s">
        <v>7747</v>
      </c>
      <c r="H1871" s="7" t="s">
        <v>28</v>
      </c>
      <c r="I1871" s="7" t="s">
        <v>275</v>
      </c>
      <c r="J1871" s="7" t="s">
        <v>276</v>
      </c>
      <c r="K1871" s="7" t="s">
        <v>557</v>
      </c>
      <c r="L1871" s="7" t="s">
        <v>136</v>
      </c>
      <c r="M1871" s="7">
        <v>3.7911359999999998</v>
      </c>
      <c r="N1871" s="7">
        <v>11.304503</v>
      </c>
      <c r="O1871" s="7" t="s">
        <v>23</v>
      </c>
    </row>
    <row r="1872" spans="1:15" hidden="1" x14ac:dyDescent="0.25">
      <c r="A1872" s="2">
        <f t="shared" si="29"/>
        <v>1870</v>
      </c>
      <c r="B1872" s="7" t="s">
        <v>1183</v>
      </c>
      <c r="C1872" s="7" t="s">
        <v>1184</v>
      </c>
      <c r="D1872" s="7" t="s">
        <v>1183</v>
      </c>
      <c r="E1872" s="7" t="s">
        <v>182</v>
      </c>
      <c r="F1872" s="7" t="s">
        <v>1185</v>
      </c>
      <c r="G1872" s="17" t="s">
        <v>7747</v>
      </c>
      <c r="H1872" s="7" t="s">
        <v>28</v>
      </c>
      <c r="I1872" s="7" t="s">
        <v>275</v>
      </c>
      <c r="J1872" s="7" t="s">
        <v>276</v>
      </c>
      <c r="K1872" s="7" t="s">
        <v>277</v>
      </c>
      <c r="L1872" s="7" t="s">
        <v>136</v>
      </c>
      <c r="M1872" s="7">
        <v>3.3921670000000002</v>
      </c>
      <c r="N1872" s="7">
        <v>11.101639</v>
      </c>
      <c r="O1872" s="7" t="s">
        <v>23</v>
      </c>
    </row>
    <row r="1873" spans="1:15" hidden="1" x14ac:dyDescent="0.25">
      <c r="A1873" s="2">
        <f t="shared" si="29"/>
        <v>1871</v>
      </c>
      <c r="B1873" s="7" t="s">
        <v>1225</v>
      </c>
      <c r="C1873" s="7" t="s">
        <v>1226</v>
      </c>
      <c r="D1873" s="7" t="s">
        <v>1225</v>
      </c>
      <c r="E1873" s="7" t="s">
        <v>182</v>
      </c>
      <c r="F1873" s="7" t="s">
        <v>1227</v>
      </c>
      <c r="G1873" s="17" t="s">
        <v>7747</v>
      </c>
      <c r="H1873" s="7" t="s">
        <v>28</v>
      </c>
      <c r="I1873" s="7" t="s">
        <v>275</v>
      </c>
      <c r="J1873" s="7" t="s">
        <v>276</v>
      </c>
      <c r="K1873" s="7" t="s">
        <v>557</v>
      </c>
      <c r="L1873" s="7" t="s">
        <v>136</v>
      </c>
      <c r="M1873" s="7">
        <v>3.7871199999999998</v>
      </c>
      <c r="N1873" s="7">
        <v>11.423327</v>
      </c>
      <c r="O1873" s="7" t="s">
        <v>23</v>
      </c>
    </row>
    <row r="1874" spans="1:15" hidden="1" x14ac:dyDescent="0.25">
      <c r="A1874" s="2">
        <f t="shared" si="29"/>
        <v>1872</v>
      </c>
      <c r="B1874" s="7" t="s">
        <v>1240</v>
      </c>
      <c r="C1874" s="7" t="s">
        <v>1241</v>
      </c>
      <c r="D1874" s="7" t="s">
        <v>1240</v>
      </c>
      <c r="E1874" s="7" t="s">
        <v>250</v>
      </c>
      <c r="F1874" s="7" t="s">
        <v>1242</v>
      </c>
      <c r="G1874" s="17" t="s">
        <v>7747</v>
      </c>
      <c r="H1874" s="7" t="s">
        <v>28</v>
      </c>
      <c r="I1874" s="7" t="s">
        <v>341</v>
      </c>
      <c r="J1874" s="7" t="s">
        <v>323</v>
      </c>
      <c r="K1874" s="7" t="s">
        <v>1243</v>
      </c>
      <c r="L1874" s="7" t="s">
        <v>136</v>
      </c>
      <c r="M1874" s="7">
        <v>3.5054650000000001</v>
      </c>
      <c r="N1874" s="7">
        <v>11.504203</v>
      </c>
      <c r="O1874" s="7" t="s">
        <v>23</v>
      </c>
    </row>
    <row r="1875" spans="1:15" hidden="1" x14ac:dyDescent="0.25">
      <c r="A1875" s="2">
        <f t="shared" si="29"/>
        <v>1873</v>
      </c>
      <c r="B1875" s="7" t="s">
        <v>1272</v>
      </c>
      <c r="C1875" s="7" t="s">
        <v>1273</v>
      </c>
      <c r="D1875" s="7" t="s">
        <v>1272</v>
      </c>
      <c r="E1875" s="7" t="s">
        <v>250</v>
      </c>
      <c r="F1875" s="7" t="s">
        <v>1274</v>
      </c>
      <c r="G1875" s="17" t="s">
        <v>7747</v>
      </c>
      <c r="H1875" s="7" t="s">
        <v>28</v>
      </c>
      <c r="I1875" s="7" t="s">
        <v>252</v>
      </c>
      <c r="J1875" s="7" t="s">
        <v>253</v>
      </c>
      <c r="K1875" s="7" t="s">
        <v>881</v>
      </c>
      <c r="L1875" s="7" t="s">
        <v>136</v>
      </c>
      <c r="M1875" s="7">
        <v>2.6745800000000002</v>
      </c>
      <c r="N1875" s="7">
        <v>12.689679999999999</v>
      </c>
      <c r="O1875" s="7" t="s">
        <v>23</v>
      </c>
    </row>
    <row r="1876" spans="1:15" hidden="1" x14ac:dyDescent="0.25">
      <c r="A1876" s="2">
        <f t="shared" si="29"/>
        <v>1874</v>
      </c>
      <c r="B1876" s="7" t="s">
        <v>1281</v>
      </c>
      <c r="C1876" s="7" t="s">
        <v>1282</v>
      </c>
      <c r="D1876" s="7" t="s">
        <v>1281</v>
      </c>
      <c r="E1876" s="7" t="s">
        <v>182</v>
      </c>
      <c r="F1876" s="7" t="s">
        <v>1283</v>
      </c>
      <c r="G1876" s="17" t="s">
        <v>7747</v>
      </c>
      <c r="H1876" s="7" t="s">
        <v>28</v>
      </c>
      <c r="I1876" s="7" t="s">
        <v>1284</v>
      </c>
      <c r="J1876" s="7" t="s">
        <v>185</v>
      </c>
      <c r="K1876" s="7" t="s">
        <v>557</v>
      </c>
      <c r="L1876" s="7" t="s">
        <v>136</v>
      </c>
      <c r="M1876" s="7">
        <v>3.7895880000000002</v>
      </c>
      <c r="N1876" s="7">
        <v>11.473145000000001</v>
      </c>
      <c r="O1876" s="7" t="s">
        <v>23</v>
      </c>
    </row>
    <row r="1877" spans="1:15" hidden="1" x14ac:dyDescent="0.25">
      <c r="A1877" s="2">
        <f t="shared" si="29"/>
        <v>1875</v>
      </c>
      <c r="B1877" s="7" t="s">
        <v>1319</v>
      </c>
      <c r="C1877" s="7" t="s">
        <v>1320</v>
      </c>
      <c r="D1877" s="7" t="s">
        <v>1319</v>
      </c>
      <c r="E1877" s="7" t="s">
        <v>182</v>
      </c>
      <c r="F1877" s="7" t="s">
        <v>1321</v>
      </c>
      <c r="G1877" s="17" t="s">
        <v>7747</v>
      </c>
      <c r="H1877" s="7" t="s">
        <v>28</v>
      </c>
      <c r="I1877" s="7" t="s">
        <v>1284</v>
      </c>
      <c r="J1877" s="7" t="s">
        <v>185</v>
      </c>
      <c r="K1877" s="7" t="s">
        <v>1322</v>
      </c>
      <c r="L1877" s="7" t="s">
        <v>136</v>
      </c>
      <c r="M1877" s="7">
        <v>3.8570120000000001</v>
      </c>
      <c r="N1877" s="7">
        <v>11.470955999999999</v>
      </c>
      <c r="O1877" s="7" t="s">
        <v>23</v>
      </c>
    </row>
    <row r="1878" spans="1:15" hidden="1" x14ac:dyDescent="0.25">
      <c r="A1878" s="2">
        <f t="shared" si="29"/>
        <v>1876</v>
      </c>
      <c r="B1878" s="7" t="s">
        <v>1334</v>
      </c>
      <c r="C1878" s="7" t="s">
        <v>1335</v>
      </c>
      <c r="D1878" s="7" t="s">
        <v>1334</v>
      </c>
      <c r="E1878" s="7" t="s">
        <v>182</v>
      </c>
      <c r="F1878" s="7" t="s">
        <v>1336</v>
      </c>
      <c r="G1878" s="17" t="s">
        <v>7747</v>
      </c>
      <c r="H1878" s="7" t="s">
        <v>28</v>
      </c>
      <c r="I1878" s="7" t="s">
        <v>1337</v>
      </c>
      <c r="J1878" s="7" t="s">
        <v>185</v>
      </c>
      <c r="K1878" s="7" t="s">
        <v>1322</v>
      </c>
      <c r="L1878" s="7" t="s">
        <v>136</v>
      </c>
      <c r="M1878" s="7">
        <v>3.8725269999999998</v>
      </c>
      <c r="N1878" s="7">
        <v>11.493433</v>
      </c>
      <c r="O1878" s="7" t="s">
        <v>23</v>
      </c>
    </row>
    <row r="1879" spans="1:15" hidden="1" x14ac:dyDescent="0.25">
      <c r="A1879" s="2">
        <f t="shared" si="29"/>
        <v>1877</v>
      </c>
      <c r="B1879" s="7" t="s">
        <v>1351</v>
      </c>
      <c r="C1879" s="7" t="s">
        <v>1352</v>
      </c>
      <c r="D1879" s="7" t="s">
        <v>1351</v>
      </c>
      <c r="E1879" s="7" t="s">
        <v>182</v>
      </c>
      <c r="F1879" s="7" t="s">
        <v>1353</v>
      </c>
      <c r="G1879" s="17" t="s">
        <v>7747</v>
      </c>
      <c r="H1879" s="7" t="s">
        <v>28</v>
      </c>
      <c r="I1879" s="7" t="s">
        <v>184</v>
      </c>
      <c r="J1879" s="7" t="s">
        <v>185</v>
      </c>
      <c r="K1879" s="7" t="s">
        <v>186</v>
      </c>
      <c r="L1879" s="7" t="s">
        <v>136</v>
      </c>
      <c r="M1879" s="7">
        <v>3.9077500000000001</v>
      </c>
      <c r="N1879" s="7">
        <v>11.57094</v>
      </c>
      <c r="O1879" s="7" t="s">
        <v>23</v>
      </c>
    </row>
    <row r="1880" spans="1:15" hidden="1" x14ac:dyDescent="0.25">
      <c r="A1880" s="2">
        <f t="shared" si="29"/>
        <v>1878</v>
      </c>
      <c r="B1880" s="7" t="s">
        <v>1357</v>
      </c>
      <c r="C1880" s="7" t="s">
        <v>1358</v>
      </c>
      <c r="D1880" s="7" t="s">
        <v>1357</v>
      </c>
      <c r="E1880" s="7" t="s">
        <v>182</v>
      </c>
      <c r="F1880" s="7" t="s">
        <v>1359</v>
      </c>
      <c r="G1880" s="17" t="s">
        <v>7747</v>
      </c>
      <c r="H1880" s="7" t="s">
        <v>28</v>
      </c>
      <c r="I1880" s="7" t="s">
        <v>275</v>
      </c>
      <c r="J1880" s="7" t="s">
        <v>185</v>
      </c>
      <c r="K1880" s="7" t="s">
        <v>1322</v>
      </c>
      <c r="L1880" s="7" t="s">
        <v>136</v>
      </c>
      <c r="M1880" s="7">
        <v>3.8223319999999998</v>
      </c>
      <c r="N1880" s="7">
        <v>11.467195</v>
      </c>
      <c r="O1880" s="7" t="s">
        <v>23</v>
      </c>
    </row>
    <row r="1881" spans="1:15" hidden="1" x14ac:dyDescent="0.25">
      <c r="A1881" s="2">
        <f t="shared" si="29"/>
        <v>1879</v>
      </c>
      <c r="B1881" s="7" t="s">
        <v>1363</v>
      </c>
      <c r="C1881" s="7" t="s">
        <v>1364</v>
      </c>
      <c r="D1881" s="7" t="s">
        <v>1363</v>
      </c>
      <c r="E1881" s="7" t="s">
        <v>182</v>
      </c>
      <c r="F1881" s="7" t="s">
        <v>1365</v>
      </c>
      <c r="G1881" s="17" t="s">
        <v>7747</v>
      </c>
      <c r="H1881" s="7" t="s">
        <v>28</v>
      </c>
      <c r="I1881" s="7" t="s">
        <v>1366</v>
      </c>
      <c r="J1881" s="7" t="s">
        <v>185</v>
      </c>
      <c r="K1881" s="7" t="s">
        <v>1367</v>
      </c>
      <c r="L1881" s="7" t="s">
        <v>136</v>
      </c>
      <c r="M1881" s="7">
        <v>3.8626499999999999</v>
      </c>
      <c r="N1881" s="7">
        <v>11.538270000000001</v>
      </c>
      <c r="O1881" s="7" t="s">
        <v>613</v>
      </c>
    </row>
    <row r="1882" spans="1:15" hidden="1" x14ac:dyDescent="0.25">
      <c r="A1882" s="2">
        <f t="shared" si="29"/>
        <v>1880</v>
      </c>
      <c r="B1882" s="7" t="s">
        <v>1371</v>
      </c>
      <c r="C1882" s="7" t="s">
        <v>1372</v>
      </c>
      <c r="D1882" s="7" t="s">
        <v>1371</v>
      </c>
      <c r="E1882" s="7" t="s">
        <v>182</v>
      </c>
      <c r="F1882" s="7" t="s">
        <v>1373</v>
      </c>
      <c r="G1882" s="17" t="s">
        <v>7747</v>
      </c>
      <c r="H1882" s="7" t="s">
        <v>28</v>
      </c>
      <c r="I1882" s="7" t="s">
        <v>1374</v>
      </c>
      <c r="J1882" s="7" t="s">
        <v>185</v>
      </c>
      <c r="K1882" s="7" t="s">
        <v>1375</v>
      </c>
      <c r="L1882" s="7" t="s">
        <v>136</v>
      </c>
      <c r="M1882" s="7">
        <v>3.8854899999999999</v>
      </c>
      <c r="N1882" s="7">
        <v>11.508570000000001</v>
      </c>
      <c r="O1882" s="7" t="s">
        <v>613</v>
      </c>
    </row>
    <row r="1883" spans="1:15" hidden="1" x14ac:dyDescent="0.25">
      <c r="A1883" s="2">
        <f t="shared" si="29"/>
        <v>1881</v>
      </c>
      <c r="B1883" s="7" t="s">
        <v>1382</v>
      </c>
      <c r="C1883" s="7" t="s">
        <v>1383</v>
      </c>
      <c r="D1883" s="7" t="s">
        <v>1382</v>
      </c>
      <c r="E1883" s="7" t="s">
        <v>182</v>
      </c>
      <c r="F1883" s="7" t="s">
        <v>1384</v>
      </c>
      <c r="G1883" s="17" t="s">
        <v>7747</v>
      </c>
      <c r="H1883" s="7" t="s">
        <v>28</v>
      </c>
      <c r="I1883" s="7" t="s">
        <v>1385</v>
      </c>
      <c r="J1883" s="7" t="s">
        <v>185</v>
      </c>
      <c r="K1883" s="7" t="s">
        <v>1367</v>
      </c>
      <c r="L1883" s="7" t="s">
        <v>136</v>
      </c>
      <c r="M1883" s="7">
        <v>3.8052600000000001</v>
      </c>
      <c r="N1883" s="7">
        <v>11.53144</v>
      </c>
      <c r="O1883" s="7" t="s">
        <v>613</v>
      </c>
    </row>
    <row r="1884" spans="1:15" hidden="1" x14ac:dyDescent="0.25">
      <c r="A1884" s="2">
        <f t="shared" si="29"/>
        <v>1882</v>
      </c>
      <c r="B1884" s="7" t="s">
        <v>1390</v>
      </c>
      <c r="C1884" s="7" t="s">
        <v>1391</v>
      </c>
      <c r="D1884" s="7" t="s">
        <v>1390</v>
      </c>
      <c r="E1884" s="7" t="s">
        <v>182</v>
      </c>
      <c r="F1884" s="7" t="s">
        <v>1392</v>
      </c>
      <c r="G1884" s="17" t="s">
        <v>7747</v>
      </c>
      <c r="H1884" s="7" t="s">
        <v>28</v>
      </c>
      <c r="I1884" s="7" t="s">
        <v>297</v>
      </c>
      <c r="J1884" s="7" t="s">
        <v>185</v>
      </c>
      <c r="K1884" s="7" t="s">
        <v>1393</v>
      </c>
      <c r="L1884" s="7" t="s">
        <v>136</v>
      </c>
      <c r="M1884" s="7">
        <v>3.8787250000000002</v>
      </c>
      <c r="N1884" s="7">
        <v>11.473767</v>
      </c>
      <c r="O1884" s="7" t="s">
        <v>23</v>
      </c>
    </row>
    <row r="1885" spans="1:15" hidden="1" x14ac:dyDescent="0.25">
      <c r="A1885" s="2">
        <f t="shared" si="29"/>
        <v>1883</v>
      </c>
      <c r="B1885" s="7" t="s">
        <v>1425</v>
      </c>
      <c r="C1885" s="7" t="s">
        <v>1426</v>
      </c>
      <c r="D1885" s="7" t="s">
        <v>1425</v>
      </c>
      <c r="E1885" s="7" t="s">
        <v>182</v>
      </c>
      <c r="F1885" s="7" t="s">
        <v>1427</v>
      </c>
      <c r="G1885" s="17" t="s">
        <v>7747</v>
      </c>
      <c r="H1885" s="7" t="s">
        <v>28</v>
      </c>
      <c r="I1885" s="7" t="s">
        <v>297</v>
      </c>
      <c r="J1885" s="7" t="s">
        <v>185</v>
      </c>
      <c r="K1885" s="7" t="s">
        <v>1393</v>
      </c>
      <c r="L1885" s="7" t="s">
        <v>136</v>
      </c>
      <c r="M1885" s="7">
        <v>3.873453</v>
      </c>
      <c r="N1885" s="7">
        <v>11.422013</v>
      </c>
      <c r="O1885" s="7" t="s">
        <v>23</v>
      </c>
    </row>
    <row r="1886" spans="1:15" hidden="1" x14ac:dyDescent="0.25">
      <c r="A1886" s="2">
        <f t="shared" si="29"/>
        <v>1884</v>
      </c>
      <c r="B1886" s="7" t="s">
        <v>1432</v>
      </c>
      <c r="C1886" s="7" t="s">
        <v>1433</v>
      </c>
      <c r="D1886" s="7" t="s">
        <v>1432</v>
      </c>
      <c r="E1886" s="7" t="s">
        <v>182</v>
      </c>
      <c r="F1886" s="7" t="s">
        <v>1434</v>
      </c>
      <c r="G1886" s="17" t="s">
        <v>7747</v>
      </c>
      <c r="H1886" s="7" t="s">
        <v>28</v>
      </c>
      <c r="I1886" s="7" t="s">
        <v>184</v>
      </c>
      <c r="J1886" s="7" t="s">
        <v>185</v>
      </c>
      <c r="K1886" s="7" t="s">
        <v>1435</v>
      </c>
      <c r="L1886" s="7" t="s">
        <v>136</v>
      </c>
      <c r="M1886" s="7">
        <v>3.9104549999999998</v>
      </c>
      <c r="N1886" s="7">
        <v>11.551023000000001</v>
      </c>
      <c r="O1886" s="7" t="s">
        <v>23</v>
      </c>
    </row>
    <row r="1887" spans="1:15" hidden="1" x14ac:dyDescent="0.25">
      <c r="A1887" s="2">
        <f t="shared" si="29"/>
        <v>1885</v>
      </c>
      <c r="B1887" s="7" t="s">
        <v>1439</v>
      </c>
      <c r="C1887" s="7" t="s">
        <v>1440</v>
      </c>
      <c r="D1887" s="7" t="s">
        <v>1439</v>
      </c>
      <c r="E1887" s="7" t="s">
        <v>182</v>
      </c>
      <c r="F1887" s="7" t="s">
        <v>1441</v>
      </c>
      <c r="G1887" s="17" t="s">
        <v>7747</v>
      </c>
      <c r="H1887" s="7" t="s">
        <v>28</v>
      </c>
      <c r="I1887" s="7" t="s">
        <v>297</v>
      </c>
      <c r="J1887" s="7" t="s">
        <v>185</v>
      </c>
      <c r="K1887" s="7" t="s">
        <v>1393</v>
      </c>
      <c r="L1887" s="7" t="s">
        <v>136</v>
      </c>
      <c r="M1887" s="7">
        <v>3.8778769999999998</v>
      </c>
      <c r="N1887" s="7">
        <v>11.477883</v>
      </c>
      <c r="O1887" s="7" t="s">
        <v>613</v>
      </c>
    </row>
    <row r="1888" spans="1:15" hidden="1" x14ac:dyDescent="0.25">
      <c r="A1888" s="2">
        <f t="shared" si="29"/>
        <v>1886</v>
      </c>
      <c r="B1888" s="7" t="s">
        <v>1445</v>
      </c>
      <c r="C1888" s="7" t="s">
        <v>1446</v>
      </c>
      <c r="D1888" s="7" t="s">
        <v>1445</v>
      </c>
      <c r="E1888" s="7" t="s">
        <v>182</v>
      </c>
      <c r="F1888" s="7" t="s">
        <v>1447</v>
      </c>
      <c r="G1888" s="17" t="s">
        <v>7747</v>
      </c>
      <c r="H1888" s="7" t="s">
        <v>28</v>
      </c>
      <c r="I1888" s="7" t="s">
        <v>1374</v>
      </c>
      <c r="J1888" s="7" t="s">
        <v>185</v>
      </c>
      <c r="K1888" s="7" t="s">
        <v>1375</v>
      </c>
      <c r="L1888" s="7" t="s">
        <v>136</v>
      </c>
      <c r="M1888" s="7">
        <v>3.8801389999999998</v>
      </c>
      <c r="N1888" s="7">
        <v>11.507111</v>
      </c>
      <c r="O1888" s="7" t="s">
        <v>613</v>
      </c>
    </row>
    <row r="1889" spans="1:15" hidden="1" x14ac:dyDescent="0.25">
      <c r="A1889" s="2">
        <f t="shared" si="29"/>
        <v>1887</v>
      </c>
      <c r="B1889" s="7" t="s">
        <v>1448</v>
      </c>
      <c r="C1889" s="7" t="s">
        <v>1449</v>
      </c>
      <c r="D1889" s="7" t="s">
        <v>1448</v>
      </c>
      <c r="E1889" s="7" t="s">
        <v>182</v>
      </c>
      <c r="F1889" s="7" t="s">
        <v>1450</v>
      </c>
      <c r="G1889" s="17" t="s">
        <v>7747</v>
      </c>
      <c r="H1889" s="7" t="s">
        <v>28</v>
      </c>
      <c r="I1889" s="7" t="s">
        <v>374</v>
      </c>
      <c r="J1889" s="7" t="s">
        <v>287</v>
      </c>
      <c r="K1889" s="7" t="s">
        <v>337</v>
      </c>
      <c r="L1889" s="7" t="s">
        <v>136</v>
      </c>
      <c r="M1889" s="7">
        <v>4.1366160000000001</v>
      </c>
      <c r="N1889" s="7">
        <v>11.258163</v>
      </c>
      <c r="O1889" s="7" t="s">
        <v>23</v>
      </c>
    </row>
    <row r="1890" spans="1:15" hidden="1" x14ac:dyDescent="0.25">
      <c r="A1890" s="2">
        <f t="shared" si="29"/>
        <v>1888</v>
      </c>
      <c r="B1890" s="7" t="s">
        <v>1455</v>
      </c>
      <c r="C1890" s="7" t="s">
        <v>1456</v>
      </c>
      <c r="D1890" s="7" t="s">
        <v>1455</v>
      </c>
      <c r="E1890" s="7" t="s">
        <v>182</v>
      </c>
      <c r="F1890" s="7" t="s">
        <v>1457</v>
      </c>
      <c r="G1890" s="17" t="s">
        <v>7747</v>
      </c>
      <c r="H1890" s="7" t="s">
        <v>28</v>
      </c>
      <c r="I1890" s="7" t="s">
        <v>1374</v>
      </c>
      <c r="J1890" s="7" t="s">
        <v>185</v>
      </c>
      <c r="K1890" s="7" t="s">
        <v>1375</v>
      </c>
      <c r="L1890" s="7" t="s">
        <v>136</v>
      </c>
      <c r="M1890" s="7">
        <v>3.8994499999999999</v>
      </c>
      <c r="N1890" s="7">
        <v>11.512890000000001</v>
      </c>
      <c r="O1890" s="7" t="s">
        <v>613</v>
      </c>
    </row>
    <row r="1891" spans="1:15" hidden="1" x14ac:dyDescent="0.25">
      <c r="A1891" s="2">
        <f t="shared" si="29"/>
        <v>1889</v>
      </c>
      <c r="B1891" s="7" t="s">
        <v>1458</v>
      </c>
      <c r="C1891" s="7" t="s">
        <v>1459</v>
      </c>
      <c r="D1891" s="7" t="s">
        <v>1458</v>
      </c>
      <c r="E1891" s="7" t="s">
        <v>182</v>
      </c>
      <c r="F1891" s="7" t="s">
        <v>1460</v>
      </c>
      <c r="G1891" s="17" t="s">
        <v>7747</v>
      </c>
      <c r="H1891" s="7" t="s">
        <v>28</v>
      </c>
      <c r="I1891" s="7" t="s">
        <v>1461</v>
      </c>
      <c r="J1891" s="7" t="s">
        <v>185</v>
      </c>
      <c r="K1891" s="7" t="s">
        <v>1462</v>
      </c>
      <c r="L1891" s="7" t="s">
        <v>136</v>
      </c>
      <c r="M1891" s="7">
        <v>3.8171279999999999</v>
      </c>
      <c r="N1891" s="7">
        <v>11.504141000000001</v>
      </c>
      <c r="O1891" s="7" t="s">
        <v>613</v>
      </c>
    </row>
    <row r="1892" spans="1:15" hidden="1" x14ac:dyDescent="0.25">
      <c r="A1892" s="2">
        <f t="shared" si="29"/>
        <v>1890</v>
      </c>
      <c r="B1892" s="7" t="s">
        <v>1507</v>
      </c>
      <c r="C1892" s="7" t="s">
        <v>1508</v>
      </c>
      <c r="D1892" s="7" t="s">
        <v>1507</v>
      </c>
      <c r="E1892" s="7" t="s">
        <v>182</v>
      </c>
      <c r="F1892" s="7" t="s">
        <v>1509</v>
      </c>
      <c r="G1892" s="17" t="s">
        <v>7747</v>
      </c>
      <c r="H1892" s="7" t="s">
        <v>28</v>
      </c>
      <c r="I1892" s="7" t="s">
        <v>807</v>
      </c>
      <c r="J1892" s="7" t="s">
        <v>185</v>
      </c>
      <c r="K1892" s="7" t="s">
        <v>808</v>
      </c>
      <c r="L1892" s="7" t="s">
        <v>136</v>
      </c>
      <c r="M1892" s="7">
        <v>3.8959510000000002</v>
      </c>
      <c r="N1892" s="7">
        <v>11.524298</v>
      </c>
      <c r="O1892" s="7" t="s">
        <v>613</v>
      </c>
    </row>
    <row r="1893" spans="1:15" hidden="1" x14ac:dyDescent="0.25">
      <c r="A1893" s="2">
        <f t="shared" si="29"/>
        <v>1891</v>
      </c>
      <c r="B1893" s="7" t="s">
        <v>1528</v>
      </c>
      <c r="C1893" s="7" t="s">
        <v>1529</v>
      </c>
      <c r="D1893" s="7" t="s">
        <v>1528</v>
      </c>
      <c r="E1893" s="7" t="s">
        <v>182</v>
      </c>
      <c r="F1893" s="7" t="s">
        <v>1530</v>
      </c>
      <c r="G1893" s="17" t="s">
        <v>7747</v>
      </c>
      <c r="H1893" s="7" t="s">
        <v>28</v>
      </c>
      <c r="I1893" s="7" t="s">
        <v>1284</v>
      </c>
      <c r="J1893" s="7" t="s">
        <v>185</v>
      </c>
      <c r="K1893" s="7" t="s">
        <v>1322</v>
      </c>
      <c r="L1893" s="7" t="s">
        <v>136</v>
      </c>
      <c r="M1893" s="7">
        <v>3.5102099999999998</v>
      </c>
      <c r="N1893" s="7">
        <v>11.28919</v>
      </c>
      <c r="O1893" s="7" t="s">
        <v>23</v>
      </c>
    </row>
    <row r="1894" spans="1:15" hidden="1" x14ac:dyDescent="0.25">
      <c r="A1894" s="2">
        <f t="shared" si="29"/>
        <v>1892</v>
      </c>
      <c r="B1894" s="7" t="s">
        <v>1537</v>
      </c>
      <c r="C1894" s="7" t="s">
        <v>1538</v>
      </c>
      <c r="D1894" s="7" t="s">
        <v>1537</v>
      </c>
      <c r="E1894" s="7" t="s">
        <v>182</v>
      </c>
      <c r="F1894" s="7" t="s">
        <v>1539</v>
      </c>
      <c r="G1894" s="17" t="s">
        <v>7747</v>
      </c>
      <c r="H1894" s="7" t="s">
        <v>19</v>
      </c>
      <c r="I1894" s="7" t="s">
        <v>817</v>
      </c>
      <c r="J1894" s="7" t="s">
        <v>818</v>
      </c>
      <c r="K1894" s="7" t="s">
        <v>1540</v>
      </c>
      <c r="L1894" s="7" t="s">
        <v>136</v>
      </c>
      <c r="M1894" s="7">
        <v>3.9058839999999999</v>
      </c>
      <c r="N1894" s="7">
        <v>12.525591</v>
      </c>
      <c r="O1894" s="7" t="s">
        <v>23</v>
      </c>
    </row>
    <row r="1895" spans="1:15" hidden="1" x14ac:dyDescent="0.25">
      <c r="A1895" s="2">
        <f t="shared" si="29"/>
        <v>1893</v>
      </c>
      <c r="B1895" s="7" t="s">
        <v>1550</v>
      </c>
      <c r="C1895" s="7" t="s">
        <v>1551</v>
      </c>
      <c r="D1895" s="7" t="s">
        <v>1550</v>
      </c>
      <c r="E1895" s="7" t="s">
        <v>182</v>
      </c>
      <c r="F1895" s="7" t="s">
        <v>1552</v>
      </c>
      <c r="G1895" s="17" t="s">
        <v>7747</v>
      </c>
      <c r="H1895" s="7" t="s">
        <v>19</v>
      </c>
      <c r="I1895" s="7" t="s">
        <v>1553</v>
      </c>
      <c r="J1895" s="7" t="s">
        <v>185</v>
      </c>
      <c r="K1895" s="7" t="s">
        <v>1367</v>
      </c>
      <c r="L1895" s="7" t="s">
        <v>136</v>
      </c>
      <c r="M1895" s="7">
        <v>3.8458610000000002</v>
      </c>
      <c r="N1895" s="7">
        <v>11.554138999999999</v>
      </c>
      <c r="O1895" s="7" t="s">
        <v>613</v>
      </c>
    </row>
    <row r="1896" spans="1:15" hidden="1" x14ac:dyDescent="0.25">
      <c r="A1896" s="2">
        <f t="shared" si="29"/>
        <v>1894</v>
      </c>
      <c r="B1896" s="7" t="s">
        <v>1563</v>
      </c>
      <c r="C1896" s="7" t="s">
        <v>1564</v>
      </c>
      <c r="D1896" s="7" t="s">
        <v>1563</v>
      </c>
      <c r="E1896" s="7" t="s">
        <v>182</v>
      </c>
      <c r="F1896" s="7" t="s">
        <v>1565</v>
      </c>
      <c r="G1896" s="17" t="s">
        <v>7747</v>
      </c>
      <c r="H1896" s="7" t="s">
        <v>28</v>
      </c>
      <c r="I1896" s="7" t="s">
        <v>1374</v>
      </c>
      <c r="J1896" s="7" t="s">
        <v>185</v>
      </c>
      <c r="K1896" s="7" t="s">
        <v>1375</v>
      </c>
      <c r="L1896" s="7" t="s">
        <v>136</v>
      </c>
      <c r="M1896" s="7">
        <v>3.88009</v>
      </c>
      <c r="N1896" s="7">
        <v>11.492229999999999</v>
      </c>
      <c r="O1896" s="7" t="s">
        <v>613</v>
      </c>
    </row>
    <row r="1897" spans="1:15" hidden="1" x14ac:dyDescent="0.25">
      <c r="A1897" s="2">
        <f t="shared" si="29"/>
        <v>1895</v>
      </c>
      <c r="B1897" s="7" t="s">
        <v>1566</v>
      </c>
      <c r="C1897" s="7" t="s">
        <v>1567</v>
      </c>
      <c r="D1897" s="7" t="s">
        <v>1566</v>
      </c>
      <c r="E1897" s="7" t="s">
        <v>182</v>
      </c>
      <c r="F1897" s="7" t="s">
        <v>1568</v>
      </c>
      <c r="G1897" s="17" t="s">
        <v>7747</v>
      </c>
      <c r="H1897" s="7" t="s">
        <v>19</v>
      </c>
      <c r="I1897" s="7" t="s">
        <v>1366</v>
      </c>
      <c r="J1897" s="7" t="s">
        <v>185</v>
      </c>
      <c r="K1897" s="7" t="s">
        <v>1435</v>
      </c>
      <c r="L1897" s="7" t="s">
        <v>136</v>
      </c>
      <c r="M1897" s="7">
        <v>3.8904109999999998</v>
      </c>
      <c r="N1897" s="7">
        <v>11.558076</v>
      </c>
      <c r="O1897" s="7" t="s">
        <v>23</v>
      </c>
    </row>
    <row r="1898" spans="1:15" hidden="1" x14ac:dyDescent="0.25">
      <c r="A1898" s="2">
        <f t="shared" si="29"/>
        <v>1896</v>
      </c>
      <c r="B1898" s="7" t="s">
        <v>1569</v>
      </c>
      <c r="C1898" s="7" t="s">
        <v>1570</v>
      </c>
      <c r="D1898" s="7" t="s">
        <v>1569</v>
      </c>
      <c r="E1898" s="7" t="s">
        <v>182</v>
      </c>
      <c r="F1898" s="7" t="s">
        <v>1571</v>
      </c>
      <c r="G1898" s="17" t="s">
        <v>7747</v>
      </c>
      <c r="H1898" s="7" t="s">
        <v>19</v>
      </c>
      <c r="I1898" s="7" t="s">
        <v>1385</v>
      </c>
      <c r="J1898" s="7" t="s">
        <v>185</v>
      </c>
      <c r="K1898" s="7" t="s">
        <v>1367</v>
      </c>
      <c r="L1898" s="7" t="s">
        <v>136</v>
      </c>
      <c r="M1898" s="7">
        <v>3.8244500000000001</v>
      </c>
      <c r="N1898" s="7">
        <v>11.52697</v>
      </c>
      <c r="O1898" s="7" t="s">
        <v>23</v>
      </c>
    </row>
    <row r="1899" spans="1:15" hidden="1" x14ac:dyDescent="0.25">
      <c r="A1899" s="2">
        <f t="shared" si="29"/>
        <v>1897</v>
      </c>
      <c r="B1899" s="7" t="s">
        <v>1582</v>
      </c>
      <c r="C1899" s="7" t="s">
        <v>1583</v>
      </c>
      <c r="D1899" s="7" t="s">
        <v>1582</v>
      </c>
      <c r="E1899" s="7" t="s">
        <v>182</v>
      </c>
      <c r="F1899" s="7" t="s">
        <v>1584</v>
      </c>
      <c r="G1899" s="17" t="s">
        <v>7747</v>
      </c>
      <c r="H1899" s="7" t="s">
        <v>19</v>
      </c>
      <c r="I1899" s="7" t="s">
        <v>297</v>
      </c>
      <c r="J1899" s="7" t="s">
        <v>185</v>
      </c>
      <c r="K1899" s="7" t="s">
        <v>1393</v>
      </c>
      <c r="L1899" s="7" t="s">
        <v>136</v>
      </c>
      <c r="M1899" s="7">
        <v>3.8413300000000001</v>
      </c>
      <c r="N1899" s="7">
        <v>11.324009999999999</v>
      </c>
      <c r="O1899" s="7" t="s">
        <v>23</v>
      </c>
    </row>
    <row r="1900" spans="1:15" hidden="1" x14ac:dyDescent="0.25">
      <c r="A1900" s="2">
        <f t="shared" si="29"/>
        <v>1898</v>
      </c>
      <c r="B1900" s="7" t="s">
        <v>1594</v>
      </c>
      <c r="C1900" s="7" t="s">
        <v>1595</v>
      </c>
      <c r="D1900" s="7" t="s">
        <v>1594</v>
      </c>
      <c r="E1900" s="7" t="s">
        <v>182</v>
      </c>
      <c r="F1900" s="7" t="s">
        <v>1596</v>
      </c>
      <c r="G1900" s="17" t="s">
        <v>7747</v>
      </c>
      <c r="H1900" s="7" t="s">
        <v>28</v>
      </c>
      <c r="I1900" s="7" t="s">
        <v>297</v>
      </c>
      <c r="J1900" s="7" t="s">
        <v>298</v>
      </c>
      <c r="K1900" s="7" t="s">
        <v>299</v>
      </c>
      <c r="L1900" s="7" t="s">
        <v>136</v>
      </c>
      <c r="M1900" s="7">
        <v>4.2709799999999998</v>
      </c>
      <c r="N1900" s="7">
        <v>10.94613</v>
      </c>
      <c r="O1900" s="7" t="s">
        <v>23</v>
      </c>
    </row>
    <row r="1901" spans="1:15" hidden="1" x14ac:dyDescent="0.25">
      <c r="A1901" s="2">
        <f t="shared" si="29"/>
        <v>1899</v>
      </c>
      <c r="B1901" s="7" t="s">
        <v>1597</v>
      </c>
      <c r="C1901" s="7" t="s">
        <v>1598</v>
      </c>
      <c r="D1901" s="7" t="s">
        <v>1597</v>
      </c>
      <c r="E1901" s="7" t="s">
        <v>250</v>
      </c>
      <c r="F1901" s="7" t="s">
        <v>1599</v>
      </c>
      <c r="G1901" s="17" t="s">
        <v>7747</v>
      </c>
      <c r="H1901" s="7" t="s">
        <v>28</v>
      </c>
      <c r="I1901" s="7" t="s">
        <v>341</v>
      </c>
      <c r="J1901" s="7" t="s">
        <v>323</v>
      </c>
      <c r="K1901" s="7" t="s">
        <v>341</v>
      </c>
      <c r="L1901" s="7" t="s">
        <v>136</v>
      </c>
      <c r="M1901" s="7">
        <v>3.5186199999999999</v>
      </c>
      <c r="N1901" s="7">
        <v>11.511139999999999</v>
      </c>
      <c r="O1901" s="7" t="s">
        <v>23</v>
      </c>
    </row>
    <row r="1902" spans="1:15" hidden="1" x14ac:dyDescent="0.25">
      <c r="A1902" s="2">
        <f t="shared" si="29"/>
        <v>1900</v>
      </c>
      <c r="B1902" s="7" t="s">
        <v>1603</v>
      </c>
      <c r="C1902" s="7" t="s">
        <v>1604</v>
      </c>
      <c r="D1902" s="7" t="s">
        <v>1603</v>
      </c>
      <c r="E1902" s="7" t="s">
        <v>250</v>
      </c>
      <c r="F1902" s="7" t="s">
        <v>1605</v>
      </c>
      <c r="G1902" s="17" t="s">
        <v>7747</v>
      </c>
      <c r="H1902" s="7" t="s">
        <v>19</v>
      </c>
      <c r="I1902" s="7" t="s">
        <v>341</v>
      </c>
      <c r="J1902" s="7" t="s">
        <v>253</v>
      </c>
      <c r="K1902" s="7" t="s">
        <v>1606</v>
      </c>
      <c r="L1902" s="7" t="s">
        <v>136</v>
      </c>
      <c r="M1902" s="7">
        <v>3.4432209999999999</v>
      </c>
      <c r="N1902" s="7">
        <v>11.758785</v>
      </c>
      <c r="O1902" s="7" t="s">
        <v>23</v>
      </c>
    </row>
    <row r="1903" spans="1:15" hidden="1" x14ac:dyDescent="0.25">
      <c r="A1903" s="2">
        <f t="shared" si="29"/>
        <v>1901</v>
      </c>
      <c r="B1903" s="7" t="s">
        <v>1610</v>
      </c>
      <c r="C1903" s="7" t="s">
        <v>1611</v>
      </c>
      <c r="D1903" s="7" t="s">
        <v>1610</v>
      </c>
      <c r="E1903" s="7" t="s">
        <v>182</v>
      </c>
      <c r="F1903" s="7" t="s">
        <v>1612</v>
      </c>
      <c r="G1903" s="17" t="s">
        <v>7747</v>
      </c>
      <c r="H1903" s="7" t="s">
        <v>19</v>
      </c>
      <c r="I1903" s="7" t="s">
        <v>1366</v>
      </c>
      <c r="J1903" s="7" t="s">
        <v>185</v>
      </c>
      <c r="K1903" s="7" t="s">
        <v>1435</v>
      </c>
      <c r="L1903" s="7" t="s">
        <v>136</v>
      </c>
      <c r="M1903" s="7">
        <v>3.8675570000000001</v>
      </c>
      <c r="N1903" s="7">
        <v>11.525077</v>
      </c>
      <c r="O1903" s="7" t="s">
        <v>613</v>
      </c>
    </row>
    <row r="1904" spans="1:15" hidden="1" x14ac:dyDescent="0.25">
      <c r="A1904" s="2">
        <f t="shared" si="29"/>
        <v>1902</v>
      </c>
      <c r="B1904" s="7" t="s">
        <v>1613</v>
      </c>
      <c r="C1904" s="7" t="s">
        <v>1614</v>
      </c>
      <c r="D1904" s="7" t="s">
        <v>1613</v>
      </c>
      <c r="E1904" s="7" t="s">
        <v>182</v>
      </c>
      <c r="F1904" s="7" t="s">
        <v>1615</v>
      </c>
      <c r="G1904" s="17" t="s">
        <v>7747</v>
      </c>
      <c r="H1904" s="7" t="s">
        <v>19</v>
      </c>
      <c r="I1904" s="7" t="s">
        <v>374</v>
      </c>
      <c r="J1904" s="7" t="s">
        <v>287</v>
      </c>
      <c r="K1904" s="7" t="s">
        <v>337</v>
      </c>
      <c r="L1904" s="7" t="s">
        <v>136</v>
      </c>
      <c r="M1904" s="7">
        <v>4.2596280000000002</v>
      </c>
      <c r="N1904" s="7">
        <v>11.205626000000001</v>
      </c>
      <c r="O1904" s="7" t="s">
        <v>23</v>
      </c>
    </row>
    <row r="1905" spans="1:15" hidden="1" x14ac:dyDescent="0.25">
      <c r="A1905" s="2">
        <f t="shared" si="29"/>
        <v>1903</v>
      </c>
      <c r="B1905" s="7" t="s">
        <v>1619</v>
      </c>
      <c r="C1905" s="7" t="s">
        <v>1620</v>
      </c>
      <c r="D1905" s="7" t="s">
        <v>1619</v>
      </c>
      <c r="E1905" s="7" t="s">
        <v>182</v>
      </c>
      <c r="F1905" s="7" t="s">
        <v>1621</v>
      </c>
      <c r="G1905" s="17" t="s">
        <v>7747</v>
      </c>
      <c r="H1905" s="7" t="s">
        <v>28</v>
      </c>
      <c r="I1905" s="7" t="s">
        <v>1366</v>
      </c>
      <c r="J1905" s="7" t="s">
        <v>185</v>
      </c>
      <c r="K1905" s="7" t="s">
        <v>1435</v>
      </c>
      <c r="L1905" s="7" t="s">
        <v>136</v>
      </c>
      <c r="M1905" s="7">
        <v>3.8684500000000002</v>
      </c>
      <c r="N1905" s="7">
        <v>11.544280000000001</v>
      </c>
      <c r="O1905" s="7" t="s">
        <v>613</v>
      </c>
    </row>
    <row r="1906" spans="1:15" hidden="1" x14ac:dyDescent="0.25">
      <c r="A1906" s="2">
        <f t="shared" si="29"/>
        <v>1904</v>
      </c>
      <c r="B1906" s="7" t="s">
        <v>1631</v>
      </c>
      <c r="C1906" s="7" t="s">
        <v>1632</v>
      </c>
      <c r="D1906" s="7" t="s">
        <v>1631</v>
      </c>
      <c r="E1906" s="7" t="s">
        <v>182</v>
      </c>
      <c r="F1906" s="7" t="s">
        <v>1633</v>
      </c>
      <c r="G1906" s="17" t="s">
        <v>7747</v>
      </c>
      <c r="H1906" s="7" t="s">
        <v>19</v>
      </c>
      <c r="I1906" s="7" t="s">
        <v>1284</v>
      </c>
      <c r="J1906" s="7" t="s">
        <v>185</v>
      </c>
      <c r="K1906" s="7" t="s">
        <v>1322</v>
      </c>
      <c r="L1906" s="7" t="s">
        <v>136</v>
      </c>
      <c r="M1906" s="7">
        <v>3.8312780000000002</v>
      </c>
      <c r="N1906" s="7">
        <v>11.470943999999999</v>
      </c>
      <c r="O1906" s="7" t="s">
        <v>613</v>
      </c>
    </row>
    <row r="1907" spans="1:15" hidden="1" x14ac:dyDescent="0.25">
      <c r="A1907" s="2">
        <f t="shared" si="29"/>
        <v>1905</v>
      </c>
      <c r="B1907" s="7" t="s">
        <v>1634</v>
      </c>
      <c r="C1907" s="7" t="s">
        <v>1635</v>
      </c>
      <c r="D1907" s="7" t="s">
        <v>1634</v>
      </c>
      <c r="E1907" s="7" t="s">
        <v>182</v>
      </c>
      <c r="F1907" s="7" t="s">
        <v>1636</v>
      </c>
      <c r="G1907" s="17" t="s">
        <v>7747</v>
      </c>
      <c r="H1907" s="7" t="s">
        <v>28</v>
      </c>
      <c r="I1907" s="7" t="s">
        <v>1637</v>
      </c>
      <c r="J1907" s="7" t="s">
        <v>185</v>
      </c>
      <c r="K1907" s="7" t="s">
        <v>1462</v>
      </c>
      <c r="L1907" s="7" t="s">
        <v>136</v>
      </c>
      <c r="M1907" s="7">
        <v>3.8487499999999999</v>
      </c>
      <c r="N1907" s="7">
        <v>11.494</v>
      </c>
      <c r="O1907" s="7" t="s">
        <v>23</v>
      </c>
    </row>
    <row r="1908" spans="1:15" hidden="1" x14ac:dyDescent="0.25">
      <c r="A1908" s="2">
        <f t="shared" si="29"/>
        <v>1906</v>
      </c>
      <c r="B1908" s="7" t="s">
        <v>1641</v>
      </c>
      <c r="C1908" s="7" t="s">
        <v>1642</v>
      </c>
      <c r="D1908" s="7" t="s">
        <v>1641</v>
      </c>
      <c r="E1908" s="7" t="s">
        <v>182</v>
      </c>
      <c r="F1908" s="7" t="s">
        <v>1643</v>
      </c>
      <c r="G1908" s="17" t="s">
        <v>7747</v>
      </c>
      <c r="H1908" s="7" t="s">
        <v>28</v>
      </c>
      <c r="I1908" s="7" t="s">
        <v>1385</v>
      </c>
      <c r="J1908" s="7" t="s">
        <v>185</v>
      </c>
      <c r="K1908" s="7" t="s">
        <v>1367</v>
      </c>
      <c r="L1908" s="7" t="s">
        <v>136</v>
      </c>
      <c r="M1908" s="7">
        <v>3.8351600000000001</v>
      </c>
      <c r="N1908" s="7">
        <v>11.5467</v>
      </c>
      <c r="O1908" s="7" t="s">
        <v>23</v>
      </c>
    </row>
    <row r="1909" spans="1:15" hidden="1" x14ac:dyDescent="0.25">
      <c r="A1909" s="2">
        <f t="shared" si="29"/>
        <v>1907</v>
      </c>
      <c r="B1909" s="7" t="s">
        <v>1644</v>
      </c>
      <c r="C1909" s="7" t="s">
        <v>1645</v>
      </c>
      <c r="D1909" s="7" t="s">
        <v>1644</v>
      </c>
      <c r="E1909" s="7" t="s">
        <v>182</v>
      </c>
      <c r="F1909" s="7" t="s">
        <v>1646</v>
      </c>
      <c r="G1909" s="17" t="s">
        <v>7747</v>
      </c>
      <c r="H1909" s="7" t="s">
        <v>28</v>
      </c>
      <c r="I1909" s="7" t="s">
        <v>1284</v>
      </c>
      <c r="J1909" s="7" t="s">
        <v>185</v>
      </c>
      <c r="K1909" s="7" t="s">
        <v>1322</v>
      </c>
      <c r="L1909" s="7" t="s">
        <v>136</v>
      </c>
      <c r="M1909" s="7">
        <v>3.8474179999999998</v>
      </c>
      <c r="N1909" s="7">
        <v>11.476227</v>
      </c>
      <c r="O1909" s="7" t="s">
        <v>23</v>
      </c>
    </row>
    <row r="1910" spans="1:15" hidden="1" x14ac:dyDescent="0.25">
      <c r="A1910" s="2">
        <f t="shared" si="29"/>
        <v>1908</v>
      </c>
      <c r="B1910" s="7" t="s">
        <v>1650</v>
      </c>
      <c r="C1910" s="7" t="s">
        <v>1651</v>
      </c>
      <c r="D1910" s="7" t="s">
        <v>1650</v>
      </c>
      <c r="E1910" s="7" t="s">
        <v>182</v>
      </c>
      <c r="F1910" s="7" t="s">
        <v>1652</v>
      </c>
      <c r="G1910" s="17" t="s">
        <v>7747</v>
      </c>
      <c r="H1910" s="7" t="s">
        <v>28</v>
      </c>
      <c r="I1910" s="7" t="s">
        <v>1284</v>
      </c>
      <c r="J1910" s="7" t="s">
        <v>185</v>
      </c>
      <c r="K1910" s="7" t="s">
        <v>1462</v>
      </c>
      <c r="L1910" s="7" t="s">
        <v>136</v>
      </c>
      <c r="M1910" s="7">
        <v>3.7856999999999998</v>
      </c>
      <c r="N1910" s="7">
        <v>11.490928</v>
      </c>
      <c r="O1910" s="7" t="s">
        <v>23</v>
      </c>
    </row>
    <row r="1911" spans="1:15" hidden="1" x14ac:dyDescent="0.25">
      <c r="A1911" s="2">
        <f t="shared" si="29"/>
        <v>1909</v>
      </c>
      <c r="B1911" s="7" t="s">
        <v>1671</v>
      </c>
      <c r="C1911" s="7" t="s">
        <v>1672</v>
      </c>
      <c r="D1911" s="7" t="s">
        <v>1671</v>
      </c>
      <c r="E1911" s="7" t="s">
        <v>182</v>
      </c>
      <c r="F1911" s="7" t="s">
        <v>1673</v>
      </c>
      <c r="G1911" s="17" t="s">
        <v>7747</v>
      </c>
      <c r="H1911" s="7" t="s">
        <v>28</v>
      </c>
      <c r="I1911" s="7" t="s">
        <v>1385</v>
      </c>
      <c r="J1911" s="7" t="s">
        <v>185</v>
      </c>
      <c r="K1911" s="7" t="s">
        <v>1367</v>
      </c>
      <c r="L1911" s="7" t="s">
        <v>136</v>
      </c>
      <c r="M1911" s="7">
        <v>3.7919299999999998</v>
      </c>
      <c r="N1911" s="7">
        <v>11.53373</v>
      </c>
      <c r="O1911" s="7" t="s">
        <v>23</v>
      </c>
    </row>
    <row r="1912" spans="1:15" hidden="1" x14ac:dyDescent="0.25">
      <c r="A1912" s="2">
        <f t="shared" si="29"/>
        <v>1910</v>
      </c>
      <c r="B1912" s="7" t="s">
        <v>1674</v>
      </c>
      <c r="C1912" s="7" t="s">
        <v>1675</v>
      </c>
      <c r="D1912" s="7" t="s">
        <v>1674</v>
      </c>
      <c r="E1912" s="7" t="s">
        <v>182</v>
      </c>
      <c r="F1912" s="7" t="s">
        <v>1676</v>
      </c>
      <c r="G1912" s="17" t="s">
        <v>7747</v>
      </c>
      <c r="H1912" s="7" t="s">
        <v>19</v>
      </c>
      <c r="I1912" s="7" t="s">
        <v>1337</v>
      </c>
      <c r="J1912" s="7" t="s">
        <v>185</v>
      </c>
      <c r="K1912" s="7" t="s">
        <v>808</v>
      </c>
      <c r="L1912" s="7" t="s">
        <v>136</v>
      </c>
      <c r="M1912" s="7">
        <v>3.8751820000000001</v>
      </c>
      <c r="N1912" s="7">
        <v>11.521623</v>
      </c>
      <c r="O1912" s="7" t="s">
        <v>613</v>
      </c>
    </row>
    <row r="1913" spans="1:15" hidden="1" x14ac:dyDescent="0.25">
      <c r="A1913" s="2">
        <f t="shared" si="29"/>
        <v>1911</v>
      </c>
      <c r="B1913" s="7" t="s">
        <v>1677</v>
      </c>
      <c r="C1913" s="7" t="s">
        <v>1678</v>
      </c>
      <c r="D1913" s="7" t="s">
        <v>1677</v>
      </c>
      <c r="E1913" s="7" t="s">
        <v>182</v>
      </c>
      <c r="F1913" s="7" t="s">
        <v>1679</v>
      </c>
      <c r="G1913" s="17" t="s">
        <v>7747</v>
      </c>
      <c r="H1913" s="7" t="s">
        <v>19</v>
      </c>
      <c r="I1913" s="7" t="s">
        <v>1637</v>
      </c>
      <c r="J1913" s="7" t="s">
        <v>185</v>
      </c>
      <c r="K1913" s="7" t="s">
        <v>1375</v>
      </c>
      <c r="L1913" s="7" t="s">
        <v>136</v>
      </c>
      <c r="M1913" s="7">
        <v>3.8710049999999998</v>
      </c>
      <c r="N1913" s="7">
        <v>11.509722999999999</v>
      </c>
      <c r="O1913" s="7" t="s">
        <v>613</v>
      </c>
    </row>
    <row r="1914" spans="1:15" hidden="1" x14ac:dyDescent="0.25">
      <c r="A1914" s="2">
        <f t="shared" si="29"/>
        <v>1912</v>
      </c>
      <c r="B1914" s="7" t="s">
        <v>1686</v>
      </c>
      <c r="C1914" s="7" t="s">
        <v>1687</v>
      </c>
      <c r="D1914" s="7" t="s">
        <v>1686</v>
      </c>
      <c r="E1914" s="7" t="s">
        <v>182</v>
      </c>
      <c r="F1914" s="7" t="s">
        <v>1688</v>
      </c>
      <c r="G1914" s="17" t="s">
        <v>7747</v>
      </c>
      <c r="H1914" s="7" t="s">
        <v>19</v>
      </c>
      <c r="I1914" s="7" t="s">
        <v>807</v>
      </c>
      <c r="J1914" s="7" t="s">
        <v>185</v>
      </c>
      <c r="K1914" s="7" t="s">
        <v>1435</v>
      </c>
      <c r="L1914" s="7" t="s">
        <v>136</v>
      </c>
      <c r="M1914" s="7">
        <v>3.884754</v>
      </c>
      <c r="N1914" s="7">
        <v>11.535188</v>
      </c>
      <c r="O1914" s="7" t="s">
        <v>613</v>
      </c>
    </row>
    <row r="1915" spans="1:15" hidden="1" x14ac:dyDescent="0.25">
      <c r="A1915" s="2">
        <f t="shared" si="29"/>
        <v>1913</v>
      </c>
      <c r="B1915" s="7" t="s">
        <v>1698</v>
      </c>
      <c r="C1915" s="7" t="s">
        <v>1699</v>
      </c>
      <c r="D1915" s="7" t="s">
        <v>1698</v>
      </c>
      <c r="E1915" s="7" t="s">
        <v>182</v>
      </c>
      <c r="F1915" s="7" t="s">
        <v>1700</v>
      </c>
      <c r="G1915" s="17" t="s">
        <v>7747</v>
      </c>
      <c r="H1915" s="7" t="s">
        <v>28</v>
      </c>
      <c r="I1915" s="7" t="s">
        <v>807</v>
      </c>
      <c r="J1915" s="7" t="s">
        <v>185</v>
      </c>
      <c r="K1915" s="7" t="s">
        <v>808</v>
      </c>
      <c r="L1915" s="7" t="s">
        <v>136</v>
      </c>
      <c r="M1915" s="7">
        <v>3.8931740000000001</v>
      </c>
      <c r="N1915" s="7">
        <v>11.522524000000001</v>
      </c>
      <c r="O1915" s="7" t="s">
        <v>613</v>
      </c>
    </row>
    <row r="1916" spans="1:15" hidden="1" x14ac:dyDescent="0.25">
      <c r="A1916" s="2">
        <f t="shared" si="29"/>
        <v>1914</v>
      </c>
      <c r="B1916" s="7" t="s">
        <v>1701</v>
      </c>
      <c r="C1916" s="7" t="s">
        <v>1702</v>
      </c>
      <c r="D1916" s="7" t="s">
        <v>1701</v>
      </c>
      <c r="E1916" s="7" t="s">
        <v>182</v>
      </c>
      <c r="F1916" s="7" t="s">
        <v>1703</v>
      </c>
      <c r="G1916" s="17" t="s">
        <v>7747</v>
      </c>
      <c r="H1916" s="7" t="s">
        <v>19</v>
      </c>
      <c r="I1916" s="7" t="s">
        <v>1374</v>
      </c>
      <c r="J1916" s="7" t="s">
        <v>185</v>
      </c>
      <c r="K1916" s="7" t="s">
        <v>808</v>
      </c>
      <c r="L1916" s="7" t="s">
        <v>136</v>
      </c>
      <c r="M1916" s="7">
        <v>3.88496</v>
      </c>
      <c r="N1916" s="7">
        <v>11.519970000000001</v>
      </c>
      <c r="O1916" s="7" t="s">
        <v>613</v>
      </c>
    </row>
    <row r="1917" spans="1:15" hidden="1" x14ac:dyDescent="0.25">
      <c r="A1917" s="2">
        <f t="shared" si="29"/>
        <v>1915</v>
      </c>
      <c r="B1917" s="7" t="s">
        <v>1711</v>
      </c>
      <c r="C1917" s="7" t="s">
        <v>1712</v>
      </c>
      <c r="D1917" s="7" t="s">
        <v>1711</v>
      </c>
      <c r="E1917" s="7" t="s">
        <v>182</v>
      </c>
      <c r="F1917" s="7" t="s">
        <v>1713</v>
      </c>
      <c r="G1917" s="17" t="s">
        <v>7747</v>
      </c>
      <c r="H1917" s="7" t="s">
        <v>98</v>
      </c>
      <c r="I1917" s="7" t="s">
        <v>1337</v>
      </c>
      <c r="J1917" s="7" t="s">
        <v>185</v>
      </c>
      <c r="K1917" s="7" t="s">
        <v>1375</v>
      </c>
      <c r="L1917" s="7" t="s">
        <v>136</v>
      </c>
      <c r="M1917" s="7">
        <v>3.8687</v>
      </c>
      <c r="N1917" s="7">
        <v>11.51754</v>
      </c>
      <c r="O1917" s="7" t="s">
        <v>98</v>
      </c>
    </row>
    <row r="1918" spans="1:15" hidden="1" x14ac:dyDescent="0.25">
      <c r="A1918" s="2">
        <f t="shared" si="29"/>
        <v>1916</v>
      </c>
      <c r="B1918" s="7" t="s">
        <v>1743</v>
      </c>
      <c r="C1918" s="7" t="s">
        <v>1744</v>
      </c>
      <c r="D1918" s="7" t="s">
        <v>1743</v>
      </c>
      <c r="E1918" s="7" t="s">
        <v>182</v>
      </c>
      <c r="F1918" s="7" t="s">
        <v>1745</v>
      </c>
      <c r="G1918" s="17" t="s">
        <v>7747</v>
      </c>
      <c r="H1918" s="7" t="s">
        <v>19</v>
      </c>
      <c r="I1918" s="7" t="s">
        <v>286</v>
      </c>
      <c r="J1918" s="7" t="s">
        <v>298</v>
      </c>
      <c r="K1918" s="7" t="s">
        <v>1746</v>
      </c>
      <c r="L1918" s="7" t="s">
        <v>136</v>
      </c>
      <c r="M1918" s="7">
        <v>4.5130129999999999</v>
      </c>
      <c r="N1918" s="7">
        <v>12.127772999999999</v>
      </c>
      <c r="O1918" s="7" t="s">
        <v>23</v>
      </c>
    </row>
    <row r="1919" spans="1:15" hidden="1" x14ac:dyDescent="0.25">
      <c r="A1919" s="2">
        <f t="shared" si="29"/>
        <v>1917</v>
      </c>
      <c r="B1919" s="7" t="s">
        <v>1749</v>
      </c>
      <c r="C1919" s="7" t="s">
        <v>1750</v>
      </c>
      <c r="D1919" s="7" t="s">
        <v>1749</v>
      </c>
      <c r="E1919" s="7" t="s">
        <v>182</v>
      </c>
      <c r="F1919" s="7" t="s">
        <v>1751</v>
      </c>
      <c r="G1919" s="17" t="s">
        <v>7747</v>
      </c>
      <c r="H1919" s="7" t="s">
        <v>28</v>
      </c>
      <c r="I1919" s="7" t="s">
        <v>1385</v>
      </c>
      <c r="J1919" s="7" t="s">
        <v>1752</v>
      </c>
      <c r="K1919" s="7" t="s">
        <v>1243</v>
      </c>
      <c r="L1919" s="7" t="s">
        <v>136</v>
      </c>
      <c r="M1919" s="7">
        <v>3.6193629999999999</v>
      </c>
      <c r="N1919" s="7">
        <v>11.542147</v>
      </c>
      <c r="O1919" s="7" t="s">
        <v>23</v>
      </c>
    </row>
    <row r="1920" spans="1:15" hidden="1" x14ac:dyDescent="0.25">
      <c r="A1920" s="2">
        <f t="shared" si="29"/>
        <v>1918</v>
      </c>
      <c r="B1920" s="7" t="s">
        <v>1756</v>
      </c>
      <c r="C1920" s="7" t="s">
        <v>1757</v>
      </c>
      <c r="D1920" s="7" t="s">
        <v>1756</v>
      </c>
      <c r="E1920" s="7" t="s">
        <v>182</v>
      </c>
      <c r="F1920" s="7" t="s">
        <v>1758</v>
      </c>
      <c r="G1920" s="17" t="s">
        <v>7747</v>
      </c>
      <c r="H1920" s="7" t="s">
        <v>28</v>
      </c>
      <c r="I1920" s="7" t="s">
        <v>1374</v>
      </c>
      <c r="J1920" s="7" t="s">
        <v>185</v>
      </c>
      <c r="K1920" s="7" t="s">
        <v>1375</v>
      </c>
      <c r="L1920" s="7" t="s">
        <v>136</v>
      </c>
      <c r="M1920" s="7">
        <v>3.913621</v>
      </c>
      <c r="N1920" s="7">
        <v>11.475726999999999</v>
      </c>
      <c r="O1920" s="7" t="s">
        <v>23</v>
      </c>
    </row>
    <row r="1921" spans="1:15" hidden="1" x14ac:dyDescent="0.25">
      <c r="A1921" s="2">
        <f t="shared" si="29"/>
        <v>1919</v>
      </c>
      <c r="B1921" s="7" t="s">
        <v>1763</v>
      </c>
      <c r="C1921" s="7" t="s">
        <v>1764</v>
      </c>
      <c r="D1921" s="7" t="s">
        <v>1763</v>
      </c>
      <c r="E1921" s="7" t="s">
        <v>182</v>
      </c>
      <c r="F1921" s="7" t="s">
        <v>1765</v>
      </c>
      <c r="G1921" s="17" t="s">
        <v>7747</v>
      </c>
      <c r="H1921" s="7" t="s">
        <v>28</v>
      </c>
      <c r="I1921" s="7" t="s">
        <v>1766</v>
      </c>
      <c r="J1921" s="7" t="s">
        <v>185</v>
      </c>
      <c r="K1921" s="7" t="s">
        <v>808</v>
      </c>
      <c r="L1921" s="7" t="s">
        <v>136</v>
      </c>
      <c r="M1921" s="7">
        <v>3.9247779999999999</v>
      </c>
      <c r="N1921" s="7">
        <v>11.501721999999999</v>
      </c>
      <c r="O1921" s="7" t="s">
        <v>23</v>
      </c>
    </row>
    <row r="1922" spans="1:15" hidden="1" x14ac:dyDescent="0.25">
      <c r="A1922" s="2">
        <f t="shared" si="29"/>
        <v>1920</v>
      </c>
      <c r="B1922" s="7" t="s">
        <v>1780</v>
      </c>
      <c r="C1922" s="7" t="s">
        <v>1781</v>
      </c>
      <c r="D1922" s="7" t="s">
        <v>1780</v>
      </c>
      <c r="E1922" s="7" t="s">
        <v>182</v>
      </c>
      <c r="F1922" s="7" t="s">
        <v>1782</v>
      </c>
      <c r="G1922" s="17" t="s">
        <v>7747</v>
      </c>
      <c r="H1922" s="7" t="s">
        <v>28</v>
      </c>
      <c r="I1922" s="7" t="s">
        <v>374</v>
      </c>
      <c r="J1922" s="7" t="s">
        <v>287</v>
      </c>
      <c r="K1922" s="7" t="s">
        <v>1783</v>
      </c>
      <c r="L1922" s="7" t="s">
        <v>136</v>
      </c>
      <c r="M1922" s="7">
        <v>4.3648300000000004</v>
      </c>
      <c r="N1922" s="7">
        <v>11.432088</v>
      </c>
      <c r="O1922" s="7" t="s">
        <v>23</v>
      </c>
    </row>
    <row r="1923" spans="1:15" hidden="1" x14ac:dyDescent="0.25">
      <c r="A1923" s="2">
        <f t="shared" si="29"/>
        <v>1921</v>
      </c>
      <c r="B1923" s="7" t="s">
        <v>1796</v>
      </c>
      <c r="C1923" s="7" t="s">
        <v>1797</v>
      </c>
      <c r="D1923" s="7" t="s">
        <v>1796</v>
      </c>
      <c r="E1923" s="7" t="s">
        <v>182</v>
      </c>
      <c r="F1923" s="7" t="s">
        <v>1798</v>
      </c>
      <c r="G1923" s="17" t="s">
        <v>7747</v>
      </c>
      <c r="H1923" s="7" t="s">
        <v>28</v>
      </c>
      <c r="I1923" s="7" t="s">
        <v>374</v>
      </c>
      <c r="J1923" s="7" t="s">
        <v>134</v>
      </c>
      <c r="K1923" s="7" t="s">
        <v>375</v>
      </c>
      <c r="L1923" s="7" t="s">
        <v>136</v>
      </c>
      <c r="M1923" s="7">
        <v>4.5962449999999997</v>
      </c>
      <c r="N1923" s="7">
        <v>11.647252</v>
      </c>
      <c r="O1923" s="7" t="s">
        <v>23</v>
      </c>
    </row>
    <row r="1924" spans="1:15" hidden="1" x14ac:dyDescent="0.25">
      <c r="A1924" s="2">
        <f t="shared" si="29"/>
        <v>1922</v>
      </c>
      <c r="B1924" s="7" t="s">
        <v>1799</v>
      </c>
      <c r="C1924" s="7" t="s">
        <v>1800</v>
      </c>
      <c r="D1924" s="7" t="s">
        <v>1799</v>
      </c>
      <c r="E1924" s="7" t="s">
        <v>182</v>
      </c>
      <c r="F1924" s="7" t="s">
        <v>1801</v>
      </c>
      <c r="G1924" s="17" t="s">
        <v>7747</v>
      </c>
      <c r="H1924" s="7" t="s">
        <v>28</v>
      </c>
      <c r="I1924" s="7" t="s">
        <v>275</v>
      </c>
      <c r="J1924" s="7" t="s">
        <v>276</v>
      </c>
      <c r="K1924" s="7" t="s">
        <v>557</v>
      </c>
      <c r="L1924" s="7" t="s">
        <v>136</v>
      </c>
      <c r="M1924" s="7">
        <v>3.7996940000000001</v>
      </c>
      <c r="N1924" s="7">
        <v>11.343028</v>
      </c>
      <c r="O1924" s="7" t="s">
        <v>23</v>
      </c>
    </row>
    <row r="1925" spans="1:15" hidden="1" x14ac:dyDescent="0.25">
      <c r="A1925" s="2">
        <f t="shared" ref="A1925:A1988" si="30">+A1924+1</f>
        <v>1923</v>
      </c>
      <c r="B1925" s="7" t="s">
        <v>1803</v>
      </c>
      <c r="C1925" s="7" t="s">
        <v>1804</v>
      </c>
      <c r="D1925" s="7" t="s">
        <v>1803</v>
      </c>
      <c r="E1925" s="7" t="s">
        <v>182</v>
      </c>
      <c r="F1925" s="7" t="s">
        <v>1805</v>
      </c>
      <c r="G1925" s="17" t="s">
        <v>7747</v>
      </c>
      <c r="H1925" s="7" t="s">
        <v>28</v>
      </c>
      <c r="I1925" s="7" t="s">
        <v>1806</v>
      </c>
      <c r="J1925" s="7" t="s">
        <v>185</v>
      </c>
      <c r="K1925" s="7" t="s">
        <v>1462</v>
      </c>
      <c r="L1925" s="7" t="s">
        <v>136</v>
      </c>
      <c r="M1925" s="7">
        <v>3.8405830000000001</v>
      </c>
      <c r="N1925" s="7">
        <v>11.497528000000001</v>
      </c>
      <c r="O1925" s="7" t="s">
        <v>613</v>
      </c>
    </row>
    <row r="1926" spans="1:15" hidden="1" x14ac:dyDescent="0.25">
      <c r="A1926" s="2">
        <f t="shared" si="30"/>
        <v>1924</v>
      </c>
      <c r="B1926" s="7" t="s">
        <v>1807</v>
      </c>
      <c r="C1926" s="7" t="s">
        <v>1808</v>
      </c>
      <c r="D1926" s="7" t="s">
        <v>1807</v>
      </c>
      <c r="E1926" s="7" t="s">
        <v>250</v>
      </c>
      <c r="F1926" s="7" t="s">
        <v>1809</v>
      </c>
      <c r="G1926" s="17" t="s">
        <v>7747</v>
      </c>
      <c r="H1926" s="7" t="s">
        <v>28</v>
      </c>
      <c r="I1926" s="7" t="s">
        <v>341</v>
      </c>
      <c r="J1926" s="7" t="s">
        <v>323</v>
      </c>
      <c r="K1926" s="7" t="s">
        <v>341</v>
      </c>
      <c r="L1926" s="7" t="s">
        <v>136</v>
      </c>
      <c r="M1926" s="7">
        <v>3.5057</v>
      </c>
      <c r="N1926" s="7">
        <v>11.484299999999999</v>
      </c>
      <c r="O1926" s="7" t="s">
        <v>23</v>
      </c>
    </row>
    <row r="1927" spans="1:15" hidden="1" x14ac:dyDescent="0.25">
      <c r="A1927" s="2">
        <f t="shared" si="30"/>
        <v>1925</v>
      </c>
      <c r="B1927" s="7" t="s">
        <v>1810</v>
      </c>
      <c r="C1927" s="7" t="s">
        <v>1811</v>
      </c>
      <c r="D1927" s="7" t="s">
        <v>1810</v>
      </c>
      <c r="E1927" s="7" t="s">
        <v>182</v>
      </c>
      <c r="F1927" s="7" t="s">
        <v>1812</v>
      </c>
      <c r="G1927" s="17" t="s">
        <v>7747</v>
      </c>
      <c r="H1927" s="7" t="s">
        <v>28</v>
      </c>
      <c r="I1927" s="7" t="s">
        <v>286</v>
      </c>
      <c r="J1927" s="7" t="s">
        <v>298</v>
      </c>
      <c r="K1927" s="7" t="s">
        <v>1746</v>
      </c>
      <c r="L1927" s="7" t="s">
        <v>136</v>
      </c>
      <c r="M1927" s="7">
        <v>4.4658620000000004</v>
      </c>
      <c r="N1927" s="7">
        <v>12.094537000000001</v>
      </c>
      <c r="O1927" s="7" t="s">
        <v>23</v>
      </c>
    </row>
    <row r="1928" spans="1:15" hidden="1" x14ac:dyDescent="0.25">
      <c r="A1928" s="2">
        <f t="shared" si="30"/>
        <v>1926</v>
      </c>
      <c r="B1928" s="7" t="s">
        <v>1813</v>
      </c>
      <c r="C1928" s="7" t="s">
        <v>1814</v>
      </c>
      <c r="D1928" s="7" t="s">
        <v>1813</v>
      </c>
      <c r="E1928" s="7" t="s">
        <v>182</v>
      </c>
      <c r="F1928" s="7" t="s">
        <v>1815</v>
      </c>
      <c r="G1928" s="17" t="s">
        <v>7747</v>
      </c>
      <c r="H1928" s="7" t="s">
        <v>28</v>
      </c>
      <c r="I1928" s="7" t="s">
        <v>286</v>
      </c>
      <c r="J1928" s="7" t="s">
        <v>287</v>
      </c>
      <c r="K1928" s="7" t="s">
        <v>288</v>
      </c>
      <c r="L1928" s="7" t="s">
        <v>136</v>
      </c>
      <c r="M1928" s="7">
        <v>4.169333</v>
      </c>
      <c r="N1928" s="7">
        <v>11.433417</v>
      </c>
      <c r="O1928" s="7" t="s">
        <v>23</v>
      </c>
    </row>
    <row r="1929" spans="1:15" hidden="1" x14ac:dyDescent="0.25">
      <c r="A1929" s="2">
        <f t="shared" si="30"/>
        <v>1927</v>
      </c>
      <c r="B1929" s="7" t="s">
        <v>1825</v>
      </c>
      <c r="C1929" s="7" t="s">
        <v>1826</v>
      </c>
      <c r="D1929" s="7" t="s">
        <v>1825</v>
      </c>
      <c r="E1929" s="7" t="s">
        <v>182</v>
      </c>
      <c r="F1929" s="7" t="s">
        <v>1827</v>
      </c>
      <c r="G1929" s="17" t="s">
        <v>7747</v>
      </c>
      <c r="H1929" s="7" t="s">
        <v>28</v>
      </c>
      <c r="I1929" s="7" t="s">
        <v>817</v>
      </c>
      <c r="J1929" s="7" t="s">
        <v>818</v>
      </c>
      <c r="K1929" s="7" t="s">
        <v>1540</v>
      </c>
      <c r="L1929" s="7" t="s">
        <v>136</v>
      </c>
      <c r="M1929" s="7">
        <v>3.905653</v>
      </c>
      <c r="N1929" s="7">
        <v>12.435843</v>
      </c>
      <c r="O1929" s="7" t="s">
        <v>23</v>
      </c>
    </row>
    <row r="1930" spans="1:15" hidden="1" x14ac:dyDescent="0.25">
      <c r="A1930" s="2">
        <f t="shared" si="30"/>
        <v>1928</v>
      </c>
      <c r="B1930" s="7" t="s">
        <v>1828</v>
      </c>
      <c r="C1930" s="7" t="s">
        <v>1829</v>
      </c>
      <c r="D1930" s="7" t="s">
        <v>1828</v>
      </c>
      <c r="E1930" s="7" t="s">
        <v>182</v>
      </c>
      <c r="F1930" s="7" t="s">
        <v>1830</v>
      </c>
      <c r="G1930" s="17" t="s">
        <v>7747</v>
      </c>
      <c r="H1930" s="7" t="s">
        <v>28</v>
      </c>
      <c r="I1930" s="7" t="s">
        <v>184</v>
      </c>
      <c r="J1930" s="7" t="s">
        <v>185</v>
      </c>
      <c r="K1930" s="7" t="s">
        <v>1435</v>
      </c>
      <c r="L1930" s="7" t="s">
        <v>136</v>
      </c>
      <c r="M1930" s="7">
        <v>3.8978830000000002</v>
      </c>
      <c r="N1930" s="7">
        <v>11.550171000000001</v>
      </c>
      <c r="O1930" s="7" t="s">
        <v>613</v>
      </c>
    </row>
    <row r="1931" spans="1:15" hidden="1" x14ac:dyDescent="0.25">
      <c r="A1931" s="2">
        <f t="shared" si="30"/>
        <v>1929</v>
      </c>
      <c r="B1931" s="7" t="s">
        <v>1831</v>
      </c>
      <c r="C1931" s="7" t="s">
        <v>1832</v>
      </c>
      <c r="D1931" s="7" t="s">
        <v>1831</v>
      </c>
      <c r="E1931" s="7" t="s">
        <v>182</v>
      </c>
      <c r="F1931" s="7" t="s">
        <v>1833</v>
      </c>
      <c r="G1931" s="17" t="s">
        <v>7747</v>
      </c>
      <c r="H1931" s="7" t="s">
        <v>28</v>
      </c>
      <c r="I1931" s="7" t="s">
        <v>286</v>
      </c>
      <c r="J1931" s="7" t="s">
        <v>287</v>
      </c>
      <c r="K1931" s="7" t="s">
        <v>288</v>
      </c>
      <c r="L1931" s="7" t="s">
        <v>136</v>
      </c>
      <c r="M1931" s="7">
        <v>4.2327399999999997</v>
      </c>
      <c r="N1931" s="7">
        <v>11.495621999999999</v>
      </c>
      <c r="O1931" s="7" t="s">
        <v>23</v>
      </c>
    </row>
    <row r="1932" spans="1:15" hidden="1" x14ac:dyDescent="0.25">
      <c r="A1932" s="2">
        <f t="shared" si="30"/>
        <v>1930</v>
      </c>
      <c r="B1932" s="7" t="s">
        <v>1859</v>
      </c>
      <c r="C1932" s="7" t="s">
        <v>1860</v>
      </c>
      <c r="D1932" s="7" t="s">
        <v>1859</v>
      </c>
      <c r="E1932" s="7" t="s">
        <v>74</v>
      </c>
      <c r="F1932" s="7" t="s">
        <v>1861</v>
      </c>
      <c r="G1932" s="17" t="s">
        <v>7747</v>
      </c>
      <c r="H1932" s="7" t="s">
        <v>28</v>
      </c>
      <c r="I1932" s="7" t="s">
        <v>481</v>
      </c>
      <c r="J1932" s="7" t="s">
        <v>298</v>
      </c>
      <c r="K1932" s="7" t="s">
        <v>1862</v>
      </c>
      <c r="L1932" s="7" t="s">
        <v>136</v>
      </c>
      <c r="M1932" s="7">
        <v>4.6666169999999996</v>
      </c>
      <c r="N1932" s="7">
        <v>12.357196999999999</v>
      </c>
      <c r="O1932" s="7" t="s">
        <v>23</v>
      </c>
    </row>
    <row r="1933" spans="1:15" hidden="1" x14ac:dyDescent="0.25">
      <c r="A1933" s="2">
        <f t="shared" si="30"/>
        <v>1931</v>
      </c>
      <c r="B1933" s="7" t="s">
        <v>1863</v>
      </c>
      <c r="C1933" s="7" t="s">
        <v>1864</v>
      </c>
      <c r="D1933" s="7" t="s">
        <v>1863</v>
      </c>
      <c r="E1933" s="7" t="s">
        <v>250</v>
      </c>
      <c r="F1933" s="7" t="s">
        <v>1865</v>
      </c>
      <c r="G1933" s="17" t="s">
        <v>7747</v>
      </c>
      <c r="H1933" s="7" t="s">
        <v>28</v>
      </c>
      <c r="I1933" s="7" t="s">
        <v>311</v>
      </c>
      <c r="J1933" s="7" t="s">
        <v>312</v>
      </c>
      <c r="K1933" s="7" t="s">
        <v>1866</v>
      </c>
      <c r="L1933" s="7" t="s">
        <v>136</v>
      </c>
      <c r="M1933" s="7">
        <v>2.8484720000000001</v>
      </c>
      <c r="N1933" s="7">
        <v>11.594360999999999</v>
      </c>
      <c r="O1933" s="7" t="s">
        <v>23</v>
      </c>
    </row>
    <row r="1934" spans="1:15" hidden="1" x14ac:dyDescent="0.25">
      <c r="A1934" s="2">
        <f t="shared" si="30"/>
        <v>1932</v>
      </c>
      <c r="B1934" s="7" t="s">
        <v>1874</v>
      </c>
      <c r="C1934" s="7" t="s">
        <v>1875</v>
      </c>
      <c r="D1934" s="7" t="s">
        <v>1874</v>
      </c>
      <c r="E1934" s="7" t="s">
        <v>250</v>
      </c>
      <c r="F1934" s="7" t="s">
        <v>1876</v>
      </c>
      <c r="G1934" s="17" t="s">
        <v>7747</v>
      </c>
      <c r="H1934" s="7" t="s">
        <v>19</v>
      </c>
      <c r="I1934" s="7" t="s">
        <v>311</v>
      </c>
      <c r="J1934" s="7" t="s">
        <v>312</v>
      </c>
      <c r="K1934" s="7" t="s">
        <v>1876</v>
      </c>
      <c r="L1934" s="7" t="s">
        <v>136</v>
      </c>
      <c r="M1934" s="7">
        <v>2.9294829999999998</v>
      </c>
      <c r="N1934" s="7">
        <v>11.412417</v>
      </c>
      <c r="O1934" s="7" t="s">
        <v>23</v>
      </c>
    </row>
    <row r="1935" spans="1:15" hidden="1" x14ac:dyDescent="0.25">
      <c r="A1935" s="2">
        <f t="shared" si="30"/>
        <v>1933</v>
      </c>
      <c r="B1935" s="7" t="s">
        <v>1941</v>
      </c>
      <c r="C1935" s="7" t="s">
        <v>1942</v>
      </c>
      <c r="D1935" s="7" t="s">
        <v>1941</v>
      </c>
      <c r="E1935" s="7" t="s">
        <v>182</v>
      </c>
      <c r="F1935" s="7" t="s">
        <v>1943</v>
      </c>
      <c r="G1935" s="17" t="s">
        <v>7747</v>
      </c>
      <c r="H1935" s="7" t="s">
        <v>28</v>
      </c>
      <c r="I1935" s="7" t="s">
        <v>286</v>
      </c>
      <c r="J1935" s="7" t="s">
        <v>287</v>
      </c>
      <c r="K1935" s="7" t="s">
        <v>288</v>
      </c>
      <c r="L1935" s="7" t="s">
        <v>136</v>
      </c>
      <c r="M1935" s="7">
        <v>4.078023</v>
      </c>
      <c r="N1935" s="7">
        <v>11.550689999999999</v>
      </c>
      <c r="O1935" s="7" t="s">
        <v>23</v>
      </c>
    </row>
    <row r="1936" spans="1:15" hidden="1" x14ac:dyDescent="0.25">
      <c r="A1936" s="2">
        <f t="shared" si="30"/>
        <v>1934</v>
      </c>
      <c r="B1936" s="7" t="s">
        <v>1944</v>
      </c>
      <c r="C1936" s="7" t="s">
        <v>1945</v>
      </c>
      <c r="D1936" s="7" t="s">
        <v>1944</v>
      </c>
      <c r="E1936" s="7" t="s">
        <v>182</v>
      </c>
      <c r="F1936" s="7" t="s">
        <v>1946</v>
      </c>
      <c r="G1936" s="17" t="s">
        <v>7747</v>
      </c>
      <c r="H1936" s="7" t="s">
        <v>19</v>
      </c>
      <c r="I1936" s="7" t="s">
        <v>275</v>
      </c>
      <c r="J1936" s="7" t="s">
        <v>276</v>
      </c>
      <c r="K1936" s="7" t="s">
        <v>557</v>
      </c>
      <c r="L1936" s="7" t="s">
        <v>136</v>
      </c>
      <c r="M1936" s="7">
        <v>3.7769170000000001</v>
      </c>
      <c r="N1936" s="7">
        <v>11.271722</v>
      </c>
      <c r="O1936" s="7" t="s">
        <v>23</v>
      </c>
    </row>
    <row r="1937" spans="1:15" hidden="1" x14ac:dyDescent="0.25">
      <c r="A1937" s="2">
        <f t="shared" si="30"/>
        <v>1935</v>
      </c>
      <c r="B1937" s="7" t="s">
        <v>1962</v>
      </c>
      <c r="C1937" s="7" t="s">
        <v>1963</v>
      </c>
      <c r="D1937" s="7" t="s">
        <v>1962</v>
      </c>
      <c r="E1937" s="7" t="s">
        <v>182</v>
      </c>
      <c r="F1937" s="7" t="s">
        <v>1964</v>
      </c>
      <c r="G1937" s="17" t="s">
        <v>7747</v>
      </c>
      <c r="H1937" s="7" t="s">
        <v>28</v>
      </c>
      <c r="I1937" s="7" t="s">
        <v>600</v>
      </c>
      <c r="J1937" s="7" t="s">
        <v>208</v>
      </c>
      <c r="K1937" s="7" t="s">
        <v>1965</v>
      </c>
      <c r="L1937" s="7" t="s">
        <v>136</v>
      </c>
      <c r="M1937" s="7">
        <v>4.0946109999999996</v>
      </c>
      <c r="N1937" s="7">
        <v>10.965417</v>
      </c>
      <c r="O1937" s="7" t="s">
        <v>23</v>
      </c>
    </row>
    <row r="1938" spans="1:15" hidden="1" x14ac:dyDescent="0.25">
      <c r="A1938" s="2">
        <f t="shared" si="30"/>
        <v>1936</v>
      </c>
      <c r="B1938" s="7" t="s">
        <v>1989</v>
      </c>
      <c r="C1938" s="7" t="s">
        <v>1990</v>
      </c>
      <c r="D1938" s="7" t="s">
        <v>1989</v>
      </c>
      <c r="E1938" s="7" t="s">
        <v>182</v>
      </c>
      <c r="F1938" s="7" t="s">
        <v>1991</v>
      </c>
      <c r="G1938" s="17" t="s">
        <v>7747</v>
      </c>
      <c r="H1938" s="7" t="s">
        <v>28</v>
      </c>
      <c r="I1938" s="7" t="s">
        <v>1553</v>
      </c>
      <c r="J1938" s="7" t="s">
        <v>826</v>
      </c>
      <c r="K1938" s="7" t="s">
        <v>819</v>
      </c>
      <c r="L1938" s="7" t="s">
        <v>136</v>
      </c>
      <c r="M1938" s="7">
        <v>3.8138450000000002</v>
      </c>
      <c r="N1938" s="7">
        <v>11.58159</v>
      </c>
      <c r="O1938" s="7" t="s">
        <v>23</v>
      </c>
    </row>
    <row r="1939" spans="1:15" hidden="1" x14ac:dyDescent="0.25">
      <c r="A1939" s="2">
        <f t="shared" si="30"/>
        <v>1937</v>
      </c>
      <c r="B1939" s="7" t="s">
        <v>1995</v>
      </c>
      <c r="C1939" s="7" t="s">
        <v>1996</v>
      </c>
      <c r="D1939" s="7" t="s">
        <v>1995</v>
      </c>
      <c r="E1939" s="7" t="s">
        <v>250</v>
      </c>
      <c r="F1939" s="7" t="s">
        <v>1997</v>
      </c>
      <c r="G1939" s="17" t="s">
        <v>7747</v>
      </c>
      <c r="H1939" s="7" t="s">
        <v>19</v>
      </c>
      <c r="I1939" s="7" t="s">
        <v>322</v>
      </c>
      <c r="J1939" s="7" t="s">
        <v>253</v>
      </c>
      <c r="K1939" s="7" t="s">
        <v>324</v>
      </c>
      <c r="L1939" s="7" t="s">
        <v>136</v>
      </c>
      <c r="M1939" s="7">
        <v>3.2501890000000002</v>
      </c>
      <c r="N1939" s="7">
        <v>11.888258</v>
      </c>
      <c r="O1939" s="7" t="s">
        <v>23</v>
      </c>
    </row>
    <row r="1940" spans="1:15" hidden="1" x14ac:dyDescent="0.25">
      <c r="A1940" s="2">
        <f t="shared" si="30"/>
        <v>1938</v>
      </c>
      <c r="B1940" s="7" t="s">
        <v>1998</v>
      </c>
      <c r="C1940" s="7" t="s">
        <v>1999</v>
      </c>
      <c r="D1940" s="7" t="s">
        <v>1998</v>
      </c>
      <c r="E1940" s="7" t="s">
        <v>250</v>
      </c>
      <c r="F1940" s="7" t="s">
        <v>2000</v>
      </c>
      <c r="G1940" s="17" t="s">
        <v>7747</v>
      </c>
      <c r="H1940" s="7" t="s">
        <v>19</v>
      </c>
      <c r="I1940" s="7" t="s">
        <v>341</v>
      </c>
      <c r="J1940" s="7" t="s">
        <v>323</v>
      </c>
      <c r="K1940" s="7" t="s">
        <v>341</v>
      </c>
      <c r="L1940" s="7" t="s">
        <v>136</v>
      </c>
      <c r="M1940" s="7">
        <v>3.5625969999999998</v>
      </c>
      <c r="N1940" s="7">
        <v>11.512900999999999</v>
      </c>
      <c r="O1940" s="7" t="s">
        <v>23</v>
      </c>
    </row>
    <row r="1941" spans="1:15" hidden="1" x14ac:dyDescent="0.25">
      <c r="A1941" s="2">
        <f t="shared" si="30"/>
        <v>1939</v>
      </c>
      <c r="B1941" s="7" t="s">
        <v>2001</v>
      </c>
      <c r="C1941" s="7" t="s">
        <v>2002</v>
      </c>
      <c r="D1941" s="7" t="s">
        <v>2001</v>
      </c>
      <c r="E1941" s="7" t="s">
        <v>182</v>
      </c>
      <c r="F1941" s="7" t="s">
        <v>2003</v>
      </c>
      <c r="G1941" s="17" t="s">
        <v>7747</v>
      </c>
      <c r="H1941" s="7" t="s">
        <v>19</v>
      </c>
      <c r="I1941" s="7" t="s">
        <v>297</v>
      </c>
      <c r="J1941" s="7" t="s">
        <v>185</v>
      </c>
      <c r="K1941" s="7" t="s">
        <v>1393</v>
      </c>
      <c r="L1941" s="7" t="s">
        <v>136</v>
      </c>
      <c r="M1941" s="7">
        <v>3.8719899999999998</v>
      </c>
      <c r="N1941" s="7">
        <v>11.453390000000001</v>
      </c>
      <c r="O1941" s="7" t="s">
        <v>613</v>
      </c>
    </row>
    <row r="1942" spans="1:15" hidden="1" x14ac:dyDescent="0.25">
      <c r="A1942" s="2">
        <f t="shared" si="30"/>
        <v>1940</v>
      </c>
      <c r="B1942" s="7" t="s">
        <v>2034</v>
      </c>
      <c r="C1942" s="7" t="s">
        <v>2035</v>
      </c>
      <c r="D1942" s="7" t="s">
        <v>2034</v>
      </c>
      <c r="E1942" s="7" t="s">
        <v>182</v>
      </c>
      <c r="F1942" s="7" t="s">
        <v>2036</v>
      </c>
      <c r="G1942" s="17" t="s">
        <v>7747</v>
      </c>
      <c r="H1942" s="7" t="s">
        <v>28</v>
      </c>
      <c r="I1942" s="7" t="s">
        <v>1284</v>
      </c>
      <c r="J1942" s="7" t="s">
        <v>185</v>
      </c>
      <c r="K1942" s="7" t="s">
        <v>1322</v>
      </c>
      <c r="L1942" s="7" t="s">
        <v>136</v>
      </c>
      <c r="M1942" s="7">
        <v>3.8344</v>
      </c>
      <c r="N1942" s="7">
        <v>11.4846</v>
      </c>
      <c r="O1942" s="7" t="s">
        <v>613</v>
      </c>
    </row>
    <row r="1943" spans="1:15" hidden="1" x14ac:dyDescent="0.25">
      <c r="A1943" s="2">
        <f t="shared" si="30"/>
        <v>1941</v>
      </c>
      <c r="B1943" s="7" t="s">
        <v>2041</v>
      </c>
      <c r="C1943" s="7" t="s">
        <v>2042</v>
      </c>
      <c r="D1943" s="7" t="s">
        <v>2041</v>
      </c>
      <c r="E1943" s="7" t="s">
        <v>182</v>
      </c>
      <c r="F1943" s="7" t="s">
        <v>2043</v>
      </c>
      <c r="G1943" s="17" t="s">
        <v>7747</v>
      </c>
      <c r="H1943" s="7" t="s">
        <v>28</v>
      </c>
      <c r="I1943" s="7" t="s">
        <v>297</v>
      </c>
      <c r="J1943" s="7" t="s">
        <v>185</v>
      </c>
      <c r="K1943" s="7" t="s">
        <v>1393</v>
      </c>
      <c r="L1943" s="7" t="s">
        <v>136</v>
      </c>
      <c r="M1943" s="7">
        <v>3.8826420000000001</v>
      </c>
      <c r="N1943" s="7">
        <v>11.468216</v>
      </c>
      <c r="O1943" s="7" t="s">
        <v>613</v>
      </c>
    </row>
    <row r="1944" spans="1:15" hidden="1" x14ac:dyDescent="0.25">
      <c r="A1944" s="2">
        <f t="shared" si="30"/>
        <v>1942</v>
      </c>
      <c r="B1944" s="7" t="s">
        <v>2044</v>
      </c>
      <c r="C1944" s="7" t="s">
        <v>2045</v>
      </c>
      <c r="D1944" s="7" t="s">
        <v>2044</v>
      </c>
      <c r="E1944" s="7" t="s">
        <v>182</v>
      </c>
      <c r="F1944" s="7" t="s">
        <v>2046</v>
      </c>
      <c r="G1944" s="17" t="s">
        <v>7747</v>
      </c>
      <c r="H1944" s="7" t="s">
        <v>19</v>
      </c>
      <c r="I1944" s="7" t="s">
        <v>297</v>
      </c>
      <c r="J1944" s="7" t="s">
        <v>185</v>
      </c>
      <c r="K1944" s="7" t="s">
        <v>2047</v>
      </c>
      <c r="L1944" s="7" t="s">
        <v>136</v>
      </c>
      <c r="M1944" s="7">
        <v>4.0304469999999997</v>
      </c>
      <c r="N1944" s="7">
        <v>11.38416</v>
      </c>
      <c r="O1944" s="7" t="s">
        <v>23</v>
      </c>
    </row>
    <row r="1945" spans="1:15" hidden="1" x14ac:dyDescent="0.25">
      <c r="A1945" s="2">
        <f t="shared" si="30"/>
        <v>1943</v>
      </c>
      <c r="B1945" s="7" t="s">
        <v>2051</v>
      </c>
      <c r="C1945" s="7" t="s">
        <v>2052</v>
      </c>
      <c r="D1945" s="7" t="s">
        <v>2051</v>
      </c>
      <c r="E1945" s="7" t="s">
        <v>250</v>
      </c>
      <c r="F1945" s="7" t="s">
        <v>2053</v>
      </c>
      <c r="G1945" s="17" t="s">
        <v>7747</v>
      </c>
      <c r="H1945" s="7" t="s">
        <v>19</v>
      </c>
      <c r="I1945" s="7" t="s">
        <v>322</v>
      </c>
      <c r="J1945" s="7" t="s">
        <v>253</v>
      </c>
      <c r="K1945" s="7" t="s">
        <v>324</v>
      </c>
      <c r="L1945" s="7" t="s">
        <v>136</v>
      </c>
      <c r="M1945" s="7">
        <v>3.1137619999999999</v>
      </c>
      <c r="N1945" s="7">
        <v>11.849520999999999</v>
      </c>
      <c r="O1945" s="7" t="s">
        <v>23</v>
      </c>
    </row>
    <row r="1946" spans="1:15" hidden="1" x14ac:dyDescent="0.25">
      <c r="A1946" s="2">
        <f t="shared" si="30"/>
        <v>1944</v>
      </c>
      <c r="B1946" s="7" t="s">
        <v>2054</v>
      </c>
      <c r="C1946" s="7" t="s">
        <v>2055</v>
      </c>
      <c r="D1946" s="7" t="s">
        <v>2054</v>
      </c>
      <c r="E1946" s="7" t="s">
        <v>250</v>
      </c>
      <c r="F1946" s="7" t="s">
        <v>2056</v>
      </c>
      <c r="G1946" s="17" t="s">
        <v>7747</v>
      </c>
      <c r="H1946" s="7" t="s">
        <v>19</v>
      </c>
      <c r="I1946" s="7" t="s">
        <v>341</v>
      </c>
      <c r="J1946" s="7" t="s">
        <v>253</v>
      </c>
      <c r="K1946" s="7" t="s">
        <v>1606</v>
      </c>
      <c r="L1946" s="7" t="s">
        <v>136</v>
      </c>
      <c r="M1946" s="7">
        <v>3.4334530000000001</v>
      </c>
      <c r="N1946" s="7">
        <v>11.772194000000001</v>
      </c>
      <c r="O1946" s="7" t="s">
        <v>23</v>
      </c>
    </row>
    <row r="1947" spans="1:15" hidden="1" x14ac:dyDescent="0.25">
      <c r="A1947" s="2">
        <f t="shared" si="30"/>
        <v>1945</v>
      </c>
      <c r="B1947" s="7" t="s">
        <v>2066</v>
      </c>
      <c r="C1947" s="7" t="s">
        <v>2067</v>
      </c>
      <c r="D1947" s="7" t="s">
        <v>2066</v>
      </c>
      <c r="E1947" s="7" t="s">
        <v>182</v>
      </c>
      <c r="F1947" s="7" t="s">
        <v>2068</v>
      </c>
      <c r="G1947" s="17" t="s">
        <v>7747</v>
      </c>
      <c r="H1947" s="7" t="s">
        <v>19</v>
      </c>
      <c r="I1947" s="7" t="s">
        <v>1553</v>
      </c>
      <c r="J1947" s="7" t="s">
        <v>185</v>
      </c>
      <c r="K1947" s="7" t="s">
        <v>1367</v>
      </c>
      <c r="L1947" s="7" t="s">
        <v>136</v>
      </c>
      <c r="M1947" s="7">
        <v>3.8613599999999999</v>
      </c>
      <c r="N1947" s="7">
        <v>11.522527</v>
      </c>
      <c r="O1947" s="7" t="s">
        <v>613</v>
      </c>
    </row>
    <row r="1948" spans="1:15" hidden="1" x14ac:dyDescent="0.25">
      <c r="A1948" s="2">
        <f t="shared" si="30"/>
        <v>1946</v>
      </c>
      <c r="B1948" s="7" t="s">
        <v>2072</v>
      </c>
      <c r="C1948" s="7" t="s">
        <v>2073</v>
      </c>
      <c r="D1948" s="7" t="s">
        <v>2072</v>
      </c>
      <c r="E1948" s="7" t="s">
        <v>182</v>
      </c>
      <c r="F1948" s="7" t="s">
        <v>2074</v>
      </c>
      <c r="G1948" s="17" t="s">
        <v>7747</v>
      </c>
      <c r="H1948" s="7" t="s">
        <v>28</v>
      </c>
      <c r="I1948" s="7" t="s">
        <v>1284</v>
      </c>
      <c r="J1948" s="7" t="s">
        <v>185</v>
      </c>
      <c r="K1948" s="7" t="s">
        <v>1322</v>
      </c>
      <c r="L1948" s="7" t="s">
        <v>136</v>
      </c>
      <c r="M1948" s="7">
        <v>3.8362919999999998</v>
      </c>
      <c r="N1948" s="7">
        <v>11.470129999999999</v>
      </c>
      <c r="O1948" s="7" t="s">
        <v>613</v>
      </c>
    </row>
    <row r="1949" spans="1:15" hidden="1" x14ac:dyDescent="0.25">
      <c r="A1949" s="2">
        <f t="shared" si="30"/>
        <v>1947</v>
      </c>
      <c r="B1949" s="7" t="s">
        <v>2075</v>
      </c>
      <c r="C1949" s="7" t="s">
        <v>2076</v>
      </c>
      <c r="D1949" s="7" t="s">
        <v>2075</v>
      </c>
      <c r="E1949" s="7" t="s">
        <v>250</v>
      </c>
      <c r="F1949" s="7" t="s">
        <v>2077</v>
      </c>
      <c r="G1949" s="17" t="s">
        <v>7747</v>
      </c>
      <c r="H1949" s="7" t="s">
        <v>28</v>
      </c>
      <c r="I1949" s="7" t="s">
        <v>341</v>
      </c>
      <c r="J1949" s="7" t="s">
        <v>253</v>
      </c>
      <c r="K1949" s="7" t="s">
        <v>1606</v>
      </c>
      <c r="L1949" s="7" t="s">
        <v>136</v>
      </c>
      <c r="M1949" s="7">
        <v>3.473179</v>
      </c>
      <c r="N1949" s="7">
        <v>11.624039</v>
      </c>
      <c r="O1949" s="7" t="s">
        <v>23</v>
      </c>
    </row>
    <row r="1950" spans="1:15" hidden="1" x14ac:dyDescent="0.25">
      <c r="A1950" s="2">
        <f t="shared" si="30"/>
        <v>1948</v>
      </c>
      <c r="B1950" s="7" t="s">
        <v>2078</v>
      </c>
      <c r="C1950" s="7" t="s">
        <v>2079</v>
      </c>
      <c r="D1950" s="7" t="s">
        <v>2078</v>
      </c>
      <c r="E1950" s="7" t="s">
        <v>250</v>
      </c>
      <c r="F1950" s="7" t="s">
        <v>341</v>
      </c>
      <c r="G1950" s="17" t="s">
        <v>7747</v>
      </c>
      <c r="H1950" s="7" t="s">
        <v>19</v>
      </c>
      <c r="I1950" s="7" t="s">
        <v>341</v>
      </c>
      <c r="J1950" s="7" t="s">
        <v>323</v>
      </c>
      <c r="K1950" s="7" t="s">
        <v>341</v>
      </c>
      <c r="L1950" s="7" t="s">
        <v>136</v>
      </c>
      <c r="M1950" s="7">
        <v>3.5179689999999999</v>
      </c>
      <c r="N1950" s="7">
        <v>11.504186000000001</v>
      </c>
      <c r="O1950" s="7" t="s">
        <v>23</v>
      </c>
    </row>
    <row r="1951" spans="1:15" hidden="1" x14ac:dyDescent="0.25">
      <c r="A1951" s="2">
        <f t="shared" si="30"/>
        <v>1949</v>
      </c>
      <c r="B1951" s="7" t="s">
        <v>2092</v>
      </c>
      <c r="C1951" s="7" t="s">
        <v>2093</v>
      </c>
      <c r="D1951" s="7" t="s">
        <v>2092</v>
      </c>
      <c r="E1951" s="7" t="s">
        <v>182</v>
      </c>
      <c r="F1951" s="7" t="s">
        <v>2094</v>
      </c>
      <c r="G1951" s="17" t="s">
        <v>7747</v>
      </c>
      <c r="H1951" s="7" t="s">
        <v>28</v>
      </c>
      <c r="I1951" s="7" t="s">
        <v>1337</v>
      </c>
      <c r="J1951" s="7" t="s">
        <v>185</v>
      </c>
      <c r="K1951" s="7" t="s">
        <v>808</v>
      </c>
      <c r="L1951" s="7" t="s">
        <v>136</v>
      </c>
      <c r="M1951" s="7">
        <v>3.8762099999999999</v>
      </c>
      <c r="N1951" s="7">
        <v>11.516540000000001</v>
      </c>
      <c r="O1951" s="7" t="s">
        <v>23</v>
      </c>
    </row>
    <row r="1952" spans="1:15" hidden="1" x14ac:dyDescent="0.25">
      <c r="A1952" s="2">
        <f t="shared" si="30"/>
        <v>1950</v>
      </c>
      <c r="B1952" s="7" t="s">
        <v>2113</v>
      </c>
      <c r="C1952" s="7" t="s">
        <v>2114</v>
      </c>
      <c r="D1952" s="7" t="s">
        <v>2113</v>
      </c>
      <c r="E1952" s="7" t="s">
        <v>182</v>
      </c>
      <c r="F1952" s="7" t="s">
        <v>2115</v>
      </c>
      <c r="G1952" s="17" t="s">
        <v>7747</v>
      </c>
      <c r="H1952" s="7" t="s">
        <v>28</v>
      </c>
      <c r="I1952" s="7" t="s">
        <v>297</v>
      </c>
      <c r="J1952" s="7" t="s">
        <v>287</v>
      </c>
      <c r="K1952" s="7" t="s">
        <v>2116</v>
      </c>
      <c r="L1952" s="7" t="s">
        <v>136</v>
      </c>
      <c r="M1952" s="7">
        <v>4.0923999999999996</v>
      </c>
      <c r="N1952" s="7">
        <v>11.198843</v>
      </c>
      <c r="O1952" s="7" t="s">
        <v>23</v>
      </c>
    </row>
    <row r="1953" spans="1:15" hidden="1" x14ac:dyDescent="0.25">
      <c r="A1953" s="2">
        <f t="shared" si="30"/>
        <v>1951</v>
      </c>
      <c r="B1953" s="7" t="s">
        <v>2120</v>
      </c>
      <c r="C1953" s="7" t="s">
        <v>2121</v>
      </c>
      <c r="D1953" s="7" t="s">
        <v>2120</v>
      </c>
      <c r="E1953" s="7" t="s">
        <v>182</v>
      </c>
      <c r="F1953" s="7" t="s">
        <v>2122</v>
      </c>
      <c r="G1953" s="17" t="s">
        <v>7747</v>
      </c>
      <c r="H1953" s="7" t="s">
        <v>19</v>
      </c>
      <c r="I1953" s="7" t="s">
        <v>1284</v>
      </c>
      <c r="J1953" s="7" t="s">
        <v>185</v>
      </c>
      <c r="K1953" s="7" t="s">
        <v>1322</v>
      </c>
      <c r="L1953" s="7" t="s">
        <v>136</v>
      </c>
      <c r="M1953" s="7">
        <v>3.8342200000000002</v>
      </c>
      <c r="N1953" s="7">
        <v>11.47696</v>
      </c>
      <c r="O1953" s="7" t="s">
        <v>613</v>
      </c>
    </row>
    <row r="1954" spans="1:15" hidden="1" x14ac:dyDescent="0.25">
      <c r="A1954" s="2">
        <f t="shared" si="30"/>
        <v>1952</v>
      </c>
      <c r="B1954" s="7" t="s">
        <v>2123</v>
      </c>
      <c r="C1954" s="7" t="s">
        <v>2124</v>
      </c>
      <c r="D1954" s="7" t="s">
        <v>2123</v>
      </c>
      <c r="E1954" s="7" t="s">
        <v>182</v>
      </c>
      <c r="F1954" s="7" t="s">
        <v>2125</v>
      </c>
      <c r="G1954" s="17" t="s">
        <v>7747</v>
      </c>
      <c r="H1954" s="7" t="s">
        <v>19</v>
      </c>
      <c r="I1954" s="7" t="s">
        <v>1766</v>
      </c>
      <c r="J1954" s="7" t="s">
        <v>185</v>
      </c>
      <c r="K1954" s="7" t="s">
        <v>808</v>
      </c>
      <c r="L1954" s="7" t="s">
        <v>136</v>
      </c>
      <c r="M1954" s="7">
        <v>3.9144299999999999</v>
      </c>
      <c r="N1954" s="7">
        <v>11.5251</v>
      </c>
      <c r="O1954" s="7" t="s">
        <v>613</v>
      </c>
    </row>
    <row r="1955" spans="1:15" hidden="1" x14ac:dyDescent="0.25">
      <c r="A1955" s="2">
        <f t="shared" si="30"/>
        <v>1953</v>
      </c>
      <c r="B1955" s="7" t="s">
        <v>2126</v>
      </c>
      <c r="C1955" s="7" t="s">
        <v>2127</v>
      </c>
      <c r="D1955" s="7" t="s">
        <v>2126</v>
      </c>
      <c r="E1955" s="7" t="s">
        <v>182</v>
      </c>
      <c r="F1955" s="7" t="s">
        <v>2128</v>
      </c>
      <c r="G1955" s="17" t="s">
        <v>7747</v>
      </c>
      <c r="H1955" s="7" t="s">
        <v>19</v>
      </c>
      <c r="I1955" s="7" t="s">
        <v>817</v>
      </c>
      <c r="J1955" s="7" t="s">
        <v>826</v>
      </c>
      <c r="K1955" s="7" t="s">
        <v>827</v>
      </c>
      <c r="L1955" s="7" t="s">
        <v>136</v>
      </c>
      <c r="M1955" s="7">
        <v>4.0936219999999999</v>
      </c>
      <c r="N1955" s="7">
        <v>11.883357</v>
      </c>
      <c r="O1955" s="7" t="s">
        <v>23</v>
      </c>
    </row>
    <row r="1956" spans="1:15" hidden="1" x14ac:dyDescent="0.25">
      <c r="A1956" s="2">
        <f t="shared" si="30"/>
        <v>1954</v>
      </c>
      <c r="B1956" s="7" t="s">
        <v>2130</v>
      </c>
      <c r="C1956" s="7" t="s">
        <v>2131</v>
      </c>
      <c r="D1956" s="7" t="s">
        <v>2130</v>
      </c>
      <c r="E1956" s="7" t="s">
        <v>182</v>
      </c>
      <c r="F1956" s="7" t="s">
        <v>2132</v>
      </c>
      <c r="G1956" s="17" t="s">
        <v>7747</v>
      </c>
      <c r="H1956" s="7" t="s">
        <v>28</v>
      </c>
      <c r="I1956" s="7" t="s">
        <v>1374</v>
      </c>
      <c r="J1956" s="7" t="s">
        <v>185</v>
      </c>
      <c r="K1956" s="7" t="s">
        <v>1375</v>
      </c>
      <c r="L1956" s="7" t="s">
        <v>136</v>
      </c>
      <c r="M1956" s="7">
        <v>3.87792</v>
      </c>
      <c r="N1956" s="7">
        <v>11.50117</v>
      </c>
      <c r="O1956" s="7" t="s">
        <v>613</v>
      </c>
    </row>
    <row r="1957" spans="1:15" hidden="1" x14ac:dyDescent="0.25">
      <c r="A1957" s="2">
        <f t="shared" si="30"/>
        <v>1955</v>
      </c>
      <c r="B1957" s="7" t="s">
        <v>2139</v>
      </c>
      <c r="C1957" s="7" t="s">
        <v>2140</v>
      </c>
      <c r="D1957" s="7" t="s">
        <v>2139</v>
      </c>
      <c r="E1957" s="7" t="s">
        <v>250</v>
      </c>
      <c r="F1957" s="7" t="s">
        <v>252</v>
      </c>
      <c r="G1957" s="17" t="s">
        <v>7747</v>
      </c>
      <c r="H1957" s="7" t="s">
        <v>28</v>
      </c>
      <c r="I1957" s="7" t="s">
        <v>252</v>
      </c>
      <c r="J1957" s="7" t="s">
        <v>253</v>
      </c>
      <c r="K1957" s="7" t="s">
        <v>881</v>
      </c>
      <c r="L1957" s="7" t="s">
        <v>136</v>
      </c>
      <c r="M1957" s="7">
        <v>2.6730700000000001</v>
      </c>
      <c r="N1957" s="7">
        <v>12.681125</v>
      </c>
      <c r="O1957" s="7" t="s">
        <v>23</v>
      </c>
    </row>
    <row r="1958" spans="1:15" hidden="1" x14ac:dyDescent="0.25">
      <c r="A1958" s="2">
        <f t="shared" si="30"/>
        <v>1956</v>
      </c>
      <c r="B1958" s="7" t="s">
        <v>2141</v>
      </c>
      <c r="C1958" s="7" t="s">
        <v>2142</v>
      </c>
      <c r="D1958" s="7" t="s">
        <v>2141</v>
      </c>
      <c r="E1958" s="7" t="s">
        <v>250</v>
      </c>
      <c r="F1958" s="7" t="s">
        <v>2143</v>
      </c>
      <c r="G1958" s="17" t="s">
        <v>7747</v>
      </c>
      <c r="H1958" s="7" t="s">
        <v>28</v>
      </c>
      <c r="I1958" s="7" t="s">
        <v>341</v>
      </c>
      <c r="J1958" s="7" t="s">
        <v>323</v>
      </c>
      <c r="K1958" s="7" t="s">
        <v>2143</v>
      </c>
      <c r="L1958" s="7" t="s">
        <v>136</v>
      </c>
      <c r="M1958" s="7">
        <v>3.6307369999999999</v>
      </c>
      <c r="N1958" s="7">
        <v>11.448114</v>
      </c>
      <c r="O1958" s="7" t="s">
        <v>23</v>
      </c>
    </row>
    <row r="1959" spans="1:15" hidden="1" x14ac:dyDescent="0.25">
      <c r="A1959" s="2">
        <f t="shared" si="30"/>
        <v>1957</v>
      </c>
      <c r="B1959" s="7" t="s">
        <v>2170</v>
      </c>
      <c r="C1959" s="7" t="s">
        <v>2171</v>
      </c>
      <c r="D1959" s="7" t="s">
        <v>2170</v>
      </c>
      <c r="E1959" s="7" t="s">
        <v>182</v>
      </c>
      <c r="F1959" s="7" t="s">
        <v>2172</v>
      </c>
      <c r="G1959" s="17" t="s">
        <v>7747</v>
      </c>
      <c r="H1959" s="7" t="s">
        <v>19</v>
      </c>
      <c r="I1959" s="7" t="s">
        <v>817</v>
      </c>
      <c r="J1959" s="7" t="s">
        <v>826</v>
      </c>
      <c r="K1959" s="7" t="s">
        <v>819</v>
      </c>
      <c r="L1959" s="7" t="s">
        <v>136</v>
      </c>
      <c r="M1959" s="7">
        <v>3.866698</v>
      </c>
      <c r="N1959" s="7">
        <v>11.680490000000001</v>
      </c>
      <c r="O1959" s="7" t="s">
        <v>23</v>
      </c>
    </row>
    <row r="1960" spans="1:15" hidden="1" x14ac:dyDescent="0.25">
      <c r="A1960" s="2">
        <f t="shared" si="30"/>
        <v>1958</v>
      </c>
      <c r="B1960" s="7" t="s">
        <v>2173</v>
      </c>
      <c r="C1960" s="7" t="s">
        <v>2174</v>
      </c>
      <c r="D1960" s="7" t="s">
        <v>2173</v>
      </c>
      <c r="E1960" s="7" t="s">
        <v>182</v>
      </c>
      <c r="F1960" s="7" t="s">
        <v>2175</v>
      </c>
      <c r="G1960" s="17" t="s">
        <v>7747</v>
      </c>
      <c r="H1960" s="7" t="s">
        <v>19</v>
      </c>
      <c r="I1960" s="7" t="s">
        <v>817</v>
      </c>
      <c r="J1960" s="7" t="s">
        <v>826</v>
      </c>
      <c r="K1960" s="7" t="s">
        <v>819</v>
      </c>
      <c r="L1960" s="7" t="s">
        <v>136</v>
      </c>
      <c r="M1960" s="7">
        <v>3.899076</v>
      </c>
      <c r="N1960" s="7">
        <v>11.885851000000001</v>
      </c>
      <c r="O1960" s="7" t="s">
        <v>23</v>
      </c>
    </row>
    <row r="1961" spans="1:15" hidden="1" x14ac:dyDescent="0.25">
      <c r="A1961" s="2">
        <f t="shared" si="30"/>
        <v>1959</v>
      </c>
      <c r="B1961" s="7" t="s">
        <v>2176</v>
      </c>
      <c r="C1961" s="7" t="s">
        <v>2177</v>
      </c>
      <c r="D1961" s="7" t="s">
        <v>2176</v>
      </c>
      <c r="E1961" s="7" t="s">
        <v>250</v>
      </c>
      <c r="F1961" s="7" t="s">
        <v>2178</v>
      </c>
      <c r="G1961" s="17" t="s">
        <v>7747</v>
      </c>
      <c r="H1961" s="7" t="s">
        <v>28</v>
      </c>
      <c r="I1961" s="7" t="s">
        <v>341</v>
      </c>
      <c r="J1961" s="7" t="s">
        <v>323</v>
      </c>
      <c r="K1961" s="7" t="s">
        <v>341</v>
      </c>
      <c r="L1961" s="7" t="s">
        <v>136</v>
      </c>
      <c r="M1961" s="7">
        <v>3.3371719999999998</v>
      </c>
      <c r="N1961" s="7">
        <v>11.496133</v>
      </c>
      <c r="O1961" s="7" t="s">
        <v>23</v>
      </c>
    </row>
    <row r="1962" spans="1:15" hidden="1" x14ac:dyDescent="0.25">
      <c r="A1962" s="2">
        <f t="shared" si="30"/>
        <v>1960</v>
      </c>
      <c r="B1962" s="7" t="s">
        <v>2179</v>
      </c>
      <c r="C1962" s="7" t="s">
        <v>2180</v>
      </c>
      <c r="D1962" s="7" t="s">
        <v>2179</v>
      </c>
      <c r="E1962" s="7" t="s">
        <v>182</v>
      </c>
      <c r="F1962" s="7" t="s">
        <v>2181</v>
      </c>
      <c r="G1962" s="17" t="s">
        <v>7747</v>
      </c>
      <c r="H1962" s="7" t="s">
        <v>19</v>
      </c>
      <c r="I1962" s="7" t="s">
        <v>807</v>
      </c>
      <c r="J1962" s="7" t="s">
        <v>185</v>
      </c>
      <c r="K1962" s="7" t="s">
        <v>808</v>
      </c>
      <c r="L1962" s="7" t="s">
        <v>136</v>
      </c>
      <c r="M1962" s="7">
        <v>3.90523</v>
      </c>
      <c r="N1962" s="7">
        <v>11.511659999999999</v>
      </c>
      <c r="O1962" s="7" t="s">
        <v>613</v>
      </c>
    </row>
    <row r="1963" spans="1:15" hidden="1" x14ac:dyDescent="0.25">
      <c r="A1963" s="2">
        <f t="shared" si="30"/>
        <v>1961</v>
      </c>
      <c r="B1963" s="7" t="s">
        <v>2185</v>
      </c>
      <c r="C1963" s="7" t="s">
        <v>2186</v>
      </c>
      <c r="D1963" s="7" t="s">
        <v>2185</v>
      </c>
      <c r="E1963" s="7" t="s">
        <v>182</v>
      </c>
      <c r="F1963" s="7" t="s">
        <v>817</v>
      </c>
      <c r="G1963" s="17" t="s">
        <v>7747</v>
      </c>
      <c r="H1963" s="7" t="s">
        <v>19</v>
      </c>
      <c r="I1963" s="7" t="s">
        <v>817</v>
      </c>
      <c r="J1963" s="7" t="s">
        <v>818</v>
      </c>
      <c r="K1963" s="7" t="s">
        <v>2187</v>
      </c>
      <c r="L1963" s="7" t="s">
        <v>136</v>
      </c>
      <c r="M1963" s="7">
        <v>3.783604</v>
      </c>
      <c r="N1963" s="7">
        <v>12.246397</v>
      </c>
      <c r="O1963" s="7" t="s">
        <v>23</v>
      </c>
    </row>
    <row r="1964" spans="1:15" hidden="1" x14ac:dyDescent="0.25">
      <c r="A1964" s="2">
        <f t="shared" si="30"/>
        <v>1962</v>
      </c>
      <c r="B1964" s="7" t="s">
        <v>2188</v>
      </c>
      <c r="C1964" s="7" t="s">
        <v>2189</v>
      </c>
      <c r="D1964" s="7" t="s">
        <v>2188</v>
      </c>
      <c r="E1964" s="7" t="s">
        <v>182</v>
      </c>
      <c r="F1964" s="7" t="s">
        <v>2190</v>
      </c>
      <c r="G1964" s="17" t="s">
        <v>7747</v>
      </c>
      <c r="H1964" s="7" t="s">
        <v>19</v>
      </c>
      <c r="I1964" s="7" t="s">
        <v>1284</v>
      </c>
      <c r="J1964" s="7" t="s">
        <v>185</v>
      </c>
      <c r="K1964" s="7" t="s">
        <v>1462</v>
      </c>
      <c r="L1964" s="7" t="s">
        <v>136</v>
      </c>
      <c r="M1964" s="7">
        <v>3.7932899999999998</v>
      </c>
      <c r="N1964" s="7">
        <v>11.49668</v>
      </c>
      <c r="O1964" s="7" t="s">
        <v>23</v>
      </c>
    </row>
    <row r="1965" spans="1:15" hidden="1" x14ac:dyDescent="0.25">
      <c r="A1965" s="2">
        <f t="shared" si="30"/>
        <v>1963</v>
      </c>
      <c r="B1965" s="7" t="s">
        <v>2191</v>
      </c>
      <c r="C1965" s="7" t="s">
        <v>2192</v>
      </c>
      <c r="D1965" s="7" t="s">
        <v>2191</v>
      </c>
      <c r="E1965" s="7" t="s">
        <v>182</v>
      </c>
      <c r="F1965" s="7" t="s">
        <v>2193</v>
      </c>
      <c r="G1965" s="17" t="s">
        <v>7747</v>
      </c>
      <c r="H1965" s="7" t="s">
        <v>28</v>
      </c>
      <c r="I1965" s="7" t="s">
        <v>1366</v>
      </c>
      <c r="J1965" s="7" t="s">
        <v>185</v>
      </c>
      <c r="K1965" s="7" t="s">
        <v>1435</v>
      </c>
      <c r="L1965" s="7" t="s">
        <v>136</v>
      </c>
      <c r="M1965" s="7">
        <v>3.8556400000000002</v>
      </c>
      <c r="N1965" s="7">
        <v>11.522309999999999</v>
      </c>
      <c r="O1965" s="7" t="s">
        <v>613</v>
      </c>
    </row>
    <row r="1966" spans="1:15" hidden="1" x14ac:dyDescent="0.25">
      <c r="A1966" s="2">
        <f t="shared" si="30"/>
        <v>1964</v>
      </c>
      <c r="B1966" s="7" t="s">
        <v>2233</v>
      </c>
      <c r="C1966" s="7" t="s">
        <v>2234</v>
      </c>
      <c r="D1966" s="7" t="s">
        <v>2233</v>
      </c>
      <c r="E1966" s="7" t="s">
        <v>182</v>
      </c>
      <c r="F1966" s="7" t="s">
        <v>2235</v>
      </c>
      <c r="G1966" s="17" t="s">
        <v>7747</v>
      </c>
      <c r="H1966" s="7" t="s">
        <v>19</v>
      </c>
      <c r="I1966" s="7" t="s">
        <v>297</v>
      </c>
      <c r="J1966" s="7" t="s">
        <v>185</v>
      </c>
      <c r="K1966" s="7" t="s">
        <v>1393</v>
      </c>
      <c r="L1966" s="7" t="s">
        <v>136</v>
      </c>
      <c r="M1966" s="7">
        <v>3.87704</v>
      </c>
      <c r="N1966" s="7">
        <v>11.479010000000001</v>
      </c>
      <c r="O1966" s="7" t="s">
        <v>613</v>
      </c>
    </row>
    <row r="1967" spans="1:15" x14ac:dyDescent="0.25">
      <c r="A1967" s="2">
        <f t="shared" si="30"/>
        <v>1965</v>
      </c>
      <c r="B1967" s="7" t="s">
        <v>2236</v>
      </c>
      <c r="C1967" s="7" t="s">
        <v>2237</v>
      </c>
      <c r="D1967" s="7" t="s">
        <v>2236</v>
      </c>
      <c r="E1967" s="7" t="s">
        <v>131</v>
      </c>
      <c r="F1967" s="7" t="s">
        <v>133</v>
      </c>
      <c r="G1967" s="17" t="s">
        <v>7747</v>
      </c>
      <c r="H1967" s="7" t="s">
        <v>19</v>
      </c>
      <c r="I1967" s="7" t="s">
        <v>133</v>
      </c>
      <c r="J1967" s="7" t="s">
        <v>317</v>
      </c>
      <c r="K1967" s="7" t="s">
        <v>133</v>
      </c>
      <c r="L1967" s="7" t="s">
        <v>136</v>
      </c>
      <c r="M1967" s="7">
        <v>4.756062</v>
      </c>
      <c r="N1967" s="7">
        <v>11.228605</v>
      </c>
      <c r="O1967" s="7" t="s">
        <v>613</v>
      </c>
    </row>
    <row r="1968" spans="1:15" hidden="1" x14ac:dyDescent="0.25">
      <c r="A1968" s="2">
        <f t="shared" si="30"/>
        <v>1966</v>
      </c>
      <c r="B1968" s="7" t="s">
        <v>2244</v>
      </c>
      <c r="C1968" s="7" t="s">
        <v>2245</v>
      </c>
      <c r="D1968" s="7" t="s">
        <v>2244</v>
      </c>
      <c r="E1968" s="7" t="s">
        <v>182</v>
      </c>
      <c r="F1968" s="7" t="s">
        <v>2246</v>
      </c>
      <c r="G1968" s="17" t="s">
        <v>7747</v>
      </c>
      <c r="H1968" s="7" t="s">
        <v>28</v>
      </c>
      <c r="I1968" s="7" t="s">
        <v>1385</v>
      </c>
      <c r="J1968" s="7" t="s">
        <v>185</v>
      </c>
      <c r="K1968" s="7" t="s">
        <v>1367</v>
      </c>
      <c r="L1968" s="7" t="s">
        <v>136</v>
      </c>
      <c r="M1968" s="7">
        <v>3.8415699999999999</v>
      </c>
      <c r="N1968" s="7">
        <v>11.520250000000001</v>
      </c>
      <c r="O1968" s="7" t="s">
        <v>613</v>
      </c>
    </row>
    <row r="1969" spans="1:15" x14ac:dyDescent="0.25">
      <c r="A1969" s="2">
        <f t="shared" si="30"/>
        <v>1967</v>
      </c>
      <c r="B1969" s="7" t="s">
        <v>2275</v>
      </c>
      <c r="C1969" s="7" t="s">
        <v>2276</v>
      </c>
      <c r="D1969" s="7" t="s">
        <v>2275</v>
      </c>
      <c r="E1969" s="7" t="s">
        <v>131</v>
      </c>
      <c r="F1969" s="7" t="s">
        <v>2277</v>
      </c>
      <c r="G1969" s="17" t="s">
        <v>7747</v>
      </c>
      <c r="H1969" s="7" t="s">
        <v>19</v>
      </c>
      <c r="I1969" s="7" t="s">
        <v>1042</v>
      </c>
      <c r="J1969" s="7" t="s">
        <v>159</v>
      </c>
      <c r="K1969" s="7" t="s">
        <v>2278</v>
      </c>
      <c r="L1969" s="7" t="s">
        <v>136</v>
      </c>
      <c r="M1969" s="7">
        <v>4.5699449999999997</v>
      </c>
      <c r="N1969" s="7">
        <v>10.881710999999999</v>
      </c>
      <c r="O1969" s="7" t="s">
        <v>23</v>
      </c>
    </row>
    <row r="1970" spans="1:15" hidden="1" x14ac:dyDescent="0.25">
      <c r="A1970" s="2">
        <f t="shared" si="30"/>
        <v>1968</v>
      </c>
      <c r="B1970" s="7" t="s">
        <v>2282</v>
      </c>
      <c r="C1970" s="7" t="s">
        <v>2283</v>
      </c>
      <c r="D1970" s="7" t="s">
        <v>2282</v>
      </c>
      <c r="E1970" s="7" t="s">
        <v>182</v>
      </c>
      <c r="F1970" s="7" t="s">
        <v>2284</v>
      </c>
      <c r="G1970" s="17" t="s">
        <v>7747</v>
      </c>
      <c r="H1970" s="7" t="s">
        <v>28</v>
      </c>
      <c r="I1970" s="7" t="s">
        <v>286</v>
      </c>
      <c r="J1970" s="7" t="s">
        <v>287</v>
      </c>
      <c r="K1970" s="7" t="s">
        <v>288</v>
      </c>
      <c r="L1970" s="7" t="s">
        <v>136</v>
      </c>
      <c r="M1970" s="7">
        <v>4.1774250000000004</v>
      </c>
      <c r="N1970" s="7">
        <v>11.472552</v>
      </c>
      <c r="O1970" s="7" t="s">
        <v>23</v>
      </c>
    </row>
    <row r="1971" spans="1:15" hidden="1" x14ac:dyDescent="0.25">
      <c r="A1971" s="2">
        <f t="shared" si="30"/>
        <v>1969</v>
      </c>
      <c r="B1971" s="7" t="s">
        <v>2291</v>
      </c>
      <c r="C1971" s="7" t="s">
        <v>2292</v>
      </c>
      <c r="D1971" s="7" t="s">
        <v>2291</v>
      </c>
      <c r="E1971" s="7" t="s">
        <v>182</v>
      </c>
      <c r="F1971" s="7" t="s">
        <v>2293</v>
      </c>
      <c r="G1971" s="17" t="s">
        <v>7747</v>
      </c>
      <c r="H1971" s="7" t="s">
        <v>19</v>
      </c>
      <c r="I1971" s="7" t="s">
        <v>286</v>
      </c>
      <c r="J1971" s="7" t="s">
        <v>287</v>
      </c>
      <c r="K1971" s="7" t="s">
        <v>288</v>
      </c>
      <c r="L1971" s="7" t="s">
        <v>136</v>
      </c>
      <c r="M1971" s="7">
        <v>4.0434640000000002</v>
      </c>
      <c r="N1971" s="7">
        <v>11.547708</v>
      </c>
      <c r="O1971" s="7" t="s">
        <v>23</v>
      </c>
    </row>
    <row r="1972" spans="1:15" hidden="1" x14ac:dyDescent="0.25">
      <c r="A1972" s="2">
        <f t="shared" si="30"/>
        <v>1970</v>
      </c>
      <c r="B1972" s="7" t="s">
        <v>2297</v>
      </c>
      <c r="C1972" s="7" t="s">
        <v>2298</v>
      </c>
      <c r="D1972" s="7" t="s">
        <v>2297</v>
      </c>
      <c r="E1972" s="7" t="s">
        <v>182</v>
      </c>
      <c r="F1972" s="7" t="s">
        <v>2299</v>
      </c>
      <c r="G1972" s="17" t="s">
        <v>7747</v>
      </c>
      <c r="H1972" s="7" t="s">
        <v>19</v>
      </c>
      <c r="I1972" s="7" t="s">
        <v>600</v>
      </c>
      <c r="J1972" s="7" t="s">
        <v>208</v>
      </c>
      <c r="K1972" s="7" t="s">
        <v>485</v>
      </c>
      <c r="L1972" s="7" t="s">
        <v>136</v>
      </c>
      <c r="M1972" s="7">
        <v>3.831839</v>
      </c>
      <c r="N1972" s="7">
        <v>11.05429</v>
      </c>
      <c r="O1972" s="7" t="s">
        <v>23</v>
      </c>
    </row>
    <row r="1973" spans="1:15" hidden="1" x14ac:dyDescent="0.25">
      <c r="A1973" s="2">
        <f t="shared" si="30"/>
        <v>1971</v>
      </c>
      <c r="B1973" s="7" t="s">
        <v>2300</v>
      </c>
      <c r="C1973" s="7" t="s">
        <v>2301</v>
      </c>
      <c r="D1973" s="7" t="s">
        <v>2300</v>
      </c>
      <c r="E1973" s="7" t="s">
        <v>182</v>
      </c>
      <c r="F1973" s="7" t="s">
        <v>2302</v>
      </c>
      <c r="G1973" s="17" t="s">
        <v>7747</v>
      </c>
      <c r="H1973" s="7" t="s">
        <v>19</v>
      </c>
      <c r="I1973" s="7" t="s">
        <v>1766</v>
      </c>
      <c r="J1973" s="7" t="s">
        <v>185</v>
      </c>
      <c r="K1973" s="7" t="s">
        <v>808</v>
      </c>
      <c r="L1973" s="7" t="s">
        <v>136</v>
      </c>
      <c r="M1973" s="7">
        <v>3.9433609999999999</v>
      </c>
      <c r="N1973" s="7">
        <v>11.520889</v>
      </c>
      <c r="O1973" s="7" t="s">
        <v>23</v>
      </c>
    </row>
    <row r="1974" spans="1:15" hidden="1" x14ac:dyDescent="0.25">
      <c r="A1974" s="2">
        <f t="shared" si="30"/>
        <v>1972</v>
      </c>
      <c r="B1974" s="7" t="s">
        <v>2319</v>
      </c>
      <c r="C1974" s="7" t="s">
        <v>2320</v>
      </c>
      <c r="D1974" s="7" t="s">
        <v>2319</v>
      </c>
      <c r="E1974" s="7" t="s">
        <v>182</v>
      </c>
      <c r="F1974" s="7" t="s">
        <v>2321</v>
      </c>
      <c r="G1974" s="17" t="s">
        <v>7747</v>
      </c>
      <c r="H1974" s="7" t="s">
        <v>19</v>
      </c>
      <c r="I1974" s="7" t="s">
        <v>1637</v>
      </c>
      <c r="J1974" s="7" t="s">
        <v>185</v>
      </c>
      <c r="K1974" s="7" t="s">
        <v>1462</v>
      </c>
      <c r="L1974" s="7" t="s">
        <v>136</v>
      </c>
      <c r="M1974" s="7">
        <v>3.8552900000000001</v>
      </c>
      <c r="N1974" s="7">
        <v>11.508150000000001</v>
      </c>
      <c r="O1974" s="7" t="s">
        <v>23</v>
      </c>
    </row>
    <row r="1975" spans="1:15" hidden="1" x14ac:dyDescent="0.25">
      <c r="A1975" s="2">
        <f t="shared" si="30"/>
        <v>1973</v>
      </c>
      <c r="B1975" s="7" t="s">
        <v>2322</v>
      </c>
      <c r="C1975" s="7" t="s">
        <v>2323</v>
      </c>
      <c r="D1975" s="7" t="s">
        <v>2322</v>
      </c>
      <c r="E1975" s="7" t="s">
        <v>182</v>
      </c>
      <c r="F1975" s="7" t="s">
        <v>2324</v>
      </c>
      <c r="G1975" s="17" t="s">
        <v>7747</v>
      </c>
      <c r="H1975" s="7" t="s">
        <v>19</v>
      </c>
      <c r="I1975" s="7" t="s">
        <v>1385</v>
      </c>
      <c r="J1975" s="7" t="s">
        <v>185</v>
      </c>
      <c r="K1975" s="7" t="s">
        <v>1367</v>
      </c>
      <c r="L1975" s="7" t="s">
        <v>136</v>
      </c>
      <c r="M1975" s="7">
        <v>3.8121800000000001</v>
      </c>
      <c r="N1975" s="7">
        <v>11.52988</v>
      </c>
      <c r="O1975" s="7" t="s">
        <v>23</v>
      </c>
    </row>
    <row r="1976" spans="1:15" hidden="1" x14ac:dyDescent="0.25">
      <c r="A1976" s="2">
        <f t="shared" si="30"/>
        <v>1974</v>
      </c>
      <c r="B1976" s="7" t="s">
        <v>2349</v>
      </c>
      <c r="C1976" s="7" t="s">
        <v>2350</v>
      </c>
      <c r="D1976" s="7" t="s">
        <v>2349</v>
      </c>
      <c r="E1976" s="7" t="s">
        <v>182</v>
      </c>
      <c r="F1976" s="7" t="s">
        <v>2351</v>
      </c>
      <c r="G1976" s="17" t="s">
        <v>7747</v>
      </c>
      <c r="H1976" s="7" t="s">
        <v>19</v>
      </c>
      <c r="I1976" s="7" t="s">
        <v>807</v>
      </c>
      <c r="J1976" s="7" t="s">
        <v>185</v>
      </c>
      <c r="K1976" s="7" t="s">
        <v>808</v>
      </c>
      <c r="L1976" s="7" t="s">
        <v>136</v>
      </c>
      <c r="M1976" s="7">
        <v>3.900452</v>
      </c>
      <c r="N1976" s="7">
        <v>11.52312</v>
      </c>
      <c r="O1976" s="7" t="s">
        <v>23</v>
      </c>
    </row>
    <row r="1977" spans="1:15" hidden="1" x14ac:dyDescent="0.25">
      <c r="A1977" s="2">
        <f t="shared" si="30"/>
        <v>1975</v>
      </c>
      <c r="B1977" s="7" t="s">
        <v>2352</v>
      </c>
      <c r="C1977" s="7" t="s">
        <v>2353</v>
      </c>
      <c r="D1977" s="7" t="s">
        <v>2352</v>
      </c>
      <c r="E1977" s="7" t="s">
        <v>182</v>
      </c>
      <c r="F1977" s="7" t="s">
        <v>2354</v>
      </c>
      <c r="G1977" s="17" t="s">
        <v>7747</v>
      </c>
      <c r="H1977" s="7" t="s">
        <v>19</v>
      </c>
      <c r="I1977" s="7" t="s">
        <v>1366</v>
      </c>
      <c r="J1977" s="7" t="s">
        <v>185</v>
      </c>
      <c r="K1977" s="7" t="s">
        <v>1435</v>
      </c>
      <c r="L1977" s="7" t="s">
        <v>136</v>
      </c>
      <c r="M1977" s="7">
        <v>3.8762699999999999</v>
      </c>
      <c r="N1977" s="7">
        <v>11.545909999999999</v>
      </c>
      <c r="O1977" s="7" t="s">
        <v>23</v>
      </c>
    </row>
    <row r="1978" spans="1:15" hidden="1" x14ac:dyDescent="0.25">
      <c r="A1978" s="2">
        <f t="shared" si="30"/>
        <v>1976</v>
      </c>
      <c r="B1978" s="7" t="s">
        <v>2355</v>
      </c>
      <c r="C1978" s="7" t="s">
        <v>2356</v>
      </c>
      <c r="D1978" s="7" t="s">
        <v>2355</v>
      </c>
      <c r="E1978" s="7" t="s">
        <v>182</v>
      </c>
      <c r="F1978" s="7" t="s">
        <v>2357</v>
      </c>
      <c r="G1978" s="17" t="s">
        <v>7747</v>
      </c>
      <c r="H1978" s="7" t="s">
        <v>19</v>
      </c>
      <c r="I1978" s="7" t="s">
        <v>275</v>
      </c>
      <c r="J1978" s="7" t="s">
        <v>276</v>
      </c>
      <c r="K1978" s="7" t="s">
        <v>277</v>
      </c>
      <c r="L1978" s="7" t="s">
        <v>136</v>
      </c>
      <c r="M1978" s="7">
        <v>3.502894</v>
      </c>
      <c r="N1978" s="7">
        <v>11.330806000000001</v>
      </c>
      <c r="O1978" s="7" t="s">
        <v>23</v>
      </c>
    </row>
    <row r="1979" spans="1:15" hidden="1" x14ac:dyDescent="0.25">
      <c r="A1979" s="2">
        <f t="shared" si="30"/>
        <v>1977</v>
      </c>
      <c r="B1979" s="7" t="s">
        <v>2367</v>
      </c>
      <c r="C1979" s="7" t="s">
        <v>2368</v>
      </c>
      <c r="D1979" s="7" t="s">
        <v>2367</v>
      </c>
      <c r="E1979" s="7" t="s">
        <v>182</v>
      </c>
      <c r="F1979" s="7" t="s">
        <v>2369</v>
      </c>
      <c r="G1979" s="17" t="s">
        <v>7747</v>
      </c>
      <c r="H1979" s="7" t="s">
        <v>19</v>
      </c>
      <c r="I1979" s="7" t="s">
        <v>286</v>
      </c>
      <c r="J1979" s="7" t="s">
        <v>287</v>
      </c>
      <c r="K1979" s="7" t="s">
        <v>2370</v>
      </c>
      <c r="L1979" s="7" t="s">
        <v>136</v>
      </c>
      <c r="M1979" s="7">
        <v>4.285406</v>
      </c>
      <c r="N1979" s="7">
        <v>11.653548000000001</v>
      </c>
      <c r="O1979" s="7" t="s">
        <v>23</v>
      </c>
    </row>
    <row r="1980" spans="1:15" hidden="1" x14ac:dyDescent="0.25">
      <c r="A1980" s="2">
        <f t="shared" si="30"/>
        <v>1978</v>
      </c>
      <c r="B1980" s="7" t="s">
        <v>2371</v>
      </c>
      <c r="C1980" s="7" t="s">
        <v>2372</v>
      </c>
      <c r="D1980" s="7" t="s">
        <v>2371</v>
      </c>
      <c r="E1980" s="7" t="s">
        <v>182</v>
      </c>
      <c r="F1980" s="7" t="s">
        <v>2373</v>
      </c>
      <c r="G1980" s="17" t="s">
        <v>7747</v>
      </c>
      <c r="H1980" s="7" t="s">
        <v>19</v>
      </c>
      <c r="I1980" s="7" t="s">
        <v>1374</v>
      </c>
      <c r="J1980" s="7" t="s">
        <v>185</v>
      </c>
      <c r="K1980" s="7" t="s">
        <v>1375</v>
      </c>
      <c r="L1980" s="7" t="s">
        <v>136</v>
      </c>
      <c r="M1980" s="7">
        <v>3.8892899999999999</v>
      </c>
      <c r="N1980" s="7">
        <v>11.498875</v>
      </c>
      <c r="O1980" s="7" t="s">
        <v>23</v>
      </c>
    </row>
    <row r="1981" spans="1:15" hidden="1" x14ac:dyDescent="0.25">
      <c r="A1981" s="2">
        <f t="shared" si="30"/>
        <v>1979</v>
      </c>
      <c r="B1981" s="7" t="s">
        <v>2399</v>
      </c>
      <c r="C1981" s="7" t="s">
        <v>2400</v>
      </c>
      <c r="D1981" s="7" t="s">
        <v>2399</v>
      </c>
      <c r="E1981" s="7" t="s">
        <v>182</v>
      </c>
      <c r="F1981" s="7" t="s">
        <v>2401</v>
      </c>
      <c r="G1981" s="17" t="s">
        <v>7747</v>
      </c>
      <c r="H1981" s="7" t="s">
        <v>28</v>
      </c>
      <c r="I1981" s="7" t="s">
        <v>184</v>
      </c>
      <c r="J1981" s="7" t="s">
        <v>185</v>
      </c>
      <c r="K1981" s="7" t="s">
        <v>1435</v>
      </c>
      <c r="L1981" s="7" t="s">
        <v>136</v>
      </c>
      <c r="M1981" s="7">
        <v>3.9016199999999999</v>
      </c>
      <c r="N1981" s="7">
        <v>11.55819</v>
      </c>
      <c r="O1981" s="7" t="s">
        <v>613</v>
      </c>
    </row>
    <row r="1982" spans="1:15" hidden="1" x14ac:dyDescent="0.25">
      <c r="A1982" s="2">
        <f t="shared" si="30"/>
        <v>1980</v>
      </c>
      <c r="B1982" s="7" t="s">
        <v>2426</v>
      </c>
      <c r="C1982" s="7" t="s">
        <v>2427</v>
      </c>
      <c r="D1982" s="7" t="s">
        <v>2426</v>
      </c>
      <c r="E1982" s="7" t="s">
        <v>182</v>
      </c>
      <c r="F1982" s="7" t="s">
        <v>2428</v>
      </c>
      <c r="G1982" s="17" t="s">
        <v>7747</v>
      </c>
      <c r="H1982" s="7" t="s">
        <v>19</v>
      </c>
      <c r="I1982" s="7" t="s">
        <v>1284</v>
      </c>
      <c r="J1982" s="7" t="s">
        <v>185</v>
      </c>
      <c r="K1982" s="7" t="s">
        <v>1322</v>
      </c>
      <c r="L1982" s="7" t="s">
        <v>136</v>
      </c>
      <c r="M1982" s="7">
        <v>3.8411940000000002</v>
      </c>
      <c r="N1982" s="7">
        <v>11.462721999999999</v>
      </c>
      <c r="O1982" s="7" t="s">
        <v>23</v>
      </c>
    </row>
    <row r="1983" spans="1:15" hidden="1" x14ac:dyDescent="0.25">
      <c r="A1983" s="2">
        <f t="shared" si="30"/>
        <v>1981</v>
      </c>
      <c r="B1983" s="12" t="s">
        <v>2429</v>
      </c>
      <c r="C1983" s="7" t="s">
        <v>2430</v>
      </c>
      <c r="D1983" s="12" t="s">
        <v>2429</v>
      </c>
      <c r="E1983" s="7" t="s">
        <v>182</v>
      </c>
      <c r="F1983" s="7" t="s">
        <v>2431</v>
      </c>
      <c r="G1983" s="17" t="s">
        <v>7747</v>
      </c>
      <c r="H1983" s="7" t="s">
        <v>28</v>
      </c>
      <c r="I1983" s="7" t="s">
        <v>1374</v>
      </c>
      <c r="J1983" s="7" t="s">
        <v>185</v>
      </c>
      <c r="K1983" s="7" t="s">
        <v>1375</v>
      </c>
      <c r="L1983" s="7" t="s">
        <v>136</v>
      </c>
      <c r="M1983" s="7">
        <v>3.8983059999999998</v>
      </c>
      <c r="N1983" s="7">
        <v>11.498528</v>
      </c>
      <c r="O1983" s="7" t="s">
        <v>613</v>
      </c>
    </row>
    <row r="1984" spans="1:15" hidden="1" x14ac:dyDescent="0.25">
      <c r="A1984" s="2">
        <f t="shared" si="30"/>
        <v>1982</v>
      </c>
      <c r="B1984" s="7" t="s">
        <v>2441</v>
      </c>
      <c r="C1984" s="7" t="s">
        <v>2442</v>
      </c>
      <c r="D1984" s="7" t="s">
        <v>2441</v>
      </c>
      <c r="E1984" s="7" t="s">
        <v>182</v>
      </c>
      <c r="F1984" s="7" t="s">
        <v>2443</v>
      </c>
      <c r="G1984" s="17" t="s">
        <v>7747</v>
      </c>
      <c r="H1984" s="7" t="s">
        <v>19</v>
      </c>
      <c r="I1984" s="7" t="s">
        <v>297</v>
      </c>
      <c r="J1984" s="7" t="s">
        <v>185</v>
      </c>
      <c r="K1984" s="7" t="s">
        <v>1393</v>
      </c>
      <c r="L1984" s="7" t="s">
        <v>136</v>
      </c>
      <c r="M1984" s="7">
        <v>3.871597</v>
      </c>
      <c r="N1984" s="7">
        <v>11.470013</v>
      </c>
      <c r="O1984" s="7" t="s">
        <v>613</v>
      </c>
    </row>
    <row r="1985" spans="1:15" hidden="1" x14ac:dyDescent="0.25">
      <c r="A1985" s="2">
        <f t="shared" si="30"/>
        <v>1983</v>
      </c>
      <c r="B1985" s="7" t="s">
        <v>2446</v>
      </c>
      <c r="C1985" s="7" t="s">
        <v>2447</v>
      </c>
      <c r="D1985" s="7" t="s">
        <v>2446</v>
      </c>
      <c r="E1985" s="7" t="s">
        <v>182</v>
      </c>
      <c r="F1985" s="7" t="s">
        <v>2448</v>
      </c>
      <c r="G1985" s="17" t="s">
        <v>7747</v>
      </c>
      <c r="H1985" s="7" t="s">
        <v>19</v>
      </c>
      <c r="I1985" s="7" t="s">
        <v>1766</v>
      </c>
      <c r="J1985" s="7" t="s">
        <v>185</v>
      </c>
      <c r="K1985" s="7" t="s">
        <v>808</v>
      </c>
      <c r="L1985" s="7" t="s">
        <v>136</v>
      </c>
      <c r="M1985" s="7">
        <v>3.9491939999999999</v>
      </c>
      <c r="N1985" s="7">
        <v>11.525444</v>
      </c>
      <c r="O1985" s="7" t="s">
        <v>23</v>
      </c>
    </row>
    <row r="1986" spans="1:15" hidden="1" x14ac:dyDescent="0.25">
      <c r="A1986" s="2">
        <f t="shared" si="30"/>
        <v>1984</v>
      </c>
      <c r="B1986" s="7" t="s">
        <v>2449</v>
      </c>
      <c r="C1986" s="7" t="s">
        <v>2450</v>
      </c>
      <c r="D1986" s="7" t="s">
        <v>2449</v>
      </c>
      <c r="E1986" s="7" t="s">
        <v>182</v>
      </c>
      <c r="F1986" s="7" t="s">
        <v>2451</v>
      </c>
      <c r="G1986" s="17" t="s">
        <v>7747</v>
      </c>
      <c r="H1986" s="7" t="s">
        <v>19</v>
      </c>
      <c r="I1986" s="7" t="s">
        <v>286</v>
      </c>
      <c r="J1986" s="7" t="s">
        <v>287</v>
      </c>
      <c r="K1986" s="7" t="s">
        <v>288</v>
      </c>
      <c r="L1986" s="7" t="s">
        <v>136</v>
      </c>
      <c r="M1986" s="7">
        <v>4.1254080000000002</v>
      </c>
      <c r="N1986" s="7">
        <v>11.564962</v>
      </c>
      <c r="O1986" s="7" t="s">
        <v>23</v>
      </c>
    </row>
    <row r="1987" spans="1:15" hidden="1" x14ac:dyDescent="0.25">
      <c r="A1987" s="2">
        <f t="shared" si="30"/>
        <v>1985</v>
      </c>
      <c r="B1987" s="7" t="s">
        <v>2493</v>
      </c>
      <c r="C1987" s="7" t="s">
        <v>2494</v>
      </c>
      <c r="D1987" s="7" t="s">
        <v>2493</v>
      </c>
      <c r="E1987" s="7" t="s">
        <v>182</v>
      </c>
      <c r="F1987" s="7" t="s">
        <v>2495</v>
      </c>
      <c r="G1987" s="17" t="s">
        <v>7747</v>
      </c>
      <c r="H1987" s="7" t="s">
        <v>19</v>
      </c>
      <c r="I1987" s="7" t="s">
        <v>1366</v>
      </c>
      <c r="J1987" s="7" t="s">
        <v>185</v>
      </c>
      <c r="K1987" s="7" t="s">
        <v>1367</v>
      </c>
      <c r="L1987" s="7" t="s">
        <v>136</v>
      </c>
      <c r="M1987" s="7">
        <v>3.8530120000000001</v>
      </c>
      <c r="N1987" s="7">
        <v>11.536364000000001</v>
      </c>
      <c r="O1987" s="7" t="s">
        <v>613</v>
      </c>
    </row>
    <row r="1988" spans="1:15" hidden="1" x14ac:dyDescent="0.25">
      <c r="A1988" s="2">
        <f t="shared" si="30"/>
        <v>1986</v>
      </c>
      <c r="B1988" s="7" t="s">
        <v>2496</v>
      </c>
      <c r="C1988" s="7" t="s">
        <v>2497</v>
      </c>
      <c r="D1988" s="7" t="s">
        <v>2496</v>
      </c>
      <c r="E1988" s="7" t="s">
        <v>182</v>
      </c>
      <c r="F1988" s="7" t="s">
        <v>2498</v>
      </c>
      <c r="G1988" s="17" t="s">
        <v>7747</v>
      </c>
      <c r="H1988" s="7" t="s">
        <v>28</v>
      </c>
      <c r="I1988" s="7" t="s">
        <v>1553</v>
      </c>
      <c r="J1988" s="7" t="s">
        <v>826</v>
      </c>
      <c r="K1988" s="7" t="s">
        <v>2499</v>
      </c>
      <c r="L1988" s="7" t="s">
        <v>136</v>
      </c>
      <c r="M1988" s="7">
        <v>3.8478889999999999</v>
      </c>
      <c r="N1988" s="7">
        <v>11.579056</v>
      </c>
      <c r="O1988" s="7" t="s">
        <v>23</v>
      </c>
    </row>
    <row r="1989" spans="1:15" hidden="1" x14ac:dyDescent="0.25">
      <c r="A1989" s="2">
        <f t="shared" ref="A1989:A2052" si="31">+A1988+1</f>
        <v>1987</v>
      </c>
      <c r="B1989" s="7" t="s">
        <v>2519</v>
      </c>
      <c r="C1989" s="7" t="s">
        <v>2520</v>
      </c>
      <c r="D1989" s="7" t="s">
        <v>2519</v>
      </c>
      <c r="E1989" s="7" t="s">
        <v>182</v>
      </c>
      <c r="F1989" s="7" t="s">
        <v>2521</v>
      </c>
      <c r="G1989" s="17" t="s">
        <v>7747</v>
      </c>
      <c r="H1989" s="7" t="s">
        <v>28</v>
      </c>
      <c r="I1989" s="7" t="s">
        <v>1553</v>
      </c>
      <c r="J1989" s="7" t="s">
        <v>185</v>
      </c>
      <c r="K1989" s="7" t="s">
        <v>1367</v>
      </c>
      <c r="L1989" s="7" t="s">
        <v>136</v>
      </c>
      <c r="M1989" s="7">
        <v>3.8368609999999999</v>
      </c>
      <c r="N1989" s="7">
        <v>11.563000000000001</v>
      </c>
      <c r="O1989" s="7" t="s">
        <v>23</v>
      </c>
    </row>
    <row r="1990" spans="1:15" hidden="1" x14ac:dyDescent="0.25">
      <c r="A1990" s="2">
        <f t="shared" si="31"/>
        <v>1988</v>
      </c>
      <c r="B1990" s="7" t="s">
        <v>2533</v>
      </c>
      <c r="C1990" s="7" t="s">
        <v>2534</v>
      </c>
      <c r="D1990" s="7" t="s">
        <v>2533</v>
      </c>
      <c r="E1990" s="7" t="s">
        <v>182</v>
      </c>
      <c r="F1990" s="7" t="s">
        <v>2535</v>
      </c>
      <c r="G1990" s="17" t="s">
        <v>7747</v>
      </c>
      <c r="H1990" s="7" t="s">
        <v>19</v>
      </c>
      <c r="I1990" s="7" t="s">
        <v>1366</v>
      </c>
      <c r="J1990" s="7" t="s">
        <v>185</v>
      </c>
      <c r="K1990" s="7" t="s">
        <v>1367</v>
      </c>
      <c r="L1990" s="7" t="s">
        <v>136</v>
      </c>
      <c r="M1990" s="7">
        <v>3.8608500000000001</v>
      </c>
      <c r="N1990" s="7">
        <v>11.5443</v>
      </c>
      <c r="O1990" s="7" t="s">
        <v>23</v>
      </c>
    </row>
    <row r="1991" spans="1:15" hidden="1" x14ac:dyDescent="0.25">
      <c r="A1991" s="2">
        <f t="shared" si="31"/>
        <v>1989</v>
      </c>
      <c r="B1991" s="7" t="s">
        <v>2551</v>
      </c>
      <c r="C1991" s="7" t="s">
        <v>2552</v>
      </c>
      <c r="D1991" s="7" t="s">
        <v>2551</v>
      </c>
      <c r="E1991" s="7" t="s">
        <v>182</v>
      </c>
      <c r="F1991" s="7" t="s">
        <v>2553</v>
      </c>
      <c r="G1991" s="17" t="s">
        <v>7747</v>
      </c>
      <c r="H1991" s="7" t="s">
        <v>28</v>
      </c>
      <c r="I1991" s="7" t="s">
        <v>1766</v>
      </c>
      <c r="J1991" s="7" t="s">
        <v>185</v>
      </c>
      <c r="K1991" s="7" t="s">
        <v>808</v>
      </c>
      <c r="L1991" s="7" t="s">
        <v>136</v>
      </c>
      <c r="M1991" s="7">
        <v>3.9319169999999999</v>
      </c>
      <c r="N1991" s="7">
        <v>11.537222</v>
      </c>
      <c r="O1991" s="7" t="s">
        <v>23</v>
      </c>
    </row>
    <row r="1992" spans="1:15" hidden="1" x14ac:dyDescent="0.25">
      <c r="A1992" s="2">
        <f t="shared" si="31"/>
        <v>1990</v>
      </c>
      <c r="B1992" s="7" t="s">
        <v>2557</v>
      </c>
      <c r="C1992" s="7" t="s">
        <v>2558</v>
      </c>
      <c r="D1992" s="7" t="s">
        <v>2557</v>
      </c>
      <c r="E1992" s="7" t="s">
        <v>182</v>
      </c>
      <c r="F1992" s="7" t="s">
        <v>2559</v>
      </c>
      <c r="G1992" s="17" t="s">
        <v>7747</v>
      </c>
      <c r="H1992" s="7" t="s">
        <v>28</v>
      </c>
      <c r="I1992" s="7" t="s">
        <v>184</v>
      </c>
      <c r="J1992" s="7" t="s">
        <v>185</v>
      </c>
      <c r="K1992" s="7" t="s">
        <v>1435</v>
      </c>
      <c r="L1992" s="7" t="s">
        <v>136</v>
      </c>
      <c r="M1992" s="7">
        <v>3.9178220000000001</v>
      </c>
      <c r="N1992" s="7">
        <v>11.572227</v>
      </c>
      <c r="O1992" s="7" t="s">
        <v>23</v>
      </c>
    </row>
    <row r="1993" spans="1:15" hidden="1" x14ac:dyDescent="0.25">
      <c r="A1993" s="2">
        <f t="shared" si="31"/>
        <v>1991</v>
      </c>
      <c r="B1993" s="7" t="s">
        <v>2573</v>
      </c>
      <c r="C1993" s="7" t="s">
        <v>2574</v>
      </c>
      <c r="D1993" s="7" t="s">
        <v>2573</v>
      </c>
      <c r="E1993" s="7" t="s">
        <v>182</v>
      </c>
      <c r="F1993" s="7" t="s">
        <v>2575</v>
      </c>
      <c r="G1993" s="17" t="s">
        <v>7747</v>
      </c>
      <c r="H1993" s="7" t="s">
        <v>28</v>
      </c>
      <c r="I1993" s="7" t="s">
        <v>1385</v>
      </c>
      <c r="J1993" s="7" t="s">
        <v>185</v>
      </c>
      <c r="K1993" s="7" t="s">
        <v>1367</v>
      </c>
      <c r="L1993" s="7" t="s">
        <v>136</v>
      </c>
      <c r="M1993" s="7">
        <v>3.8104300000000002</v>
      </c>
      <c r="N1993" s="7">
        <v>11.53891</v>
      </c>
      <c r="O1993" s="7" t="s">
        <v>23</v>
      </c>
    </row>
    <row r="1994" spans="1:15" hidden="1" x14ac:dyDescent="0.25">
      <c r="A1994" s="2">
        <f t="shared" si="31"/>
        <v>1992</v>
      </c>
      <c r="B1994" s="7" t="s">
        <v>2582</v>
      </c>
      <c r="C1994" s="7" t="s">
        <v>2583</v>
      </c>
      <c r="D1994" s="7" t="s">
        <v>2582</v>
      </c>
      <c r="E1994" s="7" t="s">
        <v>182</v>
      </c>
      <c r="F1994" s="7" t="s">
        <v>2584</v>
      </c>
      <c r="G1994" s="17" t="s">
        <v>7747</v>
      </c>
      <c r="H1994" s="7" t="s">
        <v>28</v>
      </c>
      <c r="I1994" s="7" t="s">
        <v>1637</v>
      </c>
      <c r="J1994" s="7" t="s">
        <v>185</v>
      </c>
      <c r="K1994" s="7" t="s">
        <v>1462</v>
      </c>
      <c r="L1994" s="7" t="s">
        <v>136</v>
      </c>
      <c r="M1994" s="7">
        <v>3.8580000000000001</v>
      </c>
      <c r="N1994" s="7">
        <v>11.499000000000001</v>
      </c>
      <c r="O1994" s="7" t="s">
        <v>23</v>
      </c>
    </row>
    <row r="1995" spans="1:15" hidden="1" x14ac:dyDescent="0.25">
      <c r="A1995" s="2">
        <f t="shared" si="31"/>
        <v>1993</v>
      </c>
      <c r="B1995" s="7" t="s">
        <v>2585</v>
      </c>
      <c r="C1995" s="7" t="s">
        <v>2586</v>
      </c>
      <c r="D1995" s="7" t="s">
        <v>2585</v>
      </c>
      <c r="E1995" s="7" t="s">
        <v>182</v>
      </c>
      <c r="F1995" s="7" t="s">
        <v>2587</v>
      </c>
      <c r="G1995" s="17" t="s">
        <v>7747</v>
      </c>
      <c r="H1995" s="7" t="s">
        <v>28</v>
      </c>
      <c r="I1995" s="7" t="s">
        <v>1374</v>
      </c>
      <c r="J1995" s="7" t="s">
        <v>185</v>
      </c>
      <c r="K1995" s="7" t="s">
        <v>1375</v>
      </c>
      <c r="L1995" s="7" t="s">
        <v>136</v>
      </c>
      <c r="M1995" s="7">
        <v>3.8952200000000001</v>
      </c>
      <c r="N1995" s="7">
        <v>11.507110000000001</v>
      </c>
      <c r="O1995" s="7" t="s">
        <v>613</v>
      </c>
    </row>
    <row r="1996" spans="1:15" hidden="1" x14ac:dyDescent="0.25">
      <c r="A1996" s="2">
        <f t="shared" si="31"/>
        <v>1994</v>
      </c>
      <c r="B1996" s="7" t="s">
        <v>2591</v>
      </c>
      <c r="C1996" s="7" t="s">
        <v>2592</v>
      </c>
      <c r="D1996" s="7" t="s">
        <v>2591</v>
      </c>
      <c r="E1996" s="7" t="s">
        <v>250</v>
      </c>
      <c r="F1996" s="7" t="s">
        <v>2593</v>
      </c>
      <c r="G1996" s="17" t="s">
        <v>7747</v>
      </c>
      <c r="H1996" s="7" t="s">
        <v>28</v>
      </c>
      <c r="I1996" s="7" t="s">
        <v>311</v>
      </c>
      <c r="J1996" s="7" t="s">
        <v>312</v>
      </c>
      <c r="K1996" s="7" t="s">
        <v>2594</v>
      </c>
      <c r="L1996" s="7" t="s">
        <v>136</v>
      </c>
      <c r="M1996" s="7">
        <v>2.9111099999999999</v>
      </c>
      <c r="N1996" s="7">
        <v>11.16897</v>
      </c>
      <c r="O1996" s="7" t="s">
        <v>23</v>
      </c>
    </row>
    <row r="1997" spans="1:15" hidden="1" x14ac:dyDescent="0.25">
      <c r="A1997" s="2">
        <f t="shared" si="31"/>
        <v>1995</v>
      </c>
      <c r="B1997" s="7" t="s">
        <v>2595</v>
      </c>
      <c r="C1997" s="7" t="s">
        <v>2596</v>
      </c>
      <c r="D1997" s="7" t="s">
        <v>2595</v>
      </c>
      <c r="E1997" s="7" t="s">
        <v>182</v>
      </c>
      <c r="F1997" s="7" t="s">
        <v>2597</v>
      </c>
      <c r="G1997" s="17" t="s">
        <v>7747</v>
      </c>
      <c r="H1997" s="7" t="s">
        <v>28</v>
      </c>
      <c r="I1997" s="7" t="s">
        <v>1766</v>
      </c>
      <c r="J1997" s="7" t="s">
        <v>185</v>
      </c>
      <c r="K1997" s="7" t="s">
        <v>808</v>
      </c>
      <c r="L1997" s="7" t="s">
        <v>136</v>
      </c>
      <c r="M1997" s="7">
        <v>3.9555280000000002</v>
      </c>
      <c r="N1997" s="7">
        <v>11.533806</v>
      </c>
      <c r="O1997" s="7" t="s">
        <v>23</v>
      </c>
    </row>
    <row r="1998" spans="1:15" hidden="1" x14ac:dyDescent="0.25">
      <c r="A1998" s="2">
        <f t="shared" si="31"/>
        <v>1996</v>
      </c>
      <c r="B1998" s="7" t="s">
        <v>2598</v>
      </c>
      <c r="C1998" s="7" t="s">
        <v>2599</v>
      </c>
      <c r="D1998" s="7" t="s">
        <v>2598</v>
      </c>
      <c r="E1998" s="7" t="s">
        <v>182</v>
      </c>
      <c r="F1998" s="7" t="s">
        <v>2600</v>
      </c>
      <c r="G1998" s="17" t="s">
        <v>7747</v>
      </c>
      <c r="H1998" s="7" t="s">
        <v>28</v>
      </c>
      <c r="I1998" s="7" t="s">
        <v>807</v>
      </c>
      <c r="J1998" s="7" t="s">
        <v>185</v>
      </c>
      <c r="K1998" s="7" t="s">
        <v>808</v>
      </c>
      <c r="L1998" s="7" t="s">
        <v>136</v>
      </c>
      <c r="M1998" s="7">
        <v>3.913052</v>
      </c>
      <c r="N1998" s="7">
        <v>11.536978</v>
      </c>
      <c r="O1998" s="7" t="s">
        <v>23</v>
      </c>
    </row>
    <row r="1999" spans="1:15" hidden="1" x14ac:dyDescent="0.25">
      <c r="A1999" s="2">
        <f t="shared" si="31"/>
        <v>1997</v>
      </c>
      <c r="B1999" s="7" t="s">
        <v>2635</v>
      </c>
      <c r="C1999" s="7" t="s">
        <v>2636</v>
      </c>
      <c r="D1999" s="7" t="s">
        <v>2635</v>
      </c>
      <c r="E1999" s="7" t="s">
        <v>182</v>
      </c>
      <c r="F1999" s="7" t="s">
        <v>2637</v>
      </c>
      <c r="G1999" s="17" t="s">
        <v>7747</v>
      </c>
      <c r="H1999" s="7" t="s">
        <v>28</v>
      </c>
      <c r="I1999" s="7" t="s">
        <v>1766</v>
      </c>
      <c r="J1999" s="7" t="s">
        <v>185</v>
      </c>
      <c r="K1999" s="7" t="s">
        <v>808</v>
      </c>
      <c r="L1999" s="7" t="s">
        <v>136</v>
      </c>
      <c r="M1999" s="7">
        <v>3.9493330000000002</v>
      </c>
      <c r="N1999" s="7">
        <v>11.502806</v>
      </c>
      <c r="O1999" s="7" t="s">
        <v>23</v>
      </c>
    </row>
    <row r="2000" spans="1:15" hidden="1" x14ac:dyDescent="0.25">
      <c r="A2000" s="2">
        <f t="shared" si="31"/>
        <v>1998</v>
      </c>
      <c r="B2000" s="7" t="s">
        <v>2638</v>
      </c>
      <c r="C2000" s="7" t="s">
        <v>2639</v>
      </c>
      <c r="D2000" s="7" t="s">
        <v>2638</v>
      </c>
      <c r="E2000" s="7" t="s">
        <v>182</v>
      </c>
      <c r="F2000" s="7" t="s">
        <v>2640</v>
      </c>
      <c r="G2000" s="17" t="s">
        <v>7747</v>
      </c>
      <c r="H2000" s="7" t="s">
        <v>28</v>
      </c>
      <c r="I2000" s="7" t="s">
        <v>1461</v>
      </c>
      <c r="J2000" s="7" t="s">
        <v>185</v>
      </c>
      <c r="K2000" s="7" t="s">
        <v>1462</v>
      </c>
      <c r="L2000" s="7" t="s">
        <v>136</v>
      </c>
      <c r="M2000" s="7">
        <v>3.8296600000000001</v>
      </c>
      <c r="N2000" s="7">
        <v>11.493969999999999</v>
      </c>
      <c r="O2000" s="7" t="s">
        <v>23</v>
      </c>
    </row>
    <row r="2001" spans="1:15" x14ac:dyDescent="0.25">
      <c r="A2001" s="2">
        <f t="shared" si="31"/>
        <v>1999</v>
      </c>
      <c r="B2001" s="7" t="s">
        <v>2647</v>
      </c>
      <c r="C2001" s="7" t="s">
        <v>2648</v>
      </c>
      <c r="D2001" s="7" t="s">
        <v>2647</v>
      </c>
      <c r="E2001" s="7" t="s">
        <v>131</v>
      </c>
      <c r="F2001" s="7" t="s">
        <v>2649</v>
      </c>
      <c r="G2001" s="17" t="s">
        <v>7747</v>
      </c>
      <c r="H2001" s="7" t="s">
        <v>28</v>
      </c>
      <c r="I2001" s="7" t="s">
        <v>133</v>
      </c>
      <c r="J2001" s="7" t="s">
        <v>317</v>
      </c>
      <c r="K2001" s="7" t="s">
        <v>133</v>
      </c>
      <c r="L2001" s="7" t="s">
        <v>136</v>
      </c>
      <c r="M2001" s="7">
        <v>4.7447049999999997</v>
      </c>
      <c r="N2001" s="7">
        <v>11.227257</v>
      </c>
      <c r="O2001" s="7" t="s">
        <v>23</v>
      </c>
    </row>
    <row r="2002" spans="1:15" hidden="1" x14ac:dyDescent="0.25">
      <c r="A2002" s="2">
        <f t="shared" si="31"/>
        <v>2000</v>
      </c>
      <c r="B2002" s="7" t="s">
        <v>2662</v>
      </c>
      <c r="C2002" s="7" t="s">
        <v>2663</v>
      </c>
      <c r="D2002" s="7" t="s">
        <v>2662</v>
      </c>
      <c r="E2002" s="7" t="s">
        <v>182</v>
      </c>
      <c r="F2002" s="7" t="s">
        <v>2664</v>
      </c>
      <c r="G2002" s="17" t="s">
        <v>7747</v>
      </c>
      <c r="H2002" s="7" t="s">
        <v>28</v>
      </c>
      <c r="I2002" s="7" t="s">
        <v>1385</v>
      </c>
      <c r="J2002" s="7" t="s">
        <v>185</v>
      </c>
      <c r="K2002" s="7" t="s">
        <v>1367</v>
      </c>
      <c r="L2002" s="7" t="s">
        <v>136</v>
      </c>
      <c r="M2002" s="7">
        <v>3.8243499999999999</v>
      </c>
      <c r="N2002" s="7">
        <v>11.525969999999999</v>
      </c>
      <c r="O2002" s="7" t="s">
        <v>613</v>
      </c>
    </row>
    <row r="2003" spans="1:15" hidden="1" x14ac:dyDescent="0.25">
      <c r="A2003" s="2">
        <f t="shared" si="31"/>
        <v>2001</v>
      </c>
      <c r="B2003" s="7" t="s">
        <v>2665</v>
      </c>
      <c r="C2003" s="7" t="s">
        <v>2666</v>
      </c>
      <c r="D2003" s="7" t="s">
        <v>2665</v>
      </c>
      <c r="E2003" s="7" t="s">
        <v>250</v>
      </c>
      <c r="F2003" s="7" t="s">
        <v>2667</v>
      </c>
      <c r="G2003" s="17" t="s">
        <v>7747</v>
      </c>
      <c r="H2003" s="7" t="s">
        <v>28</v>
      </c>
      <c r="I2003" s="7" t="s">
        <v>311</v>
      </c>
      <c r="J2003" s="7" t="s">
        <v>312</v>
      </c>
      <c r="K2003" s="7" t="s">
        <v>2668</v>
      </c>
      <c r="L2003" s="7" t="s">
        <v>136</v>
      </c>
      <c r="M2003" s="7">
        <v>2.9316279999999999</v>
      </c>
      <c r="N2003" s="7">
        <v>11.145752999999999</v>
      </c>
      <c r="O2003" s="7" t="s">
        <v>23</v>
      </c>
    </row>
    <row r="2004" spans="1:15" hidden="1" x14ac:dyDescent="0.25">
      <c r="A2004" s="2">
        <f t="shared" si="31"/>
        <v>2002</v>
      </c>
      <c r="B2004" s="7" t="s">
        <v>2669</v>
      </c>
      <c r="C2004" s="7" t="s">
        <v>2670</v>
      </c>
      <c r="D2004" s="7" t="s">
        <v>2669</v>
      </c>
      <c r="E2004" s="7" t="s">
        <v>182</v>
      </c>
      <c r="F2004" s="7" t="s">
        <v>2671</v>
      </c>
      <c r="G2004" s="17" t="s">
        <v>7747</v>
      </c>
      <c r="H2004" s="7" t="s">
        <v>28</v>
      </c>
      <c r="I2004" s="7" t="s">
        <v>1366</v>
      </c>
      <c r="J2004" s="7" t="s">
        <v>185</v>
      </c>
      <c r="K2004" s="7" t="s">
        <v>1435</v>
      </c>
      <c r="L2004" s="7" t="s">
        <v>136</v>
      </c>
      <c r="M2004" s="7">
        <v>3.8805399999999999</v>
      </c>
      <c r="N2004" s="7">
        <v>11.541499999999999</v>
      </c>
      <c r="O2004" s="7" t="s">
        <v>613</v>
      </c>
    </row>
    <row r="2005" spans="1:15" hidden="1" x14ac:dyDescent="0.25">
      <c r="A2005" s="2">
        <f t="shared" si="31"/>
        <v>2003</v>
      </c>
      <c r="B2005" s="7" t="s">
        <v>2672</v>
      </c>
      <c r="C2005" s="7" t="s">
        <v>2673</v>
      </c>
      <c r="D2005" s="7" t="s">
        <v>2672</v>
      </c>
      <c r="E2005" s="7" t="s">
        <v>182</v>
      </c>
      <c r="F2005" s="7" t="s">
        <v>2674</v>
      </c>
      <c r="G2005" s="17" t="s">
        <v>7747</v>
      </c>
      <c r="H2005" s="7" t="s">
        <v>28</v>
      </c>
      <c r="I2005" s="7" t="s">
        <v>1284</v>
      </c>
      <c r="J2005" s="7" t="s">
        <v>185</v>
      </c>
      <c r="K2005" s="7" t="s">
        <v>1322</v>
      </c>
      <c r="L2005" s="7" t="s">
        <v>136</v>
      </c>
      <c r="M2005" s="7">
        <v>3.8320379999999998</v>
      </c>
      <c r="N2005" s="7">
        <v>11.471667</v>
      </c>
      <c r="O2005" s="7" t="s">
        <v>23</v>
      </c>
    </row>
    <row r="2006" spans="1:15" hidden="1" x14ac:dyDescent="0.25">
      <c r="A2006" s="2">
        <f t="shared" si="31"/>
        <v>2004</v>
      </c>
      <c r="B2006" s="7" t="s">
        <v>2675</v>
      </c>
      <c r="C2006" s="7" t="s">
        <v>2676</v>
      </c>
      <c r="D2006" s="7" t="s">
        <v>2675</v>
      </c>
      <c r="E2006" s="7" t="s">
        <v>182</v>
      </c>
      <c r="F2006" s="7" t="s">
        <v>2677</v>
      </c>
      <c r="G2006" s="17" t="s">
        <v>7747</v>
      </c>
      <c r="H2006" s="7" t="s">
        <v>28</v>
      </c>
      <c r="I2006" s="7" t="s">
        <v>1766</v>
      </c>
      <c r="J2006" s="7" t="s">
        <v>185</v>
      </c>
      <c r="K2006" s="7" t="s">
        <v>808</v>
      </c>
      <c r="L2006" s="7" t="s">
        <v>136</v>
      </c>
      <c r="M2006" s="7">
        <v>3.9761600000000001</v>
      </c>
      <c r="N2006" s="7">
        <v>11.544359999999999</v>
      </c>
      <c r="O2006" s="7" t="s">
        <v>23</v>
      </c>
    </row>
    <row r="2007" spans="1:15" hidden="1" x14ac:dyDescent="0.25">
      <c r="A2007" s="2">
        <f t="shared" si="31"/>
        <v>2005</v>
      </c>
      <c r="B2007" s="7" t="s">
        <v>2683</v>
      </c>
      <c r="C2007" s="7" t="s">
        <v>2684</v>
      </c>
      <c r="D2007" s="7" t="s">
        <v>2683</v>
      </c>
      <c r="E2007" s="7" t="s">
        <v>182</v>
      </c>
      <c r="F2007" s="7" t="s">
        <v>2685</v>
      </c>
      <c r="G2007" s="17" t="s">
        <v>7747</v>
      </c>
      <c r="H2007" s="7" t="s">
        <v>28</v>
      </c>
      <c r="I2007" s="7" t="s">
        <v>286</v>
      </c>
      <c r="J2007" s="7" t="s">
        <v>298</v>
      </c>
      <c r="K2007" s="7" t="s">
        <v>2686</v>
      </c>
      <c r="L2007" s="7" t="s">
        <v>136</v>
      </c>
      <c r="M2007" s="7">
        <v>4.4054200000000003</v>
      </c>
      <c r="N2007" s="7">
        <v>11.820442</v>
      </c>
      <c r="O2007" s="7" t="s">
        <v>23</v>
      </c>
    </row>
    <row r="2008" spans="1:15" hidden="1" x14ac:dyDescent="0.25">
      <c r="A2008" s="2">
        <f t="shared" si="31"/>
        <v>2006</v>
      </c>
      <c r="B2008" s="7" t="s">
        <v>2696</v>
      </c>
      <c r="C2008" s="7" t="s">
        <v>2697</v>
      </c>
      <c r="D2008" s="7" t="s">
        <v>2696</v>
      </c>
      <c r="E2008" s="7" t="s">
        <v>182</v>
      </c>
      <c r="F2008" s="7" t="s">
        <v>2698</v>
      </c>
      <c r="G2008" s="17" t="s">
        <v>7747</v>
      </c>
      <c r="H2008" s="7" t="s">
        <v>28</v>
      </c>
      <c r="I2008" s="7" t="s">
        <v>817</v>
      </c>
      <c r="J2008" s="7" t="s">
        <v>818</v>
      </c>
      <c r="K2008" s="7" t="s">
        <v>2187</v>
      </c>
      <c r="L2008" s="7" t="s">
        <v>136</v>
      </c>
      <c r="M2008" s="7">
        <v>3.8836409999999999</v>
      </c>
      <c r="N2008" s="7">
        <v>12.350631</v>
      </c>
      <c r="O2008" s="7" t="s">
        <v>23</v>
      </c>
    </row>
    <row r="2009" spans="1:15" hidden="1" x14ac:dyDescent="0.25">
      <c r="A2009" s="2">
        <f t="shared" si="31"/>
        <v>2007</v>
      </c>
      <c r="B2009" s="7" t="s">
        <v>2742</v>
      </c>
      <c r="C2009" s="7" t="s">
        <v>2743</v>
      </c>
      <c r="D2009" s="7" t="s">
        <v>2742</v>
      </c>
      <c r="E2009" s="7" t="s">
        <v>182</v>
      </c>
      <c r="F2009" s="7" t="s">
        <v>2744</v>
      </c>
      <c r="G2009" s="17" t="s">
        <v>7747</v>
      </c>
      <c r="H2009" s="7" t="s">
        <v>28</v>
      </c>
      <c r="I2009" s="7" t="s">
        <v>275</v>
      </c>
      <c r="J2009" s="7" t="s">
        <v>276</v>
      </c>
      <c r="K2009" s="7" t="s">
        <v>2745</v>
      </c>
      <c r="L2009" s="7" t="s">
        <v>136</v>
      </c>
      <c r="M2009" s="7">
        <v>3.5302500000000001</v>
      </c>
      <c r="N2009" s="7">
        <v>11.394310000000001</v>
      </c>
      <c r="O2009" s="7" t="s">
        <v>23</v>
      </c>
    </row>
    <row r="2010" spans="1:15" hidden="1" x14ac:dyDescent="0.25">
      <c r="A2010" s="2">
        <f t="shared" si="31"/>
        <v>2008</v>
      </c>
      <c r="B2010" s="7" t="s">
        <v>2759</v>
      </c>
      <c r="C2010" s="7" t="s">
        <v>2760</v>
      </c>
      <c r="D2010" s="7" t="s">
        <v>2759</v>
      </c>
      <c r="E2010" s="7" t="s">
        <v>182</v>
      </c>
      <c r="F2010" s="7" t="s">
        <v>2761</v>
      </c>
      <c r="G2010" s="17" t="s">
        <v>7747</v>
      </c>
      <c r="H2010" s="7" t="s">
        <v>28</v>
      </c>
      <c r="I2010" s="7" t="s">
        <v>374</v>
      </c>
      <c r="J2010" s="7" t="s">
        <v>287</v>
      </c>
      <c r="K2010" s="7" t="s">
        <v>1783</v>
      </c>
      <c r="L2010" s="7" t="s">
        <v>136</v>
      </c>
      <c r="M2010" s="7">
        <v>4.371111</v>
      </c>
      <c r="N2010" s="7">
        <v>11.442500000000001</v>
      </c>
      <c r="O2010" s="7" t="s">
        <v>23</v>
      </c>
    </row>
    <row r="2011" spans="1:15" hidden="1" x14ac:dyDescent="0.25">
      <c r="A2011" s="2">
        <f t="shared" si="31"/>
        <v>2009</v>
      </c>
      <c r="B2011" s="7" t="s">
        <v>2767</v>
      </c>
      <c r="C2011" s="7" t="s">
        <v>2768</v>
      </c>
      <c r="D2011" s="7" t="s">
        <v>2767</v>
      </c>
      <c r="E2011" s="7" t="s">
        <v>182</v>
      </c>
      <c r="F2011" s="7" t="s">
        <v>2769</v>
      </c>
      <c r="G2011" s="17" t="s">
        <v>7747</v>
      </c>
      <c r="H2011" s="7" t="s">
        <v>28</v>
      </c>
      <c r="I2011" s="7" t="s">
        <v>286</v>
      </c>
      <c r="J2011" s="7" t="s">
        <v>185</v>
      </c>
      <c r="K2011" s="7" t="s">
        <v>186</v>
      </c>
      <c r="L2011" s="7" t="s">
        <v>136</v>
      </c>
      <c r="M2011" s="7">
        <v>3.9992749999999999</v>
      </c>
      <c r="N2011" s="7">
        <v>11.555152</v>
      </c>
      <c r="O2011" s="7" t="s">
        <v>23</v>
      </c>
    </row>
    <row r="2012" spans="1:15" hidden="1" x14ac:dyDescent="0.25">
      <c r="A2012" s="2">
        <f t="shared" si="31"/>
        <v>2010</v>
      </c>
      <c r="B2012" s="7" t="s">
        <v>2788</v>
      </c>
      <c r="C2012" s="7" t="s">
        <v>2789</v>
      </c>
      <c r="D2012" s="7" t="s">
        <v>2788</v>
      </c>
      <c r="E2012" s="7" t="s">
        <v>182</v>
      </c>
      <c r="F2012" s="7" t="s">
        <v>2790</v>
      </c>
      <c r="G2012" s="17" t="s">
        <v>7747</v>
      </c>
      <c r="H2012" s="7" t="s">
        <v>28</v>
      </c>
      <c r="I2012" s="7" t="s">
        <v>286</v>
      </c>
      <c r="J2012" s="7" t="s">
        <v>287</v>
      </c>
      <c r="K2012" s="7" t="s">
        <v>288</v>
      </c>
      <c r="L2012" s="7" t="s">
        <v>136</v>
      </c>
      <c r="M2012" s="7">
        <v>4.1607979999999998</v>
      </c>
      <c r="N2012" s="7">
        <v>11.526522999999999</v>
      </c>
      <c r="O2012" s="7" t="s">
        <v>23</v>
      </c>
    </row>
    <row r="2013" spans="1:15" hidden="1" x14ac:dyDescent="0.25">
      <c r="A2013" s="2">
        <f t="shared" si="31"/>
        <v>2011</v>
      </c>
      <c r="B2013" s="7" t="s">
        <v>2791</v>
      </c>
      <c r="C2013" s="7" t="s">
        <v>2792</v>
      </c>
      <c r="D2013" s="7" t="s">
        <v>2791</v>
      </c>
      <c r="E2013" s="7" t="s">
        <v>182</v>
      </c>
      <c r="F2013" s="7" t="s">
        <v>2793</v>
      </c>
      <c r="G2013" s="17" t="s">
        <v>7747</v>
      </c>
      <c r="H2013" s="7" t="s">
        <v>28</v>
      </c>
      <c r="I2013" s="7" t="s">
        <v>275</v>
      </c>
      <c r="J2013" s="7" t="s">
        <v>208</v>
      </c>
      <c r="K2013" s="7" t="s">
        <v>485</v>
      </c>
      <c r="L2013" s="7" t="s">
        <v>136</v>
      </c>
      <c r="M2013" s="7">
        <v>3.603583</v>
      </c>
      <c r="N2013" s="7">
        <v>11.185667</v>
      </c>
      <c r="O2013" s="7" t="s">
        <v>23</v>
      </c>
    </row>
    <row r="2014" spans="1:15" hidden="1" x14ac:dyDescent="0.25">
      <c r="A2014" s="2">
        <f t="shared" si="31"/>
        <v>2012</v>
      </c>
      <c r="B2014" s="7" t="s">
        <v>2796</v>
      </c>
      <c r="C2014" s="7" t="s">
        <v>2797</v>
      </c>
      <c r="D2014" s="7" t="s">
        <v>2796</v>
      </c>
      <c r="E2014" s="7" t="s">
        <v>250</v>
      </c>
      <c r="F2014" s="7" t="s">
        <v>2798</v>
      </c>
      <c r="G2014" s="17" t="s">
        <v>7747</v>
      </c>
      <c r="H2014" s="7" t="s">
        <v>28</v>
      </c>
      <c r="I2014" s="7" t="s">
        <v>817</v>
      </c>
      <c r="J2014" s="7" t="s">
        <v>2799</v>
      </c>
      <c r="K2014" s="7" t="s">
        <v>2800</v>
      </c>
      <c r="L2014" s="7" t="s">
        <v>136</v>
      </c>
      <c r="M2014" s="7">
        <v>3.4390619999999998</v>
      </c>
      <c r="N2014" s="7">
        <v>12.448153</v>
      </c>
      <c r="O2014" s="7" t="s">
        <v>23</v>
      </c>
    </row>
    <row r="2015" spans="1:15" hidden="1" x14ac:dyDescent="0.25">
      <c r="A2015" s="2">
        <f t="shared" si="31"/>
        <v>2013</v>
      </c>
      <c r="B2015" s="7" t="s">
        <v>2805</v>
      </c>
      <c r="C2015" s="7" t="s">
        <v>2806</v>
      </c>
      <c r="D2015" s="7" t="s">
        <v>2805</v>
      </c>
      <c r="E2015" s="7" t="s">
        <v>182</v>
      </c>
      <c r="F2015" s="7" t="s">
        <v>2807</v>
      </c>
      <c r="G2015" s="17" t="s">
        <v>7747</v>
      </c>
      <c r="H2015" s="7" t="s">
        <v>19</v>
      </c>
      <c r="I2015" s="7" t="s">
        <v>1284</v>
      </c>
      <c r="J2015" s="7" t="s">
        <v>185</v>
      </c>
      <c r="K2015" s="7" t="s">
        <v>1322</v>
      </c>
      <c r="L2015" s="7" t="s">
        <v>136</v>
      </c>
      <c r="M2015" s="7">
        <v>3.85412</v>
      </c>
      <c r="N2015" s="7">
        <v>11.47932</v>
      </c>
      <c r="O2015" s="7" t="s">
        <v>23</v>
      </c>
    </row>
    <row r="2016" spans="1:15" hidden="1" x14ac:dyDescent="0.25">
      <c r="A2016" s="2">
        <f t="shared" si="31"/>
        <v>2014</v>
      </c>
      <c r="B2016" s="7" t="s">
        <v>2824</v>
      </c>
      <c r="C2016" s="7" t="s">
        <v>2825</v>
      </c>
      <c r="D2016" s="7" t="s">
        <v>2824</v>
      </c>
      <c r="E2016" s="7" t="s">
        <v>182</v>
      </c>
      <c r="F2016" s="7" t="s">
        <v>2826</v>
      </c>
      <c r="G2016" s="17" t="s">
        <v>7747</v>
      </c>
      <c r="H2016" s="7" t="s">
        <v>28</v>
      </c>
      <c r="I2016" s="7" t="s">
        <v>1637</v>
      </c>
      <c r="J2016" s="7" t="s">
        <v>185</v>
      </c>
      <c r="K2016" s="7" t="s">
        <v>1462</v>
      </c>
      <c r="L2016" s="7" t="s">
        <v>136</v>
      </c>
      <c r="M2016" s="7">
        <v>3.850806</v>
      </c>
      <c r="N2016" s="7">
        <v>11.493138999999999</v>
      </c>
      <c r="O2016" s="7" t="s">
        <v>613</v>
      </c>
    </row>
    <row r="2017" spans="1:15" hidden="1" x14ac:dyDescent="0.25">
      <c r="A2017" s="2">
        <f t="shared" si="31"/>
        <v>2015</v>
      </c>
      <c r="B2017" s="7" t="s">
        <v>2885</v>
      </c>
      <c r="C2017" s="7" t="s">
        <v>2886</v>
      </c>
      <c r="D2017" s="7" t="s">
        <v>2885</v>
      </c>
      <c r="E2017" s="7" t="s">
        <v>182</v>
      </c>
      <c r="F2017" s="7" t="s">
        <v>2887</v>
      </c>
      <c r="G2017" s="17" t="s">
        <v>7747</v>
      </c>
      <c r="H2017" s="7" t="s">
        <v>19</v>
      </c>
      <c r="I2017" s="7" t="s">
        <v>1637</v>
      </c>
      <c r="J2017" s="7" t="s">
        <v>185</v>
      </c>
      <c r="K2017" s="7" t="s">
        <v>1462</v>
      </c>
      <c r="L2017" s="7" t="s">
        <v>136</v>
      </c>
      <c r="M2017" s="7">
        <v>3.867639</v>
      </c>
      <c r="N2017" s="7">
        <v>11.504667</v>
      </c>
      <c r="O2017" s="7" t="s">
        <v>613</v>
      </c>
    </row>
    <row r="2018" spans="1:15" hidden="1" x14ac:dyDescent="0.25">
      <c r="A2018" s="2">
        <f t="shared" si="31"/>
        <v>2016</v>
      </c>
      <c r="B2018" s="7" t="s">
        <v>2929</v>
      </c>
      <c r="C2018" s="7" t="s">
        <v>2930</v>
      </c>
      <c r="D2018" s="7" t="s">
        <v>2929</v>
      </c>
      <c r="E2018" s="7" t="s">
        <v>182</v>
      </c>
      <c r="F2018" s="7" t="s">
        <v>2931</v>
      </c>
      <c r="G2018" s="17" t="s">
        <v>7747</v>
      </c>
      <c r="H2018" s="7" t="s">
        <v>28</v>
      </c>
      <c r="I2018" s="7" t="s">
        <v>1374</v>
      </c>
      <c r="J2018" s="7" t="s">
        <v>185</v>
      </c>
      <c r="K2018" s="7" t="s">
        <v>1375</v>
      </c>
      <c r="L2018" s="7" t="s">
        <v>136</v>
      </c>
      <c r="M2018" s="7">
        <v>3.8830960000000001</v>
      </c>
      <c r="N2018" s="7">
        <v>11.498564</v>
      </c>
      <c r="O2018" s="7" t="s">
        <v>613</v>
      </c>
    </row>
    <row r="2019" spans="1:15" hidden="1" x14ac:dyDescent="0.25">
      <c r="A2019" s="2">
        <f t="shared" si="31"/>
        <v>2017</v>
      </c>
      <c r="B2019" s="7" t="s">
        <v>2935</v>
      </c>
      <c r="C2019" s="7" t="s">
        <v>2936</v>
      </c>
      <c r="D2019" s="7" t="s">
        <v>2935</v>
      </c>
      <c r="E2019" s="7" t="s">
        <v>182</v>
      </c>
      <c r="F2019" s="7" t="s">
        <v>2937</v>
      </c>
      <c r="G2019" s="17" t="s">
        <v>7747</v>
      </c>
      <c r="H2019" s="7" t="s">
        <v>28</v>
      </c>
      <c r="I2019" s="7" t="s">
        <v>184</v>
      </c>
      <c r="J2019" s="7" t="s">
        <v>185</v>
      </c>
      <c r="K2019" s="7" t="s">
        <v>1435</v>
      </c>
      <c r="L2019" s="7" t="s">
        <v>136</v>
      </c>
      <c r="M2019" s="7">
        <v>3.8844599999999998</v>
      </c>
      <c r="N2019" s="7">
        <v>11.55171</v>
      </c>
      <c r="O2019" s="7" t="s">
        <v>613</v>
      </c>
    </row>
    <row r="2020" spans="1:15" hidden="1" x14ac:dyDescent="0.25">
      <c r="A2020" s="2">
        <f t="shared" si="31"/>
        <v>2018</v>
      </c>
      <c r="B2020" s="7" t="s">
        <v>2953</v>
      </c>
      <c r="C2020" s="7" t="s">
        <v>2954</v>
      </c>
      <c r="D2020" s="7" t="s">
        <v>2953</v>
      </c>
      <c r="E2020" s="7" t="s">
        <v>182</v>
      </c>
      <c r="F2020" s="7" t="s">
        <v>2955</v>
      </c>
      <c r="G2020" s="17" t="s">
        <v>7747</v>
      </c>
      <c r="H2020" s="7" t="s">
        <v>28</v>
      </c>
      <c r="I2020" s="7" t="s">
        <v>807</v>
      </c>
      <c r="J2020" s="7" t="s">
        <v>185</v>
      </c>
      <c r="K2020" s="7" t="s">
        <v>1435</v>
      </c>
      <c r="L2020" s="7" t="s">
        <v>136</v>
      </c>
      <c r="M2020" s="7">
        <v>3.8714170000000001</v>
      </c>
      <c r="N2020" s="7">
        <v>11.531131999999999</v>
      </c>
      <c r="O2020" s="7" t="s">
        <v>23</v>
      </c>
    </row>
    <row r="2021" spans="1:15" hidden="1" x14ac:dyDescent="0.25">
      <c r="A2021" s="2">
        <f t="shared" si="31"/>
        <v>2019</v>
      </c>
      <c r="B2021" s="7" t="s">
        <v>2972</v>
      </c>
      <c r="C2021" s="7" t="s">
        <v>2973</v>
      </c>
      <c r="D2021" s="7" t="s">
        <v>2972</v>
      </c>
      <c r="E2021" s="7" t="s">
        <v>182</v>
      </c>
      <c r="F2021" s="7" t="s">
        <v>2974</v>
      </c>
      <c r="G2021" s="17" t="s">
        <v>7747</v>
      </c>
      <c r="H2021" s="7" t="s">
        <v>28</v>
      </c>
      <c r="I2021" s="7" t="s">
        <v>275</v>
      </c>
      <c r="J2021" s="7" t="s">
        <v>185</v>
      </c>
      <c r="K2021" s="7" t="s">
        <v>1322</v>
      </c>
      <c r="L2021" s="7" t="s">
        <v>136</v>
      </c>
      <c r="M2021" s="7">
        <v>3.8074170000000001</v>
      </c>
      <c r="N2021" s="7">
        <v>11.456694000000001</v>
      </c>
      <c r="O2021" s="7" t="s">
        <v>23</v>
      </c>
    </row>
    <row r="2022" spans="1:15" hidden="1" x14ac:dyDescent="0.25">
      <c r="A2022" s="2">
        <f t="shared" si="31"/>
        <v>2020</v>
      </c>
      <c r="B2022" s="7" t="s">
        <v>2993</v>
      </c>
      <c r="C2022" s="7" t="s">
        <v>2994</v>
      </c>
      <c r="D2022" s="7" t="s">
        <v>2993</v>
      </c>
      <c r="E2022" s="7" t="s">
        <v>182</v>
      </c>
      <c r="F2022" s="7" t="s">
        <v>2995</v>
      </c>
      <c r="G2022" s="17" t="s">
        <v>7747</v>
      </c>
      <c r="H2022" s="7" t="s">
        <v>28</v>
      </c>
      <c r="I2022" s="7" t="s">
        <v>1553</v>
      </c>
      <c r="J2022" s="7" t="s">
        <v>185</v>
      </c>
      <c r="K2022" s="7" t="s">
        <v>1367</v>
      </c>
      <c r="L2022" s="7" t="s">
        <v>136</v>
      </c>
      <c r="M2022" s="7">
        <v>3.8479749999999999</v>
      </c>
      <c r="N2022" s="7">
        <v>11.547172</v>
      </c>
      <c r="O2022" s="7" t="s">
        <v>23</v>
      </c>
    </row>
    <row r="2023" spans="1:15" hidden="1" x14ac:dyDescent="0.25">
      <c r="A2023" s="2">
        <f t="shared" si="31"/>
        <v>2021</v>
      </c>
      <c r="B2023" s="7" t="s">
        <v>2996</v>
      </c>
      <c r="C2023" s="7" t="s">
        <v>2997</v>
      </c>
      <c r="D2023" s="7" t="s">
        <v>2996</v>
      </c>
      <c r="E2023" s="7" t="s">
        <v>182</v>
      </c>
      <c r="F2023" s="7" t="s">
        <v>2998</v>
      </c>
      <c r="G2023" s="17" t="s">
        <v>7747</v>
      </c>
      <c r="H2023" s="7" t="s">
        <v>28</v>
      </c>
      <c r="I2023" s="7" t="s">
        <v>1385</v>
      </c>
      <c r="J2023" s="7" t="s">
        <v>185</v>
      </c>
      <c r="K2023" s="7" t="s">
        <v>1367</v>
      </c>
      <c r="L2023" s="7" t="s">
        <v>136</v>
      </c>
      <c r="M2023" s="7">
        <v>3.8325399999999998</v>
      </c>
      <c r="N2023" s="7">
        <v>11.53077</v>
      </c>
      <c r="O2023" s="7" t="s">
        <v>23</v>
      </c>
    </row>
    <row r="2024" spans="1:15" hidden="1" x14ac:dyDescent="0.25">
      <c r="A2024" s="2">
        <f t="shared" si="31"/>
        <v>2022</v>
      </c>
      <c r="B2024" s="7" t="s">
        <v>2999</v>
      </c>
      <c r="C2024" s="7" t="s">
        <v>3000</v>
      </c>
      <c r="D2024" s="7" t="s">
        <v>2999</v>
      </c>
      <c r="E2024" s="7" t="s">
        <v>182</v>
      </c>
      <c r="F2024" s="7" t="s">
        <v>3001</v>
      </c>
      <c r="G2024" s="17" t="s">
        <v>7747</v>
      </c>
      <c r="H2024" s="7" t="s">
        <v>19</v>
      </c>
      <c r="I2024" s="7" t="s">
        <v>1553</v>
      </c>
      <c r="J2024" s="7" t="s">
        <v>826</v>
      </c>
      <c r="K2024" s="7" t="s">
        <v>2499</v>
      </c>
      <c r="L2024" s="7" t="s">
        <v>136</v>
      </c>
      <c r="M2024" s="7">
        <v>3.7256939999999998</v>
      </c>
      <c r="N2024" s="7">
        <v>11.638999999999999</v>
      </c>
      <c r="O2024" s="7" t="s">
        <v>23</v>
      </c>
    </row>
    <row r="2025" spans="1:15" hidden="1" x14ac:dyDescent="0.25">
      <c r="A2025" s="2">
        <f t="shared" si="31"/>
        <v>2023</v>
      </c>
      <c r="B2025" s="7" t="s">
        <v>3008</v>
      </c>
      <c r="C2025" s="7" t="s">
        <v>3009</v>
      </c>
      <c r="D2025" s="7" t="s">
        <v>3008</v>
      </c>
      <c r="E2025" s="7" t="s">
        <v>182</v>
      </c>
      <c r="F2025" s="7" t="s">
        <v>3010</v>
      </c>
      <c r="G2025" s="17" t="s">
        <v>7747</v>
      </c>
      <c r="H2025" s="7" t="s">
        <v>28</v>
      </c>
      <c r="I2025" s="7" t="s">
        <v>184</v>
      </c>
      <c r="J2025" s="7" t="s">
        <v>185</v>
      </c>
      <c r="K2025" s="7" t="s">
        <v>1435</v>
      </c>
      <c r="L2025" s="7" t="s">
        <v>136</v>
      </c>
      <c r="M2025" s="7">
        <v>3.9487199999999998</v>
      </c>
      <c r="N2025" s="7">
        <v>11.5884</v>
      </c>
      <c r="O2025" s="7" t="s">
        <v>23</v>
      </c>
    </row>
    <row r="2026" spans="1:15" hidden="1" x14ac:dyDescent="0.25">
      <c r="A2026" s="2">
        <f t="shared" si="31"/>
        <v>2024</v>
      </c>
      <c r="B2026" s="7" t="s">
        <v>3014</v>
      </c>
      <c r="C2026" s="7" t="s">
        <v>3015</v>
      </c>
      <c r="D2026" s="7" t="s">
        <v>3014</v>
      </c>
      <c r="E2026" s="7" t="s">
        <v>182</v>
      </c>
      <c r="F2026" s="7" t="s">
        <v>3001</v>
      </c>
      <c r="G2026" s="17" t="s">
        <v>7747</v>
      </c>
      <c r="H2026" s="7" t="s">
        <v>19</v>
      </c>
      <c r="I2026" s="7" t="s">
        <v>1553</v>
      </c>
      <c r="J2026" s="7" t="s">
        <v>826</v>
      </c>
      <c r="K2026" s="7" t="s">
        <v>2499</v>
      </c>
      <c r="L2026" s="7" t="s">
        <v>136</v>
      </c>
      <c r="M2026" s="7">
        <v>3.727147</v>
      </c>
      <c r="N2026" s="7">
        <v>11.638579</v>
      </c>
      <c r="O2026" s="7" t="s">
        <v>23</v>
      </c>
    </row>
    <row r="2027" spans="1:15" hidden="1" x14ac:dyDescent="0.25">
      <c r="A2027" s="2">
        <f t="shared" si="31"/>
        <v>2025</v>
      </c>
      <c r="B2027" s="7" t="s">
        <v>3049</v>
      </c>
      <c r="C2027" s="7" t="s">
        <v>3050</v>
      </c>
      <c r="D2027" s="7" t="s">
        <v>3049</v>
      </c>
      <c r="E2027" s="7" t="s">
        <v>74</v>
      </c>
      <c r="F2027" s="7" t="s">
        <v>3051</v>
      </c>
      <c r="G2027" s="17" t="s">
        <v>7747</v>
      </c>
      <c r="H2027" s="7" t="s">
        <v>28</v>
      </c>
      <c r="I2027" s="7" t="s">
        <v>481</v>
      </c>
      <c r="J2027" s="7" t="s">
        <v>298</v>
      </c>
      <c r="K2027" s="7" t="s">
        <v>1862</v>
      </c>
      <c r="L2027" s="7" t="s">
        <v>136</v>
      </c>
      <c r="M2027" s="7">
        <v>4.6666249999999998</v>
      </c>
      <c r="N2027" s="7">
        <v>12.378568</v>
      </c>
      <c r="O2027" s="7" t="s">
        <v>23</v>
      </c>
    </row>
    <row r="2028" spans="1:15" hidden="1" x14ac:dyDescent="0.25">
      <c r="A2028" s="2">
        <f t="shared" si="31"/>
        <v>2026</v>
      </c>
      <c r="B2028" s="7" t="s">
        <v>3070</v>
      </c>
      <c r="C2028" s="7" t="s">
        <v>3071</v>
      </c>
      <c r="D2028" s="7" t="s">
        <v>3070</v>
      </c>
      <c r="E2028" s="7" t="s">
        <v>182</v>
      </c>
      <c r="F2028" s="7" t="s">
        <v>3072</v>
      </c>
      <c r="G2028" s="17" t="s">
        <v>7747</v>
      </c>
      <c r="H2028" s="7" t="s">
        <v>28</v>
      </c>
      <c r="I2028" s="7" t="s">
        <v>1766</v>
      </c>
      <c r="J2028" s="7" t="s">
        <v>185</v>
      </c>
      <c r="K2028" s="7" t="s">
        <v>808</v>
      </c>
      <c r="L2028" s="7" t="s">
        <v>136</v>
      </c>
      <c r="M2028" s="7">
        <v>3.9582099999999998</v>
      </c>
      <c r="N2028" s="7">
        <v>11.517160000000001</v>
      </c>
      <c r="O2028" s="7" t="s">
        <v>23</v>
      </c>
    </row>
    <row r="2029" spans="1:15" hidden="1" x14ac:dyDescent="0.25">
      <c r="A2029" s="2">
        <f t="shared" si="31"/>
        <v>2027</v>
      </c>
      <c r="B2029" s="7" t="s">
        <v>3135</v>
      </c>
      <c r="C2029" s="7" t="s">
        <v>3136</v>
      </c>
      <c r="D2029" s="7" t="s">
        <v>3135</v>
      </c>
      <c r="E2029" s="7" t="s">
        <v>182</v>
      </c>
      <c r="F2029" s="7" t="s">
        <v>3137</v>
      </c>
      <c r="G2029" s="17" t="s">
        <v>7747</v>
      </c>
      <c r="H2029" s="7" t="s">
        <v>28</v>
      </c>
      <c r="I2029" s="7" t="s">
        <v>807</v>
      </c>
      <c r="J2029" s="7" t="s">
        <v>185</v>
      </c>
      <c r="K2029" s="7" t="s">
        <v>1375</v>
      </c>
      <c r="L2029" s="7" t="s">
        <v>136</v>
      </c>
      <c r="M2029" s="7">
        <v>3.9337070000000001</v>
      </c>
      <c r="N2029" s="7">
        <v>11.554975000000001</v>
      </c>
      <c r="O2029" s="7" t="s">
        <v>23</v>
      </c>
    </row>
    <row r="2030" spans="1:15" hidden="1" x14ac:dyDescent="0.25">
      <c r="A2030" s="2">
        <f t="shared" si="31"/>
        <v>2028</v>
      </c>
      <c r="B2030" s="7" t="s">
        <v>3182</v>
      </c>
      <c r="C2030" s="7" t="s">
        <v>3183</v>
      </c>
      <c r="D2030" s="7" t="s">
        <v>3182</v>
      </c>
      <c r="E2030" s="7" t="s">
        <v>182</v>
      </c>
      <c r="F2030" s="7" t="s">
        <v>3184</v>
      </c>
      <c r="G2030" s="17" t="s">
        <v>7747</v>
      </c>
      <c r="H2030" s="7" t="s">
        <v>28</v>
      </c>
      <c r="I2030" s="7" t="s">
        <v>807</v>
      </c>
      <c r="J2030" s="7" t="s">
        <v>185</v>
      </c>
      <c r="K2030" s="7" t="s">
        <v>1435</v>
      </c>
      <c r="L2030" s="7" t="s">
        <v>136</v>
      </c>
      <c r="M2030" s="7">
        <v>3.8875950000000001</v>
      </c>
      <c r="N2030" s="7">
        <v>11.537982</v>
      </c>
      <c r="O2030" s="7" t="s">
        <v>613</v>
      </c>
    </row>
    <row r="2031" spans="1:15" hidden="1" x14ac:dyDescent="0.25">
      <c r="A2031" s="2">
        <f t="shared" si="31"/>
        <v>2029</v>
      </c>
      <c r="B2031" s="7" t="s">
        <v>3215</v>
      </c>
      <c r="C2031" s="7" t="s">
        <v>3216</v>
      </c>
      <c r="D2031" s="7" t="s">
        <v>3215</v>
      </c>
      <c r="E2031" s="7" t="s">
        <v>182</v>
      </c>
      <c r="F2031" s="7" t="s">
        <v>3217</v>
      </c>
      <c r="G2031" s="17" t="s">
        <v>7747</v>
      </c>
      <c r="H2031" s="7" t="s">
        <v>28</v>
      </c>
      <c r="I2031" s="7" t="s">
        <v>1374</v>
      </c>
      <c r="J2031" s="7" t="s">
        <v>185</v>
      </c>
      <c r="K2031" s="7" t="s">
        <v>1375</v>
      </c>
      <c r="L2031" s="7" t="s">
        <v>136</v>
      </c>
      <c r="M2031" s="7">
        <v>3.889472</v>
      </c>
      <c r="N2031" s="7">
        <v>11.507250000000001</v>
      </c>
      <c r="O2031" s="7" t="s">
        <v>613</v>
      </c>
    </row>
    <row r="2032" spans="1:15" hidden="1" x14ac:dyDescent="0.25">
      <c r="A2032" s="2">
        <f t="shared" si="31"/>
        <v>2030</v>
      </c>
      <c r="B2032" s="7" t="s">
        <v>3218</v>
      </c>
      <c r="C2032" s="7" t="s">
        <v>3219</v>
      </c>
      <c r="D2032" s="7" t="s">
        <v>3218</v>
      </c>
      <c r="E2032" s="7" t="s">
        <v>182</v>
      </c>
      <c r="F2032" s="7" t="s">
        <v>3220</v>
      </c>
      <c r="G2032" s="17" t="s">
        <v>7747</v>
      </c>
      <c r="H2032" s="7" t="s">
        <v>19</v>
      </c>
      <c r="I2032" s="7" t="s">
        <v>807</v>
      </c>
      <c r="J2032" s="7" t="s">
        <v>185</v>
      </c>
      <c r="K2032" s="7" t="s">
        <v>808</v>
      </c>
      <c r="L2032" s="7" t="s">
        <v>136</v>
      </c>
      <c r="M2032" s="7">
        <v>3.9239999999999999</v>
      </c>
      <c r="N2032" s="7">
        <v>11.537000000000001</v>
      </c>
      <c r="O2032" s="7" t="s">
        <v>23</v>
      </c>
    </row>
    <row r="2033" spans="1:15" hidden="1" x14ac:dyDescent="0.25">
      <c r="A2033" s="2">
        <f t="shared" si="31"/>
        <v>2031</v>
      </c>
      <c r="B2033" s="7" t="s">
        <v>3221</v>
      </c>
      <c r="C2033" s="7" t="s">
        <v>3222</v>
      </c>
      <c r="D2033" s="7" t="s">
        <v>3221</v>
      </c>
      <c r="E2033" s="7" t="s">
        <v>182</v>
      </c>
      <c r="F2033" s="7" t="s">
        <v>3223</v>
      </c>
      <c r="G2033" s="17" t="s">
        <v>7747</v>
      </c>
      <c r="H2033" s="7" t="s">
        <v>28</v>
      </c>
      <c r="I2033" s="7" t="s">
        <v>1284</v>
      </c>
      <c r="J2033" s="7" t="s">
        <v>185</v>
      </c>
      <c r="K2033" s="7" t="s">
        <v>1322</v>
      </c>
      <c r="L2033" s="7" t="s">
        <v>136</v>
      </c>
      <c r="M2033" s="7">
        <v>3.8050000000000002</v>
      </c>
      <c r="N2033" s="7">
        <v>11.481</v>
      </c>
      <c r="O2033" s="7" t="s">
        <v>23</v>
      </c>
    </row>
    <row r="2034" spans="1:15" hidden="1" x14ac:dyDescent="0.25">
      <c r="A2034" s="2">
        <f t="shared" si="31"/>
        <v>2032</v>
      </c>
      <c r="B2034" s="7" t="s">
        <v>3224</v>
      </c>
      <c r="C2034" s="7" t="s">
        <v>3225</v>
      </c>
      <c r="D2034" s="7" t="s">
        <v>3224</v>
      </c>
      <c r="E2034" s="7" t="s">
        <v>182</v>
      </c>
      <c r="F2034" s="7" t="s">
        <v>3226</v>
      </c>
      <c r="G2034" s="17" t="s">
        <v>7747</v>
      </c>
      <c r="H2034" s="7" t="s">
        <v>28</v>
      </c>
      <c r="I2034" s="7" t="s">
        <v>1766</v>
      </c>
      <c r="J2034" s="7" t="s">
        <v>185</v>
      </c>
      <c r="K2034" s="7" t="s">
        <v>808</v>
      </c>
      <c r="L2034" s="7" t="s">
        <v>136</v>
      </c>
      <c r="M2034" s="7">
        <v>3.89</v>
      </c>
      <c r="N2034" s="7">
        <v>11.529</v>
      </c>
      <c r="O2034" s="7" t="s">
        <v>613</v>
      </c>
    </row>
    <row r="2035" spans="1:15" hidden="1" x14ac:dyDescent="0.25">
      <c r="A2035" s="2">
        <f t="shared" si="31"/>
        <v>2033</v>
      </c>
      <c r="B2035" s="7" t="s">
        <v>3227</v>
      </c>
      <c r="C2035" s="7" t="s">
        <v>3228</v>
      </c>
      <c r="D2035" s="7" t="s">
        <v>3227</v>
      </c>
      <c r="E2035" s="7" t="s">
        <v>182</v>
      </c>
      <c r="F2035" s="7" t="s">
        <v>3229</v>
      </c>
      <c r="G2035" s="17" t="s">
        <v>7747</v>
      </c>
      <c r="H2035" s="7" t="s">
        <v>28</v>
      </c>
      <c r="I2035" s="7" t="s">
        <v>184</v>
      </c>
      <c r="J2035" s="7" t="s">
        <v>185</v>
      </c>
      <c r="K2035" s="7" t="s">
        <v>186</v>
      </c>
      <c r="L2035" s="7" t="s">
        <v>136</v>
      </c>
      <c r="M2035" s="7">
        <v>3.9678100000000001</v>
      </c>
      <c r="N2035" s="7">
        <v>11.5929</v>
      </c>
      <c r="O2035" s="7" t="s">
        <v>613</v>
      </c>
    </row>
    <row r="2036" spans="1:15" hidden="1" x14ac:dyDescent="0.25">
      <c r="A2036" s="2">
        <f t="shared" si="31"/>
        <v>2034</v>
      </c>
      <c r="B2036" s="7" t="s">
        <v>3236</v>
      </c>
      <c r="C2036" s="7" t="s">
        <v>3237</v>
      </c>
      <c r="D2036" s="7" t="s">
        <v>3236</v>
      </c>
      <c r="E2036" s="7" t="s">
        <v>182</v>
      </c>
      <c r="F2036" s="7" t="s">
        <v>3238</v>
      </c>
      <c r="G2036" s="17" t="s">
        <v>7747</v>
      </c>
      <c r="H2036" s="7" t="s">
        <v>28</v>
      </c>
      <c r="I2036" s="7" t="s">
        <v>1461</v>
      </c>
      <c r="J2036" s="7" t="s">
        <v>185</v>
      </c>
      <c r="K2036" s="7" t="s">
        <v>1367</v>
      </c>
      <c r="L2036" s="7" t="s">
        <v>136</v>
      </c>
      <c r="M2036" s="7">
        <v>3.8272200000000001</v>
      </c>
      <c r="N2036" s="7">
        <v>11.517620000000001</v>
      </c>
      <c r="O2036" s="7" t="s">
        <v>613</v>
      </c>
    </row>
    <row r="2037" spans="1:15" hidden="1" x14ac:dyDescent="0.25">
      <c r="A2037" s="2">
        <f t="shared" si="31"/>
        <v>2035</v>
      </c>
      <c r="B2037" s="7" t="s">
        <v>3239</v>
      </c>
      <c r="C2037" s="7" t="s">
        <v>3240</v>
      </c>
      <c r="D2037" s="7" t="s">
        <v>3239</v>
      </c>
      <c r="E2037" s="7" t="s">
        <v>182</v>
      </c>
      <c r="F2037" s="7" t="s">
        <v>3241</v>
      </c>
      <c r="G2037" s="17" t="s">
        <v>7747</v>
      </c>
      <c r="H2037" s="7" t="s">
        <v>28</v>
      </c>
      <c r="I2037" s="7" t="s">
        <v>1284</v>
      </c>
      <c r="J2037" s="7" t="s">
        <v>185</v>
      </c>
      <c r="K2037" s="7" t="s">
        <v>1322</v>
      </c>
      <c r="L2037" s="7" t="s">
        <v>136</v>
      </c>
      <c r="M2037" s="7">
        <v>3.8210280000000001</v>
      </c>
      <c r="N2037" s="7">
        <v>11.474289000000001</v>
      </c>
      <c r="O2037" s="7" t="s">
        <v>613</v>
      </c>
    </row>
    <row r="2038" spans="1:15" hidden="1" x14ac:dyDescent="0.25">
      <c r="A2038" s="2">
        <f t="shared" si="31"/>
        <v>2036</v>
      </c>
      <c r="B2038" s="7" t="s">
        <v>3250</v>
      </c>
      <c r="C2038" s="7" t="s">
        <v>3251</v>
      </c>
      <c r="D2038" s="7" t="s">
        <v>3250</v>
      </c>
      <c r="E2038" s="7" t="s">
        <v>182</v>
      </c>
      <c r="F2038" s="7" t="s">
        <v>3252</v>
      </c>
      <c r="G2038" s="17" t="s">
        <v>7747</v>
      </c>
      <c r="H2038" s="7" t="s">
        <v>28</v>
      </c>
      <c r="I2038" s="7" t="s">
        <v>1337</v>
      </c>
      <c r="J2038" s="7" t="s">
        <v>185</v>
      </c>
      <c r="K2038" s="7" t="s">
        <v>1322</v>
      </c>
      <c r="L2038" s="7" t="s">
        <v>136</v>
      </c>
      <c r="M2038" s="7">
        <v>3.8786299999999998</v>
      </c>
      <c r="N2038" s="7">
        <v>11.48537</v>
      </c>
      <c r="O2038" s="7" t="s">
        <v>613</v>
      </c>
    </row>
    <row r="2039" spans="1:15" hidden="1" x14ac:dyDescent="0.25">
      <c r="A2039" s="2">
        <f t="shared" si="31"/>
        <v>2037</v>
      </c>
      <c r="B2039" s="7" t="s">
        <v>3253</v>
      </c>
      <c r="C2039" s="7" t="s">
        <v>3254</v>
      </c>
      <c r="D2039" s="7" t="s">
        <v>3253</v>
      </c>
      <c r="E2039" s="7" t="s">
        <v>182</v>
      </c>
      <c r="F2039" s="7" t="s">
        <v>3255</v>
      </c>
      <c r="G2039" s="17" t="s">
        <v>7747</v>
      </c>
      <c r="H2039" s="7" t="s">
        <v>28</v>
      </c>
      <c r="I2039" s="7" t="s">
        <v>807</v>
      </c>
      <c r="J2039" s="7" t="s">
        <v>185</v>
      </c>
      <c r="K2039" s="7" t="s">
        <v>1435</v>
      </c>
      <c r="L2039" s="7" t="s">
        <v>136</v>
      </c>
      <c r="M2039" s="7">
        <v>3.8760140000000001</v>
      </c>
      <c r="N2039" s="7">
        <v>11.531523999999999</v>
      </c>
      <c r="O2039" s="7" t="s">
        <v>613</v>
      </c>
    </row>
    <row r="2040" spans="1:15" hidden="1" x14ac:dyDescent="0.25">
      <c r="A2040" s="2">
        <f t="shared" si="31"/>
        <v>2038</v>
      </c>
      <c r="B2040" s="7" t="s">
        <v>3259</v>
      </c>
      <c r="C2040" s="7" t="s">
        <v>3260</v>
      </c>
      <c r="D2040" s="7" t="s">
        <v>3259</v>
      </c>
      <c r="E2040" s="7" t="s">
        <v>182</v>
      </c>
      <c r="F2040" s="7" t="s">
        <v>3261</v>
      </c>
      <c r="G2040" s="17" t="s">
        <v>7747</v>
      </c>
      <c r="H2040" s="7" t="s">
        <v>28</v>
      </c>
      <c r="I2040" s="7" t="s">
        <v>1461</v>
      </c>
      <c r="J2040" s="7" t="s">
        <v>185</v>
      </c>
      <c r="K2040" s="7" t="s">
        <v>1462</v>
      </c>
      <c r="L2040" s="7" t="s">
        <v>136</v>
      </c>
      <c r="M2040" s="7">
        <v>3.8433609999999998</v>
      </c>
      <c r="N2040" s="7">
        <v>11.506610999999999</v>
      </c>
      <c r="O2040" s="7" t="s">
        <v>23</v>
      </c>
    </row>
    <row r="2041" spans="1:15" hidden="1" x14ac:dyDescent="0.25">
      <c r="A2041" s="2">
        <f t="shared" si="31"/>
        <v>2039</v>
      </c>
      <c r="B2041" s="7" t="s">
        <v>3262</v>
      </c>
      <c r="C2041" s="7" t="s">
        <v>3263</v>
      </c>
      <c r="D2041" s="7" t="s">
        <v>3262</v>
      </c>
      <c r="E2041" s="7" t="s">
        <v>182</v>
      </c>
      <c r="F2041" s="7" t="s">
        <v>3264</v>
      </c>
      <c r="G2041" s="17" t="s">
        <v>7747</v>
      </c>
      <c r="H2041" s="7" t="s">
        <v>19</v>
      </c>
      <c r="I2041" s="7" t="s">
        <v>1461</v>
      </c>
      <c r="J2041" s="7" t="s">
        <v>185</v>
      </c>
      <c r="K2041" s="7" t="s">
        <v>1462</v>
      </c>
      <c r="L2041" s="7" t="s">
        <v>136</v>
      </c>
      <c r="M2041" s="7">
        <v>3.8180990000000001</v>
      </c>
      <c r="N2041" s="7">
        <v>11.488170999999999</v>
      </c>
      <c r="O2041" s="7" t="s">
        <v>23</v>
      </c>
    </row>
    <row r="2042" spans="1:15" hidden="1" x14ac:dyDescent="0.25">
      <c r="A2042" s="2">
        <f t="shared" si="31"/>
        <v>2040</v>
      </c>
      <c r="B2042" s="7" t="s">
        <v>3265</v>
      </c>
      <c r="C2042" s="7" t="s">
        <v>3266</v>
      </c>
      <c r="D2042" s="7" t="s">
        <v>3265</v>
      </c>
      <c r="E2042" s="7" t="s">
        <v>182</v>
      </c>
      <c r="F2042" s="7" t="s">
        <v>3267</v>
      </c>
      <c r="G2042" s="17" t="s">
        <v>7747</v>
      </c>
      <c r="H2042" s="7" t="s">
        <v>28</v>
      </c>
      <c r="I2042" s="7" t="s">
        <v>1366</v>
      </c>
      <c r="J2042" s="7" t="s">
        <v>185</v>
      </c>
      <c r="K2042" s="7" t="s">
        <v>1435</v>
      </c>
      <c r="L2042" s="7" t="s">
        <v>136</v>
      </c>
      <c r="M2042" s="7">
        <v>3.8787799999999999</v>
      </c>
      <c r="N2042" s="7">
        <v>11.54899</v>
      </c>
      <c r="O2042" s="7" t="s">
        <v>613</v>
      </c>
    </row>
    <row r="2043" spans="1:15" hidden="1" x14ac:dyDescent="0.25">
      <c r="A2043" s="2">
        <f t="shared" si="31"/>
        <v>2041</v>
      </c>
      <c r="B2043" s="7" t="s">
        <v>3270</v>
      </c>
      <c r="C2043" s="7" t="s">
        <v>3271</v>
      </c>
      <c r="D2043" s="7" t="s">
        <v>3270</v>
      </c>
      <c r="E2043" s="7" t="s">
        <v>250</v>
      </c>
      <c r="F2043" s="7" t="s">
        <v>3272</v>
      </c>
      <c r="G2043" s="17" t="s">
        <v>7747</v>
      </c>
      <c r="H2043" s="7" t="s">
        <v>28</v>
      </c>
      <c r="I2043" s="7" t="s">
        <v>311</v>
      </c>
      <c r="J2043" s="7" t="s">
        <v>312</v>
      </c>
      <c r="K2043" s="7" t="s">
        <v>2594</v>
      </c>
      <c r="L2043" s="7" t="s">
        <v>136</v>
      </c>
      <c r="M2043" s="7">
        <v>2.9254899999999999</v>
      </c>
      <c r="N2043" s="7">
        <v>11.162642</v>
      </c>
      <c r="O2043" s="7" t="s">
        <v>23</v>
      </c>
    </row>
    <row r="2044" spans="1:15" hidden="1" x14ac:dyDescent="0.25">
      <c r="A2044" s="2">
        <f t="shared" si="31"/>
        <v>2042</v>
      </c>
      <c r="B2044" s="7" t="s">
        <v>3273</v>
      </c>
      <c r="C2044" s="7" t="s">
        <v>3274</v>
      </c>
      <c r="D2044" s="7" t="s">
        <v>3273</v>
      </c>
      <c r="E2044" s="7" t="s">
        <v>182</v>
      </c>
      <c r="F2044" s="7" t="s">
        <v>3275</v>
      </c>
      <c r="G2044" s="17" t="s">
        <v>7747</v>
      </c>
      <c r="H2044" s="7" t="s">
        <v>28</v>
      </c>
      <c r="I2044" s="7" t="s">
        <v>1637</v>
      </c>
      <c r="J2044" s="7" t="s">
        <v>185</v>
      </c>
      <c r="K2044" s="7" t="s">
        <v>1322</v>
      </c>
      <c r="L2044" s="7" t="s">
        <v>136</v>
      </c>
      <c r="M2044" s="7">
        <v>3.8646940000000001</v>
      </c>
      <c r="N2044" s="7">
        <v>11.48875</v>
      </c>
      <c r="O2044" s="7" t="s">
        <v>23</v>
      </c>
    </row>
    <row r="2045" spans="1:15" hidden="1" x14ac:dyDescent="0.25">
      <c r="A2045" s="2">
        <f t="shared" si="31"/>
        <v>2043</v>
      </c>
      <c r="B2045" s="7" t="s">
        <v>3293</v>
      </c>
      <c r="C2045" s="7" t="s">
        <v>3294</v>
      </c>
      <c r="D2045" s="7" t="s">
        <v>3293</v>
      </c>
      <c r="E2045" s="7" t="s">
        <v>182</v>
      </c>
      <c r="F2045" s="7" t="s">
        <v>3295</v>
      </c>
      <c r="G2045" s="17" t="s">
        <v>7747</v>
      </c>
      <c r="H2045" s="7" t="s">
        <v>28</v>
      </c>
      <c r="I2045" s="7" t="s">
        <v>297</v>
      </c>
      <c r="J2045" s="7" t="s">
        <v>185</v>
      </c>
      <c r="K2045" s="7" t="s">
        <v>1393</v>
      </c>
      <c r="L2045" s="7" t="s">
        <v>136</v>
      </c>
      <c r="M2045" s="7">
        <v>3.8796149999999998</v>
      </c>
      <c r="N2045" s="7">
        <v>11.457051999999999</v>
      </c>
      <c r="O2045" s="7" t="s">
        <v>23</v>
      </c>
    </row>
    <row r="2046" spans="1:15" hidden="1" x14ac:dyDescent="0.25">
      <c r="A2046" s="2">
        <f t="shared" si="31"/>
        <v>2044</v>
      </c>
      <c r="B2046" s="7" t="s">
        <v>3305</v>
      </c>
      <c r="C2046" s="7" t="s">
        <v>3306</v>
      </c>
      <c r="D2046" s="7" t="s">
        <v>3305</v>
      </c>
      <c r="E2046" s="7" t="s">
        <v>182</v>
      </c>
      <c r="F2046" s="7" t="s">
        <v>3307</v>
      </c>
      <c r="G2046" s="17" t="s">
        <v>7747</v>
      </c>
      <c r="H2046" s="7" t="s">
        <v>28</v>
      </c>
      <c r="I2046" s="7" t="s">
        <v>1766</v>
      </c>
      <c r="J2046" s="7" t="s">
        <v>185</v>
      </c>
      <c r="K2046" s="7" t="s">
        <v>808</v>
      </c>
      <c r="L2046" s="7" t="s">
        <v>136</v>
      </c>
      <c r="M2046" s="7">
        <v>3.9170280000000002</v>
      </c>
      <c r="N2046" s="7">
        <v>11.521167</v>
      </c>
      <c r="O2046" s="7" t="s">
        <v>613</v>
      </c>
    </row>
    <row r="2047" spans="1:15" hidden="1" x14ac:dyDescent="0.25">
      <c r="A2047" s="2">
        <f t="shared" si="31"/>
        <v>2045</v>
      </c>
      <c r="B2047" s="7" t="s">
        <v>3308</v>
      </c>
      <c r="C2047" s="7" t="s">
        <v>3309</v>
      </c>
      <c r="D2047" s="7" t="s">
        <v>3308</v>
      </c>
      <c r="E2047" s="7" t="s">
        <v>182</v>
      </c>
      <c r="F2047" s="7" t="s">
        <v>2302</v>
      </c>
      <c r="G2047" s="17" t="s">
        <v>7747</v>
      </c>
      <c r="H2047" s="7" t="s">
        <v>28</v>
      </c>
      <c r="I2047" s="7" t="s">
        <v>1766</v>
      </c>
      <c r="J2047" s="7" t="s">
        <v>185</v>
      </c>
      <c r="K2047" s="7" t="s">
        <v>808</v>
      </c>
      <c r="L2047" s="7" t="s">
        <v>136</v>
      </c>
      <c r="M2047" s="7">
        <v>3.9365559999999999</v>
      </c>
      <c r="N2047" s="7">
        <v>11.521139</v>
      </c>
      <c r="O2047" s="7" t="s">
        <v>23</v>
      </c>
    </row>
    <row r="2048" spans="1:15" hidden="1" x14ac:dyDescent="0.25">
      <c r="A2048" s="2">
        <f t="shared" si="31"/>
        <v>2046</v>
      </c>
      <c r="B2048" s="7" t="s">
        <v>3313</v>
      </c>
      <c r="C2048" s="7" t="s">
        <v>3314</v>
      </c>
      <c r="D2048" s="7" t="s">
        <v>3313</v>
      </c>
      <c r="E2048" s="7" t="s">
        <v>182</v>
      </c>
      <c r="F2048" s="7" t="s">
        <v>3315</v>
      </c>
      <c r="G2048" s="17" t="s">
        <v>7747</v>
      </c>
      <c r="H2048" s="7" t="s">
        <v>28</v>
      </c>
      <c r="I2048" s="7" t="s">
        <v>1553</v>
      </c>
      <c r="J2048" s="7" t="s">
        <v>826</v>
      </c>
      <c r="K2048" s="7" t="s">
        <v>819</v>
      </c>
      <c r="L2048" s="7" t="s">
        <v>136</v>
      </c>
      <c r="M2048" s="7">
        <v>3.8204009999999999</v>
      </c>
      <c r="N2048" s="7">
        <v>11.551556</v>
      </c>
      <c r="O2048" s="7" t="s">
        <v>23</v>
      </c>
    </row>
    <row r="2049" spans="1:15" hidden="1" x14ac:dyDescent="0.25">
      <c r="A2049" s="2">
        <f t="shared" si="31"/>
        <v>2047</v>
      </c>
      <c r="B2049" s="7" t="s">
        <v>3319</v>
      </c>
      <c r="C2049" s="7" t="s">
        <v>3320</v>
      </c>
      <c r="D2049" s="7" t="s">
        <v>3319</v>
      </c>
      <c r="E2049" s="7" t="s">
        <v>182</v>
      </c>
      <c r="F2049" s="7" t="s">
        <v>2129</v>
      </c>
      <c r="G2049" s="17" t="s">
        <v>7747</v>
      </c>
      <c r="H2049" s="7" t="s">
        <v>28</v>
      </c>
      <c r="I2049" s="7" t="s">
        <v>817</v>
      </c>
      <c r="J2049" s="7" t="s">
        <v>818</v>
      </c>
      <c r="K2049" s="7" t="s">
        <v>2187</v>
      </c>
      <c r="L2049" s="7" t="s">
        <v>136</v>
      </c>
      <c r="M2049" s="7">
        <v>3.780376</v>
      </c>
      <c r="N2049" s="7">
        <v>12.257125</v>
      </c>
      <c r="O2049" s="7" t="s">
        <v>23</v>
      </c>
    </row>
    <row r="2050" spans="1:15" hidden="1" x14ac:dyDescent="0.25">
      <c r="A2050" s="2">
        <f t="shared" si="31"/>
        <v>2048</v>
      </c>
      <c r="B2050" s="7" t="s">
        <v>3327</v>
      </c>
      <c r="C2050" s="7" t="s">
        <v>3328</v>
      </c>
      <c r="D2050" s="7" t="s">
        <v>3327</v>
      </c>
      <c r="E2050" s="7" t="s">
        <v>182</v>
      </c>
      <c r="F2050" s="7" t="s">
        <v>2293</v>
      </c>
      <c r="G2050" s="17" t="s">
        <v>7747</v>
      </c>
      <c r="H2050" s="7" t="s">
        <v>19</v>
      </c>
      <c r="I2050" s="7" t="s">
        <v>286</v>
      </c>
      <c r="J2050" s="7" t="s">
        <v>287</v>
      </c>
      <c r="K2050" s="7" t="s">
        <v>288</v>
      </c>
      <c r="L2050" s="7" t="s">
        <v>136</v>
      </c>
      <c r="M2050" s="7">
        <v>4.040851</v>
      </c>
      <c r="N2050" s="7">
        <v>11.546908999999999</v>
      </c>
      <c r="O2050" s="7" t="s">
        <v>23</v>
      </c>
    </row>
    <row r="2051" spans="1:15" hidden="1" x14ac:dyDescent="0.25">
      <c r="A2051" s="2">
        <f t="shared" si="31"/>
        <v>2049</v>
      </c>
      <c r="B2051" s="7" t="s">
        <v>3329</v>
      </c>
      <c r="C2051" s="7" t="s">
        <v>3330</v>
      </c>
      <c r="D2051" s="7" t="s">
        <v>3329</v>
      </c>
      <c r="E2051" s="7" t="s">
        <v>182</v>
      </c>
      <c r="F2051" s="7" t="s">
        <v>3331</v>
      </c>
      <c r="G2051" s="17" t="s">
        <v>7747</v>
      </c>
      <c r="H2051" s="7" t="s">
        <v>28</v>
      </c>
      <c r="I2051" s="7" t="s">
        <v>817</v>
      </c>
      <c r="J2051" s="7" t="s">
        <v>818</v>
      </c>
      <c r="K2051" s="7" t="s">
        <v>2187</v>
      </c>
      <c r="L2051" s="7" t="s">
        <v>136</v>
      </c>
      <c r="M2051" s="7">
        <v>3.889526</v>
      </c>
      <c r="N2051" s="7">
        <v>12.033716</v>
      </c>
      <c r="O2051" s="7" t="s">
        <v>23</v>
      </c>
    </row>
    <row r="2052" spans="1:15" x14ac:dyDescent="0.25">
      <c r="A2052" s="2">
        <f t="shared" si="31"/>
        <v>2050</v>
      </c>
      <c r="B2052" s="7" t="s">
        <v>3335</v>
      </c>
      <c r="C2052" s="7" t="s">
        <v>3336</v>
      </c>
      <c r="D2052" s="7" t="s">
        <v>3335</v>
      </c>
      <c r="E2052" s="7" t="s">
        <v>131</v>
      </c>
      <c r="F2052" s="7" t="s">
        <v>3337</v>
      </c>
      <c r="G2052" s="17" t="s">
        <v>7747</v>
      </c>
      <c r="H2052" s="7" t="s">
        <v>19</v>
      </c>
      <c r="I2052" s="7" t="s">
        <v>133</v>
      </c>
      <c r="J2052" s="7" t="s">
        <v>317</v>
      </c>
      <c r="K2052" s="7" t="s">
        <v>3337</v>
      </c>
      <c r="L2052" s="7" t="s">
        <v>136</v>
      </c>
      <c r="M2052" s="7">
        <v>4.6042500000000004</v>
      </c>
      <c r="N2052" s="7">
        <v>11.257277999999999</v>
      </c>
      <c r="O2052" s="7" t="s">
        <v>23</v>
      </c>
    </row>
    <row r="2053" spans="1:15" hidden="1" x14ac:dyDescent="0.25">
      <c r="A2053" s="2">
        <f t="shared" ref="A2053:A2116" si="32">+A2052+1</f>
        <v>2051</v>
      </c>
      <c r="B2053" s="7" t="s">
        <v>3341</v>
      </c>
      <c r="C2053" s="7" t="s">
        <v>3342</v>
      </c>
      <c r="D2053" s="7" t="s">
        <v>3341</v>
      </c>
      <c r="E2053" s="7" t="s">
        <v>182</v>
      </c>
      <c r="F2053" s="7" t="s">
        <v>3343</v>
      </c>
      <c r="G2053" s="17" t="s">
        <v>7747</v>
      </c>
      <c r="H2053" s="7" t="s">
        <v>19</v>
      </c>
      <c r="I2053" s="7" t="s">
        <v>1553</v>
      </c>
      <c r="J2053" s="7" t="s">
        <v>826</v>
      </c>
      <c r="K2053" s="7" t="s">
        <v>819</v>
      </c>
      <c r="L2053" s="7" t="s">
        <v>136</v>
      </c>
      <c r="M2053" s="7">
        <v>3.8635280000000001</v>
      </c>
      <c r="N2053" s="7">
        <v>11.587137</v>
      </c>
      <c r="O2053" s="7" t="s">
        <v>23</v>
      </c>
    </row>
    <row r="2054" spans="1:15" hidden="1" x14ac:dyDescent="0.25">
      <c r="A2054" s="2">
        <f t="shared" si="32"/>
        <v>2052</v>
      </c>
      <c r="B2054" s="7" t="s">
        <v>3344</v>
      </c>
      <c r="C2054" s="7" t="s">
        <v>3345</v>
      </c>
      <c r="D2054" s="7" t="s">
        <v>3344</v>
      </c>
      <c r="E2054" s="7" t="s">
        <v>182</v>
      </c>
      <c r="F2054" s="7" t="s">
        <v>3346</v>
      </c>
      <c r="G2054" s="17" t="s">
        <v>7747</v>
      </c>
      <c r="H2054" s="7" t="s">
        <v>28</v>
      </c>
      <c r="I2054" s="7" t="s">
        <v>374</v>
      </c>
      <c r="J2054" s="7" t="s">
        <v>134</v>
      </c>
      <c r="K2054" s="7" t="s">
        <v>375</v>
      </c>
      <c r="L2054" s="7" t="s">
        <v>136</v>
      </c>
      <c r="M2054" s="7">
        <v>4.45059</v>
      </c>
      <c r="N2054" s="7">
        <v>11.624146</v>
      </c>
      <c r="O2054" s="7" t="s">
        <v>23</v>
      </c>
    </row>
    <row r="2055" spans="1:15" hidden="1" x14ac:dyDescent="0.25">
      <c r="A2055" s="2">
        <f t="shared" si="32"/>
        <v>2053</v>
      </c>
      <c r="B2055" s="7" t="s">
        <v>3356</v>
      </c>
      <c r="C2055" s="7" t="s">
        <v>3357</v>
      </c>
      <c r="D2055" s="7" t="s">
        <v>3356</v>
      </c>
      <c r="E2055" s="7" t="s">
        <v>182</v>
      </c>
      <c r="F2055" s="7" t="s">
        <v>3358</v>
      </c>
      <c r="G2055" s="17" t="s">
        <v>7747</v>
      </c>
      <c r="H2055" s="7" t="s">
        <v>28</v>
      </c>
      <c r="I2055" s="7" t="s">
        <v>807</v>
      </c>
      <c r="J2055" s="7" t="s">
        <v>185</v>
      </c>
      <c r="K2055" s="7" t="s">
        <v>808</v>
      </c>
      <c r="L2055" s="7" t="s">
        <v>136</v>
      </c>
      <c r="M2055" s="7">
        <v>3.9249100000000001</v>
      </c>
      <c r="N2055" s="7">
        <v>11.546841000000001</v>
      </c>
      <c r="O2055" s="7" t="s">
        <v>23</v>
      </c>
    </row>
    <row r="2056" spans="1:15" hidden="1" x14ac:dyDescent="0.25">
      <c r="A2056" s="2">
        <f t="shared" si="32"/>
        <v>2054</v>
      </c>
      <c r="B2056" s="7" t="s">
        <v>3359</v>
      </c>
      <c r="C2056" s="7" t="s">
        <v>3360</v>
      </c>
      <c r="D2056" s="7" t="s">
        <v>3359</v>
      </c>
      <c r="E2056" s="7" t="s">
        <v>182</v>
      </c>
      <c r="F2056" s="7" t="s">
        <v>3361</v>
      </c>
      <c r="G2056" s="17" t="s">
        <v>7747</v>
      </c>
      <c r="H2056" s="7" t="s">
        <v>28</v>
      </c>
      <c r="I2056" s="7" t="s">
        <v>184</v>
      </c>
      <c r="J2056" s="7" t="s">
        <v>185</v>
      </c>
      <c r="K2056" s="7" t="s">
        <v>1435</v>
      </c>
      <c r="L2056" s="7" t="s">
        <v>136</v>
      </c>
      <c r="M2056" s="7">
        <v>3.8948100000000001</v>
      </c>
      <c r="N2056" s="7">
        <v>11.54068</v>
      </c>
      <c r="O2056" s="7" t="s">
        <v>613</v>
      </c>
    </row>
    <row r="2057" spans="1:15" hidden="1" x14ac:dyDescent="0.25">
      <c r="A2057" s="2">
        <f t="shared" si="32"/>
        <v>2055</v>
      </c>
      <c r="B2057" s="7" t="s">
        <v>3362</v>
      </c>
      <c r="C2057" s="7" t="s">
        <v>3363</v>
      </c>
      <c r="D2057" s="7" t="s">
        <v>3362</v>
      </c>
      <c r="E2057" s="7" t="s">
        <v>182</v>
      </c>
      <c r="F2057" s="7" t="s">
        <v>3364</v>
      </c>
      <c r="G2057" s="17" t="s">
        <v>7747</v>
      </c>
      <c r="H2057" s="7" t="s">
        <v>28</v>
      </c>
      <c r="I2057" s="7" t="s">
        <v>184</v>
      </c>
      <c r="J2057" s="7" t="s">
        <v>185</v>
      </c>
      <c r="K2057" s="7" t="s">
        <v>186</v>
      </c>
      <c r="L2057" s="7" t="s">
        <v>136</v>
      </c>
      <c r="M2057" s="7">
        <v>3.96428</v>
      </c>
      <c r="N2057" s="7">
        <v>11.59346</v>
      </c>
      <c r="O2057" s="7" t="s">
        <v>23</v>
      </c>
    </row>
    <row r="2058" spans="1:15" hidden="1" x14ac:dyDescent="0.25">
      <c r="A2058" s="2">
        <f t="shared" si="32"/>
        <v>2056</v>
      </c>
      <c r="B2058" s="7" t="s">
        <v>3371</v>
      </c>
      <c r="C2058" s="7" t="s">
        <v>3372</v>
      </c>
      <c r="D2058" s="7" t="s">
        <v>3371</v>
      </c>
      <c r="E2058" s="7" t="s">
        <v>182</v>
      </c>
      <c r="F2058" s="7" t="s">
        <v>3373</v>
      </c>
      <c r="G2058" s="17" t="s">
        <v>7747</v>
      </c>
      <c r="H2058" s="7" t="s">
        <v>28</v>
      </c>
      <c r="I2058" s="7" t="s">
        <v>1553</v>
      </c>
      <c r="J2058" s="7" t="s">
        <v>826</v>
      </c>
      <c r="K2058" s="7" t="s">
        <v>819</v>
      </c>
      <c r="L2058" s="7" t="s">
        <v>136</v>
      </c>
      <c r="M2058" s="7">
        <v>3.8632499999999999</v>
      </c>
      <c r="N2058" s="7">
        <v>11.605</v>
      </c>
      <c r="O2058" s="7" t="s">
        <v>23</v>
      </c>
    </row>
    <row r="2059" spans="1:15" hidden="1" x14ac:dyDescent="0.25">
      <c r="A2059" s="2">
        <f t="shared" si="32"/>
        <v>2057</v>
      </c>
      <c r="B2059" s="7" t="s">
        <v>3380</v>
      </c>
      <c r="C2059" s="7" t="s">
        <v>3381</v>
      </c>
      <c r="D2059" s="7" t="s">
        <v>3380</v>
      </c>
      <c r="E2059" s="7" t="s">
        <v>182</v>
      </c>
      <c r="F2059" s="7" t="s">
        <v>3382</v>
      </c>
      <c r="G2059" s="17" t="s">
        <v>7747</v>
      </c>
      <c r="H2059" s="7" t="s">
        <v>19</v>
      </c>
      <c r="I2059" s="7" t="s">
        <v>374</v>
      </c>
      <c r="J2059" s="7" t="s">
        <v>287</v>
      </c>
      <c r="K2059" s="7" t="s">
        <v>1783</v>
      </c>
      <c r="L2059" s="7" t="s">
        <v>136</v>
      </c>
      <c r="M2059" s="7">
        <v>4.3656980000000001</v>
      </c>
      <c r="N2059" s="7">
        <v>11.441595</v>
      </c>
      <c r="O2059" s="7" t="s">
        <v>23</v>
      </c>
    </row>
    <row r="2060" spans="1:15" hidden="1" x14ac:dyDescent="0.25">
      <c r="A2060" s="2">
        <f t="shared" si="32"/>
        <v>2058</v>
      </c>
      <c r="B2060" s="7" t="s">
        <v>3386</v>
      </c>
      <c r="C2060" s="7" t="s">
        <v>3387</v>
      </c>
      <c r="D2060" s="7" t="s">
        <v>3386</v>
      </c>
      <c r="E2060" s="7" t="s">
        <v>182</v>
      </c>
      <c r="F2060" s="7" t="s">
        <v>3388</v>
      </c>
      <c r="G2060" s="17" t="s">
        <v>7747</v>
      </c>
      <c r="H2060" s="7" t="s">
        <v>28</v>
      </c>
      <c r="I2060" s="7" t="s">
        <v>1385</v>
      </c>
      <c r="J2060" s="7" t="s">
        <v>185</v>
      </c>
      <c r="K2060" s="7" t="s">
        <v>1367</v>
      </c>
      <c r="L2060" s="7" t="s">
        <v>136</v>
      </c>
      <c r="M2060" s="7">
        <v>3.7904300000000002</v>
      </c>
      <c r="N2060" s="7">
        <v>11.524139999999999</v>
      </c>
      <c r="O2060" s="7" t="s">
        <v>23</v>
      </c>
    </row>
    <row r="2061" spans="1:15" hidden="1" x14ac:dyDescent="0.25">
      <c r="A2061" s="2">
        <f t="shared" si="32"/>
        <v>2059</v>
      </c>
      <c r="B2061" s="7" t="s">
        <v>3392</v>
      </c>
      <c r="C2061" s="7" t="s">
        <v>3393</v>
      </c>
      <c r="D2061" s="7" t="s">
        <v>3392</v>
      </c>
      <c r="E2061" s="7" t="s">
        <v>182</v>
      </c>
      <c r="F2061" s="7" t="s">
        <v>3394</v>
      </c>
      <c r="G2061" s="17" t="s">
        <v>7747</v>
      </c>
      <c r="H2061" s="7" t="s">
        <v>28</v>
      </c>
      <c r="I2061" s="7" t="s">
        <v>1766</v>
      </c>
      <c r="J2061" s="7" t="s">
        <v>185</v>
      </c>
      <c r="K2061" s="7" t="s">
        <v>808</v>
      </c>
      <c r="L2061" s="7" t="s">
        <v>136</v>
      </c>
      <c r="M2061" s="7">
        <v>3.9003329999999998</v>
      </c>
      <c r="N2061" s="7">
        <v>11.533333000000001</v>
      </c>
      <c r="O2061" s="7" t="s">
        <v>23</v>
      </c>
    </row>
    <row r="2062" spans="1:15" hidden="1" x14ac:dyDescent="0.25">
      <c r="A2062" s="2">
        <f t="shared" si="32"/>
        <v>2060</v>
      </c>
      <c r="B2062" s="7" t="s">
        <v>3406</v>
      </c>
      <c r="C2062" s="7" t="s">
        <v>3407</v>
      </c>
      <c r="D2062" s="7" t="s">
        <v>3406</v>
      </c>
      <c r="E2062" s="7" t="s">
        <v>182</v>
      </c>
      <c r="F2062" s="7" t="s">
        <v>3408</v>
      </c>
      <c r="G2062" s="17" t="s">
        <v>7747</v>
      </c>
      <c r="H2062" s="7" t="s">
        <v>28</v>
      </c>
      <c r="I2062" s="7" t="s">
        <v>1366</v>
      </c>
      <c r="J2062" s="7" t="s">
        <v>185</v>
      </c>
      <c r="K2062" s="7" t="s">
        <v>1367</v>
      </c>
      <c r="L2062" s="7" t="s">
        <v>136</v>
      </c>
      <c r="M2062" s="7">
        <v>3.8653949999999999</v>
      </c>
      <c r="N2062" s="7">
        <v>11.541137000000001</v>
      </c>
      <c r="O2062" s="7" t="s">
        <v>613</v>
      </c>
    </row>
    <row r="2063" spans="1:15" hidden="1" x14ac:dyDescent="0.25">
      <c r="A2063" s="2">
        <f t="shared" si="32"/>
        <v>2061</v>
      </c>
      <c r="B2063" s="7" t="s">
        <v>3415</v>
      </c>
      <c r="C2063" s="7" t="s">
        <v>3416</v>
      </c>
      <c r="D2063" s="7" t="s">
        <v>3415</v>
      </c>
      <c r="E2063" s="7" t="s">
        <v>250</v>
      </c>
      <c r="F2063" s="7" t="s">
        <v>3417</v>
      </c>
      <c r="G2063" s="17" t="s">
        <v>7747</v>
      </c>
      <c r="H2063" s="7" t="s">
        <v>28</v>
      </c>
      <c r="I2063" s="7" t="s">
        <v>311</v>
      </c>
      <c r="J2063" s="7" t="s">
        <v>312</v>
      </c>
      <c r="K2063" s="7" t="s">
        <v>2594</v>
      </c>
      <c r="L2063" s="7" t="s">
        <v>136</v>
      </c>
      <c r="M2063" s="7">
        <v>2.9344199999999998</v>
      </c>
      <c r="N2063" s="7">
        <v>11.165865</v>
      </c>
      <c r="O2063" s="7" t="s">
        <v>23</v>
      </c>
    </row>
    <row r="2064" spans="1:15" hidden="1" x14ac:dyDescent="0.25">
      <c r="A2064" s="2">
        <f t="shared" si="32"/>
        <v>2062</v>
      </c>
      <c r="B2064" s="7" t="s">
        <v>3459</v>
      </c>
      <c r="C2064" s="7" t="s">
        <v>3460</v>
      </c>
      <c r="D2064" s="7" t="s">
        <v>3459</v>
      </c>
      <c r="E2064" s="7" t="s">
        <v>182</v>
      </c>
      <c r="F2064" s="7" t="s">
        <v>3461</v>
      </c>
      <c r="G2064" s="17" t="s">
        <v>7747</v>
      </c>
      <c r="H2064" s="7" t="s">
        <v>28</v>
      </c>
      <c r="I2064" s="7" t="s">
        <v>1553</v>
      </c>
      <c r="J2064" s="7" t="s">
        <v>826</v>
      </c>
      <c r="K2064" s="7" t="s">
        <v>2499</v>
      </c>
      <c r="L2064" s="7" t="s">
        <v>136</v>
      </c>
      <c r="M2064" s="7">
        <v>3.7152500000000002</v>
      </c>
      <c r="N2064" s="7">
        <v>11.64391</v>
      </c>
      <c r="O2064" s="7" t="s">
        <v>23</v>
      </c>
    </row>
    <row r="2065" spans="1:15" hidden="1" x14ac:dyDescent="0.25">
      <c r="A2065" s="2">
        <f t="shared" si="32"/>
        <v>2063</v>
      </c>
      <c r="B2065" s="7" t="s">
        <v>3462</v>
      </c>
      <c r="C2065" s="7" t="s">
        <v>3463</v>
      </c>
      <c r="D2065" s="7" t="s">
        <v>3462</v>
      </c>
      <c r="E2065" s="7" t="s">
        <v>182</v>
      </c>
      <c r="F2065" s="7" t="s">
        <v>3464</v>
      </c>
      <c r="G2065" s="17" t="s">
        <v>7747</v>
      </c>
      <c r="H2065" s="7" t="s">
        <v>28</v>
      </c>
      <c r="I2065" s="7" t="s">
        <v>1766</v>
      </c>
      <c r="J2065" s="7" t="s">
        <v>185</v>
      </c>
      <c r="K2065" s="7" t="s">
        <v>808</v>
      </c>
      <c r="L2065" s="7" t="s">
        <v>136</v>
      </c>
      <c r="M2065" s="7">
        <v>3.9066010000000002</v>
      </c>
      <c r="N2065" s="7">
        <v>11.52312</v>
      </c>
      <c r="O2065" s="7" t="s">
        <v>23</v>
      </c>
    </row>
    <row r="2066" spans="1:15" hidden="1" x14ac:dyDescent="0.25">
      <c r="A2066" s="2">
        <f t="shared" si="32"/>
        <v>2064</v>
      </c>
      <c r="B2066" s="7" t="s">
        <v>3473</v>
      </c>
      <c r="C2066" s="7" t="s">
        <v>3474</v>
      </c>
      <c r="D2066" s="7" t="s">
        <v>3473</v>
      </c>
      <c r="E2066" s="7" t="s">
        <v>182</v>
      </c>
      <c r="F2066" s="7" t="s">
        <v>3475</v>
      </c>
      <c r="G2066" s="17" t="s">
        <v>7747</v>
      </c>
      <c r="H2066" s="7" t="s">
        <v>28</v>
      </c>
      <c r="I2066" s="7" t="s">
        <v>1766</v>
      </c>
      <c r="J2066" s="7" t="s">
        <v>185</v>
      </c>
      <c r="K2066" s="7" t="s">
        <v>808</v>
      </c>
      <c r="L2066" s="7" t="s">
        <v>136</v>
      </c>
      <c r="M2066" s="7">
        <v>3.9317799999999998</v>
      </c>
      <c r="N2066" s="7">
        <v>11.5105</v>
      </c>
      <c r="O2066" s="7" t="s">
        <v>23</v>
      </c>
    </row>
    <row r="2067" spans="1:15" hidden="1" x14ac:dyDescent="0.25">
      <c r="A2067" s="2">
        <f t="shared" si="32"/>
        <v>2065</v>
      </c>
      <c r="B2067" s="7" t="s">
        <v>3485</v>
      </c>
      <c r="C2067" s="7" t="s">
        <v>3486</v>
      </c>
      <c r="D2067" s="7" t="s">
        <v>3485</v>
      </c>
      <c r="E2067" s="7" t="s">
        <v>182</v>
      </c>
      <c r="F2067" s="7" t="s">
        <v>3487</v>
      </c>
      <c r="G2067" s="17" t="s">
        <v>7747</v>
      </c>
      <c r="H2067" s="7" t="s">
        <v>28</v>
      </c>
      <c r="I2067" s="7" t="s">
        <v>1385</v>
      </c>
      <c r="J2067" s="7" t="s">
        <v>185</v>
      </c>
      <c r="K2067" s="7" t="s">
        <v>1367</v>
      </c>
      <c r="L2067" s="7" t="s">
        <v>136</v>
      </c>
      <c r="M2067" s="7">
        <v>3.8327100000000001</v>
      </c>
      <c r="N2067" s="7">
        <v>11.538880000000001</v>
      </c>
      <c r="O2067" s="7" t="s">
        <v>23</v>
      </c>
    </row>
    <row r="2068" spans="1:15" hidden="1" x14ac:dyDescent="0.25">
      <c r="A2068" s="2">
        <f t="shared" si="32"/>
        <v>2066</v>
      </c>
      <c r="B2068" s="7" t="s">
        <v>3497</v>
      </c>
      <c r="C2068" s="7" t="s">
        <v>3498</v>
      </c>
      <c r="D2068" s="7" t="s">
        <v>3497</v>
      </c>
      <c r="E2068" s="7" t="s">
        <v>182</v>
      </c>
      <c r="F2068" s="7" t="s">
        <v>3499</v>
      </c>
      <c r="G2068" s="17" t="s">
        <v>7747</v>
      </c>
      <c r="H2068" s="7" t="s">
        <v>28</v>
      </c>
      <c r="I2068" s="7" t="s">
        <v>1385</v>
      </c>
      <c r="J2068" s="7" t="s">
        <v>185</v>
      </c>
      <c r="K2068" s="7" t="s">
        <v>1367</v>
      </c>
      <c r="L2068" s="7" t="s">
        <v>136</v>
      </c>
      <c r="M2068" s="7">
        <v>3.8222149999999999</v>
      </c>
      <c r="N2068" s="7">
        <v>11.534145000000001</v>
      </c>
      <c r="O2068" s="7" t="s">
        <v>23</v>
      </c>
    </row>
    <row r="2069" spans="1:15" hidden="1" x14ac:dyDescent="0.25">
      <c r="A2069" s="2">
        <f t="shared" si="32"/>
        <v>2067</v>
      </c>
      <c r="B2069" s="7" t="s">
        <v>3510</v>
      </c>
      <c r="C2069" s="7" t="s">
        <v>3511</v>
      </c>
      <c r="D2069" s="7" t="s">
        <v>3510</v>
      </c>
      <c r="E2069" s="7" t="s">
        <v>182</v>
      </c>
      <c r="F2069" s="7" t="s">
        <v>3512</v>
      </c>
      <c r="G2069" s="17" t="s">
        <v>7747</v>
      </c>
      <c r="H2069" s="7" t="s">
        <v>28</v>
      </c>
      <c r="I2069" s="7" t="s">
        <v>807</v>
      </c>
      <c r="J2069" s="7" t="s">
        <v>185</v>
      </c>
      <c r="K2069" s="7" t="s">
        <v>808</v>
      </c>
      <c r="L2069" s="7" t="s">
        <v>136</v>
      </c>
      <c r="M2069" s="7">
        <v>3.8942329999999998</v>
      </c>
      <c r="N2069" s="7">
        <v>11.536047</v>
      </c>
      <c r="O2069" s="7" t="s">
        <v>613</v>
      </c>
    </row>
    <row r="2070" spans="1:15" x14ac:dyDescent="0.25">
      <c r="A2070" s="2">
        <f t="shared" si="32"/>
        <v>2068</v>
      </c>
      <c r="B2070" s="7" t="s">
        <v>3517</v>
      </c>
      <c r="C2070" s="7" t="s">
        <v>3518</v>
      </c>
      <c r="D2070" s="7" t="s">
        <v>3517</v>
      </c>
      <c r="E2070" s="7" t="s">
        <v>131</v>
      </c>
      <c r="F2070" s="7" t="s">
        <v>3519</v>
      </c>
      <c r="G2070" s="17" t="s">
        <v>7747</v>
      </c>
      <c r="H2070" s="7" t="s">
        <v>28</v>
      </c>
      <c r="I2070" s="7" t="s">
        <v>133</v>
      </c>
      <c r="J2070" s="7" t="s">
        <v>317</v>
      </c>
      <c r="K2070" s="7" t="s">
        <v>133</v>
      </c>
      <c r="L2070" s="7" t="s">
        <v>136</v>
      </c>
      <c r="M2070" s="7">
        <v>4.7309999999999999</v>
      </c>
      <c r="N2070" s="7">
        <v>11.285917</v>
      </c>
      <c r="O2070" s="7" t="s">
        <v>23</v>
      </c>
    </row>
    <row r="2071" spans="1:15" hidden="1" x14ac:dyDescent="0.25">
      <c r="A2071" s="2">
        <f t="shared" si="32"/>
        <v>2069</v>
      </c>
      <c r="B2071" s="7" t="s">
        <v>3520</v>
      </c>
      <c r="C2071" s="7" t="s">
        <v>3521</v>
      </c>
      <c r="D2071" s="7" t="s">
        <v>3520</v>
      </c>
      <c r="E2071" s="7" t="s">
        <v>182</v>
      </c>
      <c r="F2071" s="7" t="s">
        <v>3522</v>
      </c>
      <c r="G2071" s="17" t="s">
        <v>7747</v>
      </c>
      <c r="H2071" s="7" t="s">
        <v>28</v>
      </c>
      <c r="I2071" s="7" t="s">
        <v>1553</v>
      </c>
      <c r="J2071" s="7" t="s">
        <v>185</v>
      </c>
      <c r="K2071" s="7" t="s">
        <v>1367</v>
      </c>
      <c r="L2071" s="7" t="s">
        <v>136</v>
      </c>
      <c r="M2071" s="7">
        <v>3.8687589999999998</v>
      </c>
      <c r="N2071" s="7">
        <v>11.569497</v>
      </c>
      <c r="O2071" s="7" t="s">
        <v>23</v>
      </c>
    </row>
    <row r="2072" spans="1:15" hidden="1" x14ac:dyDescent="0.25">
      <c r="A2072" s="2">
        <f t="shared" si="32"/>
        <v>2070</v>
      </c>
      <c r="B2072" s="7" t="s">
        <v>3541</v>
      </c>
      <c r="C2072" s="7" t="s">
        <v>3542</v>
      </c>
      <c r="D2072" s="7" t="s">
        <v>3541</v>
      </c>
      <c r="E2072" s="7" t="s">
        <v>182</v>
      </c>
      <c r="F2072" s="7" t="s">
        <v>3543</v>
      </c>
      <c r="G2072" s="17" t="s">
        <v>7747</v>
      </c>
      <c r="H2072" s="7" t="s">
        <v>28</v>
      </c>
      <c r="I2072" s="7" t="s">
        <v>807</v>
      </c>
      <c r="J2072" s="7" t="s">
        <v>185</v>
      </c>
      <c r="K2072" s="7" t="s">
        <v>808</v>
      </c>
      <c r="L2072" s="7" t="s">
        <v>136</v>
      </c>
      <c r="M2072" s="7">
        <v>3.9118539999999999</v>
      </c>
      <c r="N2072" s="7">
        <v>11.530296</v>
      </c>
      <c r="O2072" s="7" t="s">
        <v>23</v>
      </c>
    </row>
    <row r="2073" spans="1:15" hidden="1" x14ac:dyDescent="0.25">
      <c r="A2073" s="2">
        <f t="shared" si="32"/>
        <v>2071</v>
      </c>
      <c r="B2073" s="7" t="s">
        <v>3559</v>
      </c>
      <c r="C2073" s="7" t="s">
        <v>3560</v>
      </c>
      <c r="D2073" s="7" t="s">
        <v>3559</v>
      </c>
      <c r="E2073" s="7" t="s">
        <v>182</v>
      </c>
      <c r="F2073" s="7" t="s">
        <v>3561</v>
      </c>
      <c r="G2073" s="17" t="s">
        <v>7747</v>
      </c>
      <c r="H2073" s="7" t="s">
        <v>28</v>
      </c>
      <c r="I2073" s="7" t="s">
        <v>1385</v>
      </c>
      <c r="J2073" s="7" t="s">
        <v>185</v>
      </c>
      <c r="K2073" s="7" t="s">
        <v>1367</v>
      </c>
      <c r="L2073" s="7" t="s">
        <v>136</v>
      </c>
      <c r="M2073" s="7">
        <v>3.8422360000000002</v>
      </c>
      <c r="N2073" s="7">
        <v>11.534129</v>
      </c>
      <c r="O2073" s="7" t="s">
        <v>23</v>
      </c>
    </row>
    <row r="2074" spans="1:15" hidden="1" x14ac:dyDescent="0.25">
      <c r="A2074" s="2">
        <f t="shared" si="32"/>
        <v>2072</v>
      </c>
      <c r="B2074" s="7" t="s">
        <v>3581</v>
      </c>
      <c r="C2074" s="7" t="s">
        <v>3582</v>
      </c>
      <c r="D2074" s="7" t="s">
        <v>3581</v>
      </c>
      <c r="E2074" s="7" t="s">
        <v>182</v>
      </c>
      <c r="F2074" s="7" t="s">
        <v>3583</v>
      </c>
      <c r="G2074" s="17" t="s">
        <v>7747</v>
      </c>
      <c r="H2074" s="7" t="s">
        <v>28</v>
      </c>
      <c r="I2074" s="7" t="s">
        <v>1553</v>
      </c>
      <c r="J2074" s="7" t="s">
        <v>826</v>
      </c>
      <c r="K2074" s="7" t="s">
        <v>819</v>
      </c>
      <c r="L2074" s="7" t="s">
        <v>136</v>
      </c>
      <c r="M2074" s="7">
        <v>3.830565</v>
      </c>
      <c r="N2074" s="7">
        <v>11.551352</v>
      </c>
      <c r="O2074" s="7" t="s">
        <v>613</v>
      </c>
    </row>
    <row r="2075" spans="1:15" hidden="1" x14ac:dyDescent="0.25">
      <c r="A2075" s="2">
        <f t="shared" si="32"/>
        <v>2073</v>
      </c>
      <c r="B2075" s="7" t="s">
        <v>3584</v>
      </c>
      <c r="C2075" s="7" t="s">
        <v>3585</v>
      </c>
      <c r="D2075" s="7" t="s">
        <v>3584</v>
      </c>
      <c r="E2075" s="7" t="s">
        <v>182</v>
      </c>
      <c r="F2075" s="7" t="s">
        <v>2495</v>
      </c>
      <c r="G2075" s="17" t="s">
        <v>7747</v>
      </c>
      <c r="H2075" s="7" t="s">
        <v>19</v>
      </c>
      <c r="I2075" s="7" t="s">
        <v>1366</v>
      </c>
      <c r="J2075" s="7" t="s">
        <v>185</v>
      </c>
      <c r="K2075" s="7" t="s">
        <v>1367</v>
      </c>
      <c r="L2075" s="7" t="s">
        <v>136</v>
      </c>
      <c r="M2075" s="7">
        <v>3.8558789999999998</v>
      </c>
      <c r="N2075" s="7">
        <v>11.541745000000001</v>
      </c>
      <c r="O2075" s="7" t="s">
        <v>613</v>
      </c>
    </row>
    <row r="2076" spans="1:15" hidden="1" x14ac:dyDescent="0.25">
      <c r="A2076" s="2">
        <f t="shared" si="32"/>
        <v>2074</v>
      </c>
      <c r="B2076" s="7" t="s">
        <v>3586</v>
      </c>
      <c r="C2076" s="7" t="s">
        <v>3587</v>
      </c>
      <c r="D2076" s="7" t="s">
        <v>3586</v>
      </c>
      <c r="E2076" s="7" t="s">
        <v>182</v>
      </c>
      <c r="F2076" s="7" t="s">
        <v>3343</v>
      </c>
      <c r="G2076" s="17" t="s">
        <v>7747</v>
      </c>
      <c r="H2076" s="7" t="s">
        <v>19</v>
      </c>
      <c r="I2076" s="7" t="s">
        <v>1553</v>
      </c>
      <c r="J2076" s="7" t="s">
        <v>826</v>
      </c>
      <c r="K2076" s="7" t="s">
        <v>819</v>
      </c>
      <c r="L2076" s="7" t="s">
        <v>136</v>
      </c>
      <c r="M2076" s="7">
        <v>3.8603519999999998</v>
      </c>
      <c r="N2076" s="7">
        <v>11.583843</v>
      </c>
      <c r="O2076" s="7" t="s">
        <v>23</v>
      </c>
    </row>
    <row r="2077" spans="1:15" hidden="1" x14ac:dyDescent="0.25">
      <c r="A2077" s="2">
        <f t="shared" si="32"/>
        <v>2075</v>
      </c>
      <c r="B2077" s="7" t="s">
        <v>3590</v>
      </c>
      <c r="C2077" s="7" t="s">
        <v>3591</v>
      </c>
      <c r="D2077" s="7" t="s">
        <v>3590</v>
      </c>
      <c r="E2077" s="7" t="s">
        <v>182</v>
      </c>
      <c r="F2077" s="7" t="s">
        <v>3592</v>
      </c>
      <c r="G2077" s="17" t="s">
        <v>7747</v>
      </c>
      <c r="H2077" s="7" t="s">
        <v>28</v>
      </c>
      <c r="I2077" s="7" t="s">
        <v>1553</v>
      </c>
      <c r="J2077" s="7" t="s">
        <v>185</v>
      </c>
      <c r="K2077" s="7" t="s">
        <v>1367</v>
      </c>
      <c r="L2077" s="7" t="s">
        <v>136</v>
      </c>
      <c r="M2077" s="7">
        <v>3.8408090000000001</v>
      </c>
      <c r="N2077" s="7">
        <v>11.551508999999999</v>
      </c>
      <c r="O2077" s="7" t="s">
        <v>613</v>
      </c>
    </row>
    <row r="2078" spans="1:15" hidden="1" x14ac:dyDescent="0.25">
      <c r="A2078" s="2">
        <f t="shared" si="32"/>
        <v>2076</v>
      </c>
      <c r="B2078" s="7" t="s">
        <v>3593</v>
      </c>
      <c r="C2078" s="7" t="s">
        <v>3594</v>
      </c>
      <c r="D2078" s="7" t="s">
        <v>3593</v>
      </c>
      <c r="E2078" s="7" t="s">
        <v>182</v>
      </c>
      <c r="F2078" s="7" t="s">
        <v>3595</v>
      </c>
      <c r="G2078" s="17" t="s">
        <v>7747</v>
      </c>
      <c r="H2078" s="7" t="s">
        <v>28</v>
      </c>
      <c r="I2078" s="7" t="s">
        <v>807</v>
      </c>
      <c r="J2078" s="7" t="s">
        <v>185</v>
      </c>
      <c r="K2078" s="7" t="s">
        <v>808</v>
      </c>
      <c r="L2078" s="7" t="s">
        <v>136</v>
      </c>
      <c r="M2078" s="7">
        <v>3.88178</v>
      </c>
      <c r="N2078" s="7">
        <v>11.524139999999999</v>
      </c>
      <c r="O2078" s="7" t="s">
        <v>613</v>
      </c>
    </row>
    <row r="2079" spans="1:15" hidden="1" x14ac:dyDescent="0.25">
      <c r="A2079" s="2">
        <f t="shared" si="32"/>
        <v>2077</v>
      </c>
      <c r="B2079" s="7" t="s">
        <v>3596</v>
      </c>
      <c r="C2079" s="7" t="s">
        <v>3597</v>
      </c>
      <c r="D2079" s="7" t="s">
        <v>3596</v>
      </c>
      <c r="E2079" s="7" t="s">
        <v>182</v>
      </c>
      <c r="F2079" s="7" t="s">
        <v>3598</v>
      </c>
      <c r="G2079" s="17" t="s">
        <v>7747</v>
      </c>
      <c r="H2079" s="7" t="s">
        <v>28</v>
      </c>
      <c r="I2079" s="7" t="s">
        <v>184</v>
      </c>
      <c r="J2079" s="7" t="s">
        <v>185</v>
      </c>
      <c r="K2079" s="7" t="s">
        <v>186</v>
      </c>
      <c r="L2079" s="7" t="s">
        <v>136</v>
      </c>
      <c r="M2079" s="7">
        <v>3.919489</v>
      </c>
      <c r="N2079" s="7">
        <v>11.610127</v>
      </c>
      <c r="O2079" s="7" t="s">
        <v>23</v>
      </c>
    </row>
    <row r="2080" spans="1:15" hidden="1" x14ac:dyDescent="0.25">
      <c r="A2080" s="2">
        <f t="shared" si="32"/>
        <v>2078</v>
      </c>
      <c r="B2080" s="7" t="s">
        <v>3599</v>
      </c>
      <c r="C2080" s="7" t="s">
        <v>3600</v>
      </c>
      <c r="D2080" s="7" t="s">
        <v>3599</v>
      </c>
      <c r="E2080" s="7" t="s">
        <v>182</v>
      </c>
      <c r="F2080" s="7" t="s">
        <v>3601</v>
      </c>
      <c r="G2080" s="17" t="s">
        <v>7747</v>
      </c>
      <c r="H2080" s="7" t="s">
        <v>28</v>
      </c>
      <c r="I2080" s="7" t="s">
        <v>1553</v>
      </c>
      <c r="J2080" s="7" t="s">
        <v>185</v>
      </c>
      <c r="K2080" s="7" t="s">
        <v>1367</v>
      </c>
      <c r="L2080" s="7" t="s">
        <v>136</v>
      </c>
      <c r="M2080" s="7">
        <v>3.85751</v>
      </c>
      <c r="N2080" s="7">
        <v>11.548170000000001</v>
      </c>
      <c r="O2080" s="7" t="s">
        <v>613</v>
      </c>
    </row>
    <row r="2081" spans="1:15" hidden="1" x14ac:dyDescent="0.25">
      <c r="A2081" s="2">
        <f t="shared" si="32"/>
        <v>2079</v>
      </c>
      <c r="B2081" s="7" t="s">
        <v>3654</v>
      </c>
      <c r="C2081" s="7" t="s">
        <v>3655</v>
      </c>
      <c r="D2081" s="7" t="s">
        <v>3654</v>
      </c>
      <c r="E2081" s="7" t="s">
        <v>182</v>
      </c>
      <c r="F2081" s="7" t="s">
        <v>3656</v>
      </c>
      <c r="G2081" s="17" t="s">
        <v>7747</v>
      </c>
      <c r="H2081" s="7" t="s">
        <v>19</v>
      </c>
      <c r="I2081" s="7" t="s">
        <v>1766</v>
      </c>
      <c r="J2081" s="7" t="s">
        <v>185</v>
      </c>
      <c r="K2081" s="7" t="s">
        <v>808</v>
      </c>
      <c r="L2081" s="7" t="s">
        <v>136</v>
      </c>
      <c r="M2081" s="7">
        <v>3.9456099999999998</v>
      </c>
      <c r="N2081" s="7">
        <v>11.505240000000001</v>
      </c>
      <c r="O2081" s="7" t="s">
        <v>23</v>
      </c>
    </row>
    <row r="2082" spans="1:15" hidden="1" x14ac:dyDescent="0.25">
      <c r="A2082" s="2">
        <f t="shared" si="32"/>
        <v>2080</v>
      </c>
      <c r="B2082" s="7" t="s">
        <v>3657</v>
      </c>
      <c r="C2082" s="7" t="s">
        <v>3658</v>
      </c>
      <c r="D2082" s="7" t="s">
        <v>3657</v>
      </c>
      <c r="E2082" s="7" t="s">
        <v>182</v>
      </c>
      <c r="F2082" s="7" t="s">
        <v>286</v>
      </c>
      <c r="G2082" s="17" t="s">
        <v>7747</v>
      </c>
      <c r="H2082" s="7" t="s">
        <v>19</v>
      </c>
      <c r="I2082" s="7" t="s">
        <v>286</v>
      </c>
      <c r="J2082" s="7" t="s">
        <v>287</v>
      </c>
      <c r="K2082" s="7" t="s">
        <v>288</v>
      </c>
      <c r="L2082" s="7" t="s">
        <v>136</v>
      </c>
      <c r="M2082" s="7">
        <v>4.1696249999999999</v>
      </c>
      <c r="N2082" s="7">
        <v>11.533586</v>
      </c>
      <c r="O2082" s="7" t="s">
        <v>23</v>
      </c>
    </row>
    <row r="2083" spans="1:15" hidden="1" x14ac:dyDescent="0.25">
      <c r="A2083" s="2">
        <f t="shared" si="32"/>
        <v>2081</v>
      </c>
      <c r="B2083" s="7" t="s">
        <v>3659</v>
      </c>
      <c r="C2083" s="7" t="s">
        <v>3660</v>
      </c>
      <c r="D2083" s="7" t="s">
        <v>3659</v>
      </c>
      <c r="E2083" s="7" t="s">
        <v>182</v>
      </c>
      <c r="F2083" s="7" t="s">
        <v>3661</v>
      </c>
      <c r="G2083" s="17" t="s">
        <v>7747</v>
      </c>
      <c r="H2083" s="7" t="s">
        <v>28</v>
      </c>
      <c r="I2083" s="7" t="s">
        <v>184</v>
      </c>
      <c r="J2083" s="7" t="s">
        <v>185</v>
      </c>
      <c r="K2083" s="7" t="s">
        <v>1435</v>
      </c>
      <c r="L2083" s="7" t="s">
        <v>136</v>
      </c>
      <c r="M2083" s="7">
        <v>3.9030320000000001</v>
      </c>
      <c r="N2083" s="7">
        <v>11.560627999999999</v>
      </c>
      <c r="O2083" s="7" t="s">
        <v>23</v>
      </c>
    </row>
    <row r="2084" spans="1:15" hidden="1" x14ac:dyDescent="0.25">
      <c r="A2084" s="2">
        <f t="shared" si="32"/>
        <v>2082</v>
      </c>
      <c r="B2084" s="7" t="s">
        <v>3662</v>
      </c>
      <c r="C2084" s="7" t="s">
        <v>3663</v>
      </c>
      <c r="D2084" s="7" t="s">
        <v>3662</v>
      </c>
      <c r="E2084" s="7" t="s">
        <v>182</v>
      </c>
      <c r="F2084" s="7" t="s">
        <v>3664</v>
      </c>
      <c r="G2084" s="17" t="s">
        <v>7747</v>
      </c>
      <c r="H2084" s="7" t="s">
        <v>28</v>
      </c>
      <c r="I2084" s="7" t="s">
        <v>1366</v>
      </c>
      <c r="J2084" s="7" t="s">
        <v>185</v>
      </c>
      <c r="K2084" s="7" t="s">
        <v>1367</v>
      </c>
      <c r="L2084" s="7" t="s">
        <v>136</v>
      </c>
      <c r="M2084" s="7">
        <v>3.8488609999999999</v>
      </c>
      <c r="N2084" s="7">
        <v>11.532075000000001</v>
      </c>
      <c r="O2084" s="7" t="s">
        <v>23</v>
      </c>
    </row>
    <row r="2085" spans="1:15" hidden="1" x14ac:dyDescent="0.25">
      <c r="A2085" s="2">
        <f t="shared" si="32"/>
        <v>2083</v>
      </c>
      <c r="B2085" s="7" t="s">
        <v>3668</v>
      </c>
      <c r="C2085" s="7" t="s">
        <v>3669</v>
      </c>
      <c r="D2085" s="7" t="s">
        <v>3668</v>
      </c>
      <c r="E2085" s="7" t="s">
        <v>182</v>
      </c>
      <c r="F2085" s="7" t="s">
        <v>1568</v>
      </c>
      <c r="G2085" s="17" t="s">
        <v>7747</v>
      </c>
      <c r="H2085" s="7" t="s">
        <v>19</v>
      </c>
      <c r="I2085" s="7" t="s">
        <v>1366</v>
      </c>
      <c r="J2085" s="7" t="s">
        <v>185</v>
      </c>
      <c r="K2085" s="7" t="s">
        <v>1435</v>
      </c>
      <c r="L2085" s="7" t="s">
        <v>136</v>
      </c>
      <c r="M2085" s="7">
        <v>3.8856799999999998</v>
      </c>
      <c r="N2085" s="7">
        <v>11.556952000000001</v>
      </c>
      <c r="O2085" s="7" t="s">
        <v>23</v>
      </c>
    </row>
    <row r="2086" spans="1:15" hidden="1" x14ac:dyDescent="0.25">
      <c r="A2086" s="2">
        <f t="shared" si="32"/>
        <v>2084</v>
      </c>
      <c r="B2086" s="7" t="s">
        <v>3670</v>
      </c>
      <c r="C2086" s="7" t="s">
        <v>3671</v>
      </c>
      <c r="D2086" s="7" t="s">
        <v>3670</v>
      </c>
      <c r="E2086" s="7" t="s">
        <v>182</v>
      </c>
      <c r="F2086" s="7" t="s">
        <v>3672</v>
      </c>
      <c r="G2086" s="17" t="s">
        <v>7747</v>
      </c>
      <c r="H2086" s="7" t="s">
        <v>19</v>
      </c>
      <c r="I2086" s="7" t="s">
        <v>184</v>
      </c>
      <c r="J2086" s="7" t="s">
        <v>185</v>
      </c>
      <c r="K2086" s="7" t="s">
        <v>1435</v>
      </c>
      <c r="L2086" s="7" t="s">
        <v>136</v>
      </c>
      <c r="M2086" s="7">
        <v>3.8984740000000002</v>
      </c>
      <c r="N2086" s="7">
        <v>11.544302999999999</v>
      </c>
      <c r="O2086" s="7" t="s">
        <v>613</v>
      </c>
    </row>
    <row r="2087" spans="1:15" hidden="1" x14ac:dyDescent="0.25">
      <c r="A2087" s="2">
        <f t="shared" si="32"/>
        <v>2085</v>
      </c>
      <c r="B2087" s="7" t="s">
        <v>3713</v>
      </c>
      <c r="C2087" s="7" t="s">
        <v>3714</v>
      </c>
      <c r="D2087" s="7" t="s">
        <v>3713</v>
      </c>
      <c r="E2087" s="7" t="s">
        <v>182</v>
      </c>
      <c r="F2087" s="7" t="s">
        <v>3715</v>
      </c>
      <c r="G2087" s="17" t="s">
        <v>7747</v>
      </c>
      <c r="H2087" s="7" t="s">
        <v>28</v>
      </c>
      <c r="I2087" s="7" t="s">
        <v>297</v>
      </c>
      <c r="J2087" s="7" t="s">
        <v>287</v>
      </c>
      <c r="K2087" s="7" t="s">
        <v>2047</v>
      </c>
      <c r="L2087" s="7" t="s">
        <v>136</v>
      </c>
      <c r="M2087" s="7">
        <v>3.9227919999999998</v>
      </c>
      <c r="N2087" s="7">
        <v>11.453188000000001</v>
      </c>
      <c r="O2087" s="7" t="s">
        <v>23</v>
      </c>
    </row>
    <row r="2088" spans="1:15" hidden="1" x14ac:dyDescent="0.25">
      <c r="A2088" s="2">
        <f t="shared" si="32"/>
        <v>2086</v>
      </c>
      <c r="B2088" s="7" t="s">
        <v>3724</v>
      </c>
      <c r="C2088" s="7" t="s">
        <v>3725</v>
      </c>
      <c r="D2088" s="7" t="s">
        <v>3724</v>
      </c>
      <c r="E2088" s="7" t="s">
        <v>182</v>
      </c>
      <c r="F2088" s="7" t="s">
        <v>3726</v>
      </c>
      <c r="G2088" s="17" t="s">
        <v>7747</v>
      </c>
      <c r="H2088" s="7" t="s">
        <v>28</v>
      </c>
      <c r="I2088" s="7" t="s">
        <v>1284</v>
      </c>
      <c r="J2088" s="7" t="s">
        <v>185</v>
      </c>
      <c r="K2088" s="7" t="s">
        <v>1462</v>
      </c>
      <c r="L2088" s="7" t="s">
        <v>136</v>
      </c>
      <c r="M2088" s="7">
        <v>3.8001</v>
      </c>
      <c r="N2088" s="7">
        <v>11.490083</v>
      </c>
      <c r="O2088" s="7" t="s">
        <v>23</v>
      </c>
    </row>
    <row r="2089" spans="1:15" hidden="1" x14ac:dyDescent="0.25">
      <c r="A2089" s="2">
        <f t="shared" si="32"/>
        <v>2087</v>
      </c>
      <c r="B2089" s="7" t="s">
        <v>3727</v>
      </c>
      <c r="C2089" s="7" t="s">
        <v>3728</v>
      </c>
      <c r="D2089" s="7" t="s">
        <v>3727</v>
      </c>
      <c r="E2089" s="7" t="s">
        <v>182</v>
      </c>
      <c r="F2089" s="7" t="s">
        <v>3729</v>
      </c>
      <c r="G2089" s="17" t="s">
        <v>7747</v>
      </c>
      <c r="H2089" s="7" t="s">
        <v>28</v>
      </c>
      <c r="I2089" s="7" t="s">
        <v>1366</v>
      </c>
      <c r="J2089" s="7" t="s">
        <v>185</v>
      </c>
      <c r="K2089" s="7" t="s">
        <v>808</v>
      </c>
      <c r="L2089" s="7" t="s">
        <v>136</v>
      </c>
      <c r="M2089" s="7">
        <v>3.8725499999999999</v>
      </c>
      <c r="N2089" s="7">
        <v>11.524380000000001</v>
      </c>
      <c r="O2089" s="7" t="s">
        <v>23</v>
      </c>
    </row>
    <row r="2090" spans="1:15" hidden="1" x14ac:dyDescent="0.25">
      <c r="A2090" s="2">
        <f t="shared" si="32"/>
        <v>2088</v>
      </c>
      <c r="B2090" s="7" t="s">
        <v>3745</v>
      </c>
      <c r="C2090" s="7" t="s">
        <v>3746</v>
      </c>
      <c r="D2090" s="7" t="s">
        <v>3745</v>
      </c>
      <c r="E2090" s="7" t="s">
        <v>182</v>
      </c>
      <c r="F2090" s="7" t="s">
        <v>3747</v>
      </c>
      <c r="G2090" s="17" t="s">
        <v>7747</v>
      </c>
      <c r="H2090" s="7" t="s">
        <v>19</v>
      </c>
      <c r="I2090" s="7" t="s">
        <v>1366</v>
      </c>
      <c r="J2090" s="7" t="s">
        <v>185</v>
      </c>
      <c r="K2090" s="7" t="s">
        <v>1435</v>
      </c>
      <c r="L2090" s="7" t="s">
        <v>136</v>
      </c>
      <c r="M2090" s="7">
        <v>3.871855</v>
      </c>
      <c r="N2090" s="7">
        <v>11.536448</v>
      </c>
      <c r="O2090" s="7" t="s">
        <v>613</v>
      </c>
    </row>
    <row r="2091" spans="1:15" hidden="1" x14ac:dyDescent="0.25">
      <c r="A2091" s="2">
        <f t="shared" si="32"/>
        <v>2089</v>
      </c>
      <c r="B2091" s="7" t="s">
        <v>3748</v>
      </c>
      <c r="C2091" s="7" t="s">
        <v>3749</v>
      </c>
      <c r="D2091" s="7" t="s">
        <v>3748</v>
      </c>
      <c r="E2091" s="7" t="s">
        <v>182</v>
      </c>
      <c r="F2091" s="7" t="s">
        <v>3750</v>
      </c>
      <c r="G2091" s="17" t="s">
        <v>7747</v>
      </c>
      <c r="H2091" s="7" t="s">
        <v>28</v>
      </c>
      <c r="I2091" s="7" t="s">
        <v>286</v>
      </c>
      <c r="J2091" s="7" t="s">
        <v>298</v>
      </c>
      <c r="K2091" s="7" t="s">
        <v>1746</v>
      </c>
      <c r="L2091" s="7" t="s">
        <v>136</v>
      </c>
      <c r="M2091" s="7">
        <v>4.5024899999999999</v>
      </c>
      <c r="N2091" s="7">
        <v>12.121642</v>
      </c>
      <c r="O2091" s="7" t="s">
        <v>23</v>
      </c>
    </row>
    <row r="2092" spans="1:15" hidden="1" x14ac:dyDescent="0.25">
      <c r="A2092" s="2">
        <f t="shared" si="32"/>
        <v>2090</v>
      </c>
      <c r="B2092" s="7" t="s">
        <v>3751</v>
      </c>
      <c r="C2092" s="7" t="s">
        <v>3752</v>
      </c>
      <c r="D2092" s="7" t="s">
        <v>3751</v>
      </c>
      <c r="E2092" s="7" t="s">
        <v>182</v>
      </c>
      <c r="F2092" s="7" t="s">
        <v>3753</v>
      </c>
      <c r="G2092" s="17" t="s">
        <v>7747</v>
      </c>
      <c r="H2092" s="7" t="s">
        <v>28</v>
      </c>
      <c r="I2092" s="7" t="s">
        <v>1766</v>
      </c>
      <c r="J2092" s="7" t="s">
        <v>185</v>
      </c>
      <c r="K2092" s="7" t="s">
        <v>808</v>
      </c>
      <c r="L2092" s="7" t="s">
        <v>136</v>
      </c>
      <c r="M2092" s="7">
        <v>3.9237220000000002</v>
      </c>
      <c r="N2092" s="7">
        <v>11.511900000000001</v>
      </c>
      <c r="O2092" s="7" t="s">
        <v>23</v>
      </c>
    </row>
    <row r="2093" spans="1:15" hidden="1" x14ac:dyDescent="0.25">
      <c r="A2093" s="2">
        <f t="shared" si="32"/>
        <v>2091</v>
      </c>
      <c r="B2093" s="7" t="s">
        <v>3793</v>
      </c>
      <c r="C2093" s="7" t="s">
        <v>3794</v>
      </c>
      <c r="D2093" s="7" t="s">
        <v>3793</v>
      </c>
      <c r="E2093" s="7" t="s">
        <v>182</v>
      </c>
      <c r="F2093" s="7" t="s">
        <v>3795</v>
      </c>
      <c r="G2093" s="17" t="s">
        <v>7747</v>
      </c>
      <c r="H2093" s="7" t="s">
        <v>28</v>
      </c>
      <c r="I2093" s="7" t="s">
        <v>1385</v>
      </c>
      <c r="J2093" s="7" t="s">
        <v>185</v>
      </c>
      <c r="K2093" s="7" t="s">
        <v>1367</v>
      </c>
      <c r="L2093" s="7" t="s">
        <v>136</v>
      </c>
      <c r="M2093" s="7">
        <v>3.7727599999999999</v>
      </c>
      <c r="N2093" s="7">
        <v>11.543049999999999</v>
      </c>
      <c r="O2093" s="7" t="s">
        <v>23</v>
      </c>
    </row>
    <row r="2094" spans="1:15" hidden="1" x14ac:dyDescent="0.25">
      <c r="A2094" s="2">
        <f t="shared" si="32"/>
        <v>2092</v>
      </c>
      <c r="B2094" s="7" t="s">
        <v>3805</v>
      </c>
      <c r="C2094" s="7" t="s">
        <v>3806</v>
      </c>
      <c r="D2094" s="7" t="s">
        <v>3805</v>
      </c>
      <c r="E2094" s="7" t="s">
        <v>182</v>
      </c>
      <c r="F2094" s="7" t="s">
        <v>2190</v>
      </c>
      <c r="G2094" s="17" t="s">
        <v>7747</v>
      </c>
      <c r="H2094" s="7" t="s">
        <v>28</v>
      </c>
      <c r="I2094" s="7" t="s">
        <v>1461</v>
      </c>
      <c r="J2094" s="7" t="s">
        <v>185</v>
      </c>
      <c r="K2094" s="7" t="s">
        <v>1462</v>
      </c>
      <c r="L2094" s="7" t="s">
        <v>136</v>
      </c>
      <c r="M2094" s="7">
        <v>3.8087650000000002</v>
      </c>
      <c r="N2094" s="7">
        <v>11.501658000000001</v>
      </c>
      <c r="O2094" s="7" t="s">
        <v>23</v>
      </c>
    </row>
    <row r="2095" spans="1:15" hidden="1" x14ac:dyDescent="0.25">
      <c r="A2095" s="2">
        <f t="shared" si="32"/>
        <v>2093</v>
      </c>
      <c r="B2095" s="7" t="s">
        <v>3807</v>
      </c>
      <c r="C2095" s="7" t="s">
        <v>3808</v>
      </c>
      <c r="D2095" s="7" t="s">
        <v>3807</v>
      </c>
      <c r="E2095" s="7" t="s">
        <v>182</v>
      </c>
      <c r="F2095" s="7" t="s">
        <v>3809</v>
      </c>
      <c r="G2095" s="17" t="s">
        <v>7747</v>
      </c>
      <c r="H2095" s="7" t="s">
        <v>28</v>
      </c>
      <c r="I2095" s="7" t="s">
        <v>1553</v>
      </c>
      <c r="J2095" s="7" t="s">
        <v>185</v>
      </c>
      <c r="K2095" s="7" t="s">
        <v>1367</v>
      </c>
      <c r="L2095" s="7" t="s">
        <v>136</v>
      </c>
      <c r="M2095" s="7">
        <v>3.8681869999999998</v>
      </c>
      <c r="N2095" s="7">
        <v>11.570098</v>
      </c>
      <c r="O2095" s="7" t="s">
        <v>23</v>
      </c>
    </row>
    <row r="2096" spans="1:15" hidden="1" x14ac:dyDescent="0.25">
      <c r="A2096" s="2">
        <f t="shared" si="32"/>
        <v>2094</v>
      </c>
      <c r="B2096" s="7" t="s">
        <v>3810</v>
      </c>
      <c r="C2096" s="7" t="s">
        <v>3811</v>
      </c>
      <c r="D2096" s="7" t="s">
        <v>3810</v>
      </c>
      <c r="E2096" s="7" t="s">
        <v>182</v>
      </c>
      <c r="F2096" s="7" t="s">
        <v>2125</v>
      </c>
      <c r="G2096" s="17" t="s">
        <v>7747</v>
      </c>
      <c r="H2096" s="7" t="s">
        <v>19</v>
      </c>
      <c r="I2096" s="7" t="s">
        <v>1766</v>
      </c>
      <c r="J2096" s="7" t="s">
        <v>185</v>
      </c>
      <c r="K2096" s="7" t="s">
        <v>808</v>
      </c>
      <c r="L2096" s="7" t="s">
        <v>136</v>
      </c>
      <c r="M2096" s="7">
        <v>3.9113329999999999</v>
      </c>
      <c r="N2096" s="7">
        <v>11.527361000000001</v>
      </c>
      <c r="O2096" s="7" t="s">
        <v>613</v>
      </c>
    </row>
    <row r="2097" spans="1:15" hidden="1" x14ac:dyDescent="0.25">
      <c r="A2097" s="2">
        <f t="shared" si="32"/>
        <v>2095</v>
      </c>
      <c r="B2097" s="7" t="s">
        <v>3815</v>
      </c>
      <c r="C2097" s="7" t="s">
        <v>3816</v>
      </c>
      <c r="D2097" s="7" t="s">
        <v>3815</v>
      </c>
      <c r="E2097" s="7" t="s">
        <v>182</v>
      </c>
      <c r="F2097" s="7" t="s">
        <v>3817</v>
      </c>
      <c r="G2097" s="17" t="s">
        <v>7747</v>
      </c>
      <c r="H2097" s="7" t="s">
        <v>28</v>
      </c>
      <c r="I2097" s="7" t="s">
        <v>374</v>
      </c>
      <c r="J2097" s="7" t="s">
        <v>134</v>
      </c>
      <c r="K2097" s="7" t="s">
        <v>375</v>
      </c>
      <c r="L2097" s="7" t="s">
        <v>136</v>
      </c>
      <c r="M2097" s="7">
        <v>4.4404159999999999</v>
      </c>
      <c r="N2097" s="7">
        <v>11.631307</v>
      </c>
      <c r="O2097" s="7" t="s">
        <v>23</v>
      </c>
    </row>
    <row r="2098" spans="1:15" hidden="1" x14ac:dyDescent="0.25">
      <c r="A2098" s="2">
        <f t="shared" si="32"/>
        <v>2096</v>
      </c>
      <c r="B2098" s="7" t="s">
        <v>3832</v>
      </c>
      <c r="C2098" s="7" t="s">
        <v>3833</v>
      </c>
      <c r="D2098" s="7" t="s">
        <v>3832</v>
      </c>
      <c r="E2098" s="7" t="s">
        <v>182</v>
      </c>
      <c r="F2098" s="7" t="s">
        <v>3834</v>
      </c>
      <c r="G2098" s="17" t="s">
        <v>7747</v>
      </c>
      <c r="H2098" s="7" t="s">
        <v>28</v>
      </c>
      <c r="I2098" s="7" t="s">
        <v>1385</v>
      </c>
      <c r="J2098" s="7" t="s">
        <v>185</v>
      </c>
      <c r="K2098" s="7" t="s">
        <v>1367</v>
      </c>
      <c r="L2098" s="7" t="s">
        <v>136</v>
      </c>
      <c r="M2098" s="7">
        <v>3.8289800000000001</v>
      </c>
      <c r="N2098" s="7">
        <v>11.54363</v>
      </c>
      <c r="O2098" s="7" t="s">
        <v>23</v>
      </c>
    </row>
    <row r="2099" spans="1:15" hidden="1" x14ac:dyDescent="0.25">
      <c r="A2099" s="2">
        <f t="shared" si="32"/>
        <v>2097</v>
      </c>
      <c r="B2099" s="7" t="s">
        <v>3841</v>
      </c>
      <c r="C2099" s="7" t="s">
        <v>3842</v>
      </c>
      <c r="D2099" s="7" t="s">
        <v>3841</v>
      </c>
      <c r="E2099" s="7" t="s">
        <v>182</v>
      </c>
      <c r="F2099" s="7" t="s">
        <v>3843</v>
      </c>
      <c r="G2099" s="17" t="s">
        <v>7747</v>
      </c>
      <c r="H2099" s="7" t="s">
        <v>28</v>
      </c>
      <c r="I2099" s="7" t="s">
        <v>184</v>
      </c>
      <c r="J2099" s="7" t="s">
        <v>185</v>
      </c>
      <c r="K2099" s="7" t="s">
        <v>186</v>
      </c>
      <c r="L2099" s="7" t="s">
        <v>136</v>
      </c>
      <c r="M2099" s="7">
        <v>3.8914499999999999</v>
      </c>
      <c r="N2099" s="7">
        <v>11.56758</v>
      </c>
      <c r="O2099" s="7" t="s">
        <v>23</v>
      </c>
    </row>
    <row r="2100" spans="1:15" hidden="1" x14ac:dyDescent="0.25">
      <c r="A2100" s="2">
        <f t="shared" si="32"/>
        <v>2098</v>
      </c>
      <c r="B2100" s="7" t="s">
        <v>3844</v>
      </c>
      <c r="C2100" s="7" t="s">
        <v>3845</v>
      </c>
      <c r="D2100" s="7" t="s">
        <v>3844</v>
      </c>
      <c r="E2100" s="7" t="s">
        <v>182</v>
      </c>
      <c r="F2100" s="7" t="s">
        <v>3846</v>
      </c>
      <c r="G2100" s="17" t="s">
        <v>7747</v>
      </c>
      <c r="H2100" s="7" t="s">
        <v>28</v>
      </c>
      <c r="I2100" s="7" t="s">
        <v>1553</v>
      </c>
      <c r="J2100" s="7" t="s">
        <v>185</v>
      </c>
      <c r="K2100" s="7" t="s">
        <v>1367</v>
      </c>
      <c r="L2100" s="7" t="s">
        <v>136</v>
      </c>
      <c r="M2100" s="7">
        <v>3.8730000000000002</v>
      </c>
      <c r="N2100" s="7">
        <v>11.555999999999999</v>
      </c>
      <c r="O2100" s="7" t="s">
        <v>613</v>
      </c>
    </row>
    <row r="2101" spans="1:15" hidden="1" x14ac:dyDescent="0.25">
      <c r="A2101" s="2">
        <f t="shared" si="32"/>
        <v>2099</v>
      </c>
      <c r="B2101" s="7" t="s">
        <v>3863</v>
      </c>
      <c r="C2101" s="7" t="s">
        <v>3864</v>
      </c>
      <c r="D2101" s="7" t="s">
        <v>3863</v>
      </c>
      <c r="E2101" s="7" t="s">
        <v>182</v>
      </c>
      <c r="F2101" s="7" t="s">
        <v>3865</v>
      </c>
      <c r="G2101" s="17" t="s">
        <v>7747</v>
      </c>
      <c r="H2101" s="7" t="s">
        <v>28</v>
      </c>
      <c r="I2101" s="7" t="s">
        <v>817</v>
      </c>
      <c r="J2101" s="7" t="s">
        <v>826</v>
      </c>
      <c r="K2101" s="7" t="s">
        <v>3866</v>
      </c>
      <c r="L2101" s="7" t="s">
        <v>136</v>
      </c>
      <c r="M2101" s="7">
        <v>3.762346</v>
      </c>
      <c r="N2101" s="7">
        <v>11.883974</v>
      </c>
      <c r="O2101" s="7" t="s">
        <v>23</v>
      </c>
    </row>
    <row r="2102" spans="1:15" hidden="1" x14ac:dyDescent="0.25">
      <c r="A2102" s="2">
        <f t="shared" si="32"/>
        <v>2100</v>
      </c>
      <c r="B2102" s="7" t="s">
        <v>3867</v>
      </c>
      <c r="C2102" s="7" t="s">
        <v>3868</v>
      </c>
      <c r="D2102" s="7" t="s">
        <v>3867</v>
      </c>
      <c r="E2102" s="7" t="s">
        <v>182</v>
      </c>
      <c r="F2102" s="7" t="s">
        <v>3869</v>
      </c>
      <c r="G2102" s="17" t="s">
        <v>7747</v>
      </c>
      <c r="H2102" s="7" t="s">
        <v>28</v>
      </c>
      <c r="I2102" s="7" t="s">
        <v>1553</v>
      </c>
      <c r="J2102" s="7" t="s">
        <v>826</v>
      </c>
      <c r="K2102" s="7" t="s">
        <v>819</v>
      </c>
      <c r="L2102" s="7" t="s">
        <v>136</v>
      </c>
      <c r="M2102" s="7">
        <v>3.8174169999999998</v>
      </c>
      <c r="N2102" s="7">
        <v>11.572167</v>
      </c>
      <c r="O2102" s="7" t="s">
        <v>23</v>
      </c>
    </row>
    <row r="2103" spans="1:15" hidden="1" x14ac:dyDescent="0.25">
      <c r="A2103" s="2">
        <f t="shared" si="32"/>
        <v>2101</v>
      </c>
      <c r="B2103" s="7" t="s">
        <v>3870</v>
      </c>
      <c r="C2103" s="7" t="s">
        <v>3871</v>
      </c>
      <c r="D2103" s="7" t="s">
        <v>3870</v>
      </c>
      <c r="E2103" s="7" t="s">
        <v>182</v>
      </c>
      <c r="F2103" s="7" t="s">
        <v>3872</v>
      </c>
      <c r="G2103" s="17" t="s">
        <v>7747</v>
      </c>
      <c r="H2103" s="7" t="s">
        <v>28</v>
      </c>
      <c r="I2103" s="7" t="s">
        <v>1553</v>
      </c>
      <c r="J2103" s="7" t="s">
        <v>185</v>
      </c>
      <c r="K2103" s="7" t="s">
        <v>1367</v>
      </c>
      <c r="L2103" s="7" t="s">
        <v>136</v>
      </c>
      <c r="M2103" s="7">
        <v>3.849637</v>
      </c>
      <c r="N2103" s="7">
        <v>11.564577999999999</v>
      </c>
      <c r="O2103" s="7" t="s">
        <v>23</v>
      </c>
    </row>
    <row r="2104" spans="1:15" hidden="1" x14ac:dyDescent="0.25">
      <c r="A2104" s="2">
        <f t="shared" si="32"/>
        <v>2102</v>
      </c>
      <c r="B2104" s="7" t="s">
        <v>3873</v>
      </c>
      <c r="C2104" s="7" t="s">
        <v>3874</v>
      </c>
      <c r="D2104" s="7" t="s">
        <v>3873</v>
      </c>
      <c r="E2104" s="7" t="s">
        <v>182</v>
      </c>
      <c r="F2104" s="7" t="s">
        <v>3875</v>
      </c>
      <c r="G2104" s="17" t="s">
        <v>7747</v>
      </c>
      <c r="H2104" s="7" t="s">
        <v>28</v>
      </c>
      <c r="I2104" s="7" t="s">
        <v>184</v>
      </c>
      <c r="J2104" s="7" t="s">
        <v>185</v>
      </c>
      <c r="K2104" s="7" t="s">
        <v>1435</v>
      </c>
      <c r="L2104" s="7" t="s">
        <v>136</v>
      </c>
      <c r="M2104" s="7">
        <v>3.8967499999999999</v>
      </c>
      <c r="N2104" s="7">
        <v>11.573924999999999</v>
      </c>
      <c r="O2104" s="7" t="s">
        <v>23</v>
      </c>
    </row>
    <row r="2105" spans="1:15" hidden="1" x14ac:dyDescent="0.25">
      <c r="A2105" s="2">
        <f t="shared" si="32"/>
        <v>2103</v>
      </c>
      <c r="B2105" s="7" t="s">
        <v>3876</v>
      </c>
      <c r="C2105" s="7" t="s">
        <v>3877</v>
      </c>
      <c r="D2105" s="7" t="s">
        <v>3876</v>
      </c>
      <c r="E2105" s="7" t="s">
        <v>182</v>
      </c>
      <c r="F2105" s="7" t="s">
        <v>3878</v>
      </c>
      <c r="G2105" s="17" t="s">
        <v>7747</v>
      </c>
      <c r="H2105" s="7" t="s">
        <v>19</v>
      </c>
      <c r="I2105" s="7" t="s">
        <v>1284</v>
      </c>
      <c r="J2105" s="7" t="s">
        <v>185</v>
      </c>
      <c r="K2105" s="7" t="s">
        <v>1322</v>
      </c>
      <c r="L2105" s="7" t="s">
        <v>136</v>
      </c>
      <c r="M2105" s="7">
        <v>3.8420000000000001</v>
      </c>
      <c r="N2105" s="7">
        <v>11.462999999999999</v>
      </c>
      <c r="O2105" s="7" t="s">
        <v>23</v>
      </c>
    </row>
    <row r="2106" spans="1:15" hidden="1" x14ac:dyDescent="0.25">
      <c r="A2106" s="2">
        <f t="shared" si="32"/>
        <v>2104</v>
      </c>
      <c r="B2106" s="7" t="s">
        <v>3902</v>
      </c>
      <c r="C2106" s="7" t="s">
        <v>3903</v>
      </c>
      <c r="D2106" s="7" t="s">
        <v>3902</v>
      </c>
      <c r="E2106" s="7" t="s">
        <v>182</v>
      </c>
      <c r="F2106" s="7" t="s">
        <v>3904</v>
      </c>
      <c r="G2106" s="17" t="s">
        <v>7747</v>
      </c>
      <c r="H2106" s="7" t="s">
        <v>28</v>
      </c>
      <c r="I2106" s="7" t="s">
        <v>1366</v>
      </c>
      <c r="J2106" s="7" t="s">
        <v>185</v>
      </c>
      <c r="K2106" s="7" t="s">
        <v>1435</v>
      </c>
      <c r="L2106" s="7" t="s">
        <v>136</v>
      </c>
      <c r="M2106" s="7">
        <v>3.8802729999999999</v>
      </c>
      <c r="N2106" s="7">
        <v>11.560905</v>
      </c>
      <c r="O2106" s="7" t="s">
        <v>23</v>
      </c>
    </row>
    <row r="2107" spans="1:15" hidden="1" x14ac:dyDescent="0.25">
      <c r="A2107" s="2">
        <f t="shared" si="32"/>
        <v>2105</v>
      </c>
      <c r="B2107" s="7" t="s">
        <v>3905</v>
      </c>
      <c r="C2107" s="7" t="s">
        <v>3906</v>
      </c>
      <c r="D2107" s="7" t="s">
        <v>3905</v>
      </c>
      <c r="E2107" s="7" t="s">
        <v>182</v>
      </c>
      <c r="F2107" s="7" t="s">
        <v>3907</v>
      </c>
      <c r="G2107" s="17" t="s">
        <v>7747</v>
      </c>
      <c r="H2107" s="7" t="s">
        <v>28</v>
      </c>
      <c r="I2107" s="7" t="s">
        <v>297</v>
      </c>
      <c r="J2107" s="7" t="s">
        <v>185</v>
      </c>
      <c r="K2107" s="7" t="s">
        <v>1393</v>
      </c>
      <c r="L2107" s="7" t="s">
        <v>136</v>
      </c>
      <c r="M2107" s="7">
        <v>3.89303</v>
      </c>
      <c r="N2107" s="7">
        <v>11.46855</v>
      </c>
      <c r="O2107" s="7" t="s">
        <v>23</v>
      </c>
    </row>
    <row r="2108" spans="1:15" hidden="1" x14ac:dyDescent="0.25">
      <c r="A2108" s="2">
        <f t="shared" si="32"/>
        <v>2106</v>
      </c>
      <c r="B2108" s="7" t="s">
        <v>3908</v>
      </c>
      <c r="C2108" s="7" t="s">
        <v>3909</v>
      </c>
      <c r="D2108" s="7" t="s">
        <v>3908</v>
      </c>
      <c r="E2108" s="7" t="s">
        <v>182</v>
      </c>
      <c r="F2108" s="7" t="s">
        <v>3910</v>
      </c>
      <c r="G2108" s="17" t="s">
        <v>7747</v>
      </c>
      <c r="H2108" s="7" t="s">
        <v>19</v>
      </c>
      <c r="I2108" s="7" t="s">
        <v>1385</v>
      </c>
      <c r="J2108" s="7" t="s">
        <v>185</v>
      </c>
      <c r="K2108" s="7" t="s">
        <v>1367</v>
      </c>
      <c r="L2108" s="7" t="s">
        <v>136</v>
      </c>
      <c r="M2108" s="7">
        <v>3.810467</v>
      </c>
      <c r="N2108" s="7">
        <v>11.531677</v>
      </c>
      <c r="O2108" s="7" t="s">
        <v>23</v>
      </c>
    </row>
    <row r="2109" spans="1:15" hidden="1" x14ac:dyDescent="0.25">
      <c r="A2109" s="2">
        <f t="shared" si="32"/>
        <v>2107</v>
      </c>
      <c r="B2109" s="7" t="s">
        <v>3911</v>
      </c>
      <c r="C2109" s="7" t="s">
        <v>3912</v>
      </c>
      <c r="D2109" s="7" t="s">
        <v>3911</v>
      </c>
      <c r="E2109" s="7" t="s">
        <v>182</v>
      </c>
      <c r="F2109" s="7" t="s">
        <v>3913</v>
      </c>
      <c r="G2109" s="17" t="s">
        <v>7747</v>
      </c>
      <c r="H2109" s="7" t="s">
        <v>28</v>
      </c>
      <c r="I2109" s="7" t="s">
        <v>1637</v>
      </c>
      <c r="J2109" s="7" t="s">
        <v>185</v>
      </c>
      <c r="K2109" s="7" t="s">
        <v>1462</v>
      </c>
      <c r="L2109" s="7" t="s">
        <v>136</v>
      </c>
      <c r="M2109" s="7">
        <v>3.851</v>
      </c>
      <c r="N2109" s="7">
        <v>11.495749999999999</v>
      </c>
      <c r="O2109" s="7" t="s">
        <v>613</v>
      </c>
    </row>
    <row r="2110" spans="1:15" hidden="1" x14ac:dyDescent="0.25">
      <c r="A2110" s="2">
        <f t="shared" si="32"/>
        <v>2108</v>
      </c>
      <c r="B2110" s="7" t="s">
        <v>3929</v>
      </c>
      <c r="C2110" s="7" t="s">
        <v>3930</v>
      </c>
      <c r="D2110" s="7" t="s">
        <v>3929</v>
      </c>
      <c r="E2110" s="7" t="s">
        <v>250</v>
      </c>
      <c r="F2110" s="7" t="s">
        <v>3931</v>
      </c>
      <c r="G2110" s="17" t="s">
        <v>7747</v>
      </c>
      <c r="H2110" s="7" t="s">
        <v>28</v>
      </c>
      <c r="I2110" s="7" t="s">
        <v>322</v>
      </c>
      <c r="J2110" s="7" t="s">
        <v>253</v>
      </c>
      <c r="K2110" s="7" t="s">
        <v>324</v>
      </c>
      <c r="L2110" s="7" t="s">
        <v>136</v>
      </c>
      <c r="M2110" s="7">
        <v>3.1497709999999999</v>
      </c>
      <c r="N2110" s="7">
        <v>12.114305999999999</v>
      </c>
      <c r="O2110" s="7" t="s">
        <v>23</v>
      </c>
    </row>
    <row r="2111" spans="1:15" hidden="1" x14ac:dyDescent="0.25">
      <c r="A2111" s="2">
        <f t="shared" si="32"/>
        <v>2109</v>
      </c>
      <c r="B2111" s="7" t="s">
        <v>3932</v>
      </c>
      <c r="C2111" s="7" t="s">
        <v>3933</v>
      </c>
      <c r="D2111" s="7" t="s">
        <v>3932</v>
      </c>
      <c r="E2111" s="7" t="s">
        <v>182</v>
      </c>
      <c r="F2111" s="7" t="s">
        <v>3934</v>
      </c>
      <c r="G2111" s="17" t="s">
        <v>7747</v>
      </c>
      <c r="H2111" s="7" t="s">
        <v>28</v>
      </c>
      <c r="I2111" s="7" t="s">
        <v>297</v>
      </c>
      <c r="J2111" s="7" t="s">
        <v>185</v>
      </c>
      <c r="K2111" s="7" t="s">
        <v>1393</v>
      </c>
      <c r="L2111" s="7" t="s">
        <v>136</v>
      </c>
      <c r="M2111" s="7">
        <v>3.888417</v>
      </c>
      <c r="N2111" s="7">
        <v>11.453438</v>
      </c>
      <c r="O2111" s="7" t="s">
        <v>23</v>
      </c>
    </row>
    <row r="2112" spans="1:15" hidden="1" x14ac:dyDescent="0.25">
      <c r="A2112" s="2">
        <f t="shared" si="32"/>
        <v>2110</v>
      </c>
      <c r="B2112" s="7" t="s">
        <v>3938</v>
      </c>
      <c r="C2112" s="7" t="s">
        <v>3939</v>
      </c>
      <c r="D2112" s="7" t="s">
        <v>3938</v>
      </c>
      <c r="E2112" s="7" t="s">
        <v>182</v>
      </c>
      <c r="F2112" s="7" t="s">
        <v>3940</v>
      </c>
      <c r="G2112" s="17" t="s">
        <v>7747</v>
      </c>
      <c r="H2112" s="7" t="s">
        <v>19</v>
      </c>
      <c r="I2112" s="7" t="s">
        <v>1374</v>
      </c>
      <c r="J2112" s="7" t="s">
        <v>185</v>
      </c>
      <c r="K2112" s="7" t="s">
        <v>1375</v>
      </c>
      <c r="L2112" s="7" t="s">
        <v>136</v>
      </c>
      <c r="M2112" s="7">
        <v>3.8838889999999999</v>
      </c>
      <c r="N2112" s="7">
        <v>11.503181</v>
      </c>
      <c r="O2112" s="7" t="s">
        <v>613</v>
      </c>
    </row>
    <row r="2113" spans="1:15" hidden="1" x14ac:dyDescent="0.25">
      <c r="A2113" s="2">
        <f t="shared" si="32"/>
        <v>2111</v>
      </c>
      <c r="B2113" s="7" t="s">
        <v>3941</v>
      </c>
      <c r="C2113" s="7" t="s">
        <v>3942</v>
      </c>
      <c r="D2113" s="7" t="s">
        <v>3941</v>
      </c>
      <c r="E2113" s="7" t="s">
        <v>182</v>
      </c>
      <c r="F2113" s="7" t="s">
        <v>3943</v>
      </c>
      <c r="G2113" s="17" t="s">
        <v>7747</v>
      </c>
      <c r="H2113" s="7" t="s">
        <v>28</v>
      </c>
      <c r="I2113" s="7" t="s">
        <v>1385</v>
      </c>
      <c r="J2113" s="7" t="s">
        <v>185</v>
      </c>
      <c r="K2113" s="7" t="s">
        <v>1367</v>
      </c>
      <c r="L2113" s="7" t="s">
        <v>136</v>
      </c>
      <c r="M2113" s="7">
        <v>3.7755000000000001</v>
      </c>
      <c r="N2113" s="7">
        <v>11.53762</v>
      </c>
      <c r="O2113" s="7" t="s">
        <v>23</v>
      </c>
    </row>
    <row r="2114" spans="1:15" hidden="1" x14ac:dyDescent="0.25">
      <c r="A2114" s="2">
        <f t="shared" si="32"/>
        <v>2112</v>
      </c>
      <c r="B2114" s="7" t="s">
        <v>3947</v>
      </c>
      <c r="C2114" s="7" t="s">
        <v>3948</v>
      </c>
      <c r="D2114" s="7" t="s">
        <v>3947</v>
      </c>
      <c r="E2114" s="7" t="s">
        <v>182</v>
      </c>
      <c r="F2114" s="7" t="s">
        <v>3949</v>
      </c>
      <c r="G2114" s="17" t="s">
        <v>7747</v>
      </c>
      <c r="H2114" s="7" t="s">
        <v>19</v>
      </c>
      <c r="I2114" s="7" t="s">
        <v>807</v>
      </c>
      <c r="J2114" s="7" t="s">
        <v>185</v>
      </c>
      <c r="K2114" s="7" t="s">
        <v>808</v>
      </c>
      <c r="L2114" s="7" t="s">
        <v>136</v>
      </c>
      <c r="M2114" s="7">
        <v>3.9055</v>
      </c>
      <c r="N2114" s="7">
        <v>11.533401</v>
      </c>
      <c r="O2114" s="7" t="s">
        <v>613</v>
      </c>
    </row>
    <row r="2115" spans="1:15" hidden="1" x14ac:dyDescent="0.25">
      <c r="A2115" s="2">
        <f t="shared" si="32"/>
        <v>2113</v>
      </c>
      <c r="B2115" s="7" t="s">
        <v>3950</v>
      </c>
      <c r="C2115" s="7" t="s">
        <v>3951</v>
      </c>
      <c r="D2115" s="7" t="s">
        <v>3950</v>
      </c>
      <c r="E2115" s="7" t="s">
        <v>182</v>
      </c>
      <c r="F2115" s="7" t="s">
        <v>3952</v>
      </c>
      <c r="G2115" s="17" t="s">
        <v>7747</v>
      </c>
      <c r="H2115" s="7" t="s">
        <v>28</v>
      </c>
      <c r="I2115" s="7" t="s">
        <v>1374</v>
      </c>
      <c r="J2115" s="7" t="s">
        <v>185</v>
      </c>
      <c r="K2115" s="7" t="s">
        <v>1375</v>
      </c>
      <c r="L2115" s="7" t="s">
        <v>136</v>
      </c>
      <c r="M2115" s="7">
        <v>3.889472</v>
      </c>
      <c r="N2115" s="7">
        <v>11.507250000000001</v>
      </c>
      <c r="O2115" s="7" t="s">
        <v>613</v>
      </c>
    </row>
    <row r="2116" spans="1:15" hidden="1" x14ac:dyDescent="0.25">
      <c r="A2116" s="2">
        <f t="shared" si="32"/>
        <v>2114</v>
      </c>
      <c r="B2116" s="7" t="s">
        <v>3953</v>
      </c>
      <c r="C2116" s="7" t="s">
        <v>3954</v>
      </c>
      <c r="D2116" s="7" t="s">
        <v>3953</v>
      </c>
      <c r="E2116" s="7" t="s">
        <v>182</v>
      </c>
      <c r="F2116" s="7" t="s">
        <v>3955</v>
      </c>
      <c r="G2116" s="17" t="s">
        <v>7747</v>
      </c>
      <c r="H2116" s="7" t="s">
        <v>19</v>
      </c>
      <c r="I2116" s="7" t="s">
        <v>1385</v>
      </c>
      <c r="J2116" s="7" t="s">
        <v>185</v>
      </c>
      <c r="K2116" s="7" t="s">
        <v>1367</v>
      </c>
      <c r="L2116" s="7" t="s">
        <v>136</v>
      </c>
      <c r="M2116" s="7">
        <v>3.75454</v>
      </c>
      <c r="N2116" s="7">
        <v>11.53454</v>
      </c>
      <c r="O2116" s="7" t="s">
        <v>23</v>
      </c>
    </row>
    <row r="2117" spans="1:15" hidden="1" x14ac:dyDescent="0.25">
      <c r="A2117" s="2">
        <f t="shared" ref="A2117:A2180" si="33">+A2116+1</f>
        <v>2115</v>
      </c>
      <c r="B2117" s="7" t="s">
        <v>3956</v>
      </c>
      <c r="C2117" s="7" t="s">
        <v>3957</v>
      </c>
      <c r="D2117" s="7" t="s">
        <v>3956</v>
      </c>
      <c r="E2117" s="7" t="s">
        <v>182</v>
      </c>
      <c r="F2117" s="7" t="s">
        <v>3958</v>
      </c>
      <c r="G2117" s="17" t="s">
        <v>7747</v>
      </c>
      <c r="H2117" s="7" t="s">
        <v>19</v>
      </c>
      <c r="I2117" s="7" t="s">
        <v>184</v>
      </c>
      <c r="J2117" s="7" t="s">
        <v>185</v>
      </c>
      <c r="K2117" s="7" t="s">
        <v>1435</v>
      </c>
      <c r="L2117" s="7" t="s">
        <v>136</v>
      </c>
      <c r="M2117" s="7">
        <v>3.8879999999999999</v>
      </c>
      <c r="N2117" s="7">
        <v>11.54</v>
      </c>
      <c r="O2117" s="7" t="s">
        <v>613</v>
      </c>
    </row>
    <row r="2118" spans="1:15" hidden="1" x14ac:dyDescent="0.25">
      <c r="A2118" s="2">
        <f t="shared" si="33"/>
        <v>2116</v>
      </c>
      <c r="B2118" s="7" t="s">
        <v>3959</v>
      </c>
      <c r="C2118" s="7" t="s">
        <v>3960</v>
      </c>
      <c r="D2118" s="7" t="s">
        <v>3959</v>
      </c>
      <c r="E2118" s="7" t="s">
        <v>182</v>
      </c>
      <c r="F2118" s="7" t="s">
        <v>3961</v>
      </c>
      <c r="G2118" s="17" t="s">
        <v>7747</v>
      </c>
      <c r="H2118" s="7" t="s">
        <v>28</v>
      </c>
      <c r="I2118" s="7" t="s">
        <v>1461</v>
      </c>
      <c r="J2118" s="7" t="s">
        <v>185</v>
      </c>
      <c r="K2118" s="7" t="s">
        <v>1367</v>
      </c>
      <c r="L2118" s="7" t="s">
        <v>136</v>
      </c>
      <c r="M2118" s="7">
        <v>3.8257110000000001</v>
      </c>
      <c r="N2118" s="7">
        <v>11.492353</v>
      </c>
      <c r="O2118" s="7" t="s">
        <v>23</v>
      </c>
    </row>
    <row r="2119" spans="1:15" hidden="1" x14ac:dyDescent="0.25">
      <c r="A2119" s="2">
        <f t="shared" si="33"/>
        <v>2117</v>
      </c>
      <c r="B2119" s="7" t="s">
        <v>3976</v>
      </c>
      <c r="C2119" s="7" t="s">
        <v>3977</v>
      </c>
      <c r="D2119" s="7" t="s">
        <v>3976</v>
      </c>
      <c r="E2119" s="7" t="s">
        <v>182</v>
      </c>
      <c r="F2119" s="7" t="s">
        <v>3978</v>
      </c>
      <c r="G2119" s="17" t="s">
        <v>7747</v>
      </c>
      <c r="H2119" s="7" t="s">
        <v>28</v>
      </c>
      <c r="I2119" s="7" t="s">
        <v>1461</v>
      </c>
      <c r="J2119" s="7" t="s">
        <v>185</v>
      </c>
      <c r="K2119" s="7" t="s">
        <v>1367</v>
      </c>
      <c r="L2119" s="7" t="s">
        <v>136</v>
      </c>
      <c r="M2119" s="7">
        <v>3.8236400000000001</v>
      </c>
      <c r="N2119" s="7">
        <v>11.516439999999999</v>
      </c>
      <c r="O2119" s="7" t="s">
        <v>613</v>
      </c>
    </row>
    <row r="2120" spans="1:15" hidden="1" x14ac:dyDescent="0.25">
      <c r="A2120" s="2">
        <f t="shared" si="33"/>
        <v>2118</v>
      </c>
      <c r="B2120" s="7" t="s">
        <v>3985</v>
      </c>
      <c r="C2120" s="7" t="s">
        <v>3986</v>
      </c>
      <c r="D2120" s="7" t="s">
        <v>3985</v>
      </c>
      <c r="E2120" s="7" t="s">
        <v>182</v>
      </c>
      <c r="F2120" s="7" t="s">
        <v>3987</v>
      </c>
      <c r="G2120" s="17" t="s">
        <v>7747</v>
      </c>
      <c r="H2120" s="7" t="s">
        <v>28</v>
      </c>
      <c r="I2120" s="7" t="s">
        <v>1766</v>
      </c>
      <c r="J2120" s="7" t="s">
        <v>185</v>
      </c>
      <c r="K2120" s="7" t="s">
        <v>808</v>
      </c>
      <c r="L2120" s="7" t="s">
        <v>136</v>
      </c>
      <c r="M2120" s="7">
        <v>3.9587219999999999</v>
      </c>
      <c r="N2120" s="7">
        <v>11.508889</v>
      </c>
      <c r="O2120" s="7" t="s">
        <v>23</v>
      </c>
    </row>
    <row r="2121" spans="1:15" hidden="1" x14ac:dyDescent="0.25">
      <c r="A2121" s="2">
        <f t="shared" si="33"/>
        <v>2119</v>
      </c>
      <c r="B2121" s="7" t="s">
        <v>3997</v>
      </c>
      <c r="C2121" s="7" t="s">
        <v>3998</v>
      </c>
      <c r="D2121" s="7" t="s">
        <v>3997</v>
      </c>
      <c r="E2121" s="7" t="s">
        <v>182</v>
      </c>
      <c r="F2121" s="7" t="s">
        <v>2175</v>
      </c>
      <c r="G2121" s="17" t="s">
        <v>7747</v>
      </c>
      <c r="H2121" s="7" t="s">
        <v>19</v>
      </c>
      <c r="I2121" s="7" t="s">
        <v>817</v>
      </c>
      <c r="J2121" s="7" t="s">
        <v>826</v>
      </c>
      <c r="K2121" s="7" t="s">
        <v>819</v>
      </c>
      <c r="L2121" s="7" t="s">
        <v>136</v>
      </c>
      <c r="M2121" s="7">
        <v>3.8914390000000001</v>
      </c>
      <c r="N2121" s="7">
        <v>11.88335</v>
      </c>
      <c r="O2121" s="7" t="s">
        <v>23</v>
      </c>
    </row>
    <row r="2122" spans="1:15" hidden="1" x14ac:dyDescent="0.25">
      <c r="A2122" s="2">
        <f t="shared" si="33"/>
        <v>2120</v>
      </c>
      <c r="B2122" s="7" t="s">
        <v>4003</v>
      </c>
      <c r="C2122" s="7" t="s">
        <v>4004</v>
      </c>
      <c r="D2122" s="7" t="s">
        <v>4003</v>
      </c>
      <c r="E2122" s="7" t="s">
        <v>250</v>
      </c>
      <c r="F2122" s="7" t="s">
        <v>4005</v>
      </c>
      <c r="G2122" s="17" t="s">
        <v>7747</v>
      </c>
      <c r="H2122" s="7" t="s">
        <v>28</v>
      </c>
      <c r="I2122" s="7" t="s">
        <v>311</v>
      </c>
      <c r="J2122" s="7" t="s">
        <v>312</v>
      </c>
      <c r="K2122" s="7" t="s">
        <v>4006</v>
      </c>
      <c r="L2122" s="7" t="s">
        <v>136</v>
      </c>
      <c r="M2122" s="7">
        <v>2.8772549999999999</v>
      </c>
      <c r="N2122" s="7">
        <v>11.147535</v>
      </c>
      <c r="O2122" s="7" t="s">
        <v>23</v>
      </c>
    </row>
    <row r="2123" spans="1:15" hidden="1" x14ac:dyDescent="0.25">
      <c r="A2123" s="2">
        <f t="shared" si="33"/>
        <v>2121</v>
      </c>
      <c r="B2123" s="7" t="s">
        <v>4019</v>
      </c>
      <c r="C2123" s="7" t="s">
        <v>4020</v>
      </c>
      <c r="D2123" s="7" t="s">
        <v>4019</v>
      </c>
      <c r="E2123" s="7" t="s">
        <v>182</v>
      </c>
      <c r="F2123" s="7" t="s">
        <v>4021</v>
      </c>
      <c r="G2123" s="17" t="s">
        <v>7747</v>
      </c>
      <c r="H2123" s="7" t="s">
        <v>28</v>
      </c>
      <c r="I2123" s="7" t="s">
        <v>286</v>
      </c>
      <c r="J2123" s="7" t="s">
        <v>298</v>
      </c>
      <c r="K2123" s="7" t="s">
        <v>1746</v>
      </c>
      <c r="L2123" s="7" t="s">
        <v>136</v>
      </c>
      <c r="M2123" s="7">
        <v>4.5143500000000003</v>
      </c>
      <c r="N2123" s="7">
        <v>12.116822000000001</v>
      </c>
      <c r="O2123" s="7" t="s">
        <v>23</v>
      </c>
    </row>
    <row r="2124" spans="1:15" hidden="1" x14ac:dyDescent="0.25">
      <c r="A2124" s="2">
        <f t="shared" si="33"/>
        <v>2122</v>
      </c>
      <c r="B2124" s="7" t="s">
        <v>4041</v>
      </c>
      <c r="C2124" s="7" t="s">
        <v>4042</v>
      </c>
      <c r="D2124" s="7" t="s">
        <v>4041</v>
      </c>
      <c r="E2124" s="7" t="s">
        <v>182</v>
      </c>
      <c r="F2124" s="7" t="s">
        <v>1615</v>
      </c>
      <c r="G2124" s="17" t="s">
        <v>7747</v>
      </c>
      <c r="H2124" s="7" t="s">
        <v>19</v>
      </c>
      <c r="I2124" s="7" t="s">
        <v>374</v>
      </c>
      <c r="J2124" s="7" t="s">
        <v>287</v>
      </c>
      <c r="K2124" s="7" t="s">
        <v>337</v>
      </c>
      <c r="L2124" s="7" t="s">
        <v>136</v>
      </c>
      <c r="M2124" s="7">
        <v>4.246747</v>
      </c>
      <c r="N2124" s="7">
        <v>11.190440000000001</v>
      </c>
      <c r="O2124" s="7" t="s">
        <v>23</v>
      </c>
    </row>
    <row r="2125" spans="1:15" x14ac:dyDescent="0.25">
      <c r="A2125" s="2">
        <f t="shared" si="33"/>
        <v>2123</v>
      </c>
      <c r="B2125" s="7" t="s">
        <v>4083</v>
      </c>
      <c r="C2125" s="7" t="s">
        <v>4084</v>
      </c>
      <c r="D2125" s="7" t="s">
        <v>4083</v>
      </c>
      <c r="E2125" s="7" t="s">
        <v>131</v>
      </c>
      <c r="F2125" s="7" t="s">
        <v>135</v>
      </c>
      <c r="G2125" s="17" t="s">
        <v>7747</v>
      </c>
      <c r="H2125" s="7" t="s">
        <v>28</v>
      </c>
      <c r="I2125" s="7" t="s">
        <v>133</v>
      </c>
      <c r="J2125" s="7" t="s">
        <v>134</v>
      </c>
      <c r="K2125" s="7" t="s">
        <v>135</v>
      </c>
      <c r="L2125" s="7" t="s">
        <v>136</v>
      </c>
      <c r="M2125" s="7">
        <v>4.5560510000000001</v>
      </c>
      <c r="N2125" s="7">
        <v>11.393134</v>
      </c>
      <c r="O2125" s="7" t="s">
        <v>23</v>
      </c>
    </row>
    <row r="2126" spans="1:15" hidden="1" x14ac:dyDescent="0.25">
      <c r="A2126" s="2">
        <f t="shared" si="33"/>
        <v>2124</v>
      </c>
      <c r="B2126" s="7" t="s">
        <v>4109</v>
      </c>
      <c r="C2126" s="7" t="s">
        <v>4110</v>
      </c>
      <c r="D2126" s="7" t="s">
        <v>4109</v>
      </c>
      <c r="E2126" s="7" t="s">
        <v>182</v>
      </c>
      <c r="F2126" s="7" t="s">
        <v>4111</v>
      </c>
      <c r="G2126" s="17" t="s">
        <v>7747</v>
      </c>
      <c r="H2126" s="7" t="s">
        <v>28</v>
      </c>
      <c r="I2126" s="7" t="s">
        <v>184</v>
      </c>
      <c r="J2126" s="7" t="s">
        <v>185</v>
      </c>
      <c r="K2126" s="7" t="s">
        <v>186</v>
      </c>
      <c r="L2126" s="7" t="s">
        <v>136</v>
      </c>
      <c r="M2126" s="7">
        <v>3.9709099999999999</v>
      </c>
      <c r="N2126" s="7">
        <v>11.604179999999999</v>
      </c>
      <c r="O2126" s="7" t="s">
        <v>23</v>
      </c>
    </row>
    <row r="2127" spans="1:15" hidden="1" x14ac:dyDescent="0.25">
      <c r="A2127" s="2">
        <f t="shared" si="33"/>
        <v>2125</v>
      </c>
      <c r="B2127" s="7" t="s">
        <v>4124</v>
      </c>
      <c r="C2127" s="7" t="s">
        <v>4125</v>
      </c>
      <c r="D2127" s="7" t="s">
        <v>4124</v>
      </c>
      <c r="E2127" s="7" t="s">
        <v>182</v>
      </c>
      <c r="F2127" s="7" t="s">
        <v>4126</v>
      </c>
      <c r="G2127" s="17" t="s">
        <v>7747</v>
      </c>
      <c r="H2127" s="7" t="s">
        <v>28</v>
      </c>
      <c r="I2127" s="7" t="s">
        <v>1461</v>
      </c>
      <c r="J2127" s="7" t="s">
        <v>185</v>
      </c>
      <c r="K2127" s="7" t="s">
        <v>1367</v>
      </c>
      <c r="L2127" s="7" t="s">
        <v>136</v>
      </c>
      <c r="M2127" s="7">
        <v>3.783995</v>
      </c>
      <c r="N2127" s="7">
        <v>11.511380000000001</v>
      </c>
      <c r="O2127" s="7" t="s">
        <v>23</v>
      </c>
    </row>
    <row r="2128" spans="1:15" hidden="1" x14ac:dyDescent="0.25">
      <c r="A2128" s="2">
        <f t="shared" si="33"/>
        <v>2126</v>
      </c>
      <c r="B2128" s="7" t="s">
        <v>4147</v>
      </c>
      <c r="C2128" s="7" t="s">
        <v>4148</v>
      </c>
      <c r="D2128" s="7" t="s">
        <v>4147</v>
      </c>
      <c r="E2128" s="7" t="s">
        <v>182</v>
      </c>
      <c r="F2128" s="7" t="s">
        <v>1539</v>
      </c>
      <c r="G2128" s="17" t="s">
        <v>7747</v>
      </c>
      <c r="H2128" s="7" t="s">
        <v>19</v>
      </c>
      <c r="I2128" s="7" t="s">
        <v>817</v>
      </c>
      <c r="J2128" s="7" t="s">
        <v>818</v>
      </c>
      <c r="K2128" s="7" t="s">
        <v>1540</v>
      </c>
      <c r="L2128" s="7" t="s">
        <v>136</v>
      </c>
      <c r="M2128" s="7">
        <v>3.9162249999999998</v>
      </c>
      <c r="N2128" s="7">
        <v>12.527517</v>
      </c>
      <c r="O2128" s="7" t="s">
        <v>23</v>
      </c>
    </row>
    <row r="2129" spans="1:15" hidden="1" x14ac:dyDescent="0.25">
      <c r="A2129" s="2">
        <f t="shared" si="33"/>
        <v>2127</v>
      </c>
      <c r="B2129" s="7" t="s">
        <v>4155</v>
      </c>
      <c r="C2129" s="7" t="s">
        <v>4156</v>
      </c>
      <c r="D2129" s="7" t="s">
        <v>4155</v>
      </c>
      <c r="E2129" s="7" t="s">
        <v>182</v>
      </c>
      <c r="F2129" s="7" t="s">
        <v>4157</v>
      </c>
      <c r="G2129" s="17" t="s">
        <v>7747</v>
      </c>
      <c r="H2129" s="7" t="s">
        <v>28</v>
      </c>
      <c r="I2129" s="7" t="s">
        <v>275</v>
      </c>
      <c r="J2129" s="7" t="s">
        <v>276</v>
      </c>
      <c r="K2129" s="7" t="s">
        <v>4158</v>
      </c>
      <c r="L2129" s="7" t="s">
        <v>136</v>
      </c>
      <c r="M2129" s="7">
        <v>3.6002890000000001</v>
      </c>
      <c r="N2129" s="7">
        <v>11.254806</v>
      </c>
      <c r="O2129" s="7" t="s">
        <v>23</v>
      </c>
    </row>
    <row r="2130" spans="1:15" x14ac:dyDescent="0.25">
      <c r="A2130" s="2">
        <f t="shared" si="33"/>
        <v>2128</v>
      </c>
      <c r="B2130" s="7" t="s">
        <v>4165</v>
      </c>
      <c r="C2130" s="7" t="s">
        <v>4166</v>
      </c>
      <c r="D2130" s="7" t="s">
        <v>4165</v>
      </c>
      <c r="E2130" s="7" t="s">
        <v>131</v>
      </c>
      <c r="F2130" s="7" t="s">
        <v>4167</v>
      </c>
      <c r="G2130" s="17" t="s">
        <v>7747</v>
      </c>
      <c r="H2130" s="7" t="s">
        <v>19</v>
      </c>
      <c r="I2130" s="7" t="s">
        <v>133</v>
      </c>
      <c r="J2130" s="7" t="s">
        <v>317</v>
      </c>
      <c r="K2130" s="7" t="s">
        <v>133</v>
      </c>
      <c r="L2130" s="7" t="s">
        <v>136</v>
      </c>
      <c r="M2130" s="7">
        <v>4.6559299999999997</v>
      </c>
      <c r="N2130" s="7">
        <v>11.25079</v>
      </c>
      <c r="O2130" s="7" t="s">
        <v>23</v>
      </c>
    </row>
    <row r="2131" spans="1:15" hidden="1" x14ac:dyDescent="0.25">
      <c r="A2131" s="2">
        <f t="shared" si="33"/>
        <v>2129</v>
      </c>
      <c r="B2131" s="7" t="s">
        <v>4171</v>
      </c>
      <c r="C2131" s="7" t="s">
        <v>4172</v>
      </c>
      <c r="D2131" s="7" t="s">
        <v>4171</v>
      </c>
      <c r="E2131" s="7" t="s">
        <v>182</v>
      </c>
      <c r="F2131" s="7" t="s">
        <v>4173</v>
      </c>
      <c r="G2131" s="17" t="s">
        <v>7747</v>
      </c>
      <c r="H2131" s="7" t="s">
        <v>19</v>
      </c>
      <c r="I2131" s="7" t="s">
        <v>286</v>
      </c>
      <c r="J2131" s="7" t="s">
        <v>287</v>
      </c>
      <c r="K2131" s="7" t="s">
        <v>288</v>
      </c>
      <c r="L2131" s="7" t="s">
        <v>136</v>
      </c>
      <c r="M2131" s="7">
        <v>4.161861</v>
      </c>
      <c r="N2131" s="7">
        <v>11.538111000000001</v>
      </c>
      <c r="O2131" s="7" t="s">
        <v>23</v>
      </c>
    </row>
    <row r="2132" spans="1:15" hidden="1" x14ac:dyDescent="0.25">
      <c r="A2132" s="2">
        <f t="shared" si="33"/>
        <v>2130</v>
      </c>
      <c r="B2132" s="7" t="s">
        <v>4205</v>
      </c>
      <c r="C2132" s="7" t="s">
        <v>4206</v>
      </c>
      <c r="D2132" s="7" t="s">
        <v>4205</v>
      </c>
      <c r="E2132" s="7" t="s">
        <v>182</v>
      </c>
      <c r="F2132" s="7" t="s">
        <v>4207</v>
      </c>
      <c r="G2132" s="17" t="s">
        <v>7747</v>
      </c>
      <c r="H2132" s="7" t="s">
        <v>28</v>
      </c>
      <c r="I2132" s="7" t="s">
        <v>1461</v>
      </c>
      <c r="J2132" s="7" t="s">
        <v>185</v>
      </c>
      <c r="K2132" s="7" t="s">
        <v>1462</v>
      </c>
      <c r="L2132" s="7" t="s">
        <v>136</v>
      </c>
      <c r="M2132" s="7">
        <v>3.8144300000000002</v>
      </c>
      <c r="N2132" s="7">
        <v>11.505129999999999</v>
      </c>
      <c r="O2132" s="7" t="s">
        <v>613</v>
      </c>
    </row>
    <row r="2133" spans="1:15" hidden="1" x14ac:dyDescent="0.25">
      <c r="A2133" s="2">
        <f t="shared" si="33"/>
        <v>2131</v>
      </c>
      <c r="B2133" s="7" t="s">
        <v>4226</v>
      </c>
      <c r="C2133" s="7" t="s">
        <v>4227</v>
      </c>
      <c r="D2133" s="7" t="s">
        <v>4226</v>
      </c>
      <c r="E2133" s="7" t="s">
        <v>182</v>
      </c>
      <c r="F2133" s="7" t="s">
        <v>4228</v>
      </c>
      <c r="G2133" s="17" t="s">
        <v>7747</v>
      </c>
      <c r="H2133" s="7" t="s">
        <v>28</v>
      </c>
      <c r="I2133" s="7" t="s">
        <v>1766</v>
      </c>
      <c r="J2133" s="7" t="s">
        <v>185</v>
      </c>
      <c r="K2133" s="7" t="s">
        <v>808</v>
      </c>
      <c r="L2133" s="7" t="s">
        <v>136</v>
      </c>
      <c r="M2133" s="7">
        <v>3.9268610000000002</v>
      </c>
      <c r="N2133" s="7">
        <v>11.520417</v>
      </c>
      <c r="O2133" s="7" t="s">
        <v>23</v>
      </c>
    </row>
    <row r="2134" spans="1:15" hidden="1" x14ac:dyDescent="0.25">
      <c r="A2134" s="2">
        <f t="shared" si="33"/>
        <v>2132</v>
      </c>
      <c r="B2134" s="7" t="s">
        <v>4232</v>
      </c>
      <c r="C2134" s="7" t="s">
        <v>4233</v>
      </c>
      <c r="D2134" s="7" t="s">
        <v>4232</v>
      </c>
      <c r="E2134" s="7" t="s">
        <v>182</v>
      </c>
      <c r="F2134" s="7" t="s">
        <v>4234</v>
      </c>
      <c r="G2134" s="17" t="s">
        <v>7747</v>
      </c>
      <c r="H2134" s="7" t="s">
        <v>28</v>
      </c>
      <c r="I2134" s="7" t="s">
        <v>1553</v>
      </c>
      <c r="J2134" s="7" t="s">
        <v>826</v>
      </c>
      <c r="K2134" s="7" t="s">
        <v>819</v>
      </c>
      <c r="L2134" s="7" t="s">
        <v>136</v>
      </c>
      <c r="M2134" s="7">
        <v>3.8754599999999999</v>
      </c>
      <c r="N2134" s="7">
        <v>11.587070000000001</v>
      </c>
      <c r="O2134" s="7" t="s">
        <v>23</v>
      </c>
    </row>
    <row r="2135" spans="1:15" hidden="1" x14ac:dyDescent="0.25">
      <c r="A2135" s="2">
        <f t="shared" si="33"/>
        <v>2133</v>
      </c>
      <c r="B2135" s="7" t="s">
        <v>4252</v>
      </c>
      <c r="C2135" s="7" t="s">
        <v>4253</v>
      </c>
      <c r="D2135" s="7" t="s">
        <v>4252</v>
      </c>
      <c r="E2135" s="7" t="s">
        <v>182</v>
      </c>
      <c r="F2135" s="7" t="s">
        <v>4254</v>
      </c>
      <c r="G2135" s="17" t="s">
        <v>7747</v>
      </c>
      <c r="H2135" s="7" t="s">
        <v>28</v>
      </c>
      <c r="I2135" s="7" t="s">
        <v>600</v>
      </c>
      <c r="J2135" s="7" t="s">
        <v>208</v>
      </c>
      <c r="K2135" s="7" t="s">
        <v>1965</v>
      </c>
      <c r="L2135" s="7" t="s">
        <v>136</v>
      </c>
      <c r="M2135" s="7">
        <v>3.94997</v>
      </c>
      <c r="N2135" s="7">
        <v>10.83384</v>
      </c>
      <c r="O2135" s="7" t="s">
        <v>23</v>
      </c>
    </row>
    <row r="2136" spans="1:15" hidden="1" x14ac:dyDescent="0.25">
      <c r="A2136" s="2">
        <f t="shared" si="33"/>
        <v>2134</v>
      </c>
      <c r="B2136" s="7" t="s">
        <v>4261</v>
      </c>
      <c r="C2136" s="7" t="s">
        <v>4262</v>
      </c>
      <c r="D2136" s="7" t="s">
        <v>4261</v>
      </c>
      <c r="E2136" s="7" t="s">
        <v>182</v>
      </c>
      <c r="F2136" s="7" t="s">
        <v>4263</v>
      </c>
      <c r="G2136" s="17" t="s">
        <v>7747</v>
      </c>
      <c r="H2136" s="7" t="s">
        <v>19</v>
      </c>
      <c r="I2136" s="7" t="s">
        <v>275</v>
      </c>
      <c r="J2136" s="7" t="s">
        <v>208</v>
      </c>
      <c r="K2136" s="7" t="s">
        <v>485</v>
      </c>
      <c r="L2136" s="7" t="s">
        <v>136</v>
      </c>
      <c r="M2136" s="7">
        <v>3.6194630000000001</v>
      </c>
      <c r="N2136" s="7">
        <v>11.107618</v>
      </c>
      <c r="O2136" s="7" t="s">
        <v>23</v>
      </c>
    </row>
    <row r="2137" spans="1:15" hidden="1" x14ac:dyDescent="0.25">
      <c r="A2137" s="2">
        <f t="shared" si="33"/>
        <v>2135</v>
      </c>
      <c r="B2137" s="7" t="s">
        <v>4292</v>
      </c>
      <c r="C2137" s="7" t="s">
        <v>4293</v>
      </c>
      <c r="D2137" s="7" t="s">
        <v>4292</v>
      </c>
      <c r="E2137" s="7" t="s">
        <v>250</v>
      </c>
      <c r="F2137" s="7" t="s">
        <v>4294</v>
      </c>
      <c r="G2137" s="17" t="s">
        <v>7747</v>
      </c>
      <c r="H2137" s="7" t="s">
        <v>19</v>
      </c>
      <c r="I2137" s="7" t="s">
        <v>322</v>
      </c>
      <c r="J2137" s="7" t="s">
        <v>253</v>
      </c>
      <c r="K2137" s="7" t="s">
        <v>324</v>
      </c>
      <c r="L2137" s="7" t="s">
        <v>136</v>
      </c>
      <c r="M2137" s="7">
        <v>3.2509000000000001</v>
      </c>
      <c r="N2137" s="7">
        <v>11.787701999999999</v>
      </c>
      <c r="O2137" s="7" t="s">
        <v>23</v>
      </c>
    </row>
    <row r="2138" spans="1:15" hidden="1" x14ac:dyDescent="0.25">
      <c r="A2138" s="2">
        <f t="shared" si="33"/>
        <v>2136</v>
      </c>
      <c r="B2138" s="7" t="s">
        <v>4316</v>
      </c>
      <c r="C2138" s="7" t="s">
        <v>4317</v>
      </c>
      <c r="D2138" s="7" t="s">
        <v>4316</v>
      </c>
      <c r="E2138" s="7" t="s">
        <v>182</v>
      </c>
      <c r="F2138" s="7" t="s">
        <v>4318</v>
      </c>
      <c r="G2138" s="17" t="s">
        <v>7747</v>
      </c>
      <c r="H2138" s="7" t="s">
        <v>19</v>
      </c>
      <c r="I2138" s="7" t="s">
        <v>600</v>
      </c>
      <c r="J2138" s="7" t="s">
        <v>208</v>
      </c>
      <c r="K2138" s="7" t="s">
        <v>1762</v>
      </c>
      <c r="L2138" s="7" t="s">
        <v>136</v>
      </c>
      <c r="M2138" s="7">
        <v>3.8881860000000001</v>
      </c>
      <c r="N2138" s="7">
        <v>10.860806</v>
      </c>
      <c r="O2138" s="7" t="s">
        <v>23</v>
      </c>
    </row>
    <row r="2139" spans="1:15" hidden="1" x14ac:dyDescent="0.25">
      <c r="A2139" s="2">
        <f t="shared" si="33"/>
        <v>2137</v>
      </c>
      <c r="B2139" s="7" t="s">
        <v>4325</v>
      </c>
      <c r="C2139" s="7" t="s">
        <v>4326</v>
      </c>
      <c r="D2139" s="7" t="s">
        <v>4325</v>
      </c>
      <c r="E2139" s="7" t="s">
        <v>182</v>
      </c>
      <c r="F2139" s="7" t="s">
        <v>4327</v>
      </c>
      <c r="G2139" s="17" t="s">
        <v>7747</v>
      </c>
      <c r="H2139" s="7" t="s">
        <v>28</v>
      </c>
      <c r="I2139" s="7" t="s">
        <v>286</v>
      </c>
      <c r="J2139" s="7" t="s">
        <v>287</v>
      </c>
      <c r="K2139" s="7" t="s">
        <v>288</v>
      </c>
      <c r="L2139" s="7" t="s">
        <v>136</v>
      </c>
      <c r="M2139" s="7">
        <v>4.2094360000000002</v>
      </c>
      <c r="N2139" s="7">
        <v>11.445254</v>
      </c>
      <c r="O2139" s="7" t="s">
        <v>23</v>
      </c>
    </row>
    <row r="2140" spans="1:15" hidden="1" x14ac:dyDescent="0.25">
      <c r="A2140" s="2">
        <f t="shared" si="33"/>
        <v>2138</v>
      </c>
      <c r="B2140" s="7" t="s">
        <v>4333</v>
      </c>
      <c r="C2140" s="7" t="s">
        <v>4334</v>
      </c>
      <c r="D2140" s="7" t="s">
        <v>4333</v>
      </c>
      <c r="E2140" s="7" t="s">
        <v>250</v>
      </c>
      <c r="F2140" s="7" t="s">
        <v>4335</v>
      </c>
      <c r="G2140" s="17" t="s">
        <v>7747</v>
      </c>
      <c r="H2140" s="7" t="s">
        <v>28</v>
      </c>
      <c r="I2140" s="7" t="s">
        <v>322</v>
      </c>
      <c r="J2140" s="7" t="s">
        <v>253</v>
      </c>
      <c r="K2140" s="7" t="s">
        <v>324</v>
      </c>
      <c r="L2140" s="7" t="s">
        <v>136</v>
      </c>
      <c r="M2140" s="7">
        <v>3.0377869999999998</v>
      </c>
      <c r="N2140" s="7">
        <v>11.960108</v>
      </c>
      <c r="O2140" s="7" t="s">
        <v>23</v>
      </c>
    </row>
    <row r="2141" spans="1:15" hidden="1" x14ac:dyDescent="0.25">
      <c r="A2141" s="2">
        <f t="shared" si="33"/>
        <v>2139</v>
      </c>
      <c r="B2141" s="7" t="s">
        <v>4368</v>
      </c>
      <c r="C2141" s="7" t="s">
        <v>4369</v>
      </c>
      <c r="D2141" s="7" t="s">
        <v>4368</v>
      </c>
      <c r="E2141" s="7" t="s">
        <v>182</v>
      </c>
      <c r="F2141" s="7" t="s">
        <v>4370</v>
      </c>
      <c r="G2141" s="17" t="s">
        <v>7747</v>
      </c>
      <c r="H2141" s="7" t="s">
        <v>28</v>
      </c>
      <c r="I2141" s="7" t="s">
        <v>1553</v>
      </c>
      <c r="J2141" s="7" t="s">
        <v>826</v>
      </c>
      <c r="K2141" s="7" t="s">
        <v>819</v>
      </c>
      <c r="L2141" s="7" t="s">
        <v>136</v>
      </c>
      <c r="M2141" s="7">
        <v>3.8251710000000001</v>
      </c>
      <c r="N2141" s="7">
        <v>11.553167</v>
      </c>
      <c r="O2141" s="7" t="s">
        <v>23</v>
      </c>
    </row>
    <row r="2142" spans="1:15" hidden="1" x14ac:dyDescent="0.25">
      <c r="A2142" s="2">
        <f t="shared" si="33"/>
        <v>2140</v>
      </c>
      <c r="B2142" s="7" t="s">
        <v>4378</v>
      </c>
      <c r="C2142" s="7" t="s">
        <v>4379</v>
      </c>
      <c r="D2142" s="7" t="s">
        <v>4378</v>
      </c>
      <c r="E2142" s="7" t="s">
        <v>250</v>
      </c>
      <c r="F2142" s="7" t="s">
        <v>4380</v>
      </c>
      <c r="G2142" s="17" t="s">
        <v>7747</v>
      </c>
      <c r="H2142" s="7" t="s">
        <v>28</v>
      </c>
      <c r="I2142" s="7" t="s">
        <v>322</v>
      </c>
      <c r="J2142" s="7" t="s">
        <v>253</v>
      </c>
      <c r="K2142" s="7" t="s">
        <v>4381</v>
      </c>
      <c r="L2142" s="7" t="s">
        <v>136</v>
      </c>
      <c r="M2142" s="7">
        <v>2.9537279999999999</v>
      </c>
      <c r="N2142" s="7">
        <v>11.989599999999999</v>
      </c>
      <c r="O2142" s="7" t="s">
        <v>23</v>
      </c>
    </row>
    <row r="2143" spans="1:15" hidden="1" x14ac:dyDescent="0.25">
      <c r="A2143" s="2">
        <f t="shared" si="33"/>
        <v>2141</v>
      </c>
      <c r="B2143" s="7" t="s">
        <v>4397</v>
      </c>
      <c r="C2143" s="7" t="s">
        <v>4398</v>
      </c>
      <c r="D2143" s="7" t="s">
        <v>4397</v>
      </c>
      <c r="E2143" s="7" t="s">
        <v>182</v>
      </c>
      <c r="F2143" s="7" t="s">
        <v>4399</v>
      </c>
      <c r="G2143" s="17" t="s">
        <v>7747</v>
      </c>
      <c r="H2143" s="7" t="s">
        <v>28</v>
      </c>
      <c r="I2143" s="7" t="s">
        <v>1284</v>
      </c>
      <c r="J2143" s="7" t="s">
        <v>185</v>
      </c>
      <c r="K2143" s="7" t="s">
        <v>1322</v>
      </c>
      <c r="L2143" s="7" t="s">
        <v>136</v>
      </c>
      <c r="M2143" s="7">
        <v>3.798918</v>
      </c>
      <c r="N2143" s="7">
        <v>11.486045000000001</v>
      </c>
      <c r="O2143" s="7" t="s">
        <v>23</v>
      </c>
    </row>
    <row r="2144" spans="1:15" hidden="1" x14ac:dyDescent="0.25">
      <c r="A2144" s="2">
        <f t="shared" si="33"/>
        <v>2142</v>
      </c>
      <c r="B2144" s="7" t="s">
        <v>4409</v>
      </c>
      <c r="C2144" s="7" t="s">
        <v>4410</v>
      </c>
      <c r="D2144" s="7" t="s">
        <v>4409</v>
      </c>
      <c r="E2144" s="7" t="s">
        <v>182</v>
      </c>
      <c r="F2144" s="7" t="s">
        <v>4411</v>
      </c>
      <c r="G2144" s="17" t="s">
        <v>7747</v>
      </c>
      <c r="H2144" s="7" t="s">
        <v>19</v>
      </c>
      <c r="I2144" s="7" t="s">
        <v>1461</v>
      </c>
      <c r="J2144" s="7" t="s">
        <v>185</v>
      </c>
      <c r="K2144" s="7" t="s">
        <v>1462</v>
      </c>
      <c r="L2144" s="7" t="s">
        <v>136</v>
      </c>
      <c r="M2144" s="7">
        <v>3.824872</v>
      </c>
      <c r="N2144" s="7">
        <v>11.503826999999999</v>
      </c>
      <c r="O2144" s="7" t="s">
        <v>23</v>
      </c>
    </row>
    <row r="2145" spans="1:15" hidden="1" x14ac:dyDescent="0.25">
      <c r="A2145" s="2">
        <f t="shared" si="33"/>
        <v>2143</v>
      </c>
      <c r="B2145" s="7" t="s">
        <v>4418</v>
      </c>
      <c r="C2145" s="7" t="s">
        <v>4419</v>
      </c>
      <c r="D2145" s="7" t="s">
        <v>4418</v>
      </c>
      <c r="E2145" s="7" t="s">
        <v>182</v>
      </c>
      <c r="F2145" s="7" t="s">
        <v>2043</v>
      </c>
      <c r="G2145" s="17" t="s">
        <v>7747</v>
      </c>
      <c r="H2145" s="7" t="s">
        <v>28</v>
      </c>
      <c r="I2145" s="7" t="s">
        <v>297</v>
      </c>
      <c r="J2145" s="7" t="s">
        <v>185</v>
      </c>
      <c r="K2145" s="7" t="s">
        <v>1393</v>
      </c>
      <c r="L2145" s="7" t="s">
        <v>136</v>
      </c>
      <c r="M2145" s="7">
        <v>3.8803299999999998</v>
      </c>
      <c r="N2145" s="7">
        <v>11.469139999999999</v>
      </c>
      <c r="O2145" s="7" t="s">
        <v>23</v>
      </c>
    </row>
    <row r="2146" spans="1:15" hidden="1" x14ac:dyDescent="0.25">
      <c r="A2146" s="2">
        <f t="shared" si="33"/>
        <v>2144</v>
      </c>
      <c r="B2146" s="7" t="s">
        <v>4423</v>
      </c>
      <c r="C2146" s="7" t="s">
        <v>4424</v>
      </c>
      <c r="D2146" s="7" t="s">
        <v>4423</v>
      </c>
      <c r="E2146" s="7" t="s">
        <v>182</v>
      </c>
      <c r="F2146" s="7" t="s">
        <v>2677</v>
      </c>
      <c r="G2146" s="17" t="s">
        <v>7747</v>
      </c>
      <c r="H2146" s="7" t="s">
        <v>19</v>
      </c>
      <c r="I2146" s="7" t="s">
        <v>1766</v>
      </c>
      <c r="J2146" s="7" t="s">
        <v>185</v>
      </c>
      <c r="K2146" s="7" t="s">
        <v>808</v>
      </c>
      <c r="L2146" s="7" t="s">
        <v>136</v>
      </c>
      <c r="M2146" s="7">
        <v>3.9659439999999999</v>
      </c>
      <c r="N2146" s="7">
        <v>11.538278</v>
      </c>
      <c r="O2146" s="7" t="s">
        <v>23</v>
      </c>
    </row>
    <row r="2147" spans="1:15" hidden="1" x14ac:dyDescent="0.25">
      <c r="A2147" s="2">
        <f t="shared" si="33"/>
        <v>2145</v>
      </c>
      <c r="B2147" s="7" t="s">
        <v>4435</v>
      </c>
      <c r="C2147" s="7" t="s">
        <v>4436</v>
      </c>
      <c r="D2147" s="7" t="s">
        <v>4435</v>
      </c>
      <c r="E2147" s="7" t="s">
        <v>182</v>
      </c>
      <c r="F2147" s="7" t="s">
        <v>4437</v>
      </c>
      <c r="G2147" s="17" t="s">
        <v>7747</v>
      </c>
      <c r="H2147" s="7" t="s">
        <v>28</v>
      </c>
      <c r="I2147" s="7" t="s">
        <v>1461</v>
      </c>
      <c r="J2147" s="7" t="s">
        <v>185</v>
      </c>
      <c r="K2147" s="7" t="s">
        <v>1462</v>
      </c>
      <c r="L2147" s="7" t="s">
        <v>136</v>
      </c>
      <c r="M2147" s="7">
        <v>3.8394300000000001</v>
      </c>
      <c r="N2147" s="7">
        <v>11.507379999999999</v>
      </c>
      <c r="O2147" s="7" t="s">
        <v>613</v>
      </c>
    </row>
    <row r="2148" spans="1:15" hidden="1" x14ac:dyDescent="0.25">
      <c r="A2148" s="2">
        <f t="shared" si="33"/>
        <v>2146</v>
      </c>
      <c r="B2148" s="7" t="s">
        <v>4441</v>
      </c>
      <c r="C2148" s="7" t="s">
        <v>4442</v>
      </c>
      <c r="D2148" s="7" t="s">
        <v>4441</v>
      </c>
      <c r="E2148" s="7" t="s">
        <v>182</v>
      </c>
      <c r="F2148" s="7" t="s">
        <v>4443</v>
      </c>
      <c r="G2148" s="17" t="s">
        <v>7747</v>
      </c>
      <c r="H2148" s="7" t="s">
        <v>28</v>
      </c>
      <c r="I2148" s="7" t="s">
        <v>1766</v>
      </c>
      <c r="J2148" s="7" t="s">
        <v>185</v>
      </c>
      <c r="K2148" s="7" t="s">
        <v>808</v>
      </c>
      <c r="L2148" s="7" t="s">
        <v>136</v>
      </c>
      <c r="M2148" s="7">
        <v>3.9577499999999999</v>
      </c>
      <c r="N2148" s="7">
        <v>11.492305999999999</v>
      </c>
      <c r="O2148" s="7" t="s">
        <v>23</v>
      </c>
    </row>
    <row r="2149" spans="1:15" hidden="1" x14ac:dyDescent="0.25">
      <c r="A2149" s="2">
        <f t="shared" si="33"/>
        <v>2147</v>
      </c>
      <c r="B2149" s="7" t="s">
        <v>4444</v>
      </c>
      <c r="C2149" s="7" t="s">
        <v>4445</v>
      </c>
      <c r="D2149" s="7" t="s">
        <v>4444</v>
      </c>
      <c r="E2149" s="7" t="s">
        <v>250</v>
      </c>
      <c r="F2149" s="7" t="s">
        <v>4446</v>
      </c>
      <c r="G2149" s="17" t="s">
        <v>7747</v>
      </c>
      <c r="H2149" s="7" t="s">
        <v>28</v>
      </c>
      <c r="I2149" s="7" t="s">
        <v>322</v>
      </c>
      <c r="J2149" s="7" t="s">
        <v>253</v>
      </c>
      <c r="K2149" s="7" t="s">
        <v>324</v>
      </c>
      <c r="L2149" s="7" t="s">
        <v>136</v>
      </c>
      <c r="M2149" s="7">
        <v>2.9374349999999998</v>
      </c>
      <c r="N2149" s="7">
        <v>11.975880999999999</v>
      </c>
      <c r="O2149" s="7" t="s">
        <v>23</v>
      </c>
    </row>
    <row r="2150" spans="1:15" hidden="1" x14ac:dyDescent="0.25">
      <c r="A2150" s="2">
        <f t="shared" si="33"/>
        <v>2148</v>
      </c>
      <c r="B2150" s="7" t="s">
        <v>4453</v>
      </c>
      <c r="C2150" s="7" t="s">
        <v>4454</v>
      </c>
      <c r="D2150" s="7" t="s">
        <v>4453</v>
      </c>
      <c r="E2150" s="7" t="s">
        <v>182</v>
      </c>
      <c r="F2150" s="7" t="s">
        <v>4455</v>
      </c>
      <c r="G2150" s="17" t="s">
        <v>7747</v>
      </c>
      <c r="H2150" s="7" t="s">
        <v>19</v>
      </c>
      <c r="I2150" s="7" t="s">
        <v>1461</v>
      </c>
      <c r="J2150" s="7" t="s">
        <v>185</v>
      </c>
      <c r="K2150" s="7" t="s">
        <v>1462</v>
      </c>
      <c r="L2150" s="7" t="s">
        <v>136</v>
      </c>
      <c r="M2150" s="7">
        <v>3.8405499999999999</v>
      </c>
      <c r="N2150" s="7">
        <v>11.497529999999999</v>
      </c>
      <c r="O2150" s="7" t="s">
        <v>613</v>
      </c>
    </row>
    <row r="2151" spans="1:15" hidden="1" x14ac:dyDescent="0.25">
      <c r="A2151" s="2">
        <f t="shared" si="33"/>
        <v>2149</v>
      </c>
      <c r="B2151" s="7" t="s">
        <v>4456</v>
      </c>
      <c r="C2151" s="7" t="s">
        <v>4457</v>
      </c>
      <c r="D2151" s="7" t="s">
        <v>4456</v>
      </c>
      <c r="E2151" s="7" t="s">
        <v>182</v>
      </c>
      <c r="F2151" s="7" t="s">
        <v>4458</v>
      </c>
      <c r="G2151" s="17" t="s">
        <v>7747</v>
      </c>
      <c r="H2151" s="7" t="s">
        <v>28</v>
      </c>
      <c r="I2151" s="7" t="s">
        <v>1461</v>
      </c>
      <c r="J2151" s="7" t="s">
        <v>185</v>
      </c>
      <c r="K2151" s="7" t="s">
        <v>1367</v>
      </c>
      <c r="L2151" s="7" t="s">
        <v>136</v>
      </c>
      <c r="M2151" s="7">
        <v>3.7937400000000001</v>
      </c>
      <c r="N2151" s="7">
        <v>11.51366</v>
      </c>
      <c r="O2151" s="7" t="s">
        <v>23</v>
      </c>
    </row>
    <row r="2152" spans="1:15" hidden="1" x14ac:dyDescent="0.25">
      <c r="A2152" s="2">
        <f t="shared" si="33"/>
        <v>2150</v>
      </c>
      <c r="B2152" s="7" t="s">
        <v>4465</v>
      </c>
      <c r="C2152" s="7" t="s">
        <v>4466</v>
      </c>
      <c r="D2152" s="7" t="s">
        <v>4465</v>
      </c>
      <c r="E2152" s="7" t="s">
        <v>182</v>
      </c>
      <c r="F2152" s="7" t="s">
        <v>4467</v>
      </c>
      <c r="G2152" s="17" t="s">
        <v>7747</v>
      </c>
      <c r="H2152" s="7" t="s">
        <v>28</v>
      </c>
      <c r="I2152" s="7" t="s">
        <v>1461</v>
      </c>
      <c r="J2152" s="7" t="s">
        <v>185</v>
      </c>
      <c r="K2152" s="7" t="s">
        <v>1367</v>
      </c>
      <c r="L2152" s="7" t="s">
        <v>136</v>
      </c>
      <c r="M2152" s="7">
        <v>3.8004880000000001</v>
      </c>
      <c r="N2152" s="7">
        <v>11.516728000000001</v>
      </c>
      <c r="O2152" s="7" t="s">
        <v>23</v>
      </c>
    </row>
    <row r="2153" spans="1:15" hidden="1" x14ac:dyDescent="0.25">
      <c r="A2153" s="2">
        <f t="shared" si="33"/>
        <v>2151</v>
      </c>
      <c r="B2153" s="7" t="s">
        <v>4471</v>
      </c>
      <c r="C2153" s="7" t="s">
        <v>4472</v>
      </c>
      <c r="D2153" s="7" t="s">
        <v>4471</v>
      </c>
      <c r="E2153" s="7" t="s">
        <v>182</v>
      </c>
      <c r="F2153" s="7" t="s">
        <v>4473</v>
      </c>
      <c r="G2153" s="17" t="s">
        <v>7747</v>
      </c>
      <c r="H2153" s="7" t="s">
        <v>28</v>
      </c>
      <c r="I2153" s="7" t="s">
        <v>1385</v>
      </c>
      <c r="J2153" s="7" t="s">
        <v>185</v>
      </c>
      <c r="K2153" s="7" t="s">
        <v>1367</v>
      </c>
      <c r="L2153" s="7" t="s">
        <v>136</v>
      </c>
      <c r="M2153" s="7">
        <v>3.7898000000000001</v>
      </c>
      <c r="N2153" s="7">
        <v>11.52439</v>
      </c>
      <c r="O2153" s="7" t="s">
        <v>23</v>
      </c>
    </row>
    <row r="2154" spans="1:15" hidden="1" x14ac:dyDescent="0.25">
      <c r="A2154" s="2">
        <f t="shared" si="33"/>
        <v>2152</v>
      </c>
      <c r="B2154" s="7" t="s">
        <v>4474</v>
      </c>
      <c r="C2154" s="7" t="s">
        <v>4475</v>
      </c>
      <c r="D2154" s="7" t="s">
        <v>4474</v>
      </c>
      <c r="E2154" s="7" t="s">
        <v>182</v>
      </c>
      <c r="F2154" s="7" t="s">
        <v>4476</v>
      </c>
      <c r="G2154" s="17" t="s">
        <v>7747</v>
      </c>
      <c r="H2154" s="7" t="s">
        <v>28</v>
      </c>
      <c r="I2154" s="7" t="s">
        <v>297</v>
      </c>
      <c r="J2154" s="7" t="s">
        <v>185</v>
      </c>
      <c r="K2154" s="7" t="s">
        <v>1322</v>
      </c>
      <c r="L2154" s="7" t="s">
        <v>136</v>
      </c>
      <c r="M2154" s="7">
        <v>3.8608470000000001</v>
      </c>
      <c r="N2154" s="7">
        <v>11.481797</v>
      </c>
      <c r="O2154" s="7" t="s">
        <v>23</v>
      </c>
    </row>
    <row r="2155" spans="1:15" hidden="1" x14ac:dyDescent="0.25">
      <c r="A2155" s="2">
        <f t="shared" si="33"/>
        <v>2153</v>
      </c>
      <c r="B2155" s="7" t="s">
        <v>4477</v>
      </c>
      <c r="C2155" s="7" t="s">
        <v>4478</v>
      </c>
      <c r="D2155" s="7" t="s">
        <v>4477</v>
      </c>
      <c r="E2155" s="7" t="s">
        <v>182</v>
      </c>
      <c r="F2155" s="7" t="s">
        <v>4479</v>
      </c>
      <c r="G2155" s="17" t="s">
        <v>7747</v>
      </c>
      <c r="H2155" s="7" t="s">
        <v>28</v>
      </c>
      <c r="I2155" s="7" t="s">
        <v>297</v>
      </c>
      <c r="J2155" s="7" t="s">
        <v>185</v>
      </c>
      <c r="K2155" s="7" t="s">
        <v>1393</v>
      </c>
      <c r="L2155" s="7" t="s">
        <v>136</v>
      </c>
      <c r="M2155" s="7">
        <v>3.8985280000000002</v>
      </c>
      <c r="N2155" s="7">
        <v>11.454442</v>
      </c>
      <c r="O2155" s="7" t="s">
        <v>23</v>
      </c>
    </row>
    <row r="2156" spans="1:15" hidden="1" x14ac:dyDescent="0.25">
      <c r="A2156" s="2">
        <f t="shared" si="33"/>
        <v>2154</v>
      </c>
      <c r="B2156" s="7" t="s">
        <v>4491</v>
      </c>
      <c r="C2156" s="7" t="s">
        <v>4492</v>
      </c>
      <c r="D2156" s="7" t="s">
        <v>4491</v>
      </c>
      <c r="E2156" s="7" t="s">
        <v>182</v>
      </c>
      <c r="F2156" s="7" t="s">
        <v>4493</v>
      </c>
      <c r="G2156" s="17" t="s">
        <v>7747</v>
      </c>
      <c r="H2156" s="7" t="s">
        <v>28</v>
      </c>
      <c r="I2156" s="7" t="s">
        <v>807</v>
      </c>
      <c r="J2156" s="7" t="s">
        <v>185</v>
      </c>
      <c r="K2156" s="7" t="s">
        <v>808</v>
      </c>
      <c r="L2156" s="7" t="s">
        <v>136</v>
      </c>
      <c r="M2156" s="7">
        <v>3.8918249999999999</v>
      </c>
      <c r="N2156" s="7">
        <v>11.522106000000001</v>
      </c>
      <c r="O2156" s="7" t="s">
        <v>613</v>
      </c>
    </row>
    <row r="2157" spans="1:15" hidden="1" x14ac:dyDescent="0.25">
      <c r="A2157" s="2">
        <f t="shared" si="33"/>
        <v>2155</v>
      </c>
      <c r="B2157" s="7" t="s">
        <v>4505</v>
      </c>
      <c r="C2157" s="7" t="s">
        <v>4506</v>
      </c>
      <c r="D2157" s="7" t="s">
        <v>4505</v>
      </c>
      <c r="E2157" s="7" t="s">
        <v>182</v>
      </c>
      <c r="F2157" s="7" t="s">
        <v>186</v>
      </c>
      <c r="G2157" s="17" t="s">
        <v>7747</v>
      </c>
      <c r="H2157" s="7" t="s">
        <v>19</v>
      </c>
      <c r="I2157" s="7" t="s">
        <v>184</v>
      </c>
      <c r="J2157" s="7" t="s">
        <v>185</v>
      </c>
      <c r="K2157" s="7" t="s">
        <v>186</v>
      </c>
      <c r="L2157" s="7" t="s">
        <v>136</v>
      </c>
      <c r="M2157" s="7">
        <v>3.9721190000000002</v>
      </c>
      <c r="N2157" s="7">
        <v>11.594478000000001</v>
      </c>
      <c r="O2157" s="7" t="s">
        <v>23</v>
      </c>
    </row>
    <row r="2158" spans="1:15" hidden="1" x14ac:dyDescent="0.25">
      <c r="A2158" s="2">
        <f t="shared" si="33"/>
        <v>2156</v>
      </c>
      <c r="B2158" s="7" t="s">
        <v>4509</v>
      </c>
      <c r="C2158" s="7" t="s">
        <v>4510</v>
      </c>
      <c r="D2158" s="7" t="s">
        <v>4509</v>
      </c>
      <c r="E2158" s="7" t="s">
        <v>250</v>
      </c>
      <c r="F2158" s="7" t="s">
        <v>4511</v>
      </c>
      <c r="G2158" s="17" t="s">
        <v>7747</v>
      </c>
      <c r="H2158" s="7" t="s">
        <v>28</v>
      </c>
      <c r="I2158" s="7" t="s">
        <v>817</v>
      </c>
      <c r="J2158" s="7" t="s">
        <v>253</v>
      </c>
      <c r="K2158" s="7" t="s">
        <v>4512</v>
      </c>
      <c r="L2158" s="7" t="s">
        <v>136</v>
      </c>
      <c r="M2158" s="7">
        <v>3.5058220000000002</v>
      </c>
      <c r="N2158" s="7">
        <v>12.098992000000001</v>
      </c>
      <c r="O2158" s="7" t="s">
        <v>23</v>
      </c>
    </row>
    <row r="2159" spans="1:15" hidden="1" x14ac:dyDescent="0.25">
      <c r="A2159" s="2">
        <f t="shared" si="33"/>
        <v>2157</v>
      </c>
      <c r="B2159" s="7" t="s">
        <v>4513</v>
      </c>
      <c r="C2159" s="7" t="s">
        <v>4514</v>
      </c>
      <c r="D2159" s="7" t="s">
        <v>4513</v>
      </c>
      <c r="E2159" s="7" t="s">
        <v>182</v>
      </c>
      <c r="F2159" s="7" t="s">
        <v>4515</v>
      </c>
      <c r="G2159" s="17" t="s">
        <v>7747</v>
      </c>
      <c r="H2159" s="7" t="s">
        <v>19</v>
      </c>
      <c r="I2159" s="7" t="s">
        <v>1374</v>
      </c>
      <c r="J2159" s="7" t="s">
        <v>185</v>
      </c>
      <c r="K2159" s="7" t="s">
        <v>1375</v>
      </c>
      <c r="L2159" s="7" t="s">
        <v>136</v>
      </c>
      <c r="M2159" s="7">
        <v>3.8789229999999999</v>
      </c>
      <c r="N2159" s="7">
        <v>11.509757</v>
      </c>
      <c r="O2159" s="7" t="s">
        <v>613</v>
      </c>
    </row>
    <row r="2160" spans="1:15" hidden="1" x14ac:dyDescent="0.25">
      <c r="A2160" s="2">
        <f t="shared" si="33"/>
        <v>2158</v>
      </c>
      <c r="B2160" s="7" t="s">
        <v>4516</v>
      </c>
      <c r="C2160" s="7" t="s">
        <v>4517</v>
      </c>
      <c r="D2160" s="7" t="s">
        <v>4516</v>
      </c>
      <c r="E2160" s="7" t="s">
        <v>250</v>
      </c>
      <c r="F2160" s="7" t="s">
        <v>4518</v>
      </c>
      <c r="G2160" s="17" t="s">
        <v>7747</v>
      </c>
      <c r="H2160" s="7" t="s">
        <v>28</v>
      </c>
      <c r="I2160" s="7" t="s">
        <v>311</v>
      </c>
      <c r="J2160" s="7" t="s">
        <v>312</v>
      </c>
      <c r="K2160" s="7" t="s">
        <v>2594</v>
      </c>
      <c r="L2160" s="7" t="s">
        <v>136</v>
      </c>
      <c r="M2160" s="7">
        <v>2.9209200000000002</v>
      </c>
      <c r="N2160" s="7">
        <v>11.153930000000001</v>
      </c>
      <c r="O2160" s="7" t="s">
        <v>23</v>
      </c>
    </row>
    <row r="2161" spans="1:15" hidden="1" x14ac:dyDescent="0.25">
      <c r="A2161" s="2">
        <f t="shared" si="33"/>
        <v>2159</v>
      </c>
      <c r="B2161" s="7" t="s">
        <v>4519</v>
      </c>
      <c r="C2161" s="7" t="s">
        <v>4520</v>
      </c>
      <c r="D2161" s="7" t="s">
        <v>4519</v>
      </c>
      <c r="E2161" s="7" t="s">
        <v>182</v>
      </c>
      <c r="F2161" s="7" t="s">
        <v>4521</v>
      </c>
      <c r="G2161" s="17" t="s">
        <v>7747</v>
      </c>
      <c r="H2161" s="7" t="s">
        <v>19</v>
      </c>
      <c r="I2161" s="7" t="s">
        <v>184</v>
      </c>
      <c r="J2161" s="7" t="s">
        <v>185</v>
      </c>
      <c r="K2161" s="7" t="s">
        <v>186</v>
      </c>
      <c r="L2161" s="7" t="s">
        <v>136</v>
      </c>
      <c r="M2161" s="7">
        <v>3.9227099999999999</v>
      </c>
      <c r="N2161" s="7">
        <v>11.578709999999999</v>
      </c>
      <c r="O2161" s="7" t="s">
        <v>23</v>
      </c>
    </row>
    <row r="2162" spans="1:15" hidden="1" x14ac:dyDescent="0.25">
      <c r="A2162" s="2">
        <f t="shared" si="33"/>
        <v>2160</v>
      </c>
      <c r="B2162" s="7" t="s">
        <v>4525</v>
      </c>
      <c r="C2162" s="7" t="s">
        <v>4526</v>
      </c>
      <c r="D2162" s="7" t="s">
        <v>4525</v>
      </c>
      <c r="E2162" s="7" t="s">
        <v>250</v>
      </c>
      <c r="F2162" s="7" t="s">
        <v>4527</v>
      </c>
      <c r="G2162" s="17" t="s">
        <v>7747</v>
      </c>
      <c r="H2162" s="7" t="s">
        <v>28</v>
      </c>
      <c r="I2162" s="7" t="s">
        <v>311</v>
      </c>
      <c r="J2162" s="7" t="s">
        <v>312</v>
      </c>
      <c r="K2162" s="7" t="s">
        <v>4006</v>
      </c>
      <c r="L2162" s="7" t="s">
        <v>136</v>
      </c>
      <c r="M2162" s="7">
        <v>2.899756</v>
      </c>
      <c r="N2162" s="7">
        <v>11.151517</v>
      </c>
      <c r="O2162" s="7" t="s">
        <v>23</v>
      </c>
    </row>
    <row r="2163" spans="1:15" hidden="1" x14ac:dyDescent="0.25">
      <c r="A2163" s="2">
        <f t="shared" si="33"/>
        <v>2161</v>
      </c>
      <c r="B2163" s="7" t="s">
        <v>4531</v>
      </c>
      <c r="C2163" s="7" t="s">
        <v>4532</v>
      </c>
      <c r="D2163" s="7" t="s">
        <v>4531</v>
      </c>
      <c r="E2163" s="7" t="s">
        <v>182</v>
      </c>
      <c r="F2163" s="7" t="s">
        <v>4533</v>
      </c>
      <c r="G2163" s="17" t="s">
        <v>7747</v>
      </c>
      <c r="H2163" s="7" t="s">
        <v>19</v>
      </c>
      <c r="I2163" s="7" t="s">
        <v>807</v>
      </c>
      <c r="J2163" s="7" t="s">
        <v>185</v>
      </c>
      <c r="K2163" s="7" t="s">
        <v>1435</v>
      </c>
      <c r="L2163" s="7" t="s">
        <v>136</v>
      </c>
      <c r="M2163" s="7">
        <v>3.8760819999999998</v>
      </c>
      <c r="N2163" s="7">
        <v>11.531153</v>
      </c>
      <c r="O2163" s="7" t="s">
        <v>613</v>
      </c>
    </row>
    <row r="2164" spans="1:15" hidden="1" x14ac:dyDescent="0.25">
      <c r="A2164" s="2">
        <f t="shared" si="33"/>
        <v>2162</v>
      </c>
      <c r="B2164" s="7" t="s">
        <v>4534</v>
      </c>
      <c r="C2164" s="7" t="s">
        <v>4535</v>
      </c>
      <c r="D2164" s="7" t="s">
        <v>4534</v>
      </c>
      <c r="E2164" s="7" t="s">
        <v>182</v>
      </c>
      <c r="F2164" s="7" t="s">
        <v>4536</v>
      </c>
      <c r="G2164" s="17" t="s">
        <v>7747</v>
      </c>
      <c r="H2164" s="7" t="s">
        <v>19</v>
      </c>
      <c r="I2164" s="7" t="s">
        <v>1366</v>
      </c>
      <c r="J2164" s="7" t="s">
        <v>185</v>
      </c>
      <c r="K2164" s="7" t="s">
        <v>1435</v>
      </c>
      <c r="L2164" s="7" t="s">
        <v>136</v>
      </c>
      <c r="M2164" s="7">
        <v>3.8559269999999999</v>
      </c>
      <c r="N2164" s="7">
        <v>11.527175</v>
      </c>
      <c r="O2164" s="7" t="s">
        <v>613</v>
      </c>
    </row>
    <row r="2165" spans="1:15" hidden="1" x14ac:dyDescent="0.25">
      <c r="A2165" s="2">
        <f t="shared" si="33"/>
        <v>2163</v>
      </c>
      <c r="B2165" s="7" t="s">
        <v>4537</v>
      </c>
      <c r="C2165" s="7" t="s">
        <v>4538</v>
      </c>
      <c r="D2165" s="7" t="s">
        <v>4537</v>
      </c>
      <c r="E2165" s="7" t="s">
        <v>182</v>
      </c>
      <c r="F2165" s="7" t="s">
        <v>4539</v>
      </c>
      <c r="G2165" s="17" t="s">
        <v>7747</v>
      </c>
      <c r="H2165" s="7" t="s">
        <v>19</v>
      </c>
      <c r="I2165" s="7" t="s">
        <v>184</v>
      </c>
      <c r="J2165" s="7" t="s">
        <v>185</v>
      </c>
      <c r="K2165" s="7" t="s">
        <v>186</v>
      </c>
      <c r="L2165" s="7" t="s">
        <v>136</v>
      </c>
      <c r="M2165" s="7">
        <v>3.979285</v>
      </c>
      <c r="N2165" s="7">
        <v>11.593386000000001</v>
      </c>
      <c r="O2165" s="7" t="s">
        <v>23</v>
      </c>
    </row>
    <row r="2166" spans="1:15" x14ac:dyDescent="0.25">
      <c r="A2166" s="2">
        <f t="shared" si="33"/>
        <v>2164</v>
      </c>
      <c r="B2166" s="7" t="s">
        <v>4546</v>
      </c>
      <c r="C2166" s="7" t="s">
        <v>4547</v>
      </c>
      <c r="D2166" s="7" t="s">
        <v>4546</v>
      </c>
      <c r="E2166" s="7" t="s">
        <v>131</v>
      </c>
      <c r="F2166" s="7" t="s">
        <v>4548</v>
      </c>
      <c r="G2166" s="17" t="s">
        <v>7747</v>
      </c>
      <c r="H2166" s="7" t="s">
        <v>28</v>
      </c>
      <c r="I2166" s="7" t="s">
        <v>133</v>
      </c>
      <c r="J2166" s="7" t="s">
        <v>317</v>
      </c>
      <c r="K2166" s="7" t="s">
        <v>4549</v>
      </c>
      <c r="L2166" s="7" t="s">
        <v>136</v>
      </c>
      <c r="M2166" s="7">
        <v>4.5303329999999997</v>
      </c>
      <c r="N2166" s="7">
        <v>11.256306</v>
      </c>
      <c r="O2166" s="7" t="s">
        <v>23</v>
      </c>
    </row>
    <row r="2167" spans="1:15" x14ac:dyDescent="0.25">
      <c r="A2167" s="2">
        <f t="shared" si="33"/>
        <v>2165</v>
      </c>
      <c r="B2167" s="7" t="s">
        <v>4550</v>
      </c>
      <c r="C2167" s="7" t="s">
        <v>4551</v>
      </c>
      <c r="D2167" s="7" t="s">
        <v>4550</v>
      </c>
      <c r="E2167" s="7" t="s">
        <v>131</v>
      </c>
      <c r="F2167" s="7" t="s">
        <v>4549</v>
      </c>
      <c r="G2167" s="17" t="s">
        <v>7747</v>
      </c>
      <c r="H2167" s="7" t="s">
        <v>19</v>
      </c>
      <c r="I2167" s="7" t="s">
        <v>133</v>
      </c>
      <c r="J2167" s="7" t="s">
        <v>317</v>
      </c>
      <c r="K2167" s="7" t="s">
        <v>4549</v>
      </c>
      <c r="L2167" s="7" t="s">
        <v>136</v>
      </c>
      <c r="M2167" s="7">
        <v>4.5825050000000003</v>
      </c>
      <c r="N2167" s="7">
        <v>11.127359</v>
      </c>
      <c r="O2167" s="7" t="s">
        <v>23</v>
      </c>
    </row>
    <row r="2168" spans="1:15" hidden="1" x14ac:dyDescent="0.25">
      <c r="A2168" s="2">
        <f t="shared" si="33"/>
        <v>2166</v>
      </c>
      <c r="B2168" s="7" t="s">
        <v>4558</v>
      </c>
      <c r="C2168" s="7" t="s">
        <v>4559</v>
      </c>
      <c r="D2168" s="7" t="s">
        <v>4558</v>
      </c>
      <c r="E2168" s="7" t="s">
        <v>250</v>
      </c>
      <c r="F2168" s="7" t="s">
        <v>4560</v>
      </c>
      <c r="G2168" s="17" t="s">
        <v>7747</v>
      </c>
      <c r="H2168" s="7" t="s">
        <v>28</v>
      </c>
      <c r="I2168" s="7" t="s">
        <v>311</v>
      </c>
      <c r="J2168" s="7" t="s">
        <v>312</v>
      </c>
      <c r="K2168" s="7" t="s">
        <v>4006</v>
      </c>
      <c r="L2168" s="7" t="s">
        <v>136</v>
      </c>
      <c r="M2168" s="7">
        <v>2.8041969999999998</v>
      </c>
      <c r="N2168" s="7">
        <v>11.128335</v>
      </c>
      <c r="O2168" s="7" t="s">
        <v>23</v>
      </c>
    </row>
    <row r="2169" spans="1:15" hidden="1" x14ac:dyDescent="0.25">
      <c r="A2169" s="2">
        <f t="shared" si="33"/>
        <v>2167</v>
      </c>
      <c r="B2169" s="7" t="s">
        <v>4679</v>
      </c>
      <c r="C2169" s="7" t="s">
        <v>4680</v>
      </c>
      <c r="D2169" s="7" t="s">
        <v>4679</v>
      </c>
      <c r="E2169" s="7" t="s">
        <v>182</v>
      </c>
      <c r="F2169" s="7" t="s">
        <v>4681</v>
      </c>
      <c r="G2169" s="17" t="s">
        <v>7747</v>
      </c>
      <c r="H2169" s="7" t="s">
        <v>19</v>
      </c>
      <c r="I2169" s="7" t="s">
        <v>600</v>
      </c>
      <c r="J2169" s="7" t="s">
        <v>208</v>
      </c>
      <c r="K2169" s="7" t="s">
        <v>1762</v>
      </c>
      <c r="L2169" s="7" t="s">
        <v>136</v>
      </c>
      <c r="M2169" s="7">
        <v>3.8521890000000001</v>
      </c>
      <c r="N2169" s="7">
        <v>10.965028</v>
      </c>
      <c r="O2169" s="7" t="s">
        <v>23</v>
      </c>
    </row>
    <row r="2170" spans="1:15" hidden="1" x14ac:dyDescent="0.25">
      <c r="A2170" s="2">
        <f t="shared" si="33"/>
        <v>2168</v>
      </c>
      <c r="B2170" s="7" t="s">
        <v>4682</v>
      </c>
      <c r="C2170" s="7" t="s">
        <v>4683</v>
      </c>
      <c r="D2170" s="7" t="s">
        <v>4682</v>
      </c>
      <c r="E2170" s="7" t="s">
        <v>182</v>
      </c>
      <c r="F2170" s="7" t="s">
        <v>4318</v>
      </c>
      <c r="G2170" s="17" t="s">
        <v>7747</v>
      </c>
      <c r="H2170" s="7" t="s">
        <v>19</v>
      </c>
      <c r="I2170" s="7" t="s">
        <v>600</v>
      </c>
      <c r="J2170" s="7" t="s">
        <v>208</v>
      </c>
      <c r="K2170" s="7" t="s">
        <v>1762</v>
      </c>
      <c r="L2170" s="7" t="s">
        <v>136</v>
      </c>
      <c r="M2170" s="7">
        <v>3.8856999999999999</v>
      </c>
      <c r="N2170" s="7">
        <v>10.8545</v>
      </c>
      <c r="O2170" s="7" t="s">
        <v>23</v>
      </c>
    </row>
    <row r="2171" spans="1:15" hidden="1" x14ac:dyDescent="0.25">
      <c r="A2171" s="2">
        <f t="shared" si="33"/>
        <v>2169</v>
      </c>
      <c r="B2171" s="7" t="s">
        <v>4684</v>
      </c>
      <c r="C2171" s="7" t="s">
        <v>4685</v>
      </c>
      <c r="D2171" s="7" t="s">
        <v>4684</v>
      </c>
      <c r="E2171" s="7" t="s">
        <v>182</v>
      </c>
      <c r="F2171" s="7" t="s">
        <v>4686</v>
      </c>
      <c r="G2171" s="17" t="s">
        <v>7747</v>
      </c>
      <c r="H2171" s="7" t="s">
        <v>19</v>
      </c>
      <c r="I2171" s="7" t="s">
        <v>275</v>
      </c>
      <c r="J2171" s="7" t="s">
        <v>276</v>
      </c>
      <c r="K2171" s="7" t="s">
        <v>557</v>
      </c>
      <c r="L2171" s="7" t="s">
        <v>136</v>
      </c>
      <c r="M2171" s="7">
        <v>3.7852760000000001</v>
      </c>
      <c r="N2171" s="7">
        <v>11.400499</v>
      </c>
      <c r="O2171" s="7" t="s">
        <v>23</v>
      </c>
    </row>
    <row r="2172" spans="1:15" x14ac:dyDescent="0.25">
      <c r="A2172" s="2">
        <f t="shared" si="33"/>
        <v>2170</v>
      </c>
      <c r="B2172" s="7" t="s">
        <v>4687</v>
      </c>
      <c r="C2172" s="7" t="s">
        <v>4688</v>
      </c>
      <c r="D2172" s="7" t="s">
        <v>4687</v>
      </c>
      <c r="E2172" s="7" t="s">
        <v>131</v>
      </c>
      <c r="F2172" s="7" t="s">
        <v>2278</v>
      </c>
      <c r="G2172" s="8" t="s">
        <v>18</v>
      </c>
      <c r="H2172" s="7" t="s">
        <v>19</v>
      </c>
      <c r="I2172" s="7" t="s">
        <v>1042</v>
      </c>
      <c r="J2172" s="7" t="s">
        <v>159</v>
      </c>
      <c r="K2172" s="7" t="s">
        <v>2278</v>
      </c>
      <c r="L2172" s="7" t="s">
        <v>136</v>
      </c>
      <c r="M2172" s="7">
        <v>4.3961550000000003</v>
      </c>
      <c r="N2172" s="7">
        <v>10.825452</v>
      </c>
      <c r="O2172" s="7" t="s">
        <v>23</v>
      </c>
    </row>
    <row r="2173" spans="1:15" hidden="1" x14ac:dyDescent="0.25">
      <c r="A2173" s="2">
        <f t="shared" si="33"/>
        <v>2171</v>
      </c>
      <c r="B2173" s="7" t="s">
        <v>4689</v>
      </c>
      <c r="C2173" s="7" t="s">
        <v>4690</v>
      </c>
      <c r="D2173" s="7" t="s">
        <v>4689</v>
      </c>
      <c r="E2173" s="7" t="s">
        <v>182</v>
      </c>
      <c r="F2173" s="7" t="s">
        <v>2046</v>
      </c>
      <c r="G2173" s="17" t="s">
        <v>7747</v>
      </c>
      <c r="H2173" s="7" t="s">
        <v>28</v>
      </c>
      <c r="I2173" s="7" t="s">
        <v>297</v>
      </c>
      <c r="J2173" s="7" t="s">
        <v>185</v>
      </c>
      <c r="K2173" s="7" t="s">
        <v>2047</v>
      </c>
      <c r="L2173" s="7" t="s">
        <v>136</v>
      </c>
      <c r="M2173" s="7">
        <v>4.031873</v>
      </c>
      <c r="N2173" s="7">
        <v>11.384066000000001</v>
      </c>
      <c r="O2173" s="7" t="s">
        <v>23</v>
      </c>
    </row>
    <row r="2174" spans="1:15" hidden="1" x14ac:dyDescent="0.25">
      <c r="A2174" s="2">
        <f t="shared" si="33"/>
        <v>2172</v>
      </c>
      <c r="B2174" s="7" t="s">
        <v>4749</v>
      </c>
      <c r="C2174" s="7" t="s">
        <v>4750</v>
      </c>
      <c r="D2174" s="7" t="s">
        <v>4749</v>
      </c>
      <c r="E2174" s="7" t="s">
        <v>182</v>
      </c>
      <c r="F2174" s="7" t="s">
        <v>4437</v>
      </c>
      <c r="G2174" s="17" t="s">
        <v>7747</v>
      </c>
      <c r="H2174" s="7" t="s">
        <v>28</v>
      </c>
      <c r="I2174" s="7" t="s">
        <v>1461</v>
      </c>
      <c r="J2174" s="7" t="s">
        <v>185</v>
      </c>
      <c r="K2174" s="7" t="s">
        <v>1462</v>
      </c>
      <c r="L2174" s="7" t="s">
        <v>136</v>
      </c>
      <c r="M2174" s="7">
        <v>3.8321200000000002</v>
      </c>
      <c r="N2174" s="7">
        <v>11.505229999999999</v>
      </c>
      <c r="O2174" s="7" t="s">
        <v>23</v>
      </c>
    </row>
    <row r="2175" spans="1:15" hidden="1" x14ac:dyDescent="0.25">
      <c r="A2175" s="2">
        <f t="shared" si="33"/>
        <v>2173</v>
      </c>
      <c r="B2175" s="7" t="s">
        <v>4751</v>
      </c>
      <c r="C2175" s="7" t="s">
        <v>4752</v>
      </c>
      <c r="D2175" s="7" t="s">
        <v>4751</v>
      </c>
      <c r="E2175" s="7" t="s">
        <v>182</v>
      </c>
      <c r="F2175" s="7" t="s">
        <v>4521</v>
      </c>
      <c r="G2175" s="17" t="s">
        <v>7747</v>
      </c>
      <c r="H2175" s="7" t="s">
        <v>28</v>
      </c>
      <c r="I2175" s="7" t="s">
        <v>184</v>
      </c>
      <c r="J2175" s="7" t="s">
        <v>185</v>
      </c>
      <c r="K2175" s="7" t="s">
        <v>186</v>
      </c>
      <c r="L2175" s="7" t="s">
        <v>136</v>
      </c>
      <c r="M2175" s="7">
        <v>3.9300280000000001</v>
      </c>
      <c r="N2175" s="7">
        <v>11.578059</v>
      </c>
      <c r="O2175" s="7" t="s">
        <v>23</v>
      </c>
    </row>
    <row r="2176" spans="1:15" hidden="1" x14ac:dyDescent="0.25">
      <c r="A2176" s="2">
        <f t="shared" si="33"/>
        <v>2174</v>
      </c>
      <c r="B2176" s="7" t="s">
        <v>4781</v>
      </c>
      <c r="C2176" s="7" t="s">
        <v>4782</v>
      </c>
      <c r="D2176" s="7" t="s">
        <v>4781</v>
      </c>
      <c r="E2176" s="7" t="s">
        <v>182</v>
      </c>
      <c r="F2176" s="7" t="s">
        <v>4783</v>
      </c>
      <c r="G2176" s="17" t="s">
        <v>7747</v>
      </c>
      <c r="H2176" s="7" t="s">
        <v>28</v>
      </c>
      <c r="I2176" s="7" t="s">
        <v>1284</v>
      </c>
      <c r="J2176" s="7" t="s">
        <v>185</v>
      </c>
      <c r="K2176" s="7" t="s">
        <v>1322</v>
      </c>
      <c r="L2176" s="7" t="s">
        <v>136</v>
      </c>
      <c r="M2176" s="7">
        <v>3.756507</v>
      </c>
      <c r="N2176" s="7">
        <v>11.470447</v>
      </c>
      <c r="O2176" s="7" t="s">
        <v>23</v>
      </c>
    </row>
    <row r="2177" spans="1:15" hidden="1" x14ac:dyDescent="0.25">
      <c r="A2177" s="2">
        <f t="shared" si="33"/>
        <v>2175</v>
      </c>
      <c r="B2177" s="7" t="s">
        <v>4791</v>
      </c>
      <c r="C2177" s="7" t="s">
        <v>4792</v>
      </c>
      <c r="D2177" s="7" t="s">
        <v>4791</v>
      </c>
      <c r="E2177" s="7" t="s">
        <v>250</v>
      </c>
      <c r="F2177" s="7" t="s">
        <v>4793</v>
      </c>
      <c r="G2177" s="17" t="s">
        <v>7747</v>
      </c>
      <c r="H2177" s="7" t="s">
        <v>28</v>
      </c>
      <c r="I2177" s="7" t="s">
        <v>341</v>
      </c>
      <c r="J2177" s="7" t="s">
        <v>323</v>
      </c>
      <c r="K2177" s="7" t="s">
        <v>4793</v>
      </c>
      <c r="L2177" s="7" t="s">
        <v>136</v>
      </c>
      <c r="M2177" s="7">
        <v>3.1926839999999999</v>
      </c>
      <c r="N2177" s="7">
        <v>11.572149</v>
      </c>
      <c r="O2177" s="7" t="s">
        <v>23</v>
      </c>
    </row>
    <row r="2178" spans="1:15" hidden="1" x14ac:dyDescent="0.25">
      <c r="A2178" s="2">
        <f t="shared" si="33"/>
        <v>2176</v>
      </c>
      <c r="B2178" s="7" t="s">
        <v>4794</v>
      </c>
      <c r="C2178" s="7" t="s">
        <v>4795</v>
      </c>
      <c r="D2178" s="7" t="s">
        <v>4794</v>
      </c>
      <c r="E2178" s="7" t="s">
        <v>250</v>
      </c>
      <c r="F2178" s="7" t="s">
        <v>4796</v>
      </c>
      <c r="G2178" s="17" t="s">
        <v>7747</v>
      </c>
      <c r="H2178" s="7" t="s">
        <v>28</v>
      </c>
      <c r="I2178" s="7" t="s">
        <v>341</v>
      </c>
      <c r="J2178" s="7" t="s">
        <v>323</v>
      </c>
      <c r="K2178" s="7" t="s">
        <v>4797</v>
      </c>
      <c r="L2178" s="7" t="s">
        <v>136</v>
      </c>
      <c r="M2178" s="7">
        <v>3.2484989999999998</v>
      </c>
      <c r="N2178" s="7">
        <v>11.402512</v>
      </c>
      <c r="O2178" s="7" t="s">
        <v>23</v>
      </c>
    </row>
    <row r="2179" spans="1:15" hidden="1" x14ac:dyDescent="0.25">
      <c r="A2179" s="2">
        <f t="shared" si="33"/>
        <v>2177</v>
      </c>
      <c r="B2179" s="7" t="s">
        <v>4798</v>
      </c>
      <c r="C2179" s="7" t="s">
        <v>4799</v>
      </c>
      <c r="D2179" s="7" t="s">
        <v>4798</v>
      </c>
      <c r="E2179" s="7" t="s">
        <v>250</v>
      </c>
      <c r="F2179" s="7" t="s">
        <v>1997</v>
      </c>
      <c r="G2179" s="17" t="s">
        <v>7747</v>
      </c>
      <c r="H2179" s="7" t="s">
        <v>19</v>
      </c>
      <c r="I2179" s="7" t="s">
        <v>322</v>
      </c>
      <c r="J2179" s="7" t="s">
        <v>253</v>
      </c>
      <c r="K2179" s="7" t="s">
        <v>324</v>
      </c>
      <c r="L2179" s="7" t="s">
        <v>136</v>
      </c>
      <c r="M2179" s="7">
        <v>3.2496399999999999</v>
      </c>
      <c r="N2179" s="7">
        <v>11.895173</v>
      </c>
      <c r="O2179" s="7" t="s">
        <v>23</v>
      </c>
    </row>
    <row r="2180" spans="1:15" hidden="1" x14ac:dyDescent="0.25">
      <c r="A2180" s="2">
        <f t="shared" si="33"/>
        <v>2178</v>
      </c>
      <c r="B2180" s="7" t="s">
        <v>4800</v>
      </c>
      <c r="C2180" s="7" t="s">
        <v>4801</v>
      </c>
      <c r="D2180" s="7" t="s">
        <v>4800</v>
      </c>
      <c r="E2180" s="7" t="s">
        <v>182</v>
      </c>
      <c r="F2180" s="7" t="s">
        <v>4802</v>
      </c>
      <c r="G2180" s="17" t="s">
        <v>7747</v>
      </c>
      <c r="H2180" s="7" t="s">
        <v>19</v>
      </c>
      <c r="I2180" s="7" t="s">
        <v>275</v>
      </c>
      <c r="J2180" s="7" t="s">
        <v>276</v>
      </c>
      <c r="K2180" s="7" t="s">
        <v>4158</v>
      </c>
      <c r="L2180" s="7" t="s">
        <v>136</v>
      </c>
      <c r="M2180" s="7">
        <v>3.6143860000000001</v>
      </c>
      <c r="N2180" s="7">
        <v>11.238886000000001</v>
      </c>
      <c r="O2180" s="7" t="s">
        <v>23</v>
      </c>
    </row>
    <row r="2181" spans="1:15" hidden="1" x14ac:dyDescent="0.25">
      <c r="A2181" s="2">
        <f t="shared" ref="A2181:A2244" si="34">+A2180+1</f>
        <v>2179</v>
      </c>
      <c r="B2181" s="7" t="s">
        <v>4803</v>
      </c>
      <c r="C2181" s="7" t="s">
        <v>4804</v>
      </c>
      <c r="D2181" s="7" t="s">
        <v>4803</v>
      </c>
      <c r="E2181" s="7" t="s">
        <v>250</v>
      </c>
      <c r="F2181" s="7" t="s">
        <v>2053</v>
      </c>
      <c r="G2181" s="17" t="s">
        <v>7747</v>
      </c>
      <c r="H2181" s="7" t="s">
        <v>19</v>
      </c>
      <c r="I2181" s="7" t="s">
        <v>322</v>
      </c>
      <c r="J2181" s="7" t="s">
        <v>253</v>
      </c>
      <c r="K2181" s="7" t="s">
        <v>324</v>
      </c>
      <c r="L2181" s="7" t="s">
        <v>136</v>
      </c>
      <c r="M2181" s="7">
        <v>3.1129799999999999</v>
      </c>
      <c r="N2181" s="7">
        <v>11.84829</v>
      </c>
      <c r="O2181" s="7" t="s">
        <v>23</v>
      </c>
    </row>
    <row r="2182" spans="1:15" hidden="1" x14ac:dyDescent="0.25">
      <c r="A2182" s="2">
        <f t="shared" si="34"/>
        <v>2180</v>
      </c>
      <c r="B2182" s="7" t="s">
        <v>4805</v>
      </c>
      <c r="C2182" s="7" t="s">
        <v>4806</v>
      </c>
      <c r="D2182" s="7" t="s">
        <v>4805</v>
      </c>
      <c r="E2182" s="7" t="s">
        <v>182</v>
      </c>
      <c r="F2182" s="7" t="s">
        <v>4807</v>
      </c>
      <c r="G2182" s="17" t="s">
        <v>7747</v>
      </c>
      <c r="H2182" s="7" t="s">
        <v>19</v>
      </c>
      <c r="I2182" s="7" t="s">
        <v>275</v>
      </c>
      <c r="J2182" s="7" t="s">
        <v>276</v>
      </c>
      <c r="K2182" s="7" t="s">
        <v>1462</v>
      </c>
      <c r="L2182" s="7" t="s">
        <v>136</v>
      </c>
      <c r="M2182" s="7">
        <v>3.7879999999999998</v>
      </c>
      <c r="N2182" s="7">
        <v>11.448867</v>
      </c>
      <c r="O2182" s="7" t="s">
        <v>23</v>
      </c>
    </row>
    <row r="2183" spans="1:15" hidden="1" x14ac:dyDescent="0.25">
      <c r="A2183" s="2">
        <f t="shared" si="34"/>
        <v>2181</v>
      </c>
      <c r="B2183" s="7" t="s">
        <v>4825</v>
      </c>
      <c r="C2183" s="7" t="s">
        <v>4826</v>
      </c>
      <c r="D2183" s="7" t="s">
        <v>4825</v>
      </c>
      <c r="E2183" s="7" t="s">
        <v>182</v>
      </c>
      <c r="F2183" s="7" t="s">
        <v>4827</v>
      </c>
      <c r="G2183" s="17" t="s">
        <v>7747</v>
      </c>
      <c r="H2183" s="7" t="s">
        <v>28</v>
      </c>
      <c r="I2183" s="7" t="s">
        <v>1385</v>
      </c>
      <c r="J2183" s="7" t="s">
        <v>185</v>
      </c>
      <c r="K2183" s="7" t="s">
        <v>1367</v>
      </c>
      <c r="L2183" s="7" t="s">
        <v>136</v>
      </c>
      <c r="M2183" s="7">
        <v>3.80294</v>
      </c>
      <c r="N2183" s="7">
        <v>11.52408</v>
      </c>
      <c r="O2183" s="7" t="s">
        <v>613</v>
      </c>
    </row>
    <row r="2184" spans="1:15" hidden="1" x14ac:dyDescent="0.25">
      <c r="A2184" s="2">
        <f t="shared" si="34"/>
        <v>2182</v>
      </c>
      <c r="B2184" s="7" t="s">
        <v>4828</v>
      </c>
      <c r="C2184" s="7" t="s">
        <v>4829</v>
      </c>
      <c r="D2184" s="7" t="s">
        <v>4828</v>
      </c>
      <c r="E2184" s="7" t="s">
        <v>182</v>
      </c>
      <c r="F2184" s="7" t="s">
        <v>4830</v>
      </c>
      <c r="G2184" s="17" t="s">
        <v>7747</v>
      </c>
      <c r="H2184" s="7" t="s">
        <v>28</v>
      </c>
      <c r="I2184" s="7" t="s">
        <v>1637</v>
      </c>
      <c r="J2184" s="7" t="s">
        <v>185</v>
      </c>
      <c r="K2184" s="7" t="s">
        <v>1462</v>
      </c>
      <c r="L2184" s="7" t="s">
        <v>136</v>
      </c>
      <c r="M2184" s="7">
        <v>3.8448060000000002</v>
      </c>
      <c r="N2184" s="7">
        <v>11.500194</v>
      </c>
      <c r="O2184" s="7" t="s">
        <v>23</v>
      </c>
    </row>
    <row r="2185" spans="1:15" hidden="1" x14ac:dyDescent="0.25">
      <c r="A2185" s="2">
        <f t="shared" si="34"/>
        <v>2183</v>
      </c>
      <c r="B2185" s="7" t="s">
        <v>4831</v>
      </c>
      <c r="C2185" s="7" t="s">
        <v>4832</v>
      </c>
      <c r="D2185" s="7" t="s">
        <v>4831</v>
      </c>
      <c r="E2185" s="7" t="s">
        <v>182</v>
      </c>
      <c r="F2185" s="7" t="s">
        <v>4833</v>
      </c>
      <c r="G2185" s="17" t="s">
        <v>7747</v>
      </c>
      <c r="H2185" s="7" t="s">
        <v>28</v>
      </c>
      <c r="I2185" s="7" t="s">
        <v>1637</v>
      </c>
      <c r="J2185" s="7" t="s">
        <v>185</v>
      </c>
      <c r="K2185" s="7" t="s">
        <v>1462</v>
      </c>
      <c r="L2185" s="7" t="s">
        <v>136</v>
      </c>
      <c r="M2185" s="7">
        <v>3.8673500000000001</v>
      </c>
      <c r="N2185" s="7">
        <v>11.495520000000001</v>
      </c>
      <c r="O2185" s="7" t="s">
        <v>613</v>
      </c>
    </row>
    <row r="2186" spans="1:15" hidden="1" x14ac:dyDescent="0.25">
      <c r="A2186" s="2">
        <f t="shared" si="34"/>
        <v>2184</v>
      </c>
      <c r="B2186" s="7" t="s">
        <v>4843</v>
      </c>
      <c r="C2186" s="7" t="s">
        <v>4844</v>
      </c>
      <c r="D2186" s="7" t="s">
        <v>4843</v>
      </c>
      <c r="E2186" s="7" t="s">
        <v>182</v>
      </c>
      <c r="F2186" s="7" t="s">
        <v>4845</v>
      </c>
      <c r="G2186" s="17" t="s">
        <v>7747</v>
      </c>
      <c r="H2186" s="7" t="s">
        <v>19</v>
      </c>
      <c r="I2186" s="7" t="s">
        <v>817</v>
      </c>
      <c r="J2186" s="7" t="s">
        <v>818</v>
      </c>
      <c r="K2186" s="7" t="s">
        <v>2187</v>
      </c>
      <c r="L2186" s="7" t="s">
        <v>136</v>
      </c>
      <c r="M2186" s="7">
        <v>3.884722</v>
      </c>
      <c r="N2186" s="7">
        <v>12.211667</v>
      </c>
      <c r="O2186" s="7" t="s">
        <v>23</v>
      </c>
    </row>
    <row r="2187" spans="1:15" hidden="1" x14ac:dyDescent="0.25">
      <c r="A2187" s="2">
        <f t="shared" si="34"/>
        <v>2185</v>
      </c>
      <c r="B2187" s="7" t="s">
        <v>4846</v>
      </c>
      <c r="C2187" s="7" t="s">
        <v>4847</v>
      </c>
      <c r="D2187" s="7" t="s">
        <v>4846</v>
      </c>
      <c r="E2187" s="7" t="s">
        <v>250</v>
      </c>
      <c r="F2187" s="7" t="s">
        <v>4848</v>
      </c>
      <c r="G2187" s="17" t="s">
        <v>7747</v>
      </c>
      <c r="H2187" s="7" t="s">
        <v>28</v>
      </c>
      <c r="I2187" s="7" t="s">
        <v>322</v>
      </c>
      <c r="J2187" s="7" t="s">
        <v>253</v>
      </c>
      <c r="K2187" s="7" t="s">
        <v>4849</v>
      </c>
      <c r="L2187" s="7" t="s">
        <v>136</v>
      </c>
      <c r="M2187" s="7">
        <v>2.8126190000000002</v>
      </c>
      <c r="N2187" s="7">
        <v>12.124891999999999</v>
      </c>
      <c r="O2187" s="7" t="s">
        <v>23</v>
      </c>
    </row>
    <row r="2188" spans="1:15" hidden="1" x14ac:dyDescent="0.25">
      <c r="A2188" s="2">
        <f t="shared" si="34"/>
        <v>2186</v>
      </c>
      <c r="B2188" s="7" t="s">
        <v>4850</v>
      </c>
      <c r="C2188" s="7" t="s">
        <v>4851</v>
      </c>
      <c r="D2188" s="7" t="s">
        <v>4850</v>
      </c>
      <c r="E2188" s="7" t="s">
        <v>182</v>
      </c>
      <c r="F2188" s="7" t="s">
        <v>4852</v>
      </c>
      <c r="G2188" s="17" t="s">
        <v>7747</v>
      </c>
      <c r="H2188" s="7" t="s">
        <v>19</v>
      </c>
      <c r="I2188" s="7" t="s">
        <v>374</v>
      </c>
      <c r="J2188" s="7" t="s">
        <v>287</v>
      </c>
      <c r="K2188" s="7" t="s">
        <v>337</v>
      </c>
      <c r="L2188" s="7" t="s">
        <v>136</v>
      </c>
      <c r="M2188" s="7">
        <v>4.2738940000000003</v>
      </c>
      <c r="N2188" s="7">
        <v>11.367495</v>
      </c>
      <c r="O2188" s="7" t="s">
        <v>23</v>
      </c>
    </row>
    <row r="2189" spans="1:15" hidden="1" x14ac:dyDescent="0.25">
      <c r="A2189" s="2">
        <f t="shared" si="34"/>
        <v>2187</v>
      </c>
      <c r="B2189" s="7" t="s">
        <v>4873</v>
      </c>
      <c r="C2189" s="7" t="s">
        <v>4874</v>
      </c>
      <c r="D2189" s="7" t="s">
        <v>4873</v>
      </c>
      <c r="E2189" s="7" t="s">
        <v>250</v>
      </c>
      <c r="F2189" s="7" t="s">
        <v>4875</v>
      </c>
      <c r="G2189" s="17" t="s">
        <v>7747</v>
      </c>
      <c r="H2189" s="7" t="s">
        <v>28</v>
      </c>
      <c r="I2189" s="7" t="s">
        <v>311</v>
      </c>
      <c r="J2189" s="7" t="s">
        <v>312</v>
      </c>
      <c r="K2189" s="7" t="s">
        <v>4006</v>
      </c>
      <c r="L2189" s="7" t="s">
        <v>136</v>
      </c>
      <c r="M2189" s="7">
        <v>2.9102399999999999</v>
      </c>
      <c r="N2189" s="7">
        <v>11.148289999999999</v>
      </c>
      <c r="O2189" s="7" t="s">
        <v>23</v>
      </c>
    </row>
    <row r="2190" spans="1:15" hidden="1" x14ac:dyDescent="0.25">
      <c r="A2190" s="2">
        <f t="shared" si="34"/>
        <v>2188</v>
      </c>
      <c r="B2190" s="7" t="s">
        <v>4895</v>
      </c>
      <c r="C2190" s="7" t="s">
        <v>4896</v>
      </c>
      <c r="D2190" s="7" t="s">
        <v>4895</v>
      </c>
      <c r="E2190" s="7" t="s">
        <v>182</v>
      </c>
      <c r="F2190" s="7" t="s">
        <v>4897</v>
      </c>
      <c r="G2190" s="17" t="s">
        <v>7747</v>
      </c>
      <c r="H2190" s="7" t="s">
        <v>28</v>
      </c>
      <c r="I2190" s="7" t="s">
        <v>275</v>
      </c>
      <c r="J2190" s="7" t="s">
        <v>276</v>
      </c>
      <c r="K2190" s="7" t="s">
        <v>1322</v>
      </c>
      <c r="L2190" s="7" t="s">
        <v>136</v>
      </c>
      <c r="M2190" s="7">
        <v>3.8140830000000001</v>
      </c>
      <c r="N2190" s="7">
        <v>11.474444</v>
      </c>
      <c r="O2190" s="7" t="s">
        <v>23</v>
      </c>
    </row>
    <row r="2191" spans="1:15" hidden="1" x14ac:dyDescent="0.25">
      <c r="A2191" s="2">
        <f t="shared" si="34"/>
        <v>2189</v>
      </c>
      <c r="B2191" s="7" t="s">
        <v>4898</v>
      </c>
      <c r="C2191" s="7" t="s">
        <v>4899</v>
      </c>
      <c r="D2191" s="7" t="s">
        <v>4898</v>
      </c>
      <c r="E2191" s="7" t="s">
        <v>250</v>
      </c>
      <c r="F2191" s="7" t="s">
        <v>4900</v>
      </c>
      <c r="G2191" s="17" t="s">
        <v>7747</v>
      </c>
      <c r="H2191" s="7" t="s">
        <v>28</v>
      </c>
      <c r="I2191" s="7" t="s">
        <v>322</v>
      </c>
      <c r="J2191" s="7" t="s">
        <v>253</v>
      </c>
      <c r="K2191" s="7" t="s">
        <v>324</v>
      </c>
      <c r="L2191" s="7" t="s">
        <v>136</v>
      </c>
      <c r="M2191" s="7">
        <v>2.9542480000000002</v>
      </c>
      <c r="N2191" s="7">
        <v>11.972784000000001</v>
      </c>
      <c r="O2191" s="7" t="s">
        <v>23</v>
      </c>
    </row>
    <row r="2192" spans="1:15" hidden="1" x14ac:dyDescent="0.25">
      <c r="A2192" s="2">
        <f t="shared" si="34"/>
        <v>2190</v>
      </c>
      <c r="B2192" s="7" t="s">
        <v>4901</v>
      </c>
      <c r="C2192" s="7" t="s">
        <v>4902</v>
      </c>
      <c r="D2192" s="7" t="s">
        <v>4901</v>
      </c>
      <c r="E2192" s="7" t="s">
        <v>182</v>
      </c>
      <c r="F2192" s="7" t="s">
        <v>4903</v>
      </c>
      <c r="G2192" s="17" t="s">
        <v>7747</v>
      </c>
      <c r="H2192" s="7" t="s">
        <v>19</v>
      </c>
      <c r="I2192" s="7" t="s">
        <v>1637</v>
      </c>
      <c r="J2192" s="7" t="s">
        <v>185</v>
      </c>
      <c r="K2192" s="7" t="s">
        <v>1322</v>
      </c>
      <c r="L2192" s="7" t="s">
        <v>136</v>
      </c>
      <c r="M2192" s="7">
        <v>3.8660399999999999</v>
      </c>
      <c r="N2192" s="7">
        <v>11.481339999999999</v>
      </c>
      <c r="O2192" s="7" t="s">
        <v>23</v>
      </c>
    </row>
    <row r="2193" spans="1:15" hidden="1" x14ac:dyDescent="0.25">
      <c r="A2193" s="2">
        <f t="shared" si="34"/>
        <v>2191</v>
      </c>
      <c r="B2193" s="7" t="s">
        <v>4907</v>
      </c>
      <c r="C2193" s="7" t="s">
        <v>4908</v>
      </c>
      <c r="D2193" s="7" t="s">
        <v>4907</v>
      </c>
      <c r="E2193" s="7" t="s">
        <v>250</v>
      </c>
      <c r="F2193" s="7" t="s">
        <v>4909</v>
      </c>
      <c r="G2193" s="17" t="s">
        <v>7747</v>
      </c>
      <c r="H2193" s="7" t="s">
        <v>28</v>
      </c>
      <c r="I2193" s="7" t="s">
        <v>311</v>
      </c>
      <c r="J2193" s="7" t="s">
        <v>312</v>
      </c>
      <c r="K2193" s="7" t="s">
        <v>2594</v>
      </c>
      <c r="L2193" s="7" t="s">
        <v>136</v>
      </c>
      <c r="M2193" s="7">
        <v>2.9420999999999999</v>
      </c>
      <c r="N2193" s="7">
        <v>11.1602</v>
      </c>
      <c r="O2193" s="7" t="s">
        <v>23</v>
      </c>
    </row>
    <row r="2194" spans="1:15" hidden="1" x14ac:dyDescent="0.25">
      <c r="A2194" s="2">
        <f t="shared" si="34"/>
        <v>2192</v>
      </c>
      <c r="B2194" s="7" t="s">
        <v>4919</v>
      </c>
      <c r="C2194" s="7" t="s">
        <v>4920</v>
      </c>
      <c r="D2194" s="7" t="s">
        <v>4919</v>
      </c>
      <c r="E2194" s="7" t="s">
        <v>182</v>
      </c>
      <c r="F2194" s="7" t="s">
        <v>4921</v>
      </c>
      <c r="G2194" s="17" t="s">
        <v>7747</v>
      </c>
      <c r="H2194" s="7" t="s">
        <v>28</v>
      </c>
      <c r="I2194" s="7" t="s">
        <v>1366</v>
      </c>
      <c r="J2194" s="7" t="s">
        <v>185</v>
      </c>
      <c r="K2194" s="7" t="s">
        <v>1435</v>
      </c>
      <c r="L2194" s="7" t="s">
        <v>136</v>
      </c>
      <c r="M2194" s="7">
        <v>3.86199</v>
      </c>
      <c r="N2194" s="7">
        <v>11.52491</v>
      </c>
      <c r="O2194" s="7" t="s">
        <v>613</v>
      </c>
    </row>
    <row r="2195" spans="1:15" hidden="1" x14ac:dyDescent="0.25">
      <c r="A2195" s="2">
        <f t="shared" si="34"/>
        <v>2193</v>
      </c>
      <c r="B2195" s="7" t="s">
        <v>4928</v>
      </c>
      <c r="C2195" s="7" t="s">
        <v>4929</v>
      </c>
      <c r="D2195" s="7" t="s">
        <v>4928</v>
      </c>
      <c r="E2195" s="7" t="s">
        <v>250</v>
      </c>
      <c r="F2195" s="7" t="s">
        <v>4930</v>
      </c>
      <c r="G2195" s="17" t="s">
        <v>7747</v>
      </c>
      <c r="H2195" s="7" t="s">
        <v>28</v>
      </c>
      <c r="I2195" s="7" t="s">
        <v>341</v>
      </c>
      <c r="J2195" s="7" t="s">
        <v>323</v>
      </c>
      <c r="K2195" s="7" t="s">
        <v>341</v>
      </c>
      <c r="L2195" s="7" t="s">
        <v>136</v>
      </c>
      <c r="M2195" s="7">
        <v>3.5324140000000002</v>
      </c>
      <c r="N2195" s="7">
        <v>11.522751</v>
      </c>
      <c r="O2195" s="7" t="s">
        <v>23</v>
      </c>
    </row>
    <row r="2196" spans="1:15" hidden="1" x14ac:dyDescent="0.25">
      <c r="A2196" s="2">
        <f t="shared" si="34"/>
        <v>2194</v>
      </c>
      <c r="B2196" s="7" t="s">
        <v>4933</v>
      </c>
      <c r="C2196" s="7" t="s">
        <v>4934</v>
      </c>
      <c r="D2196" s="7" t="s">
        <v>4933</v>
      </c>
      <c r="E2196" s="7" t="s">
        <v>182</v>
      </c>
      <c r="F2196" s="7" t="s">
        <v>2428</v>
      </c>
      <c r="G2196" s="17" t="s">
        <v>7747</v>
      </c>
      <c r="H2196" s="7" t="s">
        <v>28</v>
      </c>
      <c r="I2196" s="7" t="s">
        <v>275</v>
      </c>
      <c r="J2196" s="7" t="s">
        <v>185</v>
      </c>
      <c r="K2196" s="7" t="s">
        <v>1322</v>
      </c>
      <c r="L2196" s="7" t="s">
        <v>136</v>
      </c>
      <c r="M2196" s="7">
        <v>3.8130000000000002</v>
      </c>
      <c r="N2196" s="7">
        <v>11.476000000000001</v>
      </c>
      <c r="O2196" s="7" t="s">
        <v>23</v>
      </c>
    </row>
    <row r="2197" spans="1:15" hidden="1" x14ac:dyDescent="0.25">
      <c r="A2197" s="2">
        <f t="shared" si="34"/>
        <v>2195</v>
      </c>
      <c r="B2197" s="7" t="s">
        <v>4946</v>
      </c>
      <c r="C2197" s="7" t="s">
        <v>4947</v>
      </c>
      <c r="D2197" s="7" t="s">
        <v>4946</v>
      </c>
      <c r="E2197" s="7" t="s">
        <v>182</v>
      </c>
      <c r="F2197" s="7" t="s">
        <v>4948</v>
      </c>
      <c r="G2197" s="17" t="s">
        <v>7747</v>
      </c>
      <c r="H2197" s="7" t="s">
        <v>28</v>
      </c>
      <c r="I2197" s="7" t="s">
        <v>374</v>
      </c>
      <c r="J2197" s="7" t="s">
        <v>287</v>
      </c>
      <c r="K2197" s="7" t="s">
        <v>337</v>
      </c>
      <c r="L2197" s="7" t="s">
        <v>136</v>
      </c>
      <c r="M2197" s="7">
        <v>4.1776350000000004</v>
      </c>
      <c r="N2197" s="7">
        <v>11.226846999999999</v>
      </c>
      <c r="O2197" s="7" t="s">
        <v>23</v>
      </c>
    </row>
    <row r="2198" spans="1:15" hidden="1" x14ac:dyDescent="0.25">
      <c r="A2198" s="2">
        <f t="shared" si="34"/>
        <v>2196</v>
      </c>
      <c r="B2198" s="7" t="s">
        <v>4949</v>
      </c>
      <c r="C2198" s="7" t="s">
        <v>4950</v>
      </c>
      <c r="D2198" s="7" t="s">
        <v>4949</v>
      </c>
      <c r="E2198" s="7" t="s">
        <v>182</v>
      </c>
      <c r="F2198" s="7" t="s">
        <v>4951</v>
      </c>
      <c r="G2198" s="17" t="s">
        <v>7747</v>
      </c>
      <c r="H2198" s="7" t="s">
        <v>28</v>
      </c>
      <c r="I2198" s="7" t="s">
        <v>286</v>
      </c>
      <c r="J2198" s="7" t="s">
        <v>287</v>
      </c>
      <c r="K2198" s="7" t="s">
        <v>4952</v>
      </c>
      <c r="L2198" s="7" t="s">
        <v>136</v>
      </c>
      <c r="M2198" s="7">
        <v>4.157</v>
      </c>
      <c r="N2198" s="7">
        <v>11.352</v>
      </c>
      <c r="O2198" s="7" t="s">
        <v>23</v>
      </c>
    </row>
    <row r="2199" spans="1:15" hidden="1" x14ac:dyDescent="0.25">
      <c r="A2199" s="2">
        <f t="shared" si="34"/>
        <v>2197</v>
      </c>
      <c r="B2199" s="7" t="s">
        <v>4953</v>
      </c>
      <c r="C2199" s="7" t="s">
        <v>4954</v>
      </c>
      <c r="D2199" s="7" t="s">
        <v>4953</v>
      </c>
      <c r="E2199" s="7" t="s">
        <v>182</v>
      </c>
      <c r="F2199" s="7" t="s">
        <v>4955</v>
      </c>
      <c r="G2199" s="17" t="s">
        <v>7747</v>
      </c>
      <c r="H2199" s="7" t="s">
        <v>19</v>
      </c>
      <c r="I2199" s="7" t="s">
        <v>1637</v>
      </c>
      <c r="J2199" s="7" t="s">
        <v>185</v>
      </c>
      <c r="K2199" s="7" t="s">
        <v>808</v>
      </c>
      <c r="L2199" s="7" t="s">
        <v>136</v>
      </c>
      <c r="M2199" s="7">
        <v>3.8645</v>
      </c>
      <c r="N2199" s="7">
        <v>11.512280000000001</v>
      </c>
      <c r="O2199" s="7" t="s">
        <v>613</v>
      </c>
    </row>
    <row r="2200" spans="1:15" hidden="1" x14ac:dyDescent="0.25">
      <c r="A2200" s="2">
        <f t="shared" si="34"/>
        <v>2198</v>
      </c>
      <c r="B2200" s="7" t="s">
        <v>4959</v>
      </c>
      <c r="C2200" s="7" t="s">
        <v>4960</v>
      </c>
      <c r="D2200" s="7" t="s">
        <v>4959</v>
      </c>
      <c r="E2200" s="7" t="s">
        <v>182</v>
      </c>
      <c r="F2200" s="7" t="s">
        <v>4961</v>
      </c>
      <c r="G2200" s="17" t="s">
        <v>7747</v>
      </c>
      <c r="H2200" s="7" t="s">
        <v>28</v>
      </c>
      <c r="I2200" s="7" t="s">
        <v>297</v>
      </c>
      <c r="J2200" s="7" t="s">
        <v>185</v>
      </c>
      <c r="K2200" s="7" t="s">
        <v>1393</v>
      </c>
      <c r="L2200" s="7" t="s">
        <v>136</v>
      </c>
      <c r="M2200" s="7">
        <v>3.8701699999999999</v>
      </c>
      <c r="N2200" s="7">
        <v>11.46077</v>
      </c>
      <c r="O2200" s="7" t="s">
        <v>23</v>
      </c>
    </row>
    <row r="2201" spans="1:15" hidden="1" x14ac:dyDescent="0.25">
      <c r="A2201" s="2">
        <f t="shared" si="34"/>
        <v>2199</v>
      </c>
      <c r="B2201" s="7" t="s">
        <v>4965</v>
      </c>
      <c r="C2201" s="7" t="s">
        <v>4966</v>
      </c>
      <c r="D2201" s="7" t="s">
        <v>4965</v>
      </c>
      <c r="E2201" s="7" t="s">
        <v>250</v>
      </c>
      <c r="F2201" s="7" t="s">
        <v>4967</v>
      </c>
      <c r="G2201" s="17" t="s">
        <v>7747</v>
      </c>
      <c r="H2201" s="7" t="s">
        <v>28</v>
      </c>
      <c r="I2201" s="7" t="s">
        <v>341</v>
      </c>
      <c r="J2201" s="7" t="s">
        <v>323</v>
      </c>
      <c r="K2201" s="7" t="s">
        <v>341</v>
      </c>
      <c r="L2201" s="7" t="s">
        <v>136</v>
      </c>
      <c r="M2201" s="7">
        <v>3.5270929999999998</v>
      </c>
      <c r="N2201" s="7">
        <v>11.503443000000001</v>
      </c>
      <c r="O2201" s="7" t="s">
        <v>23</v>
      </c>
    </row>
    <row r="2202" spans="1:15" hidden="1" x14ac:dyDescent="0.25">
      <c r="A2202" s="2">
        <f t="shared" si="34"/>
        <v>2200</v>
      </c>
      <c r="B2202" s="7" t="s">
        <v>4968</v>
      </c>
      <c r="C2202" s="7" t="s">
        <v>4969</v>
      </c>
      <c r="D2202" s="7" t="s">
        <v>4968</v>
      </c>
      <c r="E2202" s="7" t="s">
        <v>182</v>
      </c>
      <c r="F2202" s="7" t="s">
        <v>4970</v>
      </c>
      <c r="G2202" s="17" t="s">
        <v>7747</v>
      </c>
      <c r="H2202" s="7" t="s">
        <v>28</v>
      </c>
      <c r="I2202" s="7" t="s">
        <v>1637</v>
      </c>
      <c r="J2202" s="7" t="s">
        <v>185</v>
      </c>
      <c r="K2202" s="7" t="s">
        <v>1322</v>
      </c>
      <c r="L2202" s="7" t="s">
        <v>136</v>
      </c>
      <c r="M2202" s="7">
        <v>3.8539720000000002</v>
      </c>
      <c r="N2202" s="7">
        <v>11.488306</v>
      </c>
      <c r="O2202" s="7" t="s">
        <v>23</v>
      </c>
    </row>
    <row r="2203" spans="1:15" hidden="1" x14ac:dyDescent="0.25">
      <c r="A2203" s="2">
        <f t="shared" si="34"/>
        <v>2201</v>
      </c>
      <c r="B2203" s="7" t="s">
        <v>4971</v>
      </c>
      <c r="C2203" s="7" t="s">
        <v>4972</v>
      </c>
      <c r="D2203" s="7" t="s">
        <v>4971</v>
      </c>
      <c r="E2203" s="7" t="s">
        <v>182</v>
      </c>
      <c r="F2203" s="7" t="s">
        <v>4973</v>
      </c>
      <c r="G2203" s="17" t="s">
        <v>7747</v>
      </c>
      <c r="H2203" s="7" t="s">
        <v>19</v>
      </c>
      <c r="I2203" s="7" t="s">
        <v>1337</v>
      </c>
      <c r="J2203" s="7" t="s">
        <v>185</v>
      </c>
      <c r="K2203" s="7" t="s">
        <v>1375</v>
      </c>
      <c r="L2203" s="7" t="s">
        <v>136</v>
      </c>
      <c r="M2203" s="7">
        <v>3.8692190000000002</v>
      </c>
      <c r="N2203" s="7">
        <v>11.516116</v>
      </c>
      <c r="O2203" s="7" t="s">
        <v>613</v>
      </c>
    </row>
    <row r="2204" spans="1:15" hidden="1" x14ac:dyDescent="0.25">
      <c r="A2204" s="2">
        <f t="shared" si="34"/>
        <v>2202</v>
      </c>
      <c r="B2204" s="7" t="s">
        <v>4980</v>
      </c>
      <c r="C2204" s="7" t="s">
        <v>4981</v>
      </c>
      <c r="D2204" s="7" t="s">
        <v>4980</v>
      </c>
      <c r="E2204" s="7" t="s">
        <v>182</v>
      </c>
      <c r="F2204" s="7" t="s">
        <v>4982</v>
      </c>
      <c r="G2204" s="17" t="s">
        <v>7747</v>
      </c>
      <c r="H2204" s="7" t="s">
        <v>28</v>
      </c>
      <c r="I2204" s="7" t="s">
        <v>1385</v>
      </c>
      <c r="J2204" s="7" t="s">
        <v>185</v>
      </c>
      <c r="K2204" s="7" t="s">
        <v>1367</v>
      </c>
      <c r="L2204" s="7" t="s">
        <v>136</v>
      </c>
      <c r="M2204" s="7">
        <v>3.75447</v>
      </c>
      <c r="N2204" s="7">
        <v>11.53373</v>
      </c>
      <c r="O2204" s="7" t="s">
        <v>23</v>
      </c>
    </row>
    <row r="2205" spans="1:15" hidden="1" x14ac:dyDescent="0.25">
      <c r="A2205" s="2">
        <f t="shared" si="34"/>
        <v>2203</v>
      </c>
      <c r="B2205" s="7" t="s">
        <v>4997</v>
      </c>
      <c r="C2205" s="7" t="s">
        <v>4998</v>
      </c>
      <c r="D2205" s="7" t="s">
        <v>4997</v>
      </c>
      <c r="E2205" s="7" t="s">
        <v>182</v>
      </c>
      <c r="F2205" s="7" t="s">
        <v>4999</v>
      </c>
      <c r="G2205" s="17" t="s">
        <v>7747</v>
      </c>
      <c r="H2205" s="7" t="s">
        <v>28</v>
      </c>
      <c r="I2205" s="7" t="s">
        <v>1337</v>
      </c>
      <c r="J2205" s="7" t="s">
        <v>185</v>
      </c>
      <c r="K2205" s="7" t="s">
        <v>1375</v>
      </c>
      <c r="L2205" s="7" t="s">
        <v>136</v>
      </c>
      <c r="M2205" s="7">
        <v>3.8732730000000002</v>
      </c>
      <c r="N2205" s="7">
        <v>11.506537</v>
      </c>
      <c r="O2205" s="7" t="s">
        <v>23</v>
      </c>
    </row>
    <row r="2206" spans="1:15" x14ac:dyDescent="0.25">
      <c r="A2206" s="2">
        <f t="shared" si="34"/>
        <v>2204</v>
      </c>
      <c r="B2206" s="7" t="s">
        <v>5006</v>
      </c>
      <c r="C2206" s="7" t="s">
        <v>5007</v>
      </c>
      <c r="D2206" s="7" t="s">
        <v>5006</v>
      </c>
      <c r="E2206" s="7" t="s">
        <v>131</v>
      </c>
      <c r="F2206" s="7" t="s">
        <v>2277</v>
      </c>
      <c r="G2206" s="17" t="s">
        <v>7747</v>
      </c>
      <c r="H2206" s="7" t="s">
        <v>28</v>
      </c>
      <c r="I2206" s="7" t="s">
        <v>1042</v>
      </c>
      <c r="J2206" s="7" t="s">
        <v>159</v>
      </c>
      <c r="K2206" s="7" t="s">
        <v>2278</v>
      </c>
      <c r="L2206" s="7" t="s">
        <v>136</v>
      </c>
      <c r="M2206" s="7">
        <v>4.5144330000000004</v>
      </c>
      <c r="N2206" s="7">
        <v>10.823603</v>
      </c>
      <c r="O2206" s="7" t="s">
        <v>23</v>
      </c>
    </row>
    <row r="2207" spans="1:15" hidden="1" x14ac:dyDescent="0.25">
      <c r="A2207" s="2">
        <f t="shared" si="34"/>
        <v>2205</v>
      </c>
      <c r="B2207" s="7" t="s">
        <v>5014</v>
      </c>
      <c r="C2207" s="7" t="s">
        <v>5015</v>
      </c>
      <c r="D2207" s="7" t="s">
        <v>5014</v>
      </c>
      <c r="E2207" s="7" t="s">
        <v>250</v>
      </c>
      <c r="F2207" s="7" t="s">
        <v>5016</v>
      </c>
      <c r="G2207" s="17" t="s">
        <v>7747</v>
      </c>
      <c r="H2207" s="7" t="s">
        <v>28</v>
      </c>
      <c r="I2207" s="7" t="s">
        <v>311</v>
      </c>
      <c r="J2207" s="7" t="s">
        <v>312</v>
      </c>
      <c r="K2207" s="7" t="s">
        <v>2594</v>
      </c>
      <c r="L2207" s="7" t="s">
        <v>136</v>
      </c>
      <c r="M2207" s="7">
        <v>2.9041000000000001</v>
      </c>
      <c r="N2207" s="7">
        <v>11.271800000000001</v>
      </c>
      <c r="O2207" s="7" t="s">
        <v>23</v>
      </c>
    </row>
    <row r="2208" spans="1:15" hidden="1" x14ac:dyDescent="0.25">
      <c r="A2208" s="2">
        <f t="shared" si="34"/>
        <v>2206</v>
      </c>
      <c r="B2208" s="7" t="s">
        <v>5020</v>
      </c>
      <c r="C2208" s="7" t="s">
        <v>5021</v>
      </c>
      <c r="D2208" s="7" t="s">
        <v>5020</v>
      </c>
      <c r="E2208" s="7" t="s">
        <v>250</v>
      </c>
      <c r="F2208" s="7" t="s">
        <v>5022</v>
      </c>
      <c r="G2208" s="17" t="s">
        <v>7747</v>
      </c>
      <c r="H2208" s="7" t="s">
        <v>28</v>
      </c>
      <c r="I2208" s="7" t="s">
        <v>322</v>
      </c>
      <c r="J2208" s="7" t="s">
        <v>253</v>
      </c>
      <c r="K2208" s="7" t="s">
        <v>1606</v>
      </c>
      <c r="L2208" s="7" t="s">
        <v>136</v>
      </c>
      <c r="M2208" s="7">
        <v>3.3941530000000002</v>
      </c>
      <c r="N2208" s="7">
        <v>11.884703</v>
      </c>
      <c r="O2208" s="7" t="s">
        <v>23</v>
      </c>
    </row>
    <row r="2209" spans="1:15" hidden="1" x14ac:dyDescent="0.25">
      <c r="A2209" s="2">
        <f t="shared" si="34"/>
        <v>2207</v>
      </c>
      <c r="B2209" s="7" t="s">
        <v>5023</v>
      </c>
      <c r="C2209" s="7" t="s">
        <v>5024</v>
      </c>
      <c r="D2209" s="7" t="s">
        <v>5023</v>
      </c>
      <c r="E2209" s="7" t="s">
        <v>182</v>
      </c>
      <c r="F2209" s="7" t="s">
        <v>5025</v>
      </c>
      <c r="G2209" s="17" t="s">
        <v>7747</v>
      </c>
      <c r="H2209" s="7" t="s">
        <v>28</v>
      </c>
      <c r="I2209" s="7" t="s">
        <v>1337</v>
      </c>
      <c r="J2209" s="7" t="s">
        <v>185</v>
      </c>
      <c r="K2209" s="7" t="s">
        <v>808</v>
      </c>
      <c r="L2209" s="7" t="s">
        <v>136</v>
      </c>
      <c r="M2209" s="7">
        <v>3.86511</v>
      </c>
      <c r="N2209" s="7">
        <v>11.517519999999999</v>
      </c>
      <c r="O2209" s="7" t="s">
        <v>613</v>
      </c>
    </row>
    <row r="2210" spans="1:15" hidden="1" x14ac:dyDescent="0.25">
      <c r="A2210" s="2">
        <f t="shared" si="34"/>
        <v>2208</v>
      </c>
      <c r="B2210" s="7" t="s">
        <v>5035</v>
      </c>
      <c r="C2210" s="7" t="s">
        <v>5036</v>
      </c>
      <c r="D2210" s="7" t="s">
        <v>5035</v>
      </c>
      <c r="E2210" s="7" t="s">
        <v>182</v>
      </c>
      <c r="F2210" s="7" t="s">
        <v>5037</v>
      </c>
      <c r="G2210" s="17" t="s">
        <v>7747</v>
      </c>
      <c r="H2210" s="7" t="s">
        <v>28</v>
      </c>
      <c r="I2210" s="7" t="s">
        <v>1366</v>
      </c>
      <c r="J2210" s="7" t="s">
        <v>185</v>
      </c>
      <c r="K2210" s="7" t="s">
        <v>1435</v>
      </c>
      <c r="L2210" s="7" t="s">
        <v>136</v>
      </c>
      <c r="M2210" s="7">
        <v>3.8623599999999998</v>
      </c>
      <c r="N2210" s="7">
        <v>11.524330000000001</v>
      </c>
      <c r="O2210" s="7" t="s">
        <v>613</v>
      </c>
    </row>
    <row r="2211" spans="1:15" hidden="1" x14ac:dyDescent="0.25">
      <c r="A2211" s="2">
        <f t="shared" si="34"/>
        <v>2209</v>
      </c>
      <c r="B2211" s="7" t="s">
        <v>5041</v>
      </c>
      <c r="C2211" s="7" t="s">
        <v>5042</v>
      </c>
      <c r="D2211" s="7" t="s">
        <v>5041</v>
      </c>
      <c r="E2211" s="7" t="s">
        <v>182</v>
      </c>
      <c r="F2211" s="7" t="s">
        <v>5043</v>
      </c>
      <c r="G2211" s="17" t="s">
        <v>7747</v>
      </c>
      <c r="H2211" s="7" t="s">
        <v>19</v>
      </c>
      <c r="I2211" s="7" t="s">
        <v>1637</v>
      </c>
      <c r="J2211" s="7" t="s">
        <v>185</v>
      </c>
      <c r="K2211" s="7" t="s">
        <v>1322</v>
      </c>
      <c r="L2211" s="7" t="s">
        <v>136</v>
      </c>
      <c r="M2211" s="7">
        <v>3.857056</v>
      </c>
      <c r="N2211" s="7">
        <v>11.492027999999999</v>
      </c>
      <c r="O2211" s="7" t="s">
        <v>613</v>
      </c>
    </row>
    <row r="2212" spans="1:15" hidden="1" x14ac:dyDescent="0.25">
      <c r="A2212" s="2">
        <f t="shared" si="34"/>
        <v>2210</v>
      </c>
      <c r="B2212" s="7" t="s">
        <v>5044</v>
      </c>
      <c r="C2212" s="7" t="s">
        <v>5045</v>
      </c>
      <c r="D2212" s="7" t="s">
        <v>5044</v>
      </c>
      <c r="E2212" s="7" t="s">
        <v>182</v>
      </c>
      <c r="F2212" s="7" t="s">
        <v>5046</v>
      </c>
      <c r="G2212" s="17" t="s">
        <v>7747</v>
      </c>
      <c r="H2212" s="7" t="s">
        <v>19</v>
      </c>
      <c r="I2212" s="7" t="s">
        <v>1337</v>
      </c>
      <c r="J2212" s="7" t="s">
        <v>185</v>
      </c>
      <c r="K2212" s="7" t="s">
        <v>1375</v>
      </c>
      <c r="L2212" s="7" t="s">
        <v>136</v>
      </c>
      <c r="M2212" s="7">
        <v>3.8712300000000002</v>
      </c>
      <c r="N2212" s="7">
        <v>11.517849999999999</v>
      </c>
      <c r="O2212" s="7" t="s">
        <v>613</v>
      </c>
    </row>
    <row r="2213" spans="1:15" hidden="1" x14ac:dyDescent="0.25">
      <c r="A2213" s="2">
        <f t="shared" si="34"/>
        <v>2211</v>
      </c>
      <c r="B2213" s="7" t="s">
        <v>5050</v>
      </c>
      <c r="C2213" s="7" t="s">
        <v>5051</v>
      </c>
      <c r="D2213" s="7" t="s">
        <v>5050</v>
      </c>
      <c r="E2213" s="7" t="s">
        <v>182</v>
      </c>
      <c r="F2213" s="7" t="s">
        <v>5052</v>
      </c>
      <c r="G2213" s="17" t="s">
        <v>7747</v>
      </c>
      <c r="H2213" s="7" t="s">
        <v>19</v>
      </c>
      <c r="I2213" s="7" t="s">
        <v>1461</v>
      </c>
      <c r="J2213" s="7" t="s">
        <v>185</v>
      </c>
      <c r="K2213" s="7" t="s">
        <v>1462</v>
      </c>
      <c r="L2213" s="7" t="s">
        <v>136</v>
      </c>
      <c r="M2213" s="7">
        <v>3.83548</v>
      </c>
      <c r="N2213" s="7">
        <v>11.49536</v>
      </c>
      <c r="O2213" s="7" t="s">
        <v>613</v>
      </c>
    </row>
    <row r="2214" spans="1:15" hidden="1" x14ac:dyDescent="0.25">
      <c r="A2214" s="2">
        <f t="shared" si="34"/>
        <v>2212</v>
      </c>
      <c r="B2214" s="7" t="s">
        <v>5053</v>
      </c>
      <c r="C2214" s="7" t="s">
        <v>5054</v>
      </c>
      <c r="D2214" s="7" t="s">
        <v>5053</v>
      </c>
      <c r="E2214" s="7" t="s">
        <v>182</v>
      </c>
      <c r="F2214" s="7" t="s">
        <v>5055</v>
      </c>
      <c r="G2214" s="17" t="s">
        <v>7747</v>
      </c>
      <c r="H2214" s="7" t="s">
        <v>28</v>
      </c>
      <c r="I2214" s="7" t="s">
        <v>1637</v>
      </c>
      <c r="J2214" s="7" t="s">
        <v>185</v>
      </c>
      <c r="K2214" s="7" t="s">
        <v>1322</v>
      </c>
      <c r="L2214" s="7" t="s">
        <v>136</v>
      </c>
      <c r="M2214" s="7">
        <v>3.8483299999999998</v>
      </c>
      <c r="N2214" s="7">
        <v>11.486409999999999</v>
      </c>
      <c r="O2214" s="7" t="s">
        <v>613</v>
      </c>
    </row>
    <row r="2215" spans="1:15" hidden="1" x14ac:dyDescent="0.25">
      <c r="A2215" s="2">
        <f t="shared" si="34"/>
        <v>2213</v>
      </c>
      <c r="B2215" s="7" t="s">
        <v>5062</v>
      </c>
      <c r="C2215" s="7" t="s">
        <v>5063</v>
      </c>
      <c r="D2215" s="7" t="s">
        <v>5062</v>
      </c>
      <c r="E2215" s="7" t="s">
        <v>182</v>
      </c>
      <c r="F2215" s="7" t="s">
        <v>5064</v>
      </c>
      <c r="G2215" s="17" t="s">
        <v>7747</v>
      </c>
      <c r="H2215" s="7" t="s">
        <v>28</v>
      </c>
      <c r="I2215" s="7" t="s">
        <v>184</v>
      </c>
      <c r="J2215" s="7" t="s">
        <v>185</v>
      </c>
      <c r="K2215" s="7" t="s">
        <v>1435</v>
      </c>
      <c r="L2215" s="7" t="s">
        <v>136</v>
      </c>
      <c r="M2215" s="7">
        <v>3.8976099999999998</v>
      </c>
      <c r="N2215" s="7">
        <v>11.541930000000001</v>
      </c>
      <c r="O2215" s="7" t="s">
        <v>613</v>
      </c>
    </row>
    <row r="2216" spans="1:15" hidden="1" x14ac:dyDescent="0.25">
      <c r="A2216" s="2">
        <f t="shared" si="34"/>
        <v>2214</v>
      </c>
      <c r="B2216" s="7" t="s">
        <v>5068</v>
      </c>
      <c r="C2216" s="7" t="s">
        <v>5069</v>
      </c>
      <c r="D2216" s="7" t="s">
        <v>5068</v>
      </c>
      <c r="E2216" s="7" t="s">
        <v>182</v>
      </c>
      <c r="F2216" s="7" t="s">
        <v>5070</v>
      </c>
      <c r="G2216" s="17" t="s">
        <v>7747</v>
      </c>
      <c r="H2216" s="7" t="s">
        <v>19</v>
      </c>
      <c r="I2216" s="7" t="s">
        <v>1461</v>
      </c>
      <c r="J2216" s="7" t="s">
        <v>185</v>
      </c>
      <c r="K2216" s="7" t="s">
        <v>1367</v>
      </c>
      <c r="L2216" s="7" t="s">
        <v>136</v>
      </c>
      <c r="M2216" s="7">
        <v>3.8495499999999998</v>
      </c>
      <c r="N2216" s="7">
        <v>11.520799999999999</v>
      </c>
      <c r="O2216" s="7" t="s">
        <v>613</v>
      </c>
    </row>
    <row r="2217" spans="1:15" hidden="1" x14ac:dyDescent="0.25">
      <c r="A2217" s="2">
        <f t="shared" si="34"/>
        <v>2215</v>
      </c>
      <c r="B2217" s="7" t="s">
        <v>5089</v>
      </c>
      <c r="C2217" s="7" t="s">
        <v>5090</v>
      </c>
      <c r="D2217" s="7" t="s">
        <v>5089</v>
      </c>
      <c r="E2217" s="7" t="s">
        <v>182</v>
      </c>
      <c r="F2217" s="7" t="s">
        <v>5091</v>
      </c>
      <c r="G2217" s="17" t="s">
        <v>7747</v>
      </c>
      <c r="H2217" s="7" t="s">
        <v>28</v>
      </c>
      <c r="I2217" s="7" t="s">
        <v>1766</v>
      </c>
      <c r="J2217" s="7" t="s">
        <v>185</v>
      </c>
      <c r="K2217" s="7" t="s">
        <v>808</v>
      </c>
      <c r="L2217" s="7" t="s">
        <v>136</v>
      </c>
      <c r="M2217" s="7">
        <v>3.9248599999999998</v>
      </c>
      <c r="N2217" s="7">
        <v>11.5198</v>
      </c>
      <c r="O2217" s="7" t="s">
        <v>613</v>
      </c>
    </row>
    <row r="2218" spans="1:15" hidden="1" x14ac:dyDescent="0.25">
      <c r="A2218" s="2">
        <f t="shared" si="34"/>
        <v>2216</v>
      </c>
      <c r="B2218" s="7" t="s">
        <v>5104</v>
      </c>
      <c r="C2218" s="7" t="s">
        <v>5105</v>
      </c>
      <c r="D2218" s="7" t="s">
        <v>5104</v>
      </c>
      <c r="E2218" s="7" t="s">
        <v>182</v>
      </c>
      <c r="F2218" s="7" t="s">
        <v>5106</v>
      </c>
      <c r="G2218" s="17" t="s">
        <v>7747</v>
      </c>
      <c r="H2218" s="7" t="s">
        <v>19</v>
      </c>
      <c r="I2218" s="7" t="s">
        <v>1366</v>
      </c>
      <c r="J2218" s="7" t="s">
        <v>185</v>
      </c>
      <c r="K2218" s="7" t="s">
        <v>1435</v>
      </c>
      <c r="L2218" s="7" t="s">
        <v>136</v>
      </c>
      <c r="M2218" s="7">
        <v>3.86443</v>
      </c>
      <c r="N2218" s="7">
        <v>11.527979999999999</v>
      </c>
      <c r="O2218" s="7" t="s">
        <v>613</v>
      </c>
    </row>
    <row r="2219" spans="1:15" hidden="1" x14ac:dyDescent="0.25">
      <c r="A2219" s="2">
        <f t="shared" si="34"/>
        <v>2217</v>
      </c>
      <c r="B2219" s="7" t="s">
        <v>5107</v>
      </c>
      <c r="C2219" s="7" t="s">
        <v>5108</v>
      </c>
      <c r="D2219" s="7" t="s">
        <v>5107</v>
      </c>
      <c r="E2219" s="7" t="s">
        <v>182</v>
      </c>
      <c r="F2219" s="7" t="s">
        <v>5109</v>
      </c>
      <c r="G2219" s="17" t="s">
        <v>7747</v>
      </c>
      <c r="H2219" s="7" t="s">
        <v>19</v>
      </c>
      <c r="I2219" s="7" t="s">
        <v>1766</v>
      </c>
      <c r="J2219" s="7" t="s">
        <v>185</v>
      </c>
      <c r="K2219" s="7" t="s">
        <v>808</v>
      </c>
      <c r="L2219" s="7" t="s">
        <v>136</v>
      </c>
      <c r="M2219" s="7">
        <v>3.8914749999999998</v>
      </c>
      <c r="N2219" s="7">
        <v>11.529622</v>
      </c>
      <c r="O2219" s="7" t="s">
        <v>613</v>
      </c>
    </row>
    <row r="2220" spans="1:15" hidden="1" x14ac:dyDescent="0.25">
      <c r="A2220" s="2">
        <f t="shared" si="34"/>
        <v>2218</v>
      </c>
      <c r="B2220" s="7" t="s">
        <v>5113</v>
      </c>
      <c r="C2220" s="7" t="s">
        <v>5114</v>
      </c>
      <c r="D2220" s="7" t="s">
        <v>5113</v>
      </c>
      <c r="E2220" s="7" t="s">
        <v>182</v>
      </c>
      <c r="F2220" s="7" t="s">
        <v>5115</v>
      </c>
      <c r="G2220" s="17" t="s">
        <v>7747</v>
      </c>
      <c r="H2220" s="7" t="s">
        <v>28</v>
      </c>
      <c r="I2220" s="7" t="s">
        <v>1553</v>
      </c>
      <c r="J2220" s="7" t="s">
        <v>826</v>
      </c>
      <c r="K2220" s="7" t="s">
        <v>819</v>
      </c>
      <c r="L2220" s="7" t="s">
        <v>136</v>
      </c>
      <c r="M2220" s="7">
        <v>3.8349440000000001</v>
      </c>
      <c r="N2220" s="7">
        <v>11.553722</v>
      </c>
      <c r="O2220" s="7" t="s">
        <v>613</v>
      </c>
    </row>
    <row r="2221" spans="1:15" hidden="1" x14ac:dyDescent="0.25">
      <c r="A2221" s="2">
        <f t="shared" si="34"/>
        <v>2219</v>
      </c>
      <c r="B2221" s="7" t="s">
        <v>5132</v>
      </c>
      <c r="C2221" s="7" t="s">
        <v>5133</v>
      </c>
      <c r="D2221" s="7" t="s">
        <v>5132</v>
      </c>
      <c r="E2221" s="7" t="s">
        <v>182</v>
      </c>
      <c r="F2221" s="7" t="s">
        <v>5134</v>
      </c>
      <c r="G2221" s="17" t="s">
        <v>7747</v>
      </c>
      <c r="H2221" s="7" t="s">
        <v>28</v>
      </c>
      <c r="I2221" s="7" t="s">
        <v>1385</v>
      </c>
      <c r="J2221" s="7" t="s">
        <v>185</v>
      </c>
      <c r="K2221" s="7" t="s">
        <v>1367</v>
      </c>
      <c r="L2221" s="7" t="s">
        <v>136</v>
      </c>
      <c r="M2221" s="7">
        <v>3.8326699999999998</v>
      </c>
      <c r="N2221" s="7">
        <v>11.53046</v>
      </c>
      <c r="O2221" s="7" t="s">
        <v>613</v>
      </c>
    </row>
    <row r="2222" spans="1:15" hidden="1" x14ac:dyDescent="0.25">
      <c r="A2222" s="2">
        <f t="shared" si="34"/>
        <v>2220</v>
      </c>
      <c r="B2222" s="7" t="s">
        <v>5144</v>
      </c>
      <c r="C2222" s="7" t="s">
        <v>5145</v>
      </c>
      <c r="D2222" s="7" t="s">
        <v>5144</v>
      </c>
      <c r="E2222" s="7" t="s">
        <v>182</v>
      </c>
      <c r="F2222" s="7" t="s">
        <v>2931</v>
      </c>
      <c r="G2222" s="17" t="s">
        <v>7747</v>
      </c>
      <c r="H2222" s="7" t="s">
        <v>28</v>
      </c>
      <c r="I2222" s="7" t="s">
        <v>1337</v>
      </c>
      <c r="J2222" s="7" t="s">
        <v>185</v>
      </c>
      <c r="K2222" s="7" t="s">
        <v>1375</v>
      </c>
      <c r="L2222" s="7" t="s">
        <v>136</v>
      </c>
      <c r="M2222" s="7">
        <v>3.8828040000000001</v>
      </c>
      <c r="N2222" s="7">
        <v>11.492381999999999</v>
      </c>
      <c r="O2222" s="7" t="s">
        <v>613</v>
      </c>
    </row>
    <row r="2223" spans="1:15" hidden="1" x14ac:dyDescent="0.25">
      <c r="A2223" s="2">
        <f t="shared" si="34"/>
        <v>2221</v>
      </c>
      <c r="B2223" s="7" t="s">
        <v>5150</v>
      </c>
      <c r="C2223" s="7" t="s">
        <v>5151</v>
      </c>
      <c r="D2223" s="7" t="s">
        <v>5150</v>
      </c>
      <c r="E2223" s="7" t="s">
        <v>182</v>
      </c>
      <c r="F2223" s="7" t="s">
        <v>5152</v>
      </c>
      <c r="G2223" s="17" t="s">
        <v>7747</v>
      </c>
      <c r="H2223" s="7" t="s">
        <v>28</v>
      </c>
      <c r="I2223" s="7" t="s">
        <v>807</v>
      </c>
      <c r="J2223" s="7" t="s">
        <v>185</v>
      </c>
      <c r="K2223" s="7" t="s">
        <v>808</v>
      </c>
      <c r="L2223" s="7" t="s">
        <v>136</v>
      </c>
      <c r="M2223" s="7">
        <v>3.904417</v>
      </c>
      <c r="N2223" s="7">
        <v>11.526417</v>
      </c>
      <c r="O2223" s="7" t="s">
        <v>613</v>
      </c>
    </row>
    <row r="2224" spans="1:15" hidden="1" x14ac:dyDescent="0.25">
      <c r="A2224" s="2">
        <f t="shared" si="34"/>
        <v>2222</v>
      </c>
      <c r="B2224" s="7" t="s">
        <v>5177</v>
      </c>
      <c r="C2224" s="7" t="s">
        <v>5178</v>
      </c>
      <c r="D2224" s="7" t="s">
        <v>5177</v>
      </c>
      <c r="E2224" s="7" t="s">
        <v>182</v>
      </c>
      <c r="F2224" s="7" t="s">
        <v>5179</v>
      </c>
      <c r="G2224" s="17" t="s">
        <v>7747</v>
      </c>
      <c r="H2224" s="7" t="s">
        <v>19</v>
      </c>
      <c r="I2224" s="7" t="s">
        <v>1366</v>
      </c>
      <c r="J2224" s="7" t="s">
        <v>185</v>
      </c>
      <c r="K2224" s="7" t="s">
        <v>1435</v>
      </c>
      <c r="L2224" s="7" t="s">
        <v>136</v>
      </c>
      <c r="M2224" s="7">
        <v>3.8561100000000001</v>
      </c>
      <c r="N2224" s="7">
        <v>11.52849</v>
      </c>
      <c r="O2224" s="7" t="s">
        <v>613</v>
      </c>
    </row>
    <row r="2225" spans="1:15" hidden="1" x14ac:dyDescent="0.25">
      <c r="A2225" s="2">
        <f t="shared" si="34"/>
        <v>2223</v>
      </c>
      <c r="B2225" s="7" t="s">
        <v>5186</v>
      </c>
      <c r="C2225" s="7" t="s">
        <v>5187</v>
      </c>
      <c r="D2225" s="7" t="s">
        <v>5186</v>
      </c>
      <c r="E2225" s="7" t="s">
        <v>182</v>
      </c>
      <c r="F2225" s="7" t="s">
        <v>5188</v>
      </c>
      <c r="G2225" s="17" t="s">
        <v>7747</v>
      </c>
      <c r="H2225" s="7" t="s">
        <v>19</v>
      </c>
      <c r="I2225" s="7" t="s">
        <v>1637</v>
      </c>
      <c r="J2225" s="7" t="s">
        <v>185</v>
      </c>
      <c r="K2225" s="7" t="s">
        <v>1462</v>
      </c>
      <c r="L2225" s="7" t="s">
        <v>136</v>
      </c>
      <c r="M2225" s="7">
        <v>3.85256</v>
      </c>
      <c r="N2225" s="7">
        <v>11.498900000000001</v>
      </c>
      <c r="O2225" s="7" t="s">
        <v>613</v>
      </c>
    </row>
    <row r="2226" spans="1:15" hidden="1" x14ac:dyDescent="0.25">
      <c r="A2226" s="2">
        <f t="shared" si="34"/>
        <v>2224</v>
      </c>
      <c r="B2226" s="7" t="s">
        <v>5226</v>
      </c>
      <c r="C2226" s="7" t="s">
        <v>5227</v>
      </c>
      <c r="D2226" s="7" t="s">
        <v>5226</v>
      </c>
      <c r="E2226" s="7" t="s">
        <v>182</v>
      </c>
      <c r="F2226" s="7" t="s">
        <v>5228</v>
      </c>
      <c r="G2226" s="17" t="s">
        <v>7747</v>
      </c>
      <c r="H2226" s="7" t="s">
        <v>28</v>
      </c>
      <c r="I2226" s="7" t="s">
        <v>1337</v>
      </c>
      <c r="J2226" s="7" t="s">
        <v>185</v>
      </c>
      <c r="K2226" s="7" t="s">
        <v>1375</v>
      </c>
      <c r="L2226" s="7" t="s">
        <v>136</v>
      </c>
      <c r="M2226" s="7">
        <v>3.8760059999999998</v>
      </c>
      <c r="N2226" s="7">
        <v>11.496975000000001</v>
      </c>
      <c r="O2226" s="7" t="s">
        <v>613</v>
      </c>
    </row>
    <row r="2227" spans="1:15" hidden="1" x14ac:dyDescent="0.25">
      <c r="A2227" s="2">
        <f t="shared" si="34"/>
        <v>2225</v>
      </c>
      <c r="B2227" s="7" t="s">
        <v>5235</v>
      </c>
      <c r="C2227" s="7" t="s">
        <v>5236</v>
      </c>
      <c r="D2227" s="7" t="s">
        <v>5235</v>
      </c>
      <c r="E2227" s="7" t="s">
        <v>182</v>
      </c>
      <c r="F2227" s="7" t="s">
        <v>5237</v>
      </c>
      <c r="G2227" s="17" t="s">
        <v>7747</v>
      </c>
      <c r="H2227" s="7" t="s">
        <v>28</v>
      </c>
      <c r="I2227" s="7" t="s">
        <v>1284</v>
      </c>
      <c r="J2227" s="7" t="s">
        <v>185</v>
      </c>
      <c r="K2227" s="7" t="s">
        <v>1322</v>
      </c>
      <c r="L2227" s="7" t="s">
        <v>136</v>
      </c>
      <c r="M2227" s="7">
        <v>3.8429190000000002</v>
      </c>
      <c r="N2227" s="7">
        <v>11.479481</v>
      </c>
      <c r="O2227" s="7" t="s">
        <v>613</v>
      </c>
    </row>
    <row r="2228" spans="1:15" hidden="1" x14ac:dyDescent="0.25">
      <c r="A2228" s="2">
        <f t="shared" si="34"/>
        <v>2226</v>
      </c>
      <c r="B2228" s="7" t="s">
        <v>5238</v>
      </c>
      <c r="C2228" s="7" t="s">
        <v>5239</v>
      </c>
      <c r="D2228" s="7" t="s">
        <v>5238</v>
      </c>
      <c r="E2228" s="7" t="s">
        <v>182</v>
      </c>
      <c r="F2228" s="7" t="s">
        <v>5240</v>
      </c>
      <c r="G2228" s="17" t="s">
        <v>7747</v>
      </c>
      <c r="H2228" s="7" t="s">
        <v>28</v>
      </c>
      <c r="I2228" s="7" t="s">
        <v>1284</v>
      </c>
      <c r="J2228" s="7" t="s">
        <v>185</v>
      </c>
      <c r="K2228" s="7" t="s">
        <v>1322</v>
      </c>
      <c r="L2228" s="7" t="s">
        <v>136</v>
      </c>
      <c r="M2228" s="7">
        <v>3.8348170000000001</v>
      </c>
      <c r="N2228" s="7">
        <v>11.478031</v>
      </c>
      <c r="O2228" s="7" t="s">
        <v>613</v>
      </c>
    </row>
    <row r="2229" spans="1:15" hidden="1" x14ac:dyDescent="0.25">
      <c r="A2229" s="2">
        <f t="shared" si="34"/>
        <v>2227</v>
      </c>
      <c r="B2229" s="7" t="s">
        <v>5241</v>
      </c>
      <c r="C2229" s="7" t="s">
        <v>5242</v>
      </c>
      <c r="D2229" s="7" t="s">
        <v>5241</v>
      </c>
      <c r="E2229" s="7" t="s">
        <v>182</v>
      </c>
      <c r="F2229" s="7" t="s">
        <v>5243</v>
      </c>
      <c r="G2229" s="17" t="s">
        <v>7747</v>
      </c>
      <c r="H2229" s="7" t="s">
        <v>28</v>
      </c>
      <c r="I2229" s="7" t="s">
        <v>1374</v>
      </c>
      <c r="J2229" s="7" t="s">
        <v>185</v>
      </c>
      <c r="K2229" s="7" t="s">
        <v>1375</v>
      </c>
      <c r="L2229" s="7" t="s">
        <v>136</v>
      </c>
      <c r="M2229" s="7">
        <v>3.8978890000000002</v>
      </c>
      <c r="N2229" s="7">
        <v>11.509055999999999</v>
      </c>
      <c r="O2229" s="7" t="s">
        <v>613</v>
      </c>
    </row>
    <row r="2230" spans="1:15" hidden="1" x14ac:dyDescent="0.25">
      <c r="A2230" s="2">
        <f t="shared" si="34"/>
        <v>2228</v>
      </c>
      <c r="B2230" s="7" t="s">
        <v>5250</v>
      </c>
      <c r="C2230" s="7" t="s">
        <v>5251</v>
      </c>
      <c r="D2230" s="7" t="s">
        <v>5250</v>
      </c>
      <c r="E2230" s="7" t="s">
        <v>182</v>
      </c>
      <c r="F2230" s="7" t="s">
        <v>5252</v>
      </c>
      <c r="G2230" s="17" t="s">
        <v>7747</v>
      </c>
      <c r="H2230" s="7" t="s">
        <v>19</v>
      </c>
      <c r="I2230" s="7" t="s">
        <v>1461</v>
      </c>
      <c r="J2230" s="7" t="s">
        <v>185</v>
      </c>
      <c r="K2230" s="7" t="s">
        <v>1367</v>
      </c>
      <c r="L2230" s="7" t="s">
        <v>136</v>
      </c>
      <c r="M2230" s="7">
        <v>3.83738</v>
      </c>
      <c r="N2230" s="7">
        <v>11.517440000000001</v>
      </c>
      <c r="O2230" s="7" t="s">
        <v>613</v>
      </c>
    </row>
    <row r="2231" spans="1:15" hidden="1" x14ac:dyDescent="0.25">
      <c r="A2231" s="2">
        <f t="shared" si="34"/>
        <v>2229</v>
      </c>
      <c r="B2231" s="7" t="s">
        <v>5253</v>
      </c>
      <c r="C2231" s="7" t="s">
        <v>5254</v>
      </c>
      <c r="D2231" s="7" t="s">
        <v>5253</v>
      </c>
      <c r="E2231" s="7" t="s">
        <v>182</v>
      </c>
      <c r="F2231" s="7" t="s">
        <v>5255</v>
      </c>
      <c r="G2231" s="17" t="s">
        <v>7747</v>
      </c>
      <c r="H2231" s="7" t="s">
        <v>28</v>
      </c>
      <c r="I2231" s="7" t="s">
        <v>1366</v>
      </c>
      <c r="J2231" s="7" t="s">
        <v>185</v>
      </c>
      <c r="K2231" s="7" t="s">
        <v>1435</v>
      </c>
      <c r="L2231" s="7" t="s">
        <v>136</v>
      </c>
      <c r="M2231" s="7">
        <v>3.866069</v>
      </c>
      <c r="N2231" s="7">
        <v>11.533047</v>
      </c>
      <c r="O2231" s="7" t="s">
        <v>613</v>
      </c>
    </row>
    <row r="2232" spans="1:15" hidden="1" x14ac:dyDescent="0.25">
      <c r="A2232" s="2">
        <f t="shared" si="34"/>
        <v>2230</v>
      </c>
      <c r="B2232" s="7" t="s">
        <v>5259</v>
      </c>
      <c r="C2232" s="7" t="s">
        <v>5260</v>
      </c>
      <c r="D2232" s="7" t="s">
        <v>5259</v>
      </c>
      <c r="E2232" s="7" t="s">
        <v>182</v>
      </c>
      <c r="F2232" s="7" t="s">
        <v>5261</v>
      </c>
      <c r="G2232" s="17" t="s">
        <v>7747</v>
      </c>
      <c r="H2232" s="7" t="s">
        <v>19</v>
      </c>
      <c r="I2232" s="7" t="s">
        <v>1553</v>
      </c>
      <c r="J2232" s="7" t="s">
        <v>185</v>
      </c>
      <c r="K2232" s="7" t="s">
        <v>1367</v>
      </c>
      <c r="L2232" s="7" t="s">
        <v>136</v>
      </c>
      <c r="M2232" s="7">
        <v>3.8675120000000001</v>
      </c>
      <c r="N2232" s="7">
        <v>11.549084000000001</v>
      </c>
      <c r="O2232" s="7" t="s">
        <v>613</v>
      </c>
    </row>
    <row r="2233" spans="1:15" hidden="1" x14ac:dyDescent="0.25">
      <c r="A2233" s="2">
        <f t="shared" si="34"/>
        <v>2231</v>
      </c>
      <c r="B2233" s="7" t="s">
        <v>5262</v>
      </c>
      <c r="C2233" s="7" t="s">
        <v>5263</v>
      </c>
      <c r="D2233" s="7" t="s">
        <v>5262</v>
      </c>
      <c r="E2233" s="7" t="s">
        <v>182</v>
      </c>
      <c r="F2233" s="7" t="s">
        <v>2535</v>
      </c>
      <c r="G2233" s="17" t="s">
        <v>7747</v>
      </c>
      <c r="H2233" s="7" t="s">
        <v>19</v>
      </c>
      <c r="I2233" s="7" t="s">
        <v>1553</v>
      </c>
      <c r="J2233" s="7" t="s">
        <v>185</v>
      </c>
      <c r="K2233" s="7" t="s">
        <v>1367</v>
      </c>
      <c r="L2233" s="7" t="s">
        <v>136</v>
      </c>
      <c r="M2233" s="7">
        <v>3.8625250000000002</v>
      </c>
      <c r="N2233" s="7">
        <v>11.553697</v>
      </c>
      <c r="O2233" s="7" t="s">
        <v>613</v>
      </c>
    </row>
    <row r="2234" spans="1:15" hidden="1" x14ac:dyDescent="0.25">
      <c r="A2234" s="2">
        <f t="shared" si="34"/>
        <v>2232</v>
      </c>
      <c r="B2234" s="7" t="s">
        <v>5270</v>
      </c>
      <c r="C2234" s="7" t="s">
        <v>5271</v>
      </c>
      <c r="D2234" s="7" t="s">
        <v>5270</v>
      </c>
      <c r="E2234" s="7" t="s">
        <v>182</v>
      </c>
      <c r="F2234" s="7" t="s">
        <v>5272</v>
      </c>
      <c r="G2234" s="17" t="s">
        <v>7747</v>
      </c>
      <c r="H2234" s="7" t="s">
        <v>28</v>
      </c>
      <c r="I2234" s="7" t="s">
        <v>184</v>
      </c>
      <c r="J2234" s="7" t="s">
        <v>185</v>
      </c>
      <c r="K2234" s="7" t="s">
        <v>1435</v>
      </c>
      <c r="L2234" s="7" t="s">
        <v>136</v>
      </c>
      <c r="M2234" s="7">
        <v>3.8933140000000002</v>
      </c>
      <c r="N2234" s="7">
        <v>11.547955</v>
      </c>
      <c r="O2234" s="7" t="s">
        <v>613</v>
      </c>
    </row>
    <row r="2235" spans="1:15" hidden="1" x14ac:dyDescent="0.25">
      <c r="A2235" s="2">
        <f t="shared" si="34"/>
        <v>2233</v>
      </c>
      <c r="B2235" s="7" t="s">
        <v>5290</v>
      </c>
      <c r="C2235" s="7" t="s">
        <v>5291</v>
      </c>
      <c r="D2235" s="7" t="s">
        <v>5290</v>
      </c>
      <c r="E2235" s="7" t="s">
        <v>182</v>
      </c>
      <c r="F2235" s="7" t="s">
        <v>5292</v>
      </c>
      <c r="G2235" s="17" t="s">
        <v>7747</v>
      </c>
      <c r="H2235" s="7" t="s">
        <v>28</v>
      </c>
      <c r="I2235" s="7" t="s">
        <v>1637</v>
      </c>
      <c r="J2235" s="7" t="s">
        <v>185</v>
      </c>
      <c r="K2235" s="7" t="s">
        <v>1462</v>
      </c>
      <c r="L2235" s="7" t="s">
        <v>136</v>
      </c>
      <c r="M2235" s="7">
        <v>3.849361</v>
      </c>
      <c r="N2235" s="7">
        <v>11.501306</v>
      </c>
      <c r="O2235" s="7" t="s">
        <v>613</v>
      </c>
    </row>
    <row r="2236" spans="1:15" hidden="1" x14ac:dyDescent="0.25">
      <c r="A2236" s="2">
        <f t="shared" si="34"/>
        <v>2234</v>
      </c>
      <c r="B2236" s="7" t="s">
        <v>5296</v>
      </c>
      <c r="C2236" s="7" t="s">
        <v>5297</v>
      </c>
      <c r="D2236" s="7" t="s">
        <v>5296</v>
      </c>
      <c r="E2236" s="7" t="s">
        <v>182</v>
      </c>
      <c r="F2236" s="7" t="s">
        <v>5298</v>
      </c>
      <c r="G2236" s="17" t="s">
        <v>7747</v>
      </c>
      <c r="H2236" s="7" t="s">
        <v>28</v>
      </c>
      <c r="I2236" s="7" t="s">
        <v>1461</v>
      </c>
      <c r="J2236" s="7" t="s">
        <v>185</v>
      </c>
      <c r="K2236" s="7" t="s">
        <v>1462</v>
      </c>
      <c r="L2236" s="7" t="s">
        <v>136</v>
      </c>
      <c r="M2236" s="7">
        <v>3.8308200000000001</v>
      </c>
      <c r="N2236" s="7">
        <v>11.51024</v>
      </c>
      <c r="O2236" s="7" t="s">
        <v>613</v>
      </c>
    </row>
    <row r="2237" spans="1:15" hidden="1" x14ac:dyDescent="0.25">
      <c r="A2237" s="2">
        <f t="shared" si="34"/>
        <v>2235</v>
      </c>
      <c r="B2237" s="7" t="s">
        <v>5308</v>
      </c>
      <c r="C2237" s="7" t="s">
        <v>5309</v>
      </c>
      <c r="D2237" s="7" t="s">
        <v>5308</v>
      </c>
      <c r="E2237" s="7" t="s">
        <v>182</v>
      </c>
      <c r="F2237" s="7" t="s">
        <v>5310</v>
      </c>
      <c r="G2237" s="17" t="s">
        <v>7747</v>
      </c>
      <c r="H2237" s="7" t="s">
        <v>28</v>
      </c>
      <c r="I2237" s="7" t="s">
        <v>1461</v>
      </c>
      <c r="J2237" s="7" t="s">
        <v>185</v>
      </c>
      <c r="K2237" s="7" t="s">
        <v>1462</v>
      </c>
      <c r="L2237" s="7" t="s">
        <v>136</v>
      </c>
      <c r="M2237" s="7">
        <v>3.8488199999999999</v>
      </c>
      <c r="N2237" s="7">
        <v>11.51446</v>
      </c>
      <c r="O2237" s="7" t="s">
        <v>613</v>
      </c>
    </row>
    <row r="2238" spans="1:15" hidden="1" x14ac:dyDescent="0.25">
      <c r="A2238" s="2">
        <f t="shared" si="34"/>
        <v>2236</v>
      </c>
      <c r="B2238" s="7" t="s">
        <v>5318</v>
      </c>
      <c r="C2238" s="7" t="s">
        <v>5319</v>
      </c>
      <c r="D2238" s="7" t="s">
        <v>5318</v>
      </c>
      <c r="E2238" s="7" t="s">
        <v>182</v>
      </c>
      <c r="F2238" s="7" t="s">
        <v>5320</v>
      </c>
      <c r="G2238" s="17" t="s">
        <v>7747</v>
      </c>
      <c r="H2238" s="7" t="s">
        <v>28</v>
      </c>
      <c r="I2238" s="7" t="s">
        <v>1637</v>
      </c>
      <c r="J2238" s="7" t="s">
        <v>185</v>
      </c>
      <c r="K2238" s="7" t="s">
        <v>1462</v>
      </c>
      <c r="L2238" s="7" t="s">
        <v>136</v>
      </c>
      <c r="M2238" s="7">
        <v>3.8463750000000001</v>
      </c>
      <c r="N2238" s="7">
        <v>11.496733000000001</v>
      </c>
      <c r="O2238" s="7" t="s">
        <v>613</v>
      </c>
    </row>
    <row r="2239" spans="1:15" hidden="1" x14ac:dyDescent="0.25">
      <c r="A2239" s="2">
        <f t="shared" si="34"/>
        <v>2237</v>
      </c>
      <c r="B2239" s="7" t="s">
        <v>5321</v>
      </c>
      <c r="C2239" s="7" t="s">
        <v>5322</v>
      </c>
      <c r="D2239" s="7" t="s">
        <v>5321</v>
      </c>
      <c r="E2239" s="7" t="s">
        <v>182</v>
      </c>
      <c r="F2239" s="7" t="s">
        <v>5323</v>
      </c>
      <c r="G2239" s="17" t="s">
        <v>7747</v>
      </c>
      <c r="H2239" s="7" t="s">
        <v>19</v>
      </c>
      <c r="I2239" s="7" t="s">
        <v>1766</v>
      </c>
      <c r="J2239" s="7" t="s">
        <v>185</v>
      </c>
      <c r="K2239" s="7" t="s">
        <v>808</v>
      </c>
      <c r="L2239" s="7" t="s">
        <v>136</v>
      </c>
      <c r="M2239" s="7">
        <v>3.9176190000000002</v>
      </c>
      <c r="N2239" s="7">
        <v>11.532389</v>
      </c>
      <c r="O2239" s="7" t="s">
        <v>613</v>
      </c>
    </row>
    <row r="2240" spans="1:15" hidden="1" x14ac:dyDescent="0.25">
      <c r="A2240" s="2">
        <f t="shared" si="34"/>
        <v>2238</v>
      </c>
      <c r="B2240" s="7" t="s">
        <v>5324</v>
      </c>
      <c r="C2240" s="7" t="s">
        <v>5325</v>
      </c>
      <c r="D2240" s="7" t="s">
        <v>5324</v>
      </c>
      <c r="E2240" s="7" t="s">
        <v>182</v>
      </c>
      <c r="F2240" s="7" t="s">
        <v>5326</v>
      </c>
      <c r="G2240" s="17" t="s">
        <v>7747</v>
      </c>
      <c r="H2240" s="7" t="s">
        <v>28</v>
      </c>
      <c r="I2240" s="7" t="s">
        <v>1284</v>
      </c>
      <c r="J2240" s="7" t="s">
        <v>185</v>
      </c>
      <c r="K2240" s="7" t="s">
        <v>1322</v>
      </c>
      <c r="L2240" s="7" t="s">
        <v>136</v>
      </c>
      <c r="M2240" s="7">
        <v>3.8320989999999999</v>
      </c>
      <c r="N2240" s="7">
        <v>11.462910000000001</v>
      </c>
      <c r="O2240" s="7" t="s">
        <v>613</v>
      </c>
    </row>
    <row r="2241" spans="1:15" hidden="1" x14ac:dyDescent="0.25">
      <c r="A2241" s="2">
        <f t="shared" si="34"/>
        <v>2239</v>
      </c>
      <c r="B2241" s="7" t="s">
        <v>5327</v>
      </c>
      <c r="C2241" s="7" t="s">
        <v>5328</v>
      </c>
      <c r="D2241" s="7" t="s">
        <v>5327</v>
      </c>
      <c r="E2241" s="7" t="s">
        <v>182</v>
      </c>
      <c r="F2241" s="7" t="s">
        <v>5272</v>
      </c>
      <c r="G2241" s="17" t="s">
        <v>7747</v>
      </c>
      <c r="H2241" s="7" t="s">
        <v>28</v>
      </c>
      <c r="I2241" s="7" t="s">
        <v>184</v>
      </c>
      <c r="J2241" s="7" t="s">
        <v>185</v>
      </c>
      <c r="K2241" s="7" t="s">
        <v>1435</v>
      </c>
      <c r="L2241" s="7" t="s">
        <v>136</v>
      </c>
      <c r="M2241" s="7">
        <v>3.8935840000000002</v>
      </c>
      <c r="N2241" s="7">
        <v>11.548038999999999</v>
      </c>
      <c r="O2241" s="7" t="s">
        <v>613</v>
      </c>
    </row>
    <row r="2242" spans="1:15" hidden="1" x14ac:dyDescent="0.25">
      <c r="A2242" s="2">
        <f t="shared" si="34"/>
        <v>2240</v>
      </c>
      <c r="B2242" s="7" t="s">
        <v>5332</v>
      </c>
      <c r="C2242" s="7" t="s">
        <v>5333</v>
      </c>
      <c r="D2242" s="7" t="s">
        <v>5332</v>
      </c>
      <c r="E2242" s="7" t="s">
        <v>182</v>
      </c>
      <c r="F2242" s="7" t="s">
        <v>5334</v>
      </c>
      <c r="G2242" s="17" t="s">
        <v>7747</v>
      </c>
      <c r="H2242" s="7" t="s">
        <v>28</v>
      </c>
      <c r="I2242" s="7" t="s">
        <v>1337</v>
      </c>
      <c r="J2242" s="7" t="s">
        <v>185</v>
      </c>
      <c r="K2242" s="7" t="s">
        <v>1375</v>
      </c>
      <c r="L2242" s="7" t="s">
        <v>136</v>
      </c>
      <c r="M2242" s="7">
        <v>3.8748610000000001</v>
      </c>
      <c r="N2242" s="7">
        <v>11.498556000000001</v>
      </c>
      <c r="O2242" s="7" t="s">
        <v>613</v>
      </c>
    </row>
    <row r="2243" spans="1:15" hidden="1" x14ac:dyDescent="0.25">
      <c r="A2243" s="2">
        <f t="shared" si="34"/>
        <v>2241</v>
      </c>
      <c r="B2243" s="7" t="s">
        <v>5335</v>
      </c>
      <c r="C2243" s="7" t="s">
        <v>5336</v>
      </c>
      <c r="D2243" s="7" t="s">
        <v>5335</v>
      </c>
      <c r="E2243" s="7" t="s">
        <v>182</v>
      </c>
      <c r="F2243" s="7" t="s">
        <v>5337</v>
      </c>
      <c r="G2243" s="17" t="s">
        <v>7747</v>
      </c>
      <c r="H2243" s="7" t="s">
        <v>28</v>
      </c>
      <c r="I2243" s="7" t="s">
        <v>1461</v>
      </c>
      <c r="J2243" s="7" t="s">
        <v>185</v>
      </c>
      <c r="K2243" s="7" t="s">
        <v>1367</v>
      </c>
      <c r="L2243" s="7" t="s">
        <v>136</v>
      </c>
      <c r="M2243" s="7">
        <v>3.850158</v>
      </c>
      <c r="N2243" s="7">
        <v>11.521658</v>
      </c>
      <c r="O2243" s="7" t="s">
        <v>613</v>
      </c>
    </row>
    <row r="2244" spans="1:15" hidden="1" x14ac:dyDescent="0.25">
      <c r="A2244" s="2">
        <f t="shared" si="34"/>
        <v>2242</v>
      </c>
      <c r="B2244" s="7" t="s">
        <v>5341</v>
      </c>
      <c r="C2244" s="7" t="s">
        <v>5342</v>
      </c>
      <c r="D2244" s="7" t="s">
        <v>5341</v>
      </c>
      <c r="E2244" s="7" t="s">
        <v>182</v>
      </c>
      <c r="F2244" s="7" t="s">
        <v>5343</v>
      </c>
      <c r="G2244" s="17" t="s">
        <v>7747</v>
      </c>
      <c r="H2244" s="7" t="s">
        <v>28</v>
      </c>
      <c r="I2244" s="7" t="s">
        <v>1284</v>
      </c>
      <c r="J2244" s="7" t="s">
        <v>185</v>
      </c>
      <c r="K2244" s="7" t="s">
        <v>1322</v>
      </c>
      <c r="L2244" s="7" t="s">
        <v>136</v>
      </c>
      <c r="M2244" s="7">
        <v>3.8230919999999999</v>
      </c>
      <c r="N2244" s="7">
        <v>11.482225</v>
      </c>
      <c r="O2244" s="7" t="s">
        <v>613</v>
      </c>
    </row>
    <row r="2245" spans="1:15" hidden="1" x14ac:dyDescent="0.25">
      <c r="A2245" s="2">
        <f t="shared" ref="A2245:A2308" si="35">+A2244+1</f>
        <v>2243</v>
      </c>
      <c r="B2245" s="7" t="s">
        <v>5344</v>
      </c>
      <c r="C2245" s="7" t="s">
        <v>5345</v>
      </c>
      <c r="D2245" s="7" t="s">
        <v>5344</v>
      </c>
      <c r="E2245" s="7" t="s">
        <v>182</v>
      </c>
      <c r="F2245" s="7" t="s">
        <v>5346</v>
      </c>
      <c r="G2245" s="17" t="s">
        <v>7747</v>
      </c>
      <c r="H2245" s="7" t="s">
        <v>19</v>
      </c>
      <c r="I2245" s="7" t="s">
        <v>807</v>
      </c>
      <c r="J2245" s="7" t="s">
        <v>185</v>
      </c>
      <c r="K2245" s="7" t="s">
        <v>1435</v>
      </c>
      <c r="L2245" s="7" t="s">
        <v>136</v>
      </c>
      <c r="M2245" s="7">
        <v>3.8853900000000001</v>
      </c>
      <c r="N2245" s="7">
        <v>11.535636999999999</v>
      </c>
      <c r="O2245" s="7" t="s">
        <v>613</v>
      </c>
    </row>
    <row r="2246" spans="1:15" hidden="1" x14ac:dyDescent="0.25">
      <c r="A2246" s="2">
        <f t="shared" si="35"/>
        <v>2244</v>
      </c>
      <c r="B2246" s="7" t="s">
        <v>5359</v>
      </c>
      <c r="C2246" s="7" t="s">
        <v>5360</v>
      </c>
      <c r="D2246" s="7" t="s">
        <v>5359</v>
      </c>
      <c r="E2246" s="7" t="s">
        <v>182</v>
      </c>
      <c r="F2246" s="7" t="s">
        <v>5361</v>
      </c>
      <c r="G2246" s="17" t="s">
        <v>7747</v>
      </c>
      <c r="H2246" s="7" t="s">
        <v>28</v>
      </c>
      <c r="I2246" s="7" t="s">
        <v>1374</v>
      </c>
      <c r="J2246" s="7" t="s">
        <v>185</v>
      </c>
      <c r="K2246" s="7" t="s">
        <v>1375</v>
      </c>
      <c r="L2246" s="7" t="s">
        <v>136</v>
      </c>
      <c r="M2246" s="7">
        <v>3.8840370000000002</v>
      </c>
      <c r="N2246" s="7">
        <v>11.491237999999999</v>
      </c>
      <c r="O2246" s="7" t="s">
        <v>613</v>
      </c>
    </row>
    <row r="2247" spans="1:15" hidden="1" x14ac:dyDescent="0.25">
      <c r="A2247" s="2">
        <f t="shared" si="35"/>
        <v>2245</v>
      </c>
      <c r="B2247" s="7" t="s">
        <v>5362</v>
      </c>
      <c r="C2247" s="7" t="s">
        <v>5363</v>
      </c>
      <c r="D2247" s="7" t="s">
        <v>5362</v>
      </c>
      <c r="E2247" s="7" t="s">
        <v>182</v>
      </c>
      <c r="F2247" s="7" t="s">
        <v>5364</v>
      </c>
      <c r="G2247" s="17" t="s">
        <v>7747</v>
      </c>
      <c r="H2247" s="7" t="s">
        <v>19</v>
      </c>
      <c r="I2247" s="7" t="s">
        <v>1366</v>
      </c>
      <c r="J2247" s="7" t="s">
        <v>185</v>
      </c>
      <c r="K2247" s="7" t="s">
        <v>1435</v>
      </c>
      <c r="L2247" s="7" t="s">
        <v>136</v>
      </c>
      <c r="M2247" s="7">
        <v>3.86869</v>
      </c>
      <c r="N2247" s="7">
        <v>11.53341</v>
      </c>
      <c r="O2247" s="7" t="s">
        <v>613</v>
      </c>
    </row>
    <row r="2248" spans="1:15" hidden="1" x14ac:dyDescent="0.25">
      <c r="A2248" s="2">
        <f t="shared" si="35"/>
        <v>2246</v>
      </c>
      <c r="B2248" s="7" t="s">
        <v>5365</v>
      </c>
      <c r="C2248" s="7" t="s">
        <v>5366</v>
      </c>
      <c r="D2248" s="7" t="s">
        <v>5365</v>
      </c>
      <c r="E2248" s="7" t="s">
        <v>182</v>
      </c>
      <c r="F2248" s="7" t="s">
        <v>5367</v>
      </c>
      <c r="G2248" s="17" t="s">
        <v>7747</v>
      </c>
      <c r="H2248" s="7" t="s">
        <v>28</v>
      </c>
      <c r="I2248" s="7" t="s">
        <v>807</v>
      </c>
      <c r="J2248" s="7" t="s">
        <v>185</v>
      </c>
      <c r="K2248" s="7" t="s">
        <v>1375</v>
      </c>
      <c r="L2248" s="7" t="s">
        <v>136</v>
      </c>
      <c r="M2248" s="7">
        <v>3.8950710000000002</v>
      </c>
      <c r="N2248" s="7">
        <v>11.518775</v>
      </c>
      <c r="O2248" s="7" t="s">
        <v>613</v>
      </c>
    </row>
    <row r="2249" spans="1:15" hidden="1" x14ac:dyDescent="0.25">
      <c r="A2249" s="2">
        <f t="shared" si="35"/>
        <v>2247</v>
      </c>
      <c r="B2249" s="7" t="s">
        <v>5374</v>
      </c>
      <c r="C2249" s="7" t="s">
        <v>5375</v>
      </c>
      <c r="D2249" s="7" t="s">
        <v>5374</v>
      </c>
      <c r="E2249" s="7" t="s">
        <v>182</v>
      </c>
      <c r="F2249" s="7" t="s">
        <v>5376</v>
      </c>
      <c r="G2249" s="17" t="s">
        <v>7747</v>
      </c>
      <c r="H2249" s="7" t="s">
        <v>19</v>
      </c>
      <c r="I2249" s="7" t="s">
        <v>1637</v>
      </c>
      <c r="J2249" s="7" t="s">
        <v>185</v>
      </c>
      <c r="K2249" s="7" t="s">
        <v>1462</v>
      </c>
      <c r="L2249" s="7" t="s">
        <v>136</v>
      </c>
      <c r="M2249" s="7">
        <v>3.8635470000000001</v>
      </c>
      <c r="N2249" s="7">
        <v>11.501331</v>
      </c>
      <c r="O2249" s="7" t="s">
        <v>613</v>
      </c>
    </row>
    <row r="2250" spans="1:15" hidden="1" x14ac:dyDescent="0.25">
      <c r="A2250" s="2">
        <f t="shared" si="35"/>
        <v>2248</v>
      </c>
      <c r="B2250" s="7" t="s">
        <v>5389</v>
      </c>
      <c r="C2250" s="7" t="s">
        <v>5390</v>
      </c>
      <c r="D2250" s="7" t="s">
        <v>5389</v>
      </c>
      <c r="E2250" s="7" t="s">
        <v>182</v>
      </c>
      <c r="F2250" s="7" t="s">
        <v>5391</v>
      </c>
      <c r="G2250" s="17" t="s">
        <v>7747</v>
      </c>
      <c r="H2250" s="7" t="s">
        <v>19</v>
      </c>
      <c r="I2250" s="7" t="s">
        <v>1374</v>
      </c>
      <c r="J2250" s="7" t="s">
        <v>185</v>
      </c>
      <c r="K2250" s="7" t="s">
        <v>1375</v>
      </c>
      <c r="L2250" s="7" t="s">
        <v>136</v>
      </c>
      <c r="M2250" s="7">
        <v>3.8853610000000001</v>
      </c>
      <c r="N2250" s="7">
        <v>11.513417</v>
      </c>
      <c r="O2250" s="7" t="s">
        <v>613</v>
      </c>
    </row>
    <row r="2251" spans="1:15" hidden="1" x14ac:dyDescent="0.25">
      <c r="A2251" s="2">
        <f t="shared" si="35"/>
        <v>2249</v>
      </c>
      <c r="B2251" s="7" t="s">
        <v>5395</v>
      </c>
      <c r="C2251" s="7" t="s">
        <v>5396</v>
      </c>
      <c r="D2251" s="7" t="s">
        <v>5395</v>
      </c>
      <c r="E2251" s="7" t="s">
        <v>182</v>
      </c>
      <c r="F2251" s="7" t="s">
        <v>5397</v>
      </c>
      <c r="G2251" s="17" t="s">
        <v>7747</v>
      </c>
      <c r="H2251" s="7" t="s">
        <v>19</v>
      </c>
      <c r="I2251" s="7" t="s">
        <v>1337</v>
      </c>
      <c r="J2251" s="7" t="s">
        <v>185</v>
      </c>
      <c r="K2251" s="7" t="s">
        <v>1375</v>
      </c>
      <c r="L2251" s="7" t="s">
        <v>136</v>
      </c>
      <c r="M2251" s="7">
        <v>3.8730000000000002</v>
      </c>
      <c r="N2251" s="7">
        <v>11.502000000000001</v>
      </c>
      <c r="O2251" s="7" t="s">
        <v>613</v>
      </c>
    </row>
    <row r="2252" spans="1:15" hidden="1" x14ac:dyDescent="0.25">
      <c r="A2252" s="2">
        <f t="shared" si="35"/>
        <v>2250</v>
      </c>
      <c r="B2252" s="7" t="s">
        <v>5413</v>
      </c>
      <c r="C2252" s="7" t="s">
        <v>5414</v>
      </c>
      <c r="D2252" s="7" t="s">
        <v>5413</v>
      </c>
      <c r="E2252" s="7" t="s">
        <v>182</v>
      </c>
      <c r="F2252" s="7" t="s">
        <v>5152</v>
      </c>
      <c r="G2252" s="17" t="s">
        <v>7747</v>
      </c>
      <c r="H2252" s="7" t="s">
        <v>19</v>
      </c>
      <c r="I2252" s="7" t="s">
        <v>1766</v>
      </c>
      <c r="J2252" s="7" t="s">
        <v>185</v>
      </c>
      <c r="K2252" s="7" t="s">
        <v>808</v>
      </c>
      <c r="L2252" s="7" t="s">
        <v>136</v>
      </c>
      <c r="M2252" s="7">
        <v>3.9080699999999999</v>
      </c>
      <c r="N2252" s="7">
        <v>11.52284</v>
      </c>
      <c r="O2252" s="7" t="s">
        <v>613</v>
      </c>
    </row>
    <row r="2253" spans="1:15" hidden="1" x14ac:dyDescent="0.25">
      <c r="A2253" s="2">
        <f t="shared" si="35"/>
        <v>2251</v>
      </c>
      <c r="B2253" s="7" t="s">
        <v>5415</v>
      </c>
      <c r="C2253" s="7" t="s">
        <v>5416</v>
      </c>
      <c r="D2253" s="7" t="s">
        <v>5415</v>
      </c>
      <c r="E2253" s="7" t="s">
        <v>182</v>
      </c>
      <c r="F2253" s="7" t="s">
        <v>5417</v>
      </c>
      <c r="G2253" s="17" t="s">
        <v>7747</v>
      </c>
      <c r="H2253" s="7" t="s">
        <v>19</v>
      </c>
      <c r="I2253" s="7" t="s">
        <v>1366</v>
      </c>
      <c r="J2253" s="7" t="s">
        <v>185</v>
      </c>
      <c r="K2253" s="7" t="s">
        <v>1367</v>
      </c>
      <c r="L2253" s="7" t="s">
        <v>136</v>
      </c>
      <c r="M2253" s="7">
        <v>3.8533439999999999</v>
      </c>
      <c r="N2253" s="7">
        <v>11.537210999999999</v>
      </c>
      <c r="O2253" s="7" t="s">
        <v>613</v>
      </c>
    </row>
    <row r="2254" spans="1:15" hidden="1" x14ac:dyDescent="0.25">
      <c r="A2254" s="2">
        <f t="shared" si="35"/>
        <v>2252</v>
      </c>
      <c r="B2254" s="7" t="s">
        <v>5418</v>
      </c>
      <c r="C2254" s="7" t="s">
        <v>5419</v>
      </c>
      <c r="D2254" s="7" t="s">
        <v>5418</v>
      </c>
      <c r="E2254" s="7" t="s">
        <v>182</v>
      </c>
      <c r="F2254" s="7" t="s">
        <v>5420</v>
      </c>
      <c r="G2254" s="17" t="s">
        <v>7747</v>
      </c>
      <c r="H2254" s="7" t="s">
        <v>28</v>
      </c>
      <c r="I2254" s="7" t="s">
        <v>1553</v>
      </c>
      <c r="J2254" s="7" t="s">
        <v>185</v>
      </c>
      <c r="K2254" s="7" t="s">
        <v>1367</v>
      </c>
      <c r="L2254" s="7" t="s">
        <v>136</v>
      </c>
      <c r="M2254" s="7">
        <v>3.8570419999999999</v>
      </c>
      <c r="N2254" s="7">
        <v>11.559414</v>
      </c>
      <c r="O2254" s="7" t="s">
        <v>613</v>
      </c>
    </row>
    <row r="2255" spans="1:15" hidden="1" x14ac:dyDescent="0.25">
      <c r="A2255" s="2">
        <f t="shared" si="35"/>
        <v>2253</v>
      </c>
      <c r="B2255" s="7" t="s">
        <v>5421</v>
      </c>
      <c r="C2255" s="7" t="s">
        <v>5422</v>
      </c>
      <c r="D2255" s="7" t="s">
        <v>5421</v>
      </c>
      <c r="E2255" s="7" t="s">
        <v>182</v>
      </c>
      <c r="F2255" s="7" t="s">
        <v>5423</v>
      </c>
      <c r="G2255" s="17" t="s">
        <v>7747</v>
      </c>
      <c r="H2255" s="7" t="s">
        <v>28</v>
      </c>
      <c r="I2255" s="7" t="s">
        <v>1374</v>
      </c>
      <c r="J2255" s="7" t="s">
        <v>185</v>
      </c>
      <c r="K2255" s="7" t="s">
        <v>1375</v>
      </c>
      <c r="L2255" s="7" t="s">
        <v>136</v>
      </c>
      <c r="M2255" s="7">
        <v>3.8927200000000002</v>
      </c>
      <c r="N2255" s="7">
        <v>11.49225</v>
      </c>
      <c r="O2255" s="7" t="s">
        <v>613</v>
      </c>
    </row>
    <row r="2256" spans="1:15" hidden="1" x14ac:dyDescent="0.25">
      <c r="A2256" s="2">
        <f t="shared" si="35"/>
        <v>2254</v>
      </c>
      <c r="B2256" s="7" t="s">
        <v>5424</v>
      </c>
      <c r="C2256" s="7" t="s">
        <v>5425</v>
      </c>
      <c r="D2256" s="7" t="s">
        <v>5424</v>
      </c>
      <c r="E2256" s="7" t="s">
        <v>182</v>
      </c>
      <c r="F2256" s="7" t="s">
        <v>5426</v>
      </c>
      <c r="G2256" s="17" t="s">
        <v>7747</v>
      </c>
      <c r="H2256" s="7" t="s">
        <v>19</v>
      </c>
      <c r="I2256" s="7" t="s">
        <v>1374</v>
      </c>
      <c r="J2256" s="7" t="s">
        <v>185</v>
      </c>
      <c r="K2256" s="7" t="s">
        <v>1375</v>
      </c>
      <c r="L2256" s="7" t="s">
        <v>136</v>
      </c>
      <c r="M2256" s="7">
        <v>3.878139</v>
      </c>
      <c r="N2256" s="7">
        <v>11.494444</v>
      </c>
      <c r="O2256" s="7" t="s">
        <v>613</v>
      </c>
    </row>
    <row r="2257" spans="1:15" hidden="1" x14ac:dyDescent="0.25">
      <c r="A2257" s="2">
        <f t="shared" si="35"/>
        <v>2255</v>
      </c>
      <c r="B2257" s="7" t="s">
        <v>5427</v>
      </c>
      <c r="C2257" s="7" t="s">
        <v>5428</v>
      </c>
      <c r="D2257" s="7" t="s">
        <v>5427</v>
      </c>
      <c r="E2257" s="7" t="s">
        <v>182</v>
      </c>
      <c r="F2257" s="7" t="s">
        <v>5429</v>
      </c>
      <c r="G2257" s="17" t="s">
        <v>7747</v>
      </c>
      <c r="H2257" s="7" t="s">
        <v>19</v>
      </c>
      <c r="I2257" s="7" t="s">
        <v>184</v>
      </c>
      <c r="J2257" s="7" t="s">
        <v>185</v>
      </c>
      <c r="K2257" s="7" t="s">
        <v>1435</v>
      </c>
      <c r="L2257" s="7" t="s">
        <v>136</v>
      </c>
      <c r="M2257" s="7">
        <v>3.8818100000000002</v>
      </c>
      <c r="N2257" s="7">
        <v>11.539199999999999</v>
      </c>
      <c r="O2257" s="7" t="s">
        <v>613</v>
      </c>
    </row>
    <row r="2258" spans="1:15" hidden="1" x14ac:dyDescent="0.25">
      <c r="A2258" s="2">
        <f t="shared" si="35"/>
        <v>2256</v>
      </c>
      <c r="B2258" s="7" t="s">
        <v>5430</v>
      </c>
      <c r="C2258" s="7" t="s">
        <v>5431</v>
      </c>
      <c r="D2258" s="7" t="s">
        <v>5430</v>
      </c>
      <c r="E2258" s="7" t="s">
        <v>182</v>
      </c>
      <c r="F2258" s="7" t="s">
        <v>5432</v>
      </c>
      <c r="G2258" s="17" t="s">
        <v>7747</v>
      </c>
      <c r="H2258" s="7" t="s">
        <v>19</v>
      </c>
      <c r="I2258" s="7" t="s">
        <v>1374</v>
      </c>
      <c r="J2258" s="7" t="s">
        <v>185</v>
      </c>
      <c r="K2258" s="7" t="s">
        <v>1375</v>
      </c>
      <c r="L2258" s="7" t="s">
        <v>136</v>
      </c>
      <c r="M2258" s="7">
        <v>3.8813610000000001</v>
      </c>
      <c r="N2258" s="7">
        <v>11.502722</v>
      </c>
      <c r="O2258" s="7" t="s">
        <v>613</v>
      </c>
    </row>
    <row r="2259" spans="1:15" hidden="1" x14ac:dyDescent="0.25">
      <c r="A2259" s="2">
        <f t="shared" si="35"/>
        <v>2257</v>
      </c>
      <c r="B2259" s="7" t="s">
        <v>5442</v>
      </c>
      <c r="C2259" s="7" t="s">
        <v>5443</v>
      </c>
      <c r="D2259" s="7" t="s">
        <v>5442</v>
      </c>
      <c r="E2259" s="7" t="s">
        <v>182</v>
      </c>
      <c r="F2259" s="7" t="s">
        <v>5444</v>
      </c>
      <c r="G2259" s="17" t="s">
        <v>7747</v>
      </c>
      <c r="H2259" s="7" t="s">
        <v>28</v>
      </c>
      <c r="I2259" s="7" t="s">
        <v>1374</v>
      </c>
      <c r="J2259" s="7" t="s">
        <v>185</v>
      </c>
      <c r="K2259" s="7" t="s">
        <v>1375</v>
      </c>
      <c r="L2259" s="7" t="s">
        <v>136</v>
      </c>
      <c r="M2259" s="7">
        <v>3.8851719999999998</v>
      </c>
      <c r="N2259" s="7">
        <v>11.512689</v>
      </c>
      <c r="O2259" s="7" t="s">
        <v>613</v>
      </c>
    </row>
    <row r="2260" spans="1:15" hidden="1" x14ac:dyDescent="0.25">
      <c r="A2260" s="2">
        <f t="shared" si="35"/>
        <v>2258</v>
      </c>
      <c r="B2260" s="7" t="s">
        <v>5445</v>
      </c>
      <c r="C2260" s="7" t="s">
        <v>5446</v>
      </c>
      <c r="D2260" s="7" t="s">
        <v>5445</v>
      </c>
      <c r="E2260" s="7" t="s">
        <v>182</v>
      </c>
      <c r="F2260" s="7" t="s">
        <v>5447</v>
      </c>
      <c r="G2260" s="17" t="s">
        <v>7747</v>
      </c>
      <c r="H2260" s="7" t="s">
        <v>28</v>
      </c>
      <c r="I2260" s="7" t="s">
        <v>1385</v>
      </c>
      <c r="J2260" s="7" t="s">
        <v>185</v>
      </c>
      <c r="K2260" s="7" t="s">
        <v>1367</v>
      </c>
      <c r="L2260" s="7" t="s">
        <v>136</v>
      </c>
      <c r="M2260" s="7">
        <v>3.8430399999999998</v>
      </c>
      <c r="N2260" s="7">
        <v>11.52308</v>
      </c>
      <c r="O2260" s="7" t="s">
        <v>613</v>
      </c>
    </row>
    <row r="2261" spans="1:15" hidden="1" x14ac:dyDescent="0.25">
      <c r="A2261" s="2">
        <f t="shared" si="35"/>
        <v>2259</v>
      </c>
      <c r="B2261" s="7" t="s">
        <v>5478</v>
      </c>
      <c r="C2261" s="7" t="s">
        <v>5479</v>
      </c>
      <c r="D2261" s="7" t="s">
        <v>5478</v>
      </c>
      <c r="E2261" s="7" t="s">
        <v>182</v>
      </c>
      <c r="F2261" s="7" t="s">
        <v>5480</v>
      </c>
      <c r="G2261" s="17" t="s">
        <v>7747</v>
      </c>
      <c r="H2261" s="7" t="s">
        <v>28</v>
      </c>
      <c r="I2261" s="7" t="s">
        <v>1553</v>
      </c>
      <c r="J2261" s="7" t="s">
        <v>185</v>
      </c>
      <c r="K2261" s="7" t="s">
        <v>1367</v>
      </c>
      <c r="L2261" s="7" t="s">
        <v>136</v>
      </c>
      <c r="M2261" s="7">
        <v>3.874552</v>
      </c>
      <c r="N2261" s="7">
        <v>11.562711999999999</v>
      </c>
      <c r="O2261" s="7" t="s">
        <v>613</v>
      </c>
    </row>
    <row r="2262" spans="1:15" hidden="1" x14ac:dyDescent="0.25">
      <c r="A2262" s="2">
        <f t="shared" si="35"/>
        <v>2260</v>
      </c>
      <c r="B2262" s="7" t="s">
        <v>5484</v>
      </c>
      <c r="C2262" s="7" t="s">
        <v>5485</v>
      </c>
      <c r="D2262" s="7" t="s">
        <v>5484</v>
      </c>
      <c r="E2262" s="7" t="s">
        <v>182</v>
      </c>
      <c r="F2262" s="7" t="s">
        <v>5486</v>
      </c>
      <c r="G2262" s="17" t="s">
        <v>7747</v>
      </c>
      <c r="H2262" s="7" t="s">
        <v>28</v>
      </c>
      <c r="I2262" s="7" t="s">
        <v>1284</v>
      </c>
      <c r="J2262" s="7" t="s">
        <v>185</v>
      </c>
      <c r="K2262" s="7" t="s">
        <v>1322</v>
      </c>
      <c r="L2262" s="7" t="s">
        <v>136</v>
      </c>
      <c r="M2262" s="7">
        <v>3.83</v>
      </c>
      <c r="N2262" s="7">
        <v>11.465999999999999</v>
      </c>
      <c r="O2262" s="7" t="s">
        <v>613</v>
      </c>
    </row>
    <row r="2263" spans="1:15" hidden="1" x14ac:dyDescent="0.25">
      <c r="A2263" s="2">
        <f t="shared" si="35"/>
        <v>2261</v>
      </c>
      <c r="B2263" s="7" t="s">
        <v>5493</v>
      </c>
      <c r="C2263" s="7" t="s">
        <v>5494</v>
      </c>
      <c r="D2263" s="7" t="s">
        <v>5493</v>
      </c>
      <c r="E2263" s="7" t="s">
        <v>182</v>
      </c>
      <c r="F2263" s="7" t="s">
        <v>5495</v>
      </c>
      <c r="G2263" s="17" t="s">
        <v>7747</v>
      </c>
      <c r="H2263" s="7" t="s">
        <v>28</v>
      </c>
      <c r="I2263" s="7" t="s">
        <v>1637</v>
      </c>
      <c r="J2263" s="7" t="s">
        <v>185</v>
      </c>
      <c r="K2263" s="7" t="s">
        <v>1462</v>
      </c>
      <c r="L2263" s="7" t="s">
        <v>136</v>
      </c>
      <c r="M2263" s="7">
        <v>3.86612</v>
      </c>
      <c r="N2263" s="7">
        <v>11.504390000000001</v>
      </c>
      <c r="O2263" s="7" t="s">
        <v>613</v>
      </c>
    </row>
    <row r="2264" spans="1:15" hidden="1" x14ac:dyDescent="0.25">
      <c r="A2264" s="2">
        <f t="shared" si="35"/>
        <v>2262</v>
      </c>
      <c r="B2264" s="7" t="s">
        <v>5505</v>
      </c>
      <c r="C2264" s="7" t="s">
        <v>5506</v>
      </c>
      <c r="D2264" s="7" t="s">
        <v>5505</v>
      </c>
      <c r="E2264" s="7" t="s">
        <v>182</v>
      </c>
      <c r="F2264" s="7" t="s">
        <v>5507</v>
      </c>
      <c r="G2264" s="17" t="s">
        <v>7747</v>
      </c>
      <c r="H2264" s="7" t="s">
        <v>19</v>
      </c>
      <c r="I2264" s="7" t="s">
        <v>1374</v>
      </c>
      <c r="J2264" s="7" t="s">
        <v>185</v>
      </c>
      <c r="K2264" s="7" t="s">
        <v>1375</v>
      </c>
      <c r="L2264" s="7" t="s">
        <v>136</v>
      </c>
      <c r="M2264" s="7">
        <v>3.8880279999999998</v>
      </c>
      <c r="N2264" s="7">
        <v>11.492417</v>
      </c>
      <c r="O2264" s="7" t="s">
        <v>613</v>
      </c>
    </row>
    <row r="2265" spans="1:15" hidden="1" x14ac:dyDescent="0.25">
      <c r="A2265" s="2">
        <f t="shared" si="35"/>
        <v>2263</v>
      </c>
      <c r="B2265" s="7" t="s">
        <v>5523</v>
      </c>
      <c r="C2265" s="7" t="s">
        <v>5524</v>
      </c>
      <c r="D2265" s="7" t="s">
        <v>5523</v>
      </c>
      <c r="E2265" s="7" t="s">
        <v>182</v>
      </c>
      <c r="F2265" s="7" t="s">
        <v>5525</v>
      </c>
      <c r="G2265" s="17" t="s">
        <v>7747</v>
      </c>
      <c r="H2265" s="7" t="s">
        <v>28</v>
      </c>
      <c r="I2265" s="7" t="s">
        <v>1461</v>
      </c>
      <c r="J2265" s="7" t="s">
        <v>185</v>
      </c>
      <c r="K2265" s="7" t="s">
        <v>1462</v>
      </c>
      <c r="L2265" s="7" t="s">
        <v>136</v>
      </c>
      <c r="M2265" s="7">
        <v>3.8332890000000002</v>
      </c>
      <c r="N2265" s="7">
        <v>11.493629</v>
      </c>
      <c r="O2265" s="7" t="s">
        <v>613</v>
      </c>
    </row>
    <row r="2266" spans="1:15" hidden="1" x14ac:dyDescent="0.25">
      <c r="A2266" s="2">
        <f t="shared" si="35"/>
        <v>2264</v>
      </c>
      <c r="B2266" s="7" t="s">
        <v>5526</v>
      </c>
      <c r="C2266" s="7" t="s">
        <v>5527</v>
      </c>
      <c r="D2266" s="7" t="s">
        <v>5526</v>
      </c>
      <c r="E2266" s="7" t="s">
        <v>182</v>
      </c>
      <c r="F2266" s="7" t="s">
        <v>5528</v>
      </c>
      <c r="G2266" s="17" t="s">
        <v>7747</v>
      </c>
      <c r="H2266" s="7" t="s">
        <v>19</v>
      </c>
      <c r="I2266" s="7" t="s">
        <v>1637</v>
      </c>
      <c r="J2266" s="7" t="s">
        <v>185</v>
      </c>
      <c r="K2266" s="7" t="s">
        <v>1462</v>
      </c>
      <c r="L2266" s="7" t="s">
        <v>136</v>
      </c>
      <c r="M2266" s="7">
        <v>3.850139</v>
      </c>
      <c r="N2266" s="7">
        <v>11.500833</v>
      </c>
      <c r="O2266" s="7" t="s">
        <v>613</v>
      </c>
    </row>
    <row r="2267" spans="1:15" hidden="1" x14ac:dyDescent="0.25">
      <c r="A2267" s="2">
        <f t="shared" si="35"/>
        <v>2265</v>
      </c>
      <c r="B2267" s="7" t="s">
        <v>5529</v>
      </c>
      <c r="C2267" s="7" t="s">
        <v>5530</v>
      </c>
      <c r="D2267" s="7" t="s">
        <v>5529</v>
      </c>
      <c r="E2267" s="7" t="s">
        <v>182</v>
      </c>
      <c r="F2267" s="7" t="s">
        <v>2448</v>
      </c>
      <c r="G2267" s="17" t="s">
        <v>7747</v>
      </c>
      <c r="H2267" s="7" t="s">
        <v>28</v>
      </c>
      <c r="I2267" s="7" t="s">
        <v>1766</v>
      </c>
      <c r="J2267" s="7" t="s">
        <v>185</v>
      </c>
      <c r="K2267" s="7" t="s">
        <v>808</v>
      </c>
      <c r="L2267" s="7" t="s">
        <v>136</v>
      </c>
      <c r="M2267" s="7">
        <v>3.95418</v>
      </c>
      <c r="N2267" s="7">
        <v>11.53173</v>
      </c>
      <c r="O2267" s="7" t="s">
        <v>613</v>
      </c>
    </row>
    <row r="2268" spans="1:15" hidden="1" x14ac:dyDescent="0.25">
      <c r="A2268" s="2">
        <f t="shared" si="35"/>
        <v>2266</v>
      </c>
      <c r="B2268" s="7" t="s">
        <v>5540</v>
      </c>
      <c r="C2268" s="7" t="s">
        <v>5541</v>
      </c>
      <c r="D2268" s="7" t="s">
        <v>5540</v>
      </c>
      <c r="E2268" s="7" t="s">
        <v>182</v>
      </c>
      <c r="F2268" s="7" t="s">
        <v>5542</v>
      </c>
      <c r="G2268" s="17" t="s">
        <v>7747</v>
      </c>
      <c r="H2268" s="7" t="s">
        <v>28</v>
      </c>
      <c r="I2268" s="7" t="s">
        <v>1461</v>
      </c>
      <c r="J2268" s="7" t="s">
        <v>185</v>
      </c>
      <c r="K2268" s="7" t="s">
        <v>1462</v>
      </c>
      <c r="L2268" s="7" t="s">
        <v>136</v>
      </c>
      <c r="M2268" s="7">
        <v>3.8171400000000002</v>
      </c>
      <c r="N2268" s="7">
        <v>11.509270000000001</v>
      </c>
      <c r="O2268" s="7" t="s">
        <v>613</v>
      </c>
    </row>
    <row r="2269" spans="1:15" hidden="1" x14ac:dyDescent="0.25">
      <c r="A2269" s="2">
        <f t="shared" si="35"/>
        <v>2267</v>
      </c>
      <c r="B2269" s="7" t="s">
        <v>5545</v>
      </c>
      <c r="C2269" s="7" t="s">
        <v>5546</v>
      </c>
      <c r="D2269" s="7" t="s">
        <v>5545</v>
      </c>
      <c r="E2269" s="7" t="s">
        <v>182</v>
      </c>
      <c r="F2269" s="7" t="s">
        <v>5547</v>
      </c>
      <c r="G2269" s="17" t="s">
        <v>7747</v>
      </c>
      <c r="H2269" s="7" t="s">
        <v>28</v>
      </c>
      <c r="I2269" s="7" t="s">
        <v>1461</v>
      </c>
      <c r="J2269" s="7" t="s">
        <v>185</v>
      </c>
      <c r="K2269" s="7" t="s">
        <v>1462</v>
      </c>
      <c r="L2269" s="7" t="s">
        <v>136</v>
      </c>
      <c r="M2269" s="7">
        <v>3.8423060000000002</v>
      </c>
      <c r="N2269" s="7">
        <v>11.509444</v>
      </c>
      <c r="O2269" s="7" t="s">
        <v>613</v>
      </c>
    </row>
    <row r="2270" spans="1:15" hidden="1" x14ac:dyDescent="0.25">
      <c r="A2270" s="2">
        <f t="shared" si="35"/>
        <v>2268</v>
      </c>
      <c r="B2270" s="7" t="s">
        <v>5557</v>
      </c>
      <c r="C2270" s="7" t="s">
        <v>5558</v>
      </c>
      <c r="D2270" s="7" t="s">
        <v>5557</v>
      </c>
      <c r="E2270" s="7" t="s">
        <v>182</v>
      </c>
      <c r="F2270" s="7" t="s">
        <v>5559</v>
      </c>
      <c r="G2270" s="17" t="s">
        <v>7747</v>
      </c>
      <c r="H2270" s="7" t="s">
        <v>28</v>
      </c>
      <c r="I2270" s="7" t="s">
        <v>1374</v>
      </c>
      <c r="J2270" s="7" t="s">
        <v>185</v>
      </c>
      <c r="K2270" s="7" t="s">
        <v>1375</v>
      </c>
      <c r="L2270" s="7" t="s">
        <v>136</v>
      </c>
      <c r="M2270" s="7">
        <v>3.8779720000000002</v>
      </c>
      <c r="N2270" s="7">
        <v>11.50475</v>
      </c>
      <c r="O2270" s="7" t="s">
        <v>613</v>
      </c>
    </row>
    <row r="2271" spans="1:15" hidden="1" x14ac:dyDescent="0.25">
      <c r="A2271" s="2">
        <f t="shared" si="35"/>
        <v>2269</v>
      </c>
      <c r="B2271" s="7" t="s">
        <v>5563</v>
      </c>
      <c r="C2271" s="7" t="s">
        <v>5564</v>
      </c>
      <c r="D2271" s="7" t="s">
        <v>5563</v>
      </c>
      <c r="E2271" s="7" t="s">
        <v>182</v>
      </c>
      <c r="F2271" s="7" t="s">
        <v>5495</v>
      </c>
      <c r="G2271" s="17" t="s">
        <v>7747</v>
      </c>
      <c r="H2271" s="7" t="s">
        <v>28</v>
      </c>
      <c r="I2271" s="7" t="s">
        <v>1637</v>
      </c>
      <c r="J2271" s="7" t="s">
        <v>185</v>
      </c>
      <c r="K2271" s="7" t="s">
        <v>1462</v>
      </c>
      <c r="L2271" s="7" t="s">
        <v>136</v>
      </c>
      <c r="M2271" s="7">
        <v>3.8595619999999999</v>
      </c>
      <c r="N2271" s="7">
        <v>11.504611000000001</v>
      </c>
      <c r="O2271" s="7" t="s">
        <v>613</v>
      </c>
    </row>
    <row r="2272" spans="1:15" hidden="1" x14ac:dyDescent="0.25">
      <c r="A2272" s="2">
        <f t="shared" si="35"/>
        <v>2270</v>
      </c>
      <c r="B2272" s="7" t="s">
        <v>5565</v>
      </c>
      <c r="C2272" s="7" t="s">
        <v>5566</v>
      </c>
      <c r="D2272" s="7" t="s">
        <v>5565</v>
      </c>
      <c r="E2272" s="7" t="s">
        <v>182</v>
      </c>
      <c r="F2272" s="7" t="s">
        <v>5567</v>
      </c>
      <c r="G2272" s="17" t="s">
        <v>7747</v>
      </c>
      <c r="H2272" s="7" t="s">
        <v>19</v>
      </c>
      <c r="I2272" s="7" t="s">
        <v>1766</v>
      </c>
      <c r="J2272" s="7" t="s">
        <v>185</v>
      </c>
      <c r="K2272" s="7" t="s">
        <v>808</v>
      </c>
      <c r="L2272" s="7" t="s">
        <v>136</v>
      </c>
      <c r="M2272" s="7">
        <v>3.8974440000000001</v>
      </c>
      <c r="N2272" s="7">
        <v>11.524027999999999</v>
      </c>
      <c r="O2272" s="7" t="s">
        <v>613</v>
      </c>
    </row>
    <row r="2273" spans="1:15" hidden="1" x14ac:dyDescent="0.25">
      <c r="A2273" s="2">
        <f t="shared" si="35"/>
        <v>2271</v>
      </c>
      <c r="B2273" s="7" t="s">
        <v>5568</v>
      </c>
      <c r="C2273" s="7" t="s">
        <v>5569</v>
      </c>
      <c r="D2273" s="7" t="s">
        <v>5568</v>
      </c>
      <c r="E2273" s="7" t="s">
        <v>182</v>
      </c>
      <c r="F2273" s="7" t="s">
        <v>5570</v>
      </c>
      <c r="G2273" s="17" t="s">
        <v>7747</v>
      </c>
      <c r="H2273" s="7" t="s">
        <v>19</v>
      </c>
      <c r="I2273" s="7" t="s">
        <v>1374</v>
      </c>
      <c r="J2273" s="7" t="s">
        <v>185</v>
      </c>
      <c r="K2273" s="7" t="s">
        <v>1375</v>
      </c>
      <c r="L2273" s="7" t="s">
        <v>136</v>
      </c>
      <c r="M2273" s="7">
        <v>3.8769999999999998</v>
      </c>
      <c r="N2273" s="7">
        <v>11.511443999999999</v>
      </c>
      <c r="O2273" s="7" t="s">
        <v>613</v>
      </c>
    </row>
    <row r="2274" spans="1:15" hidden="1" x14ac:dyDescent="0.25">
      <c r="A2274" s="2">
        <f t="shared" si="35"/>
        <v>2272</v>
      </c>
      <c r="B2274" s="7" t="s">
        <v>5571</v>
      </c>
      <c r="C2274" s="7" t="s">
        <v>5572</v>
      </c>
      <c r="D2274" s="7" t="s">
        <v>5571</v>
      </c>
      <c r="E2274" s="7" t="s">
        <v>182</v>
      </c>
      <c r="F2274" s="7" t="s">
        <v>5573</v>
      </c>
      <c r="G2274" s="17" t="s">
        <v>7747</v>
      </c>
      <c r="H2274" s="7" t="s">
        <v>28</v>
      </c>
      <c r="I2274" s="7" t="s">
        <v>1284</v>
      </c>
      <c r="J2274" s="7" t="s">
        <v>185</v>
      </c>
      <c r="K2274" s="7" t="s">
        <v>1322</v>
      </c>
      <c r="L2274" s="7" t="s">
        <v>136</v>
      </c>
      <c r="M2274" s="7">
        <v>3.8266800000000001</v>
      </c>
      <c r="N2274" s="7">
        <v>11.47922</v>
      </c>
      <c r="O2274" s="7" t="s">
        <v>613</v>
      </c>
    </row>
    <row r="2275" spans="1:15" hidden="1" x14ac:dyDescent="0.25">
      <c r="A2275" s="2">
        <f t="shared" si="35"/>
        <v>2273</v>
      </c>
      <c r="B2275" s="7" t="s">
        <v>5586</v>
      </c>
      <c r="C2275" s="7" t="s">
        <v>5587</v>
      </c>
      <c r="D2275" s="7" t="s">
        <v>5586</v>
      </c>
      <c r="E2275" s="7" t="s">
        <v>182</v>
      </c>
      <c r="F2275" s="7" t="s">
        <v>5588</v>
      </c>
      <c r="G2275" s="17" t="s">
        <v>7747</v>
      </c>
      <c r="H2275" s="7" t="s">
        <v>28</v>
      </c>
      <c r="I2275" s="7" t="s">
        <v>1284</v>
      </c>
      <c r="J2275" s="7" t="s">
        <v>185</v>
      </c>
      <c r="K2275" s="7" t="s">
        <v>1322</v>
      </c>
      <c r="L2275" s="7" t="s">
        <v>136</v>
      </c>
      <c r="M2275" s="7">
        <v>3.83161</v>
      </c>
      <c r="N2275" s="7">
        <v>11.48864</v>
      </c>
      <c r="O2275" s="7" t="s">
        <v>613</v>
      </c>
    </row>
    <row r="2276" spans="1:15" hidden="1" x14ac:dyDescent="0.25">
      <c r="A2276" s="2">
        <f t="shared" si="35"/>
        <v>2274</v>
      </c>
      <c r="B2276" s="7" t="s">
        <v>5599</v>
      </c>
      <c r="C2276" s="7" t="s">
        <v>5600</v>
      </c>
      <c r="D2276" s="7" t="s">
        <v>5599</v>
      </c>
      <c r="E2276" s="7" t="s">
        <v>182</v>
      </c>
      <c r="F2276" s="7" t="s">
        <v>5601</v>
      </c>
      <c r="G2276" s="17" t="s">
        <v>7747</v>
      </c>
      <c r="H2276" s="7" t="s">
        <v>28</v>
      </c>
      <c r="I2276" s="7" t="s">
        <v>1284</v>
      </c>
      <c r="J2276" s="7" t="s">
        <v>185</v>
      </c>
      <c r="K2276" s="7" t="s">
        <v>1322</v>
      </c>
      <c r="L2276" s="7" t="s">
        <v>136</v>
      </c>
      <c r="M2276" s="7">
        <v>3.8412839999999999</v>
      </c>
      <c r="N2276" s="7">
        <v>11.489136999999999</v>
      </c>
      <c r="O2276" s="7" t="s">
        <v>613</v>
      </c>
    </row>
    <row r="2277" spans="1:15" hidden="1" x14ac:dyDescent="0.25">
      <c r="A2277" s="2">
        <f t="shared" si="35"/>
        <v>2275</v>
      </c>
      <c r="B2277" s="7" t="s">
        <v>5602</v>
      </c>
      <c r="C2277" s="7" t="s">
        <v>5603</v>
      </c>
      <c r="D2277" s="7" t="s">
        <v>5602</v>
      </c>
      <c r="E2277" s="7" t="s">
        <v>182</v>
      </c>
      <c r="F2277" s="7" t="s">
        <v>5604</v>
      </c>
      <c r="G2277" s="17" t="s">
        <v>7747</v>
      </c>
      <c r="H2277" s="7" t="s">
        <v>19</v>
      </c>
      <c r="I2277" s="7" t="s">
        <v>1337</v>
      </c>
      <c r="J2277" s="7" t="s">
        <v>185</v>
      </c>
      <c r="K2277" s="7" t="s">
        <v>808</v>
      </c>
      <c r="L2277" s="7" t="s">
        <v>136</v>
      </c>
      <c r="M2277" s="7">
        <v>3.8688899999999999</v>
      </c>
      <c r="N2277" s="7">
        <v>11.52209</v>
      </c>
      <c r="O2277" s="7" t="s">
        <v>613</v>
      </c>
    </row>
    <row r="2278" spans="1:15" hidden="1" x14ac:dyDescent="0.25">
      <c r="A2278" s="2">
        <f t="shared" si="35"/>
        <v>2276</v>
      </c>
      <c r="B2278" s="7" t="s">
        <v>5605</v>
      </c>
      <c r="C2278" s="7" t="s">
        <v>5606</v>
      </c>
      <c r="D2278" s="7" t="s">
        <v>5605</v>
      </c>
      <c r="E2278" s="7" t="s">
        <v>182</v>
      </c>
      <c r="F2278" s="7" t="s">
        <v>5607</v>
      </c>
      <c r="G2278" s="17" t="s">
        <v>7747</v>
      </c>
      <c r="H2278" s="7" t="s">
        <v>19</v>
      </c>
      <c r="I2278" s="7" t="s">
        <v>1374</v>
      </c>
      <c r="J2278" s="7" t="s">
        <v>185</v>
      </c>
      <c r="K2278" s="7" t="s">
        <v>1375</v>
      </c>
      <c r="L2278" s="7" t="s">
        <v>136</v>
      </c>
      <c r="M2278" s="7">
        <v>3.8921000000000001</v>
      </c>
      <c r="N2278" s="7">
        <v>11.509</v>
      </c>
      <c r="O2278" s="7" t="s">
        <v>613</v>
      </c>
    </row>
    <row r="2279" spans="1:15" hidden="1" x14ac:dyDescent="0.25">
      <c r="A2279" s="2">
        <f t="shared" si="35"/>
        <v>2277</v>
      </c>
      <c r="B2279" s="7" t="s">
        <v>5608</v>
      </c>
      <c r="C2279" s="7" t="s">
        <v>5609</v>
      </c>
      <c r="D2279" s="7" t="s">
        <v>5608</v>
      </c>
      <c r="E2279" s="7" t="s">
        <v>182</v>
      </c>
      <c r="F2279" s="7" t="s">
        <v>5610</v>
      </c>
      <c r="G2279" s="17" t="s">
        <v>7747</v>
      </c>
      <c r="H2279" s="7" t="s">
        <v>28</v>
      </c>
      <c r="I2279" s="7" t="s">
        <v>1366</v>
      </c>
      <c r="J2279" s="7" t="s">
        <v>185</v>
      </c>
      <c r="K2279" s="7" t="s">
        <v>1367</v>
      </c>
      <c r="L2279" s="7" t="s">
        <v>136</v>
      </c>
      <c r="M2279" s="7">
        <v>3.8731</v>
      </c>
      <c r="N2279" s="7">
        <v>11.55161</v>
      </c>
      <c r="O2279" s="7" t="s">
        <v>613</v>
      </c>
    </row>
    <row r="2280" spans="1:15" hidden="1" x14ac:dyDescent="0.25">
      <c r="A2280" s="2">
        <f t="shared" si="35"/>
        <v>2278</v>
      </c>
      <c r="B2280" s="7" t="s">
        <v>5611</v>
      </c>
      <c r="C2280" s="7" t="s">
        <v>5612</v>
      </c>
      <c r="D2280" s="7" t="s">
        <v>5611</v>
      </c>
      <c r="E2280" s="7" t="s">
        <v>182</v>
      </c>
      <c r="F2280" s="7" t="s">
        <v>5613</v>
      </c>
      <c r="G2280" s="17" t="s">
        <v>7747</v>
      </c>
      <c r="H2280" s="7" t="s">
        <v>28</v>
      </c>
      <c r="I2280" s="7" t="s">
        <v>1637</v>
      </c>
      <c r="J2280" s="7" t="s">
        <v>185</v>
      </c>
      <c r="K2280" s="7" t="s">
        <v>1462</v>
      </c>
      <c r="L2280" s="7" t="s">
        <v>136</v>
      </c>
      <c r="M2280" s="7">
        <v>3.861221</v>
      </c>
      <c r="N2280" s="7">
        <v>11.510953000000001</v>
      </c>
      <c r="O2280" s="7" t="s">
        <v>613</v>
      </c>
    </row>
    <row r="2281" spans="1:15" hidden="1" x14ac:dyDescent="0.25">
      <c r="A2281" s="2">
        <f t="shared" si="35"/>
        <v>2279</v>
      </c>
      <c r="B2281" s="7" t="s">
        <v>5614</v>
      </c>
      <c r="C2281" s="7" t="s">
        <v>5615</v>
      </c>
      <c r="D2281" s="7" t="s">
        <v>5614</v>
      </c>
      <c r="E2281" s="7" t="s">
        <v>182</v>
      </c>
      <c r="F2281" s="7" t="s">
        <v>5616</v>
      </c>
      <c r="G2281" s="17" t="s">
        <v>7747</v>
      </c>
      <c r="H2281" s="7" t="s">
        <v>28</v>
      </c>
      <c r="I2281" s="7" t="s">
        <v>1766</v>
      </c>
      <c r="J2281" s="7" t="s">
        <v>185</v>
      </c>
      <c r="K2281" s="7" t="s">
        <v>808</v>
      </c>
      <c r="L2281" s="7" t="s">
        <v>136</v>
      </c>
      <c r="M2281" s="7">
        <v>3.9367700000000001</v>
      </c>
      <c r="N2281" s="7">
        <v>11.516819999999999</v>
      </c>
      <c r="O2281" s="7" t="s">
        <v>613</v>
      </c>
    </row>
    <row r="2282" spans="1:15" hidden="1" x14ac:dyDescent="0.25">
      <c r="A2282" s="2">
        <f t="shared" si="35"/>
        <v>2280</v>
      </c>
      <c r="B2282" s="7" t="s">
        <v>5620</v>
      </c>
      <c r="C2282" s="7" t="s">
        <v>5621</v>
      </c>
      <c r="D2282" s="7" t="s">
        <v>5620</v>
      </c>
      <c r="E2282" s="7" t="s">
        <v>182</v>
      </c>
      <c r="F2282" s="7" t="s">
        <v>5622</v>
      </c>
      <c r="G2282" s="17" t="s">
        <v>7747</v>
      </c>
      <c r="H2282" s="7" t="s">
        <v>28</v>
      </c>
      <c r="I2282" s="7" t="s">
        <v>1337</v>
      </c>
      <c r="J2282" s="7" t="s">
        <v>185</v>
      </c>
      <c r="K2282" s="7" t="s">
        <v>808</v>
      </c>
      <c r="L2282" s="7" t="s">
        <v>136</v>
      </c>
      <c r="M2282" s="7">
        <v>3.8649900000000001</v>
      </c>
      <c r="N2282" s="7">
        <v>11.520239999999999</v>
      </c>
      <c r="O2282" s="7" t="s">
        <v>613</v>
      </c>
    </row>
    <row r="2283" spans="1:15" hidden="1" x14ac:dyDescent="0.25">
      <c r="A2283" s="2">
        <f t="shared" si="35"/>
        <v>2281</v>
      </c>
      <c r="B2283" s="7" t="s">
        <v>5623</v>
      </c>
      <c r="C2283" s="7" t="s">
        <v>5624</v>
      </c>
      <c r="D2283" s="7" t="s">
        <v>5623</v>
      </c>
      <c r="E2283" s="7" t="s">
        <v>182</v>
      </c>
      <c r="F2283" s="7" t="s">
        <v>5625</v>
      </c>
      <c r="G2283" s="17" t="s">
        <v>7747</v>
      </c>
      <c r="H2283" s="7" t="s">
        <v>28</v>
      </c>
      <c r="I2283" s="7" t="s">
        <v>1337</v>
      </c>
      <c r="J2283" s="7" t="s">
        <v>185</v>
      </c>
      <c r="K2283" s="7" t="s">
        <v>808</v>
      </c>
      <c r="L2283" s="7" t="s">
        <v>136</v>
      </c>
      <c r="M2283" s="7">
        <v>3.8664100000000001</v>
      </c>
      <c r="N2283" s="7">
        <v>11.51768</v>
      </c>
      <c r="O2283" s="7" t="s">
        <v>613</v>
      </c>
    </row>
    <row r="2284" spans="1:15" hidden="1" x14ac:dyDescent="0.25">
      <c r="A2284" s="2">
        <f t="shared" si="35"/>
        <v>2282</v>
      </c>
      <c r="B2284" s="7" t="s">
        <v>5626</v>
      </c>
      <c r="C2284" s="7" t="s">
        <v>5627</v>
      </c>
      <c r="D2284" s="7" t="s">
        <v>5626</v>
      </c>
      <c r="E2284" s="7" t="s">
        <v>182</v>
      </c>
      <c r="F2284" s="7" t="s">
        <v>5628</v>
      </c>
      <c r="G2284" s="17" t="s">
        <v>7747</v>
      </c>
      <c r="H2284" s="7" t="s">
        <v>28</v>
      </c>
      <c r="I2284" s="7" t="s">
        <v>1637</v>
      </c>
      <c r="J2284" s="7" t="s">
        <v>185</v>
      </c>
      <c r="K2284" s="7" t="s">
        <v>808</v>
      </c>
      <c r="L2284" s="7" t="s">
        <v>136</v>
      </c>
      <c r="M2284" s="7">
        <v>3.8595999999999999</v>
      </c>
      <c r="N2284" s="7">
        <v>11.51806</v>
      </c>
      <c r="O2284" s="7" t="s">
        <v>613</v>
      </c>
    </row>
    <row r="2285" spans="1:15" hidden="1" x14ac:dyDescent="0.25">
      <c r="A2285" s="2">
        <f t="shared" si="35"/>
        <v>2283</v>
      </c>
      <c r="B2285" s="7" t="s">
        <v>5629</v>
      </c>
      <c r="C2285" s="7" t="s">
        <v>5630</v>
      </c>
      <c r="D2285" s="7" t="s">
        <v>5629</v>
      </c>
      <c r="E2285" s="7" t="s">
        <v>182</v>
      </c>
      <c r="F2285" s="7" t="s">
        <v>5631</v>
      </c>
      <c r="G2285" s="17" t="s">
        <v>7747</v>
      </c>
      <c r="H2285" s="7" t="s">
        <v>28</v>
      </c>
      <c r="I2285" s="7" t="s">
        <v>1284</v>
      </c>
      <c r="J2285" s="7" t="s">
        <v>185</v>
      </c>
      <c r="K2285" s="7" t="s">
        <v>1322</v>
      </c>
      <c r="L2285" s="7" t="s">
        <v>136</v>
      </c>
      <c r="M2285" s="7">
        <v>3.8289439999999999</v>
      </c>
      <c r="N2285" s="7">
        <v>11.480055999999999</v>
      </c>
      <c r="O2285" s="7" t="s">
        <v>613</v>
      </c>
    </row>
    <row r="2286" spans="1:15" hidden="1" x14ac:dyDescent="0.25">
      <c r="A2286" s="2">
        <f t="shared" si="35"/>
        <v>2284</v>
      </c>
      <c r="B2286" s="7" t="s">
        <v>5638</v>
      </c>
      <c r="C2286" s="7" t="s">
        <v>5639</v>
      </c>
      <c r="D2286" s="7" t="s">
        <v>5638</v>
      </c>
      <c r="E2286" s="7" t="s">
        <v>182</v>
      </c>
      <c r="F2286" s="7" t="s">
        <v>5640</v>
      </c>
      <c r="G2286" s="17" t="s">
        <v>7747</v>
      </c>
      <c r="H2286" s="7" t="s">
        <v>19</v>
      </c>
      <c r="I2286" s="7" t="s">
        <v>1284</v>
      </c>
      <c r="J2286" s="7" t="s">
        <v>185</v>
      </c>
      <c r="K2286" s="7" t="s">
        <v>1322</v>
      </c>
      <c r="L2286" s="7" t="s">
        <v>136</v>
      </c>
      <c r="M2286" s="7">
        <v>3.835194</v>
      </c>
      <c r="N2286" s="7">
        <v>11.484944</v>
      </c>
      <c r="O2286" s="7" t="s">
        <v>613</v>
      </c>
    </row>
    <row r="2287" spans="1:15" hidden="1" x14ac:dyDescent="0.25">
      <c r="A2287" s="2">
        <f t="shared" si="35"/>
        <v>2285</v>
      </c>
      <c r="B2287" s="7" t="s">
        <v>5641</v>
      </c>
      <c r="C2287" s="7" t="s">
        <v>5642</v>
      </c>
      <c r="D2287" s="7" t="s">
        <v>5641</v>
      </c>
      <c r="E2287" s="7" t="s">
        <v>182</v>
      </c>
      <c r="F2287" s="7" t="s">
        <v>5643</v>
      </c>
      <c r="G2287" s="17" t="s">
        <v>7747</v>
      </c>
      <c r="H2287" s="7" t="s">
        <v>19</v>
      </c>
      <c r="I2287" s="7" t="s">
        <v>1374</v>
      </c>
      <c r="J2287" s="7" t="s">
        <v>185</v>
      </c>
      <c r="K2287" s="7" t="s">
        <v>1375</v>
      </c>
      <c r="L2287" s="7" t="s">
        <v>136</v>
      </c>
      <c r="M2287" s="7">
        <v>3.8926940000000001</v>
      </c>
      <c r="N2287" s="7">
        <v>11.511556000000001</v>
      </c>
      <c r="O2287" s="7" t="s">
        <v>613</v>
      </c>
    </row>
    <row r="2288" spans="1:15" hidden="1" x14ac:dyDescent="0.25">
      <c r="A2288" s="2">
        <f t="shared" si="35"/>
        <v>2286</v>
      </c>
      <c r="B2288" s="7" t="s">
        <v>5647</v>
      </c>
      <c r="C2288" s="7" t="s">
        <v>5648</v>
      </c>
      <c r="D2288" s="7" t="s">
        <v>5647</v>
      </c>
      <c r="E2288" s="7" t="s">
        <v>182</v>
      </c>
      <c r="F2288" s="7" t="s">
        <v>5649</v>
      </c>
      <c r="G2288" s="17" t="s">
        <v>7747</v>
      </c>
      <c r="H2288" s="7" t="s">
        <v>28</v>
      </c>
      <c r="I2288" s="7" t="s">
        <v>1553</v>
      </c>
      <c r="J2288" s="7" t="s">
        <v>185</v>
      </c>
      <c r="K2288" s="7" t="s">
        <v>1367</v>
      </c>
      <c r="L2288" s="7" t="s">
        <v>136</v>
      </c>
      <c r="M2288" s="7">
        <v>3.8583059999999998</v>
      </c>
      <c r="N2288" s="7">
        <v>11.547860999999999</v>
      </c>
      <c r="O2288" s="7" t="s">
        <v>613</v>
      </c>
    </row>
    <row r="2289" spans="1:15" hidden="1" x14ac:dyDescent="0.25">
      <c r="A2289" s="2">
        <f t="shared" si="35"/>
        <v>2287</v>
      </c>
      <c r="B2289" s="7" t="s">
        <v>5650</v>
      </c>
      <c r="C2289" s="7" t="s">
        <v>5651</v>
      </c>
      <c r="D2289" s="7" t="s">
        <v>5650</v>
      </c>
      <c r="E2289" s="7" t="s">
        <v>182</v>
      </c>
      <c r="F2289" s="7" t="s">
        <v>5652</v>
      </c>
      <c r="G2289" s="17" t="s">
        <v>7747</v>
      </c>
      <c r="H2289" s="7" t="s">
        <v>28</v>
      </c>
      <c r="I2289" s="7" t="s">
        <v>1284</v>
      </c>
      <c r="J2289" s="7" t="s">
        <v>185</v>
      </c>
      <c r="K2289" s="7" t="s">
        <v>1322</v>
      </c>
      <c r="L2289" s="7" t="s">
        <v>136</v>
      </c>
      <c r="M2289" s="7">
        <v>3.8450730000000002</v>
      </c>
      <c r="N2289" s="7">
        <v>11.493395</v>
      </c>
      <c r="O2289" s="7" t="s">
        <v>613</v>
      </c>
    </row>
    <row r="2290" spans="1:15" hidden="1" x14ac:dyDescent="0.25">
      <c r="A2290" s="2">
        <f t="shared" si="35"/>
        <v>2288</v>
      </c>
      <c r="B2290" s="7" t="s">
        <v>5653</v>
      </c>
      <c r="C2290" s="7" t="s">
        <v>5654</v>
      </c>
      <c r="D2290" s="7" t="s">
        <v>5653</v>
      </c>
      <c r="E2290" s="7" t="s">
        <v>182</v>
      </c>
      <c r="F2290" s="7" t="s">
        <v>5655</v>
      </c>
      <c r="G2290" s="17" t="s">
        <v>7747</v>
      </c>
      <c r="H2290" s="7" t="s">
        <v>28</v>
      </c>
      <c r="I2290" s="7" t="s">
        <v>1337</v>
      </c>
      <c r="J2290" s="7" t="s">
        <v>185</v>
      </c>
      <c r="K2290" s="7" t="s">
        <v>1322</v>
      </c>
      <c r="L2290" s="7" t="s">
        <v>136</v>
      </c>
      <c r="M2290" s="7">
        <v>3.8749600000000002</v>
      </c>
      <c r="N2290" s="7">
        <v>11.488910000000001</v>
      </c>
      <c r="O2290" s="7" t="s">
        <v>613</v>
      </c>
    </row>
    <row r="2291" spans="1:15" hidden="1" x14ac:dyDescent="0.25">
      <c r="A2291" s="2">
        <f t="shared" si="35"/>
        <v>2289</v>
      </c>
      <c r="B2291" s="7" t="s">
        <v>5659</v>
      </c>
      <c r="C2291" s="7" t="s">
        <v>5660</v>
      </c>
      <c r="D2291" s="7" t="s">
        <v>5659</v>
      </c>
      <c r="E2291" s="7" t="s">
        <v>182</v>
      </c>
      <c r="F2291" s="7" t="s">
        <v>5661</v>
      </c>
      <c r="G2291" s="17" t="s">
        <v>7747</v>
      </c>
      <c r="H2291" s="7" t="s">
        <v>19</v>
      </c>
      <c r="I2291" s="7" t="s">
        <v>1366</v>
      </c>
      <c r="J2291" s="7" t="s">
        <v>185</v>
      </c>
      <c r="K2291" s="7" t="s">
        <v>1435</v>
      </c>
      <c r="L2291" s="7" t="s">
        <v>136</v>
      </c>
      <c r="M2291" s="7">
        <v>3.8748659999999999</v>
      </c>
      <c r="N2291" s="7">
        <v>11.541677</v>
      </c>
      <c r="O2291" s="7" t="s">
        <v>613</v>
      </c>
    </row>
    <row r="2292" spans="1:15" hidden="1" x14ac:dyDescent="0.25">
      <c r="A2292" s="2">
        <f t="shared" si="35"/>
        <v>2290</v>
      </c>
      <c r="B2292" s="7" t="s">
        <v>5665</v>
      </c>
      <c r="C2292" s="7" t="s">
        <v>5666</v>
      </c>
      <c r="D2292" s="7" t="s">
        <v>5665</v>
      </c>
      <c r="E2292" s="7" t="s">
        <v>182</v>
      </c>
      <c r="F2292" s="7" t="s">
        <v>5667</v>
      </c>
      <c r="G2292" s="17" t="s">
        <v>7747</v>
      </c>
      <c r="H2292" s="7" t="s">
        <v>28</v>
      </c>
      <c r="I2292" s="7" t="s">
        <v>1284</v>
      </c>
      <c r="J2292" s="7" t="s">
        <v>185</v>
      </c>
      <c r="K2292" s="7" t="s">
        <v>1322</v>
      </c>
      <c r="L2292" s="7" t="s">
        <v>136</v>
      </c>
      <c r="M2292" s="7">
        <v>3.8381789999999998</v>
      </c>
      <c r="N2292" s="7">
        <v>11.489259000000001</v>
      </c>
      <c r="O2292" s="7" t="s">
        <v>613</v>
      </c>
    </row>
    <row r="2293" spans="1:15" hidden="1" x14ac:dyDescent="0.25">
      <c r="A2293" s="2">
        <f t="shared" si="35"/>
        <v>2291</v>
      </c>
      <c r="B2293" s="7" t="s">
        <v>5671</v>
      </c>
      <c r="C2293" s="7" t="s">
        <v>5672</v>
      </c>
      <c r="D2293" s="7" t="s">
        <v>5671</v>
      </c>
      <c r="E2293" s="7" t="s">
        <v>182</v>
      </c>
      <c r="F2293" s="7" t="s">
        <v>5673</v>
      </c>
      <c r="G2293" s="17" t="s">
        <v>7747</v>
      </c>
      <c r="H2293" s="7" t="s">
        <v>28</v>
      </c>
      <c r="I2293" s="7" t="s">
        <v>1637</v>
      </c>
      <c r="J2293" s="7" t="s">
        <v>185</v>
      </c>
      <c r="K2293" s="7" t="s">
        <v>1322</v>
      </c>
      <c r="L2293" s="7" t="s">
        <v>136</v>
      </c>
      <c r="M2293" s="7">
        <v>3.86971</v>
      </c>
      <c r="N2293" s="7">
        <v>11.489369999999999</v>
      </c>
      <c r="O2293" s="7" t="s">
        <v>613</v>
      </c>
    </row>
    <row r="2294" spans="1:15" hidden="1" x14ac:dyDescent="0.25">
      <c r="A2294" s="2">
        <f t="shared" si="35"/>
        <v>2292</v>
      </c>
      <c r="B2294" s="7" t="s">
        <v>5685</v>
      </c>
      <c r="C2294" s="7" t="s">
        <v>5686</v>
      </c>
      <c r="D2294" s="7" t="s">
        <v>5685</v>
      </c>
      <c r="E2294" s="7" t="s">
        <v>182</v>
      </c>
      <c r="F2294" s="7" t="s">
        <v>5687</v>
      </c>
      <c r="G2294" s="17" t="s">
        <v>7747</v>
      </c>
      <c r="H2294" s="7" t="s">
        <v>28</v>
      </c>
      <c r="I2294" s="7" t="s">
        <v>807</v>
      </c>
      <c r="J2294" s="7" t="s">
        <v>185</v>
      </c>
      <c r="K2294" s="7" t="s">
        <v>808</v>
      </c>
      <c r="L2294" s="7" t="s">
        <v>136</v>
      </c>
      <c r="M2294" s="7">
        <v>3.8993280000000001</v>
      </c>
      <c r="N2294" s="7">
        <v>11.51666</v>
      </c>
      <c r="O2294" s="7" t="s">
        <v>613</v>
      </c>
    </row>
    <row r="2295" spans="1:15" hidden="1" x14ac:dyDescent="0.25">
      <c r="A2295" s="2">
        <f t="shared" si="35"/>
        <v>2293</v>
      </c>
      <c r="B2295" s="7" t="s">
        <v>5688</v>
      </c>
      <c r="C2295" s="7" t="s">
        <v>5689</v>
      </c>
      <c r="D2295" s="7" t="s">
        <v>5688</v>
      </c>
      <c r="E2295" s="7" t="s">
        <v>182</v>
      </c>
      <c r="F2295" s="7" t="s">
        <v>5690</v>
      </c>
      <c r="G2295" s="17" t="s">
        <v>7747</v>
      </c>
      <c r="H2295" s="7" t="s">
        <v>19</v>
      </c>
      <c r="I2295" s="7" t="s">
        <v>297</v>
      </c>
      <c r="J2295" s="7" t="s">
        <v>185</v>
      </c>
      <c r="K2295" s="7" t="s">
        <v>1393</v>
      </c>
      <c r="L2295" s="7" t="s">
        <v>136</v>
      </c>
      <c r="M2295" s="7">
        <v>3.8674680000000001</v>
      </c>
      <c r="N2295" s="7">
        <v>11.446289999999999</v>
      </c>
      <c r="O2295" s="7" t="s">
        <v>613</v>
      </c>
    </row>
    <row r="2296" spans="1:15" hidden="1" x14ac:dyDescent="0.25">
      <c r="A2296" s="2">
        <f t="shared" si="35"/>
        <v>2294</v>
      </c>
      <c r="B2296" s="7" t="s">
        <v>5691</v>
      </c>
      <c r="C2296" s="7" t="s">
        <v>5692</v>
      </c>
      <c r="D2296" s="7" t="s">
        <v>5691</v>
      </c>
      <c r="E2296" s="7" t="s">
        <v>182</v>
      </c>
      <c r="F2296" s="7" t="s">
        <v>5310</v>
      </c>
      <c r="G2296" s="17" t="s">
        <v>7747</v>
      </c>
      <c r="H2296" s="7" t="s">
        <v>19</v>
      </c>
      <c r="I2296" s="7" t="s">
        <v>1461</v>
      </c>
      <c r="J2296" s="7" t="s">
        <v>185</v>
      </c>
      <c r="K2296" s="7" t="s">
        <v>1462</v>
      </c>
      <c r="L2296" s="7" t="s">
        <v>136</v>
      </c>
      <c r="M2296" s="7">
        <v>3.8469699999999998</v>
      </c>
      <c r="N2296" s="7">
        <v>11.51501</v>
      </c>
      <c r="O2296" s="7" t="s">
        <v>613</v>
      </c>
    </row>
    <row r="2297" spans="1:15" hidden="1" x14ac:dyDescent="0.25">
      <c r="A2297" s="2">
        <f t="shared" si="35"/>
        <v>2295</v>
      </c>
      <c r="B2297" s="7" t="s">
        <v>5696</v>
      </c>
      <c r="C2297" s="7" t="s">
        <v>5697</v>
      </c>
      <c r="D2297" s="7" t="s">
        <v>5696</v>
      </c>
      <c r="E2297" s="7" t="s">
        <v>182</v>
      </c>
      <c r="F2297" s="7" t="s">
        <v>5698</v>
      </c>
      <c r="G2297" s="17" t="s">
        <v>7747</v>
      </c>
      <c r="H2297" s="7" t="s">
        <v>28</v>
      </c>
      <c r="I2297" s="7" t="s">
        <v>1374</v>
      </c>
      <c r="J2297" s="7" t="s">
        <v>185</v>
      </c>
      <c r="K2297" s="7" t="s">
        <v>1375</v>
      </c>
      <c r="L2297" s="7" t="s">
        <v>136</v>
      </c>
      <c r="M2297" s="7">
        <v>3.8808889999999998</v>
      </c>
      <c r="N2297" s="7">
        <v>11.506667</v>
      </c>
      <c r="O2297" s="7" t="s">
        <v>613</v>
      </c>
    </row>
    <row r="2298" spans="1:15" hidden="1" x14ac:dyDescent="0.25">
      <c r="A2298" s="2">
        <f t="shared" si="35"/>
        <v>2296</v>
      </c>
      <c r="B2298" s="7" t="s">
        <v>5699</v>
      </c>
      <c r="C2298" s="7" t="s">
        <v>5700</v>
      </c>
      <c r="D2298" s="7" t="s">
        <v>5699</v>
      </c>
      <c r="E2298" s="7" t="s">
        <v>182</v>
      </c>
      <c r="F2298" s="7" t="s">
        <v>5701</v>
      </c>
      <c r="G2298" s="17" t="s">
        <v>7747</v>
      </c>
      <c r="H2298" s="7" t="s">
        <v>28</v>
      </c>
      <c r="I2298" s="7" t="s">
        <v>1337</v>
      </c>
      <c r="J2298" s="7" t="s">
        <v>185</v>
      </c>
      <c r="K2298" s="7" t="s">
        <v>808</v>
      </c>
      <c r="L2298" s="7" t="s">
        <v>136</v>
      </c>
      <c r="M2298" s="7">
        <v>3.865297</v>
      </c>
      <c r="N2298" s="7">
        <v>11.52229</v>
      </c>
      <c r="O2298" s="7" t="s">
        <v>613</v>
      </c>
    </row>
    <row r="2299" spans="1:15" hidden="1" x14ac:dyDescent="0.25">
      <c r="A2299" s="2">
        <f t="shared" si="35"/>
        <v>2297</v>
      </c>
      <c r="B2299" s="7" t="s">
        <v>5702</v>
      </c>
      <c r="C2299" s="7" t="s">
        <v>5703</v>
      </c>
      <c r="D2299" s="7" t="s">
        <v>5702</v>
      </c>
      <c r="E2299" s="7" t="s">
        <v>182</v>
      </c>
      <c r="F2299" s="7" t="s">
        <v>5704</v>
      </c>
      <c r="G2299" s="17" t="s">
        <v>7747</v>
      </c>
      <c r="H2299" s="7" t="s">
        <v>28</v>
      </c>
      <c r="I2299" s="7" t="s">
        <v>1637</v>
      </c>
      <c r="J2299" s="7" t="s">
        <v>185</v>
      </c>
      <c r="K2299" s="7" t="s">
        <v>1462</v>
      </c>
      <c r="L2299" s="7" t="s">
        <v>136</v>
      </c>
      <c r="M2299" s="7">
        <v>3.863972</v>
      </c>
      <c r="N2299" s="7">
        <v>11.495305999999999</v>
      </c>
      <c r="O2299" s="7" t="s">
        <v>613</v>
      </c>
    </row>
    <row r="2300" spans="1:15" hidden="1" x14ac:dyDescent="0.25">
      <c r="A2300" s="2">
        <f t="shared" si="35"/>
        <v>2298</v>
      </c>
      <c r="B2300" s="7" t="s">
        <v>5705</v>
      </c>
      <c r="C2300" s="7" t="s">
        <v>5706</v>
      </c>
      <c r="D2300" s="7" t="s">
        <v>5705</v>
      </c>
      <c r="E2300" s="7" t="s">
        <v>182</v>
      </c>
      <c r="F2300" s="7" t="s">
        <v>5146</v>
      </c>
      <c r="G2300" s="17" t="s">
        <v>7747</v>
      </c>
      <c r="H2300" s="7" t="s">
        <v>28</v>
      </c>
      <c r="I2300" s="7" t="s">
        <v>1337</v>
      </c>
      <c r="J2300" s="7" t="s">
        <v>185</v>
      </c>
      <c r="K2300" s="7" t="s">
        <v>1322</v>
      </c>
      <c r="L2300" s="7" t="s">
        <v>136</v>
      </c>
      <c r="M2300" s="7">
        <v>3.8786299999999998</v>
      </c>
      <c r="N2300" s="7">
        <v>11.48537</v>
      </c>
      <c r="O2300" s="7" t="s">
        <v>613</v>
      </c>
    </row>
    <row r="2301" spans="1:15" hidden="1" x14ac:dyDescent="0.25">
      <c r="A2301" s="2">
        <f t="shared" si="35"/>
        <v>2299</v>
      </c>
      <c r="B2301" s="7" t="s">
        <v>5707</v>
      </c>
      <c r="C2301" s="7" t="s">
        <v>5708</v>
      </c>
      <c r="D2301" s="7" t="s">
        <v>5707</v>
      </c>
      <c r="E2301" s="7" t="s">
        <v>182</v>
      </c>
      <c r="F2301" s="7" t="s">
        <v>5709</v>
      </c>
      <c r="G2301" s="17" t="s">
        <v>7747</v>
      </c>
      <c r="H2301" s="7" t="s">
        <v>28</v>
      </c>
      <c r="I2301" s="7" t="s">
        <v>1337</v>
      </c>
      <c r="J2301" s="7" t="s">
        <v>185</v>
      </c>
      <c r="K2301" s="7" t="s">
        <v>808</v>
      </c>
      <c r="L2301" s="7" t="s">
        <v>136</v>
      </c>
      <c r="M2301" s="7">
        <v>3.867569</v>
      </c>
      <c r="N2301" s="7">
        <v>11.519473</v>
      </c>
      <c r="O2301" s="7" t="s">
        <v>613</v>
      </c>
    </row>
    <row r="2302" spans="1:15" hidden="1" x14ac:dyDescent="0.25">
      <c r="A2302" s="2">
        <f t="shared" si="35"/>
        <v>2300</v>
      </c>
      <c r="B2302" s="7" t="s">
        <v>5713</v>
      </c>
      <c r="C2302" s="7" t="s">
        <v>5714</v>
      </c>
      <c r="D2302" s="7" t="s">
        <v>5713</v>
      </c>
      <c r="E2302" s="7" t="s">
        <v>182</v>
      </c>
      <c r="F2302" s="7" t="s">
        <v>5715</v>
      </c>
      <c r="G2302" s="17" t="s">
        <v>7747</v>
      </c>
      <c r="H2302" s="7" t="s">
        <v>19</v>
      </c>
      <c r="I2302" s="7" t="s">
        <v>1374</v>
      </c>
      <c r="J2302" s="7" t="s">
        <v>185</v>
      </c>
      <c r="K2302" s="7" t="s">
        <v>1375</v>
      </c>
      <c r="L2302" s="7" t="s">
        <v>136</v>
      </c>
      <c r="M2302" s="7">
        <v>3.8915280000000001</v>
      </c>
      <c r="N2302" s="7">
        <v>11.501250000000001</v>
      </c>
      <c r="O2302" s="7" t="s">
        <v>613</v>
      </c>
    </row>
    <row r="2303" spans="1:15" hidden="1" x14ac:dyDescent="0.25">
      <c r="A2303" s="2">
        <f t="shared" si="35"/>
        <v>2301</v>
      </c>
      <c r="B2303" s="7" t="s">
        <v>5718</v>
      </c>
      <c r="C2303" s="7" t="s">
        <v>5719</v>
      </c>
      <c r="D2303" s="7" t="s">
        <v>5718</v>
      </c>
      <c r="E2303" s="7" t="s">
        <v>182</v>
      </c>
      <c r="F2303" s="7" t="s">
        <v>5720</v>
      </c>
      <c r="G2303" s="17" t="s">
        <v>7747</v>
      </c>
      <c r="H2303" s="7" t="s">
        <v>28</v>
      </c>
      <c r="I2303" s="7" t="s">
        <v>1637</v>
      </c>
      <c r="J2303" s="7" t="s">
        <v>185</v>
      </c>
      <c r="K2303" s="7" t="s">
        <v>1375</v>
      </c>
      <c r="L2303" s="7" t="s">
        <v>136</v>
      </c>
      <c r="M2303" s="7">
        <v>3.8708200000000001</v>
      </c>
      <c r="N2303" s="7">
        <v>11.51093</v>
      </c>
      <c r="O2303" s="7" t="s">
        <v>613</v>
      </c>
    </row>
    <row r="2304" spans="1:15" hidden="1" x14ac:dyDescent="0.25">
      <c r="A2304" s="2">
        <f t="shared" si="35"/>
        <v>2302</v>
      </c>
      <c r="B2304" s="7" t="s">
        <v>5721</v>
      </c>
      <c r="C2304" s="7" t="s">
        <v>5722</v>
      </c>
      <c r="D2304" s="7" t="s">
        <v>5721</v>
      </c>
      <c r="E2304" s="7" t="s">
        <v>182</v>
      </c>
      <c r="F2304" s="7" t="s">
        <v>5723</v>
      </c>
      <c r="G2304" s="17" t="s">
        <v>7747</v>
      </c>
      <c r="H2304" s="7" t="s">
        <v>28</v>
      </c>
      <c r="I2304" s="7" t="s">
        <v>184</v>
      </c>
      <c r="J2304" s="7" t="s">
        <v>185</v>
      </c>
      <c r="K2304" s="7" t="s">
        <v>1435</v>
      </c>
      <c r="L2304" s="7" t="s">
        <v>136</v>
      </c>
      <c r="M2304" s="7">
        <v>3.90788</v>
      </c>
      <c r="N2304" s="7">
        <v>11.542439999999999</v>
      </c>
      <c r="O2304" s="7" t="s">
        <v>613</v>
      </c>
    </row>
    <row r="2305" spans="1:15" hidden="1" x14ac:dyDescent="0.25">
      <c r="A2305" s="2">
        <f t="shared" si="35"/>
        <v>2303</v>
      </c>
      <c r="B2305" s="7" t="s">
        <v>5724</v>
      </c>
      <c r="C2305" s="7" t="s">
        <v>5725</v>
      </c>
      <c r="D2305" s="7" t="s">
        <v>5724</v>
      </c>
      <c r="E2305" s="7" t="s">
        <v>182</v>
      </c>
      <c r="F2305" s="7" t="s">
        <v>5726</v>
      </c>
      <c r="G2305" s="17" t="s">
        <v>7747</v>
      </c>
      <c r="H2305" s="7" t="s">
        <v>28</v>
      </c>
      <c r="I2305" s="7" t="s">
        <v>1337</v>
      </c>
      <c r="J2305" s="7" t="s">
        <v>185</v>
      </c>
      <c r="K2305" s="7" t="s">
        <v>1322</v>
      </c>
      <c r="L2305" s="7" t="s">
        <v>136</v>
      </c>
      <c r="M2305" s="7">
        <v>3.8740000000000001</v>
      </c>
      <c r="N2305" s="7">
        <v>11.488</v>
      </c>
      <c r="O2305" s="7" t="s">
        <v>613</v>
      </c>
    </row>
    <row r="2306" spans="1:15" hidden="1" x14ac:dyDescent="0.25">
      <c r="A2306" s="2">
        <f t="shared" si="35"/>
        <v>2304</v>
      </c>
      <c r="B2306" s="7" t="s">
        <v>5727</v>
      </c>
      <c r="C2306" s="7" t="s">
        <v>5728</v>
      </c>
      <c r="D2306" s="7" t="s">
        <v>5727</v>
      </c>
      <c r="E2306" s="7" t="s">
        <v>182</v>
      </c>
      <c r="F2306" s="7" t="s">
        <v>5729</v>
      </c>
      <c r="G2306" s="17" t="s">
        <v>7747</v>
      </c>
      <c r="H2306" s="7" t="s">
        <v>19</v>
      </c>
      <c r="I2306" s="7" t="s">
        <v>1337</v>
      </c>
      <c r="J2306" s="7" t="s">
        <v>185</v>
      </c>
      <c r="K2306" s="7" t="s">
        <v>808</v>
      </c>
      <c r="L2306" s="7" t="s">
        <v>136</v>
      </c>
      <c r="M2306" s="7">
        <v>3.8677199999999998</v>
      </c>
      <c r="N2306" s="7">
        <v>11.518980000000001</v>
      </c>
      <c r="O2306" s="7" t="s">
        <v>613</v>
      </c>
    </row>
    <row r="2307" spans="1:15" hidden="1" x14ac:dyDescent="0.25">
      <c r="A2307" s="2">
        <f t="shared" si="35"/>
        <v>2305</v>
      </c>
      <c r="B2307" s="7" t="s">
        <v>5730</v>
      </c>
      <c r="C2307" s="7" t="s">
        <v>5731</v>
      </c>
      <c r="D2307" s="7" t="s">
        <v>5730</v>
      </c>
      <c r="E2307" s="7" t="s">
        <v>182</v>
      </c>
      <c r="F2307" s="7" t="s">
        <v>5732</v>
      </c>
      <c r="G2307" s="17" t="s">
        <v>7747</v>
      </c>
      <c r="H2307" s="7" t="s">
        <v>19</v>
      </c>
      <c r="I2307" s="7" t="s">
        <v>1337</v>
      </c>
      <c r="J2307" s="7" t="s">
        <v>185</v>
      </c>
      <c r="K2307" s="7" t="s">
        <v>1375</v>
      </c>
      <c r="L2307" s="7" t="s">
        <v>136</v>
      </c>
      <c r="M2307" s="7">
        <v>3.8733059999999999</v>
      </c>
      <c r="N2307" s="7">
        <v>11.500722</v>
      </c>
      <c r="O2307" s="7" t="s">
        <v>613</v>
      </c>
    </row>
    <row r="2308" spans="1:15" hidden="1" x14ac:dyDescent="0.25">
      <c r="A2308" s="2">
        <f t="shared" si="35"/>
        <v>2306</v>
      </c>
      <c r="B2308" s="7" t="s">
        <v>5733</v>
      </c>
      <c r="C2308" s="7" t="s">
        <v>5734</v>
      </c>
      <c r="D2308" s="7" t="s">
        <v>5733</v>
      </c>
      <c r="E2308" s="7" t="s">
        <v>182</v>
      </c>
      <c r="F2308" s="7" t="s">
        <v>5735</v>
      </c>
      <c r="G2308" s="17" t="s">
        <v>7747</v>
      </c>
      <c r="H2308" s="7" t="s">
        <v>19</v>
      </c>
      <c r="I2308" s="7" t="s">
        <v>1337</v>
      </c>
      <c r="J2308" s="7" t="s">
        <v>185</v>
      </c>
      <c r="K2308" s="7" t="s">
        <v>1375</v>
      </c>
      <c r="L2308" s="7" t="s">
        <v>136</v>
      </c>
      <c r="M2308" s="7">
        <v>3.86957</v>
      </c>
      <c r="N2308" s="7">
        <v>11.515689999999999</v>
      </c>
      <c r="O2308" s="7" t="s">
        <v>613</v>
      </c>
    </row>
    <row r="2309" spans="1:15" hidden="1" x14ac:dyDescent="0.25">
      <c r="A2309" s="2">
        <f t="shared" ref="A2309:A2372" si="36">+A2308+1</f>
        <v>2307</v>
      </c>
      <c r="B2309" s="7" t="s">
        <v>5736</v>
      </c>
      <c r="C2309" s="7" t="s">
        <v>5737</v>
      </c>
      <c r="D2309" s="7" t="s">
        <v>5736</v>
      </c>
      <c r="E2309" s="7" t="s">
        <v>182</v>
      </c>
      <c r="F2309" s="7" t="s">
        <v>5738</v>
      </c>
      <c r="G2309" s="17" t="s">
        <v>7747</v>
      </c>
      <c r="H2309" s="7" t="s">
        <v>19</v>
      </c>
      <c r="I2309" s="7" t="s">
        <v>807</v>
      </c>
      <c r="J2309" s="7" t="s">
        <v>185</v>
      </c>
      <c r="K2309" s="7" t="s">
        <v>1375</v>
      </c>
      <c r="L2309" s="7" t="s">
        <v>136</v>
      </c>
      <c r="M2309" s="7">
        <v>3.8891110000000002</v>
      </c>
      <c r="N2309" s="7">
        <v>11.517639000000001</v>
      </c>
      <c r="O2309" s="7" t="s">
        <v>613</v>
      </c>
    </row>
    <row r="2310" spans="1:15" hidden="1" x14ac:dyDescent="0.25">
      <c r="A2310" s="2">
        <f t="shared" si="36"/>
        <v>2308</v>
      </c>
      <c r="B2310" s="7" t="s">
        <v>5739</v>
      </c>
      <c r="C2310" s="7" t="s">
        <v>5740</v>
      </c>
      <c r="D2310" s="7" t="s">
        <v>5739</v>
      </c>
      <c r="E2310" s="7" t="s">
        <v>182</v>
      </c>
      <c r="F2310" s="7" t="s">
        <v>5741</v>
      </c>
      <c r="G2310" s="17" t="s">
        <v>7747</v>
      </c>
      <c r="H2310" s="7" t="s">
        <v>28</v>
      </c>
      <c r="I2310" s="7" t="s">
        <v>1637</v>
      </c>
      <c r="J2310" s="7" t="s">
        <v>185</v>
      </c>
      <c r="K2310" s="7" t="s">
        <v>1462</v>
      </c>
      <c r="L2310" s="7" t="s">
        <v>136</v>
      </c>
      <c r="M2310" s="7">
        <v>3.8571499999999999</v>
      </c>
      <c r="N2310" s="7">
        <v>11.49203</v>
      </c>
      <c r="O2310" s="7" t="s">
        <v>613</v>
      </c>
    </row>
    <row r="2311" spans="1:15" hidden="1" x14ac:dyDescent="0.25">
      <c r="A2311" s="2">
        <f t="shared" si="36"/>
        <v>2309</v>
      </c>
      <c r="B2311" s="7" t="s">
        <v>5742</v>
      </c>
      <c r="C2311" s="7" t="s">
        <v>5743</v>
      </c>
      <c r="D2311" s="7" t="s">
        <v>5742</v>
      </c>
      <c r="E2311" s="7" t="s">
        <v>182</v>
      </c>
      <c r="F2311" s="7" t="s">
        <v>5744</v>
      </c>
      <c r="G2311" s="17" t="s">
        <v>7747</v>
      </c>
      <c r="H2311" s="7" t="s">
        <v>19</v>
      </c>
      <c r="I2311" s="7" t="s">
        <v>1366</v>
      </c>
      <c r="J2311" s="7" t="s">
        <v>185</v>
      </c>
      <c r="K2311" s="7" t="s">
        <v>808</v>
      </c>
      <c r="L2311" s="7" t="s">
        <v>136</v>
      </c>
      <c r="M2311" s="7">
        <v>3.8762379999999999</v>
      </c>
      <c r="N2311" s="7">
        <v>11.525055</v>
      </c>
      <c r="O2311" s="7" t="s">
        <v>613</v>
      </c>
    </row>
    <row r="2312" spans="1:15" hidden="1" x14ac:dyDescent="0.25">
      <c r="A2312" s="2">
        <f t="shared" si="36"/>
        <v>2310</v>
      </c>
      <c r="B2312" s="7" t="s">
        <v>5745</v>
      </c>
      <c r="C2312" s="7" t="s">
        <v>5746</v>
      </c>
      <c r="D2312" s="7" t="s">
        <v>5745</v>
      </c>
      <c r="E2312" s="7" t="s">
        <v>182</v>
      </c>
      <c r="F2312" s="7" t="s">
        <v>5747</v>
      </c>
      <c r="G2312" s="17" t="s">
        <v>7747</v>
      </c>
      <c r="H2312" s="7" t="s">
        <v>19</v>
      </c>
      <c r="I2312" s="7" t="s">
        <v>1637</v>
      </c>
      <c r="J2312" s="7" t="s">
        <v>185</v>
      </c>
      <c r="K2312" s="7" t="s">
        <v>808</v>
      </c>
      <c r="L2312" s="7" t="s">
        <v>136</v>
      </c>
      <c r="M2312" s="7">
        <v>3.8656299999999999</v>
      </c>
      <c r="N2312" s="7">
        <v>11.51268</v>
      </c>
      <c r="O2312" s="7" t="s">
        <v>613</v>
      </c>
    </row>
    <row r="2313" spans="1:15" hidden="1" x14ac:dyDescent="0.25">
      <c r="A2313" s="2">
        <f t="shared" si="36"/>
        <v>2311</v>
      </c>
      <c r="B2313" s="7" t="s">
        <v>5751</v>
      </c>
      <c r="C2313" s="7" t="s">
        <v>5752</v>
      </c>
      <c r="D2313" s="7" t="s">
        <v>5751</v>
      </c>
      <c r="E2313" s="7" t="s">
        <v>182</v>
      </c>
      <c r="F2313" s="7" t="s">
        <v>5753</v>
      </c>
      <c r="G2313" s="17" t="s">
        <v>7747</v>
      </c>
      <c r="H2313" s="7" t="s">
        <v>19</v>
      </c>
      <c r="I2313" s="7" t="s">
        <v>1385</v>
      </c>
      <c r="J2313" s="7" t="s">
        <v>185</v>
      </c>
      <c r="K2313" s="7" t="s">
        <v>1367</v>
      </c>
      <c r="L2313" s="7" t="s">
        <v>136</v>
      </c>
      <c r="M2313" s="7">
        <v>3.7143799999999998</v>
      </c>
      <c r="N2313" s="7">
        <v>11.53791</v>
      </c>
      <c r="O2313" s="7" t="s">
        <v>23</v>
      </c>
    </row>
    <row r="2314" spans="1:15" hidden="1" x14ac:dyDescent="0.25">
      <c r="A2314" s="2">
        <f t="shared" si="36"/>
        <v>2312</v>
      </c>
      <c r="B2314" s="7" t="s">
        <v>5754</v>
      </c>
      <c r="C2314" s="7" t="s">
        <v>5755</v>
      </c>
      <c r="D2314" s="7" t="s">
        <v>5754</v>
      </c>
      <c r="E2314" s="7" t="s">
        <v>182</v>
      </c>
      <c r="F2314" s="7" t="s">
        <v>5756</v>
      </c>
      <c r="G2314" s="17" t="s">
        <v>7747</v>
      </c>
      <c r="H2314" s="7" t="s">
        <v>19</v>
      </c>
      <c r="I2314" s="7" t="s">
        <v>1337</v>
      </c>
      <c r="J2314" s="7" t="s">
        <v>185</v>
      </c>
      <c r="K2314" s="7" t="s">
        <v>808</v>
      </c>
      <c r="L2314" s="7" t="s">
        <v>136</v>
      </c>
      <c r="M2314" s="7">
        <v>3.8643900000000002</v>
      </c>
      <c r="N2314" s="7">
        <v>11.518974</v>
      </c>
      <c r="O2314" s="7" t="s">
        <v>613</v>
      </c>
    </row>
    <row r="2315" spans="1:15" hidden="1" x14ac:dyDescent="0.25">
      <c r="A2315" s="2">
        <f t="shared" si="36"/>
        <v>2313</v>
      </c>
      <c r="B2315" s="7" t="s">
        <v>5778</v>
      </c>
      <c r="C2315" s="7" t="s">
        <v>5779</v>
      </c>
      <c r="D2315" s="7" t="s">
        <v>5778</v>
      </c>
      <c r="E2315" s="7" t="s">
        <v>182</v>
      </c>
      <c r="F2315" s="7" t="s">
        <v>5780</v>
      </c>
      <c r="G2315" s="17" t="s">
        <v>7747</v>
      </c>
      <c r="H2315" s="7" t="s">
        <v>19</v>
      </c>
      <c r="I2315" s="7" t="s">
        <v>1637</v>
      </c>
      <c r="J2315" s="7" t="s">
        <v>185</v>
      </c>
      <c r="K2315" s="7" t="s">
        <v>1462</v>
      </c>
      <c r="L2315" s="7" t="s">
        <v>136</v>
      </c>
      <c r="M2315" s="7">
        <v>3.8673609999999998</v>
      </c>
      <c r="N2315" s="7">
        <v>11.496333</v>
      </c>
      <c r="O2315" s="7" t="s">
        <v>613</v>
      </c>
    </row>
    <row r="2316" spans="1:15" hidden="1" x14ac:dyDescent="0.25">
      <c r="A2316" s="2">
        <f t="shared" si="36"/>
        <v>2314</v>
      </c>
      <c r="B2316" s="7" t="s">
        <v>5784</v>
      </c>
      <c r="C2316" s="7" t="s">
        <v>5785</v>
      </c>
      <c r="D2316" s="7" t="s">
        <v>5784</v>
      </c>
      <c r="E2316" s="7" t="s">
        <v>182</v>
      </c>
      <c r="F2316" s="7" t="s">
        <v>5786</v>
      </c>
      <c r="G2316" s="17" t="s">
        <v>7747</v>
      </c>
      <c r="H2316" s="7" t="s">
        <v>19</v>
      </c>
      <c r="I2316" s="7" t="s">
        <v>1553</v>
      </c>
      <c r="J2316" s="7" t="s">
        <v>185</v>
      </c>
      <c r="K2316" s="7" t="s">
        <v>1367</v>
      </c>
      <c r="L2316" s="7" t="s">
        <v>136</v>
      </c>
      <c r="M2316" s="7">
        <v>3.8445559999999999</v>
      </c>
      <c r="N2316" s="7">
        <v>11.541278</v>
      </c>
      <c r="O2316" s="7" t="s">
        <v>613</v>
      </c>
    </row>
    <row r="2317" spans="1:15" hidden="1" x14ac:dyDescent="0.25">
      <c r="A2317" s="2">
        <f t="shared" si="36"/>
        <v>2315</v>
      </c>
      <c r="B2317" s="7" t="s">
        <v>5787</v>
      </c>
      <c r="C2317" s="7" t="s">
        <v>5788</v>
      </c>
      <c r="D2317" s="7" t="s">
        <v>5787</v>
      </c>
      <c r="E2317" s="7" t="s">
        <v>182</v>
      </c>
      <c r="F2317" s="7" t="s">
        <v>5789</v>
      </c>
      <c r="G2317" s="17" t="s">
        <v>7747</v>
      </c>
      <c r="H2317" s="7" t="s">
        <v>28</v>
      </c>
      <c r="I2317" s="7" t="s">
        <v>600</v>
      </c>
      <c r="J2317" s="7" t="s">
        <v>208</v>
      </c>
      <c r="K2317" s="7" t="s">
        <v>1965</v>
      </c>
      <c r="L2317" s="7" t="s">
        <v>136</v>
      </c>
      <c r="M2317" s="7">
        <v>4.0110099999999997</v>
      </c>
      <c r="N2317" s="7">
        <v>10.93967</v>
      </c>
      <c r="O2317" s="7" t="s">
        <v>23</v>
      </c>
    </row>
    <row r="2318" spans="1:15" hidden="1" x14ac:dyDescent="0.25">
      <c r="A2318" s="2">
        <f t="shared" si="36"/>
        <v>2316</v>
      </c>
      <c r="B2318" s="7" t="s">
        <v>5790</v>
      </c>
      <c r="C2318" s="7" t="s">
        <v>5791</v>
      </c>
      <c r="D2318" s="7" t="s">
        <v>5790</v>
      </c>
      <c r="E2318" s="7" t="s">
        <v>182</v>
      </c>
      <c r="F2318" s="7" t="s">
        <v>5792</v>
      </c>
      <c r="G2318" s="17" t="s">
        <v>7747</v>
      </c>
      <c r="H2318" s="7" t="s">
        <v>19</v>
      </c>
      <c r="I2318" s="7" t="s">
        <v>1374</v>
      </c>
      <c r="J2318" s="7" t="s">
        <v>185</v>
      </c>
      <c r="K2318" s="7" t="s">
        <v>1375</v>
      </c>
      <c r="L2318" s="7" t="s">
        <v>136</v>
      </c>
      <c r="M2318" s="7">
        <v>3.8880279999999998</v>
      </c>
      <c r="N2318" s="7">
        <v>11.492417</v>
      </c>
      <c r="O2318" s="7" t="s">
        <v>613</v>
      </c>
    </row>
    <row r="2319" spans="1:15" hidden="1" x14ac:dyDescent="0.25">
      <c r="A2319" s="2">
        <f t="shared" si="36"/>
        <v>2317</v>
      </c>
      <c r="B2319" s="7" t="s">
        <v>5793</v>
      </c>
      <c r="C2319" s="7" t="s">
        <v>5794</v>
      </c>
      <c r="D2319" s="7" t="s">
        <v>5793</v>
      </c>
      <c r="E2319" s="7" t="s">
        <v>182</v>
      </c>
      <c r="F2319" s="7" t="s">
        <v>5795</v>
      </c>
      <c r="G2319" s="17" t="s">
        <v>7747</v>
      </c>
      <c r="H2319" s="7" t="s">
        <v>28</v>
      </c>
      <c r="I2319" s="7" t="s">
        <v>1374</v>
      </c>
      <c r="J2319" s="7" t="s">
        <v>185</v>
      </c>
      <c r="K2319" s="7" t="s">
        <v>1375</v>
      </c>
      <c r="L2319" s="7" t="s">
        <v>136</v>
      </c>
      <c r="M2319" s="7">
        <v>3.891556</v>
      </c>
      <c r="N2319" s="7">
        <v>11.500999999999999</v>
      </c>
      <c r="O2319" s="7" t="s">
        <v>613</v>
      </c>
    </row>
    <row r="2320" spans="1:15" hidden="1" x14ac:dyDescent="0.25">
      <c r="A2320" s="2">
        <f t="shared" si="36"/>
        <v>2318</v>
      </c>
      <c r="B2320" s="7" t="s">
        <v>5796</v>
      </c>
      <c r="C2320" s="7" t="s">
        <v>5797</v>
      </c>
      <c r="D2320" s="7" t="s">
        <v>5796</v>
      </c>
      <c r="E2320" s="7" t="s">
        <v>182</v>
      </c>
      <c r="F2320" s="7" t="s">
        <v>5753</v>
      </c>
      <c r="G2320" s="17" t="s">
        <v>7747</v>
      </c>
      <c r="H2320" s="7" t="s">
        <v>19</v>
      </c>
      <c r="I2320" s="7" t="s">
        <v>1385</v>
      </c>
      <c r="J2320" s="7" t="s">
        <v>185</v>
      </c>
      <c r="K2320" s="7" t="s">
        <v>1367</v>
      </c>
      <c r="L2320" s="7" t="s">
        <v>136</v>
      </c>
      <c r="M2320" s="7">
        <v>3.7141999999999999</v>
      </c>
      <c r="N2320" s="7">
        <v>11.537649999999999</v>
      </c>
      <c r="O2320" s="7" t="s">
        <v>23</v>
      </c>
    </row>
    <row r="2321" spans="1:15" hidden="1" x14ac:dyDescent="0.25">
      <c r="A2321" s="2">
        <f t="shared" si="36"/>
        <v>2319</v>
      </c>
      <c r="B2321" s="7" t="s">
        <v>5798</v>
      </c>
      <c r="C2321" s="7" t="s">
        <v>5799</v>
      </c>
      <c r="D2321" s="7" t="s">
        <v>5798</v>
      </c>
      <c r="E2321" s="7" t="s">
        <v>182</v>
      </c>
      <c r="F2321" s="7" t="s">
        <v>5800</v>
      </c>
      <c r="G2321" s="17" t="s">
        <v>7747</v>
      </c>
      <c r="H2321" s="7" t="s">
        <v>28</v>
      </c>
      <c r="I2321" s="7" t="s">
        <v>184</v>
      </c>
      <c r="J2321" s="7" t="s">
        <v>185</v>
      </c>
      <c r="K2321" s="7" t="s">
        <v>1435</v>
      </c>
      <c r="L2321" s="7" t="s">
        <v>136</v>
      </c>
      <c r="M2321" s="7">
        <v>3.8979339999999998</v>
      </c>
      <c r="N2321" s="7">
        <v>11.550264</v>
      </c>
      <c r="O2321" s="7" t="s">
        <v>613</v>
      </c>
    </row>
    <row r="2322" spans="1:15" hidden="1" x14ac:dyDescent="0.25">
      <c r="A2322" s="2">
        <f t="shared" si="36"/>
        <v>2320</v>
      </c>
      <c r="B2322" s="7" t="s">
        <v>5807</v>
      </c>
      <c r="C2322" s="7" t="s">
        <v>5808</v>
      </c>
      <c r="D2322" s="7" t="s">
        <v>5807</v>
      </c>
      <c r="E2322" s="7" t="s">
        <v>182</v>
      </c>
      <c r="F2322" s="7" t="s">
        <v>5809</v>
      </c>
      <c r="G2322" s="17" t="s">
        <v>7747</v>
      </c>
      <c r="H2322" s="7" t="s">
        <v>28</v>
      </c>
      <c r="I2322" s="7" t="s">
        <v>1553</v>
      </c>
      <c r="J2322" s="7" t="s">
        <v>185</v>
      </c>
      <c r="K2322" s="7" t="s">
        <v>1435</v>
      </c>
      <c r="L2322" s="7" t="s">
        <v>136</v>
      </c>
      <c r="M2322" s="7">
        <v>3.86938</v>
      </c>
      <c r="N2322" s="7">
        <v>11.554679999999999</v>
      </c>
      <c r="O2322" s="7" t="s">
        <v>98</v>
      </c>
    </row>
    <row r="2323" spans="1:15" hidden="1" x14ac:dyDescent="0.25">
      <c r="A2323" s="2">
        <f t="shared" si="36"/>
        <v>2321</v>
      </c>
      <c r="B2323" s="7" t="s">
        <v>5810</v>
      </c>
      <c r="C2323" s="7" t="s">
        <v>5811</v>
      </c>
      <c r="D2323" s="7" t="s">
        <v>5810</v>
      </c>
      <c r="E2323" s="7" t="s">
        <v>182</v>
      </c>
      <c r="F2323" s="7" t="s">
        <v>5812</v>
      </c>
      <c r="G2323" s="17" t="s">
        <v>7747</v>
      </c>
      <c r="H2323" s="7" t="s">
        <v>19</v>
      </c>
      <c r="I2323" s="7" t="s">
        <v>1553</v>
      </c>
      <c r="J2323" s="7" t="s">
        <v>185</v>
      </c>
      <c r="K2323" s="7" t="s">
        <v>1435</v>
      </c>
      <c r="L2323" s="7" t="s">
        <v>136</v>
      </c>
      <c r="M2323" s="7">
        <v>3.8684500000000002</v>
      </c>
      <c r="N2323" s="7">
        <v>11.544280000000001</v>
      </c>
      <c r="O2323" s="7" t="s">
        <v>613</v>
      </c>
    </row>
    <row r="2324" spans="1:15" hidden="1" x14ac:dyDescent="0.25">
      <c r="A2324" s="2">
        <f t="shared" si="36"/>
        <v>2322</v>
      </c>
      <c r="B2324" s="7" t="s">
        <v>5813</v>
      </c>
      <c r="C2324" s="7" t="s">
        <v>5814</v>
      </c>
      <c r="D2324" s="7" t="s">
        <v>5813</v>
      </c>
      <c r="E2324" s="7" t="s">
        <v>182</v>
      </c>
      <c r="F2324" s="7" t="s">
        <v>5815</v>
      </c>
      <c r="G2324" s="17" t="s">
        <v>7747</v>
      </c>
      <c r="H2324" s="7" t="s">
        <v>28</v>
      </c>
      <c r="I2324" s="7" t="s">
        <v>807</v>
      </c>
      <c r="J2324" s="7" t="s">
        <v>185</v>
      </c>
      <c r="K2324" s="7" t="s">
        <v>808</v>
      </c>
      <c r="L2324" s="7" t="s">
        <v>136</v>
      </c>
      <c r="M2324" s="7">
        <v>3.882428</v>
      </c>
      <c r="N2324" s="7">
        <v>11.529622</v>
      </c>
      <c r="O2324" s="7" t="s">
        <v>613</v>
      </c>
    </row>
    <row r="2325" spans="1:15" hidden="1" x14ac:dyDescent="0.25">
      <c r="A2325" s="2">
        <f t="shared" si="36"/>
        <v>2323</v>
      </c>
      <c r="B2325" s="7" t="s">
        <v>5819</v>
      </c>
      <c r="C2325" s="7" t="s">
        <v>5820</v>
      </c>
      <c r="D2325" s="7" t="s">
        <v>5819</v>
      </c>
      <c r="E2325" s="7" t="s">
        <v>182</v>
      </c>
      <c r="F2325" s="7" t="s">
        <v>5821</v>
      </c>
      <c r="G2325" s="17" t="s">
        <v>7747</v>
      </c>
      <c r="H2325" s="7" t="s">
        <v>28</v>
      </c>
      <c r="I2325" s="7" t="s">
        <v>1374</v>
      </c>
      <c r="J2325" s="7" t="s">
        <v>185</v>
      </c>
      <c r="K2325" s="7" t="s">
        <v>1375</v>
      </c>
      <c r="L2325" s="7" t="s">
        <v>136</v>
      </c>
      <c r="M2325" s="7">
        <v>3.876722</v>
      </c>
      <c r="N2325" s="7">
        <v>11.504611000000001</v>
      </c>
      <c r="O2325" s="7" t="s">
        <v>613</v>
      </c>
    </row>
    <row r="2326" spans="1:15" hidden="1" x14ac:dyDescent="0.25">
      <c r="A2326" s="2">
        <f t="shared" si="36"/>
        <v>2324</v>
      </c>
      <c r="B2326" s="7" t="s">
        <v>5828</v>
      </c>
      <c r="C2326" s="7" t="s">
        <v>5829</v>
      </c>
      <c r="D2326" s="7" t="s">
        <v>5828</v>
      </c>
      <c r="E2326" s="7" t="s">
        <v>182</v>
      </c>
      <c r="F2326" s="7" t="s">
        <v>5830</v>
      </c>
      <c r="G2326" s="17" t="s">
        <v>7747</v>
      </c>
      <c r="H2326" s="7" t="s">
        <v>19</v>
      </c>
      <c r="I2326" s="7" t="s">
        <v>807</v>
      </c>
      <c r="J2326" s="7" t="s">
        <v>185</v>
      </c>
      <c r="K2326" s="7" t="s">
        <v>808</v>
      </c>
      <c r="L2326" s="7" t="s">
        <v>136</v>
      </c>
      <c r="M2326" s="7">
        <v>3.907</v>
      </c>
      <c r="N2326" s="7">
        <v>11.512</v>
      </c>
      <c r="O2326" s="7" t="s">
        <v>613</v>
      </c>
    </row>
    <row r="2327" spans="1:15" hidden="1" x14ac:dyDescent="0.25">
      <c r="A2327" s="2">
        <f t="shared" si="36"/>
        <v>2325</v>
      </c>
      <c r="B2327" s="7" t="s">
        <v>5831</v>
      </c>
      <c r="C2327" s="7" t="s">
        <v>5832</v>
      </c>
      <c r="D2327" s="7" t="s">
        <v>5831</v>
      </c>
      <c r="E2327" s="7" t="s">
        <v>182</v>
      </c>
      <c r="F2327" s="7" t="s">
        <v>2181</v>
      </c>
      <c r="G2327" s="17" t="s">
        <v>7747</v>
      </c>
      <c r="H2327" s="7" t="s">
        <v>19</v>
      </c>
      <c r="I2327" s="7" t="s">
        <v>807</v>
      </c>
      <c r="J2327" s="7" t="s">
        <v>185</v>
      </c>
      <c r="K2327" s="7" t="s">
        <v>808</v>
      </c>
      <c r="L2327" s="7" t="s">
        <v>136</v>
      </c>
      <c r="M2327" s="7">
        <v>3.9072779999999998</v>
      </c>
      <c r="N2327" s="7">
        <v>11.511666999999999</v>
      </c>
      <c r="O2327" s="7" t="s">
        <v>613</v>
      </c>
    </row>
    <row r="2328" spans="1:15" hidden="1" x14ac:dyDescent="0.25">
      <c r="A2328" s="2">
        <f t="shared" si="36"/>
        <v>2326</v>
      </c>
      <c r="B2328" s="7" t="s">
        <v>5842</v>
      </c>
      <c r="C2328" s="7" t="s">
        <v>5843</v>
      </c>
      <c r="D2328" s="7" t="s">
        <v>5842</v>
      </c>
      <c r="E2328" s="7" t="s">
        <v>182</v>
      </c>
      <c r="F2328" s="7" t="s">
        <v>5844</v>
      </c>
      <c r="G2328" s="17" t="s">
        <v>7747</v>
      </c>
      <c r="H2328" s="7" t="s">
        <v>28</v>
      </c>
      <c r="I2328" s="7" t="s">
        <v>297</v>
      </c>
      <c r="J2328" s="7" t="s">
        <v>298</v>
      </c>
      <c r="K2328" s="7" t="s">
        <v>299</v>
      </c>
      <c r="L2328" s="7" t="s">
        <v>136</v>
      </c>
      <c r="M2328" s="7">
        <v>4.1991699999999996</v>
      </c>
      <c r="N2328" s="7">
        <v>10.974460000000001</v>
      </c>
      <c r="O2328" s="7" t="s">
        <v>23</v>
      </c>
    </row>
    <row r="2329" spans="1:15" x14ac:dyDescent="0.25">
      <c r="A2329" s="2">
        <f t="shared" si="36"/>
        <v>2327</v>
      </c>
      <c r="B2329" s="7" t="s">
        <v>5865</v>
      </c>
      <c r="C2329" s="7" t="s">
        <v>5866</v>
      </c>
      <c r="D2329" s="7" t="s">
        <v>5865</v>
      </c>
      <c r="E2329" s="7" t="s">
        <v>131</v>
      </c>
      <c r="F2329" s="7" t="s">
        <v>5867</v>
      </c>
      <c r="G2329" s="17" t="s">
        <v>7747</v>
      </c>
      <c r="H2329" s="7" t="s">
        <v>28</v>
      </c>
      <c r="I2329" s="7" t="s">
        <v>133</v>
      </c>
      <c r="J2329" s="7" t="s">
        <v>134</v>
      </c>
      <c r="K2329" s="7" t="s">
        <v>135</v>
      </c>
      <c r="L2329" s="7" t="s">
        <v>136</v>
      </c>
      <c r="M2329" s="7">
        <v>4.6516289999999998</v>
      </c>
      <c r="N2329" s="7">
        <v>11.519522</v>
      </c>
      <c r="O2329" s="7" t="s">
        <v>23</v>
      </c>
    </row>
    <row r="2330" spans="1:15" hidden="1" x14ac:dyDescent="0.25">
      <c r="A2330" s="2">
        <f t="shared" si="36"/>
        <v>2328</v>
      </c>
      <c r="B2330" s="7" t="s">
        <v>5884</v>
      </c>
      <c r="C2330" s="7" t="s">
        <v>5885</v>
      </c>
      <c r="D2330" s="7" t="s">
        <v>5884</v>
      </c>
      <c r="E2330" s="7" t="s">
        <v>250</v>
      </c>
      <c r="F2330" s="7" t="s">
        <v>5886</v>
      </c>
      <c r="G2330" s="17" t="s">
        <v>7747</v>
      </c>
      <c r="H2330" s="7" t="s">
        <v>28</v>
      </c>
      <c r="I2330" s="7" t="s">
        <v>322</v>
      </c>
      <c r="J2330" s="7" t="s">
        <v>253</v>
      </c>
      <c r="K2330" s="7" t="s">
        <v>324</v>
      </c>
      <c r="L2330" s="7" t="s">
        <v>136</v>
      </c>
      <c r="M2330" s="7">
        <v>2.8376190000000001</v>
      </c>
      <c r="N2330" s="7">
        <v>12.041423</v>
      </c>
      <c r="O2330" s="7" t="s">
        <v>23</v>
      </c>
    </row>
    <row r="2331" spans="1:15" hidden="1" x14ac:dyDescent="0.25">
      <c r="A2331" s="2">
        <f t="shared" si="36"/>
        <v>2329</v>
      </c>
      <c r="B2331" s="7" t="s">
        <v>5887</v>
      </c>
      <c r="C2331" s="7" t="s">
        <v>5888</v>
      </c>
      <c r="D2331" s="7" t="s">
        <v>5887</v>
      </c>
      <c r="E2331" s="7" t="s">
        <v>250</v>
      </c>
      <c r="F2331" s="7" t="s">
        <v>5889</v>
      </c>
      <c r="G2331" s="17" t="s">
        <v>7747</v>
      </c>
      <c r="H2331" s="7" t="s">
        <v>28</v>
      </c>
      <c r="I2331" s="7" t="s">
        <v>252</v>
      </c>
      <c r="J2331" s="7" t="s">
        <v>253</v>
      </c>
      <c r="K2331" s="7" t="s">
        <v>881</v>
      </c>
      <c r="L2331" s="7" t="s">
        <v>136</v>
      </c>
      <c r="M2331" s="7">
        <v>2.7623489999999999</v>
      </c>
      <c r="N2331" s="7">
        <v>12.567072</v>
      </c>
      <c r="O2331" s="7" t="s">
        <v>23</v>
      </c>
    </row>
    <row r="2332" spans="1:15" hidden="1" x14ac:dyDescent="0.25">
      <c r="A2332" s="2">
        <f t="shared" si="36"/>
        <v>2330</v>
      </c>
      <c r="B2332" s="7" t="s">
        <v>5893</v>
      </c>
      <c r="C2332" s="7" t="s">
        <v>5894</v>
      </c>
      <c r="D2332" s="7" t="s">
        <v>5893</v>
      </c>
      <c r="E2332" s="7" t="s">
        <v>250</v>
      </c>
      <c r="F2332" s="7" t="s">
        <v>5895</v>
      </c>
      <c r="G2332" s="17" t="s">
        <v>7747</v>
      </c>
      <c r="H2332" s="7" t="s">
        <v>28</v>
      </c>
      <c r="I2332" s="7" t="s">
        <v>311</v>
      </c>
      <c r="J2332" s="7" t="s">
        <v>312</v>
      </c>
      <c r="K2332" s="7" t="s">
        <v>5896</v>
      </c>
      <c r="L2332" s="7" t="s">
        <v>136</v>
      </c>
      <c r="M2332" s="7">
        <v>3.0247660000000001</v>
      </c>
      <c r="N2332" s="7">
        <v>11.409364999999999</v>
      </c>
      <c r="O2332" s="7" t="s">
        <v>23</v>
      </c>
    </row>
    <row r="2333" spans="1:15" hidden="1" x14ac:dyDescent="0.25">
      <c r="A2333" s="2">
        <f t="shared" si="36"/>
        <v>2331</v>
      </c>
      <c r="B2333" s="7" t="s">
        <v>5897</v>
      </c>
      <c r="C2333" s="7" t="s">
        <v>5898</v>
      </c>
      <c r="D2333" s="7" t="s">
        <v>5897</v>
      </c>
      <c r="E2333" s="7" t="s">
        <v>182</v>
      </c>
      <c r="F2333" s="7" t="s">
        <v>5899</v>
      </c>
      <c r="G2333" s="17" t="s">
        <v>7747</v>
      </c>
      <c r="H2333" s="7" t="s">
        <v>28</v>
      </c>
      <c r="I2333" s="7" t="s">
        <v>374</v>
      </c>
      <c r="J2333" s="7" t="s">
        <v>287</v>
      </c>
      <c r="K2333" s="7" t="s">
        <v>1783</v>
      </c>
      <c r="L2333" s="7" t="s">
        <v>136</v>
      </c>
      <c r="M2333" s="7">
        <v>4.3018070000000002</v>
      </c>
      <c r="N2333" s="7">
        <v>11.516019</v>
      </c>
      <c r="O2333" s="7" t="s">
        <v>23</v>
      </c>
    </row>
    <row r="2334" spans="1:15" hidden="1" x14ac:dyDescent="0.25">
      <c r="A2334" s="2">
        <f t="shared" si="36"/>
        <v>2332</v>
      </c>
      <c r="B2334" s="7" t="s">
        <v>5906</v>
      </c>
      <c r="C2334" s="7" t="s">
        <v>5907</v>
      </c>
      <c r="D2334" s="7" t="s">
        <v>5906</v>
      </c>
      <c r="E2334" s="7" t="s">
        <v>182</v>
      </c>
      <c r="F2334" s="7" t="s">
        <v>5896</v>
      </c>
      <c r="G2334" s="17" t="s">
        <v>7747</v>
      </c>
      <c r="H2334" s="7" t="s">
        <v>28</v>
      </c>
      <c r="I2334" s="7" t="s">
        <v>817</v>
      </c>
      <c r="J2334" s="7" t="s">
        <v>568</v>
      </c>
      <c r="K2334" s="7" t="s">
        <v>1988</v>
      </c>
      <c r="L2334" s="7" t="s">
        <v>136</v>
      </c>
      <c r="M2334" s="7">
        <v>3.9259330000000001</v>
      </c>
      <c r="N2334" s="7">
        <v>12.672193</v>
      </c>
      <c r="O2334" s="7" t="s">
        <v>23</v>
      </c>
    </row>
    <row r="2335" spans="1:15" x14ac:dyDescent="0.25">
      <c r="A2335" s="2">
        <f t="shared" si="36"/>
        <v>2333</v>
      </c>
      <c r="B2335" s="7" t="s">
        <v>5921</v>
      </c>
      <c r="C2335" s="7" t="s">
        <v>5922</v>
      </c>
      <c r="D2335" s="7" t="s">
        <v>5921</v>
      </c>
      <c r="E2335" s="7" t="s">
        <v>131</v>
      </c>
      <c r="F2335" s="7" t="s">
        <v>5923</v>
      </c>
      <c r="G2335" s="17" t="s">
        <v>7747</v>
      </c>
      <c r="H2335" s="7" t="s">
        <v>28</v>
      </c>
      <c r="I2335" s="7" t="s">
        <v>133</v>
      </c>
      <c r="J2335" s="7" t="s">
        <v>134</v>
      </c>
      <c r="K2335" s="7" t="s">
        <v>135</v>
      </c>
      <c r="L2335" s="7" t="s">
        <v>136</v>
      </c>
      <c r="M2335" s="7">
        <v>4.766</v>
      </c>
      <c r="N2335" s="7">
        <v>11.535259999999999</v>
      </c>
      <c r="O2335" s="7" t="s">
        <v>23</v>
      </c>
    </row>
    <row r="2336" spans="1:15" hidden="1" x14ac:dyDescent="0.25">
      <c r="A2336" s="2">
        <f t="shared" si="36"/>
        <v>2334</v>
      </c>
      <c r="B2336" s="7" t="s">
        <v>5945</v>
      </c>
      <c r="C2336" s="7" t="s">
        <v>5946</v>
      </c>
      <c r="D2336" s="7" t="s">
        <v>5945</v>
      </c>
      <c r="E2336" s="7" t="s">
        <v>250</v>
      </c>
      <c r="F2336" s="7" t="s">
        <v>5947</v>
      </c>
      <c r="G2336" s="17" t="s">
        <v>7747</v>
      </c>
      <c r="H2336" s="7" t="s">
        <v>28</v>
      </c>
      <c r="I2336" s="7" t="s">
        <v>252</v>
      </c>
      <c r="J2336" s="7" t="s">
        <v>253</v>
      </c>
      <c r="K2336" s="7" t="s">
        <v>501</v>
      </c>
      <c r="L2336" s="7" t="s">
        <v>136</v>
      </c>
      <c r="M2336" s="7">
        <v>2.7253889999999998</v>
      </c>
      <c r="N2336" s="7">
        <v>13.062111</v>
      </c>
      <c r="O2336" s="7" t="s">
        <v>23</v>
      </c>
    </row>
    <row r="2337" spans="1:15" hidden="1" x14ac:dyDescent="0.25">
      <c r="A2337" s="2">
        <f t="shared" si="36"/>
        <v>2335</v>
      </c>
      <c r="B2337" s="7" t="s">
        <v>5967</v>
      </c>
      <c r="C2337" s="7" t="s">
        <v>5968</v>
      </c>
      <c r="D2337" s="7" t="s">
        <v>5967</v>
      </c>
      <c r="E2337" s="7" t="s">
        <v>182</v>
      </c>
      <c r="F2337" s="7" t="s">
        <v>5969</v>
      </c>
      <c r="G2337" s="17" t="s">
        <v>7747</v>
      </c>
      <c r="H2337" s="7" t="s">
        <v>28</v>
      </c>
      <c r="I2337" s="7" t="s">
        <v>600</v>
      </c>
      <c r="J2337" s="7" t="s">
        <v>208</v>
      </c>
      <c r="K2337" s="7" t="s">
        <v>485</v>
      </c>
      <c r="L2337" s="7" t="s">
        <v>136</v>
      </c>
      <c r="M2337" s="7">
        <v>3.761517</v>
      </c>
      <c r="N2337" s="7">
        <v>11.092174999999999</v>
      </c>
      <c r="O2337" s="7" t="s">
        <v>23</v>
      </c>
    </row>
    <row r="2338" spans="1:15" hidden="1" x14ac:dyDescent="0.25">
      <c r="A2338" s="2">
        <f t="shared" si="36"/>
        <v>2336</v>
      </c>
      <c r="B2338" s="7" t="s">
        <v>6009</v>
      </c>
      <c r="C2338" s="7" t="s">
        <v>6010</v>
      </c>
      <c r="D2338" s="7" t="s">
        <v>6009</v>
      </c>
      <c r="E2338" s="7" t="s">
        <v>250</v>
      </c>
      <c r="F2338" s="7" t="s">
        <v>6011</v>
      </c>
      <c r="G2338" s="17" t="s">
        <v>7747</v>
      </c>
      <c r="H2338" s="7" t="s">
        <v>28</v>
      </c>
      <c r="I2338" s="7" t="s">
        <v>252</v>
      </c>
      <c r="J2338" s="7" t="s">
        <v>253</v>
      </c>
      <c r="K2338" s="7" t="s">
        <v>881</v>
      </c>
      <c r="L2338" s="7" t="s">
        <v>136</v>
      </c>
      <c r="M2338" s="7">
        <v>2.660615</v>
      </c>
      <c r="N2338" s="7">
        <v>12.726322</v>
      </c>
      <c r="O2338" s="7" t="s">
        <v>23</v>
      </c>
    </row>
    <row r="2339" spans="1:15" hidden="1" x14ac:dyDescent="0.25">
      <c r="A2339" s="2">
        <f t="shared" si="36"/>
        <v>2337</v>
      </c>
      <c r="B2339" s="7" t="s">
        <v>6022</v>
      </c>
      <c r="C2339" s="7" t="s">
        <v>6023</v>
      </c>
      <c r="D2339" s="7" t="s">
        <v>6022</v>
      </c>
      <c r="E2339" s="7" t="s">
        <v>182</v>
      </c>
      <c r="F2339" s="7" t="s">
        <v>6024</v>
      </c>
      <c r="G2339" s="17" t="s">
        <v>7747</v>
      </c>
      <c r="H2339" s="7" t="s">
        <v>28</v>
      </c>
      <c r="I2339" s="7" t="s">
        <v>374</v>
      </c>
      <c r="J2339" s="7" t="s">
        <v>134</v>
      </c>
      <c r="K2339" s="7" t="s">
        <v>383</v>
      </c>
      <c r="L2339" s="7" t="s">
        <v>136</v>
      </c>
      <c r="M2339" s="7">
        <v>4.7733400000000001</v>
      </c>
      <c r="N2339" s="7">
        <v>11.800380000000001</v>
      </c>
      <c r="O2339" s="7" t="s">
        <v>23</v>
      </c>
    </row>
    <row r="2340" spans="1:15" hidden="1" x14ac:dyDescent="0.25">
      <c r="A2340" s="2">
        <f t="shared" si="36"/>
        <v>2338</v>
      </c>
      <c r="B2340" s="7" t="s">
        <v>6025</v>
      </c>
      <c r="C2340" s="7" t="s">
        <v>6026</v>
      </c>
      <c r="D2340" s="7" t="s">
        <v>6025</v>
      </c>
      <c r="E2340" s="7" t="s">
        <v>182</v>
      </c>
      <c r="F2340" s="7" t="s">
        <v>6027</v>
      </c>
      <c r="G2340" s="17" t="s">
        <v>7747</v>
      </c>
      <c r="H2340" s="7" t="s">
        <v>28</v>
      </c>
      <c r="I2340" s="7" t="s">
        <v>374</v>
      </c>
      <c r="J2340" s="7" t="s">
        <v>134</v>
      </c>
      <c r="K2340" s="7" t="s">
        <v>383</v>
      </c>
      <c r="L2340" s="7" t="s">
        <v>136</v>
      </c>
      <c r="M2340" s="7">
        <v>4.9101520000000001</v>
      </c>
      <c r="N2340" s="7">
        <v>11.996760999999999</v>
      </c>
      <c r="O2340" s="7" t="s">
        <v>23</v>
      </c>
    </row>
    <row r="2341" spans="1:15" hidden="1" x14ac:dyDescent="0.25">
      <c r="A2341" s="2">
        <f t="shared" si="36"/>
        <v>2339</v>
      </c>
      <c r="B2341" s="7" t="s">
        <v>6049</v>
      </c>
      <c r="C2341" s="7" t="s">
        <v>6050</v>
      </c>
      <c r="D2341" s="7" t="s">
        <v>6049</v>
      </c>
      <c r="E2341" s="7" t="s">
        <v>250</v>
      </c>
      <c r="F2341" s="7" t="s">
        <v>6051</v>
      </c>
      <c r="G2341" s="17" t="s">
        <v>7747</v>
      </c>
      <c r="H2341" s="7" t="s">
        <v>28</v>
      </c>
      <c r="I2341" s="7" t="s">
        <v>252</v>
      </c>
      <c r="J2341" s="7" t="s">
        <v>323</v>
      </c>
      <c r="K2341" s="7" t="s">
        <v>4849</v>
      </c>
      <c r="L2341" s="7" t="s">
        <v>136</v>
      </c>
      <c r="M2341" s="7">
        <v>2.8130999999999999</v>
      </c>
      <c r="N2341" s="7">
        <v>12.41282</v>
      </c>
      <c r="O2341" s="7" t="s">
        <v>6052</v>
      </c>
    </row>
    <row r="2342" spans="1:15" hidden="1" x14ac:dyDescent="0.25">
      <c r="A2342" s="2">
        <f t="shared" si="36"/>
        <v>2340</v>
      </c>
      <c r="B2342" s="7" t="s">
        <v>6087</v>
      </c>
      <c r="C2342" s="7" t="s">
        <v>6088</v>
      </c>
      <c r="D2342" s="7" t="s">
        <v>6087</v>
      </c>
      <c r="E2342" s="7" t="s">
        <v>250</v>
      </c>
      <c r="F2342" s="7" t="s">
        <v>6089</v>
      </c>
      <c r="G2342" s="17" t="s">
        <v>7747</v>
      </c>
      <c r="H2342" s="7" t="s">
        <v>28</v>
      </c>
      <c r="I2342" s="7" t="s">
        <v>252</v>
      </c>
      <c r="J2342" s="7" t="s">
        <v>253</v>
      </c>
      <c r="K2342" s="7" t="s">
        <v>881</v>
      </c>
      <c r="L2342" s="7" t="s">
        <v>136</v>
      </c>
      <c r="M2342" s="7">
        <v>2.7039019999999998</v>
      </c>
      <c r="N2342" s="7">
        <v>12.932112</v>
      </c>
      <c r="O2342" s="7" t="s">
        <v>23</v>
      </c>
    </row>
    <row r="2343" spans="1:15" hidden="1" x14ac:dyDescent="0.25">
      <c r="A2343" s="2">
        <f t="shared" si="36"/>
        <v>2341</v>
      </c>
      <c r="B2343" s="7" t="s">
        <v>6120</v>
      </c>
      <c r="C2343" s="7" t="s">
        <v>6121</v>
      </c>
      <c r="D2343" s="7" t="s">
        <v>6120</v>
      </c>
      <c r="E2343" s="7" t="s">
        <v>250</v>
      </c>
      <c r="F2343" s="7" t="s">
        <v>6122</v>
      </c>
      <c r="G2343" s="17" t="s">
        <v>7747</v>
      </c>
      <c r="H2343" s="7" t="s">
        <v>28</v>
      </c>
      <c r="I2343" s="7" t="s">
        <v>341</v>
      </c>
      <c r="J2343" s="7" t="s">
        <v>253</v>
      </c>
      <c r="K2343" s="7" t="s">
        <v>1606</v>
      </c>
      <c r="L2343" s="7" t="s">
        <v>136</v>
      </c>
      <c r="M2343" s="7">
        <v>3.4802650000000002</v>
      </c>
      <c r="N2343" s="7">
        <v>11.695266999999999</v>
      </c>
      <c r="O2343" s="7" t="s">
        <v>23</v>
      </c>
    </row>
    <row r="2344" spans="1:15" hidden="1" x14ac:dyDescent="0.25">
      <c r="A2344" s="2">
        <f t="shared" si="36"/>
        <v>2342</v>
      </c>
      <c r="B2344" s="7" t="s">
        <v>6130</v>
      </c>
      <c r="C2344" s="7" t="s">
        <v>6131</v>
      </c>
      <c r="D2344" s="7" t="s">
        <v>6130</v>
      </c>
      <c r="E2344" s="7" t="s">
        <v>182</v>
      </c>
      <c r="F2344" s="7" t="s">
        <v>6132</v>
      </c>
      <c r="G2344" s="17" t="s">
        <v>7747</v>
      </c>
      <c r="H2344" s="7" t="s">
        <v>28</v>
      </c>
      <c r="I2344" s="7" t="s">
        <v>600</v>
      </c>
      <c r="J2344" s="7" t="s">
        <v>208</v>
      </c>
      <c r="K2344" s="7" t="s">
        <v>485</v>
      </c>
      <c r="L2344" s="7" t="s">
        <v>136</v>
      </c>
      <c r="M2344" s="7">
        <v>3.7754029999999998</v>
      </c>
      <c r="N2344" s="7">
        <v>11.164965</v>
      </c>
      <c r="O2344" s="7" t="s">
        <v>23</v>
      </c>
    </row>
    <row r="2345" spans="1:15" hidden="1" x14ac:dyDescent="0.25">
      <c r="A2345" s="2">
        <f t="shared" si="36"/>
        <v>2343</v>
      </c>
      <c r="B2345" s="7" t="s">
        <v>6137</v>
      </c>
      <c r="C2345" s="7" t="s">
        <v>6138</v>
      </c>
      <c r="D2345" s="7" t="s">
        <v>6137</v>
      </c>
      <c r="E2345" s="7" t="s">
        <v>182</v>
      </c>
      <c r="F2345" s="7" t="s">
        <v>6139</v>
      </c>
      <c r="G2345" s="17" t="s">
        <v>7747</v>
      </c>
      <c r="H2345" s="7" t="s">
        <v>28</v>
      </c>
      <c r="I2345" s="7" t="s">
        <v>286</v>
      </c>
      <c r="J2345" s="7" t="s">
        <v>287</v>
      </c>
      <c r="K2345" s="7" t="s">
        <v>6140</v>
      </c>
      <c r="L2345" s="7" t="s">
        <v>136</v>
      </c>
      <c r="M2345" s="7">
        <v>4.3758759999999999</v>
      </c>
      <c r="N2345" s="7">
        <v>11.733812</v>
      </c>
      <c r="O2345" s="7" t="s">
        <v>23</v>
      </c>
    </row>
    <row r="2346" spans="1:15" hidden="1" x14ac:dyDescent="0.25">
      <c r="A2346" s="2">
        <f t="shared" si="36"/>
        <v>2344</v>
      </c>
      <c r="B2346" s="7" t="s">
        <v>6206</v>
      </c>
      <c r="C2346" s="7" t="s">
        <v>6207</v>
      </c>
      <c r="D2346" s="7" t="s">
        <v>6206</v>
      </c>
      <c r="E2346" s="7" t="s">
        <v>182</v>
      </c>
      <c r="F2346" s="7" t="s">
        <v>6208</v>
      </c>
      <c r="G2346" s="17" t="s">
        <v>7747</v>
      </c>
      <c r="H2346" s="7" t="s">
        <v>19</v>
      </c>
      <c r="I2346" s="7" t="s">
        <v>286</v>
      </c>
      <c r="J2346" s="7" t="s">
        <v>287</v>
      </c>
      <c r="K2346" s="7" t="s">
        <v>2370</v>
      </c>
      <c r="L2346" s="7" t="s">
        <v>136</v>
      </c>
      <c r="M2346" s="7">
        <v>4.3396319999999999</v>
      </c>
      <c r="N2346" s="7">
        <v>11.587691</v>
      </c>
      <c r="O2346" s="7" t="s">
        <v>23</v>
      </c>
    </row>
    <row r="2347" spans="1:15" hidden="1" x14ac:dyDescent="0.25">
      <c r="A2347" s="2">
        <f t="shared" si="36"/>
        <v>2345</v>
      </c>
      <c r="B2347" s="7" t="s">
        <v>6222</v>
      </c>
      <c r="C2347" s="7" t="s">
        <v>6223</v>
      </c>
      <c r="D2347" s="7" t="s">
        <v>6222</v>
      </c>
      <c r="E2347" s="7" t="s">
        <v>182</v>
      </c>
      <c r="F2347" s="7" t="s">
        <v>6224</v>
      </c>
      <c r="G2347" s="17" t="s">
        <v>7747</v>
      </c>
      <c r="H2347" s="7" t="s">
        <v>19</v>
      </c>
      <c r="I2347" s="7" t="s">
        <v>600</v>
      </c>
      <c r="J2347" s="7" t="s">
        <v>208</v>
      </c>
      <c r="K2347" s="7" t="s">
        <v>485</v>
      </c>
      <c r="L2347" s="7" t="s">
        <v>136</v>
      </c>
      <c r="M2347" s="7">
        <v>3.7673920000000001</v>
      </c>
      <c r="N2347" s="7">
        <v>11.204499999999999</v>
      </c>
      <c r="O2347" s="7" t="s">
        <v>23</v>
      </c>
    </row>
    <row r="2348" spans="1:15" hidden="1" x14ac:dyDescent="0.25">
      <c r="A2348" s="2">
        <f t="shared" si="36"/>
        <v>2346</v>
      </c>
      <c r="B2348" s="7" t="s">
        <v>6225</v>
      </c>
      <c r="C2348" s="7" t="s">
        <v>6226</v>
      </c>
      <c r="D2348" s="7" t="s">
        <v>6225</v>
      </c>
      <c r="E2348" s="7" t="s">
        <v>182</v>
      </c>
      <c r="F2348" s="7" t="s">
        <v>6227</v>
      </c>
      <c r="G2348" s="17" t="s">
        <v>7747</v>
      </c>
      <c r="H2348" s="7" t="s">
        <v>28</v>
      </c>
      <c r="I2348" s="7" t="s">
        <v>600</v>
      </c>
      <c r="J2348" s="7" t="s">
        <v>208</v>
      </c>
      <c r="K2348" s="7" t="s">
        <v>485</v>
      </c>
      <c r="L2348" s="7" t="s">
        <v>136</v>
      </c>
      <c r="M2348" s="7">
        <v>3.7651300000000001</v>
      </c>
      <c r="N2348" s="7">
        <v>11.212809999999999</v>
      </c>
      <c r="O2348" s="7" t="s">
        <v>23</v>
      </c>
    </row>
    <row r="2349" spans="1:15" hidden="1" x14ac:dyDescent="0.25">
      <c r="A2349" s="2">
        <f t="shared" si="36"/>
        <v>2347</v>
      </c>
      <c r="B2349" s="7" t="s">
        <v>6300</v>
      </c>
      <c r="C2349" s="7" t="s">
        <v>6301</v>
      </c>
      <c r="D2349" s="7" t="s">
        <v>6300</v>
      </c>
      <c r="E2349" s="7" t="s">
        <v>182</v>
      </c>
      <c r="F2349" s="7" t="s">
        <v>6302</v>
      </c>
      <c r="G2349" s="17" t="s">
        <v>7747</v>
      </c>
      <c r="H2349" s="7" t="s">
        <v>28</v>
      </c>
      <c r="I2349" s="7" t="s">
        <v>374</v>
      </c>
      <c r="J2349" s="7" t="s">
        <v>134</v>
      </c>
      <c r="K2349" s="7" t="s">
        <v>383</v>
      </c>
      <c r="L2349" s="7" t="s">
        <v>136</v>
      </c>
      <c r="M2349" s="7">
        <v>5.2323029999999999</v>
      </c>
      <c r="N2349" s="7">
        <v>12.199809999999999</v>
      </c>
      <c r="O2349" s="7" t="s">
        <v>23</v>
      </c>
    </row>
    <row r="2350" spans="1:15" hidden="1" x14ac:dyDescent="0.25">
      <c r="A2350" s="2">
        <f t="shared" si="36"/>
        <v>2348</v>
      </c>
      <c r="B2350" s="7" t="s">
        <v>6341</v>
      </c>
      <c r="C2350" s="7" t="s">
        <v>6342</v>
      </c>
      <c r="D2350" s="7" t="s">
        <v>6341</v>
      </c>
      <c r="E2350" s="7" t="s">
        <v>182</v>
      </c>
      <c r="F2350" s="7" t="s">
        <v>5969</v>
      </c>
      <c r="G2350" s="17" t="s">
        <v>7747</v>
      </c>
      <c r="H2350" s="7" t="s">
        <v>19</v>
      </c>
      <c r="I2350" s="7" t="s">
        <v>600</v>
      </c>
      <c r="J2350" s="7" t="s">
        <v>208</v>
      </c>
      <c r="K2350" s="7" t="s">
        <v>485</v>
      </c>
      <c r="L2350" s="7" t="s">
        <v>136</v>
      </c>
      <c r="M2350" s="7">
        <v>3.762486</v>
      </c>
      <c r="N2350" s="7">
        <v>11.115888999999999</v>
      </c>
      <c r="O2350" s="7" t="s">
        <v>23</v>
      </c>
    </row>
    <row r="2351" spans="1:15" x14ac:dyDescent="0.25">
      <c r="A2351" s="2">
        <f t="shared" si="36"/>
        <v>2349</v>
      </c>
      <c r="B2351" s="7" t="s">
        <v>6519</v>
      </c>
      <c r="C2351" s="7" t="s">
        <v>6520</v>
      </c>
      <c r="D2351" s="7" t="s">
        <v>6519</v>
      </c>
      <c r="E2351" s="7" t="s">
        <v>131</v>
      </c>
      <c r="F2351" s="7" t="s">
        <v>6521</v>
      </c>
      <c r="G2351" s="17" t="s">
        <v>7747</v>
      </c>
      <c r="H2351" s="7" t="s">
        <v>19</v>
      </c>
      <c r="I2351" s="7" t="s">
        <v>133</v>
      </c>
      <c r="J2351" s="7" t="s">
        <v>317</v>
      </c>
      <c r="K2351" s="7" t="s">
        <v>6522</v>
      </c>
      <c r="L2351" s="7" t="s">
        <v>136</v>
      </c>
      <c r="M2351" s="7">
        <v>4.4062999999999999</v>
      </c>
      <c r="N2351" s="7">
        <v>11.24884</v>
      </c>
      <c r="O2351" s="7" t="s">
        <v>23</v>
      </c>
    </row>
    <row r="2352" spans="1:15" x14ac:dyDescent="0.25">
      <c r="A2352" s="2">
        <f t="shared" si="36"/>
        <v>2350</v>
      </c>
      <c r="B2352" s="7" t="s">
        <v>6542</v>
      </c>
      <c r="C2352" s="7" t="s">
        <v>6543</v>
      </c>
      <c r="D2352" s="7" t="s">
        <v>6542</v>
      </c>
      <c r="E2352" s="7" t="s">
        <v>131</v>
      </c>
      <c r="F2352" s="7" t="s">
        <v>6544</v>
      </c>
      <c r="G2352" s="17" t="s">
        <v>7747</v>
      </c>
      <c r="H2352" s="7" t="s">
        <v>19</v>
      </c>
      <c r="I2352" s="7" t="s">
        <v>133</v>
      </c>
      <c r="J2352" s="7" t="s">
        <v>134</v>
      </c>
      <c r="K2352" s="7" t="s">
        <v>135</v>
      </c>
      <c r="L2352" s="7" t="s">
        <v>136</v>
      </c>
      <c r="M2352" s="7">
        <v>4.5496879999999997</v>
      </c>
      <c r="N2352" s="7">
        <v>11.474515999999999</v>
      </c>
      <c r="O2352" s="7" t="s">
        <v>23</v>
      </c>
    </row>
    <row r="2353" spans="1:15" hidden="1" x14ac:dyDescent="0.25">
      <c r="A2353" s="2">
        <f t="shared" si="36"/>
        <v>2351</v>
      </c>
      <c r="B2353" s="7" t="s">
        <v>6588</v>
      </c>
      <c r="C2353" s="7" t="s">
        <v>6589</v>
      </c>
      <c r="D2353" s="7" t="s">
        <v>6588</v>
      </c>
      <c r="E2353" s="7" t="s">
        <v>250</v>
      </c>
      <c r="F2353" s="7" t="s">
        <v>6590</v>
      </c>
      <c r="G2353" s="17" t="s">
        <v>7747</v>
      </c>
      <c r="H2353" s="7" t="s">
        <v>28</v>
      </c>
      <c r="I2353" s="7" t="s">
        <v>269</v>
      </c>
      <c r="J2353" s="7" t="s">
        <v>270</v>
      </c>
      <c r="K2353" s="7" t="s">
        <v>6099</v>
      </c>
      <c r="L2353" s="7" t="s">
        <v>136</v>
      </c>
      <c r="M2353" s="7">
        <v>2.4277000000000002</v>
      </c>
      <c r="N2353" s="7">
        <v>11.29785</v>
      </c>
      <c r="O2353" s="7" t="s">
        <v>23</v>
      </c>
    </row>
    <row r="2354" spans="1:15" hidden="1" x14ac:dyDescent="0.25">
      <c r="A2354" s="2">
        <f t="shared" si="36"/>
        <v>2352</v>
      </c>
      <c r="B2354" s="7" t="s">
        <v>6591</v>
      </c>
      <c r="C2354" s="7" t="s">
        <v>6592</v>
      </c>
      <c r="D2354" s="7" t="s">
        <v>6591</v>
      </c>
      <c r="E2354" s="7" t="s">
        <v>182</v>
      </c>
      <c r="F2354" s="7" t="s">
        <v>6593</v>
      </c>
      <c r="G2354" s="17" t="s">
        <v>7747</v>
      </c>
      <c r="H2354" s="7" t="s">
        <v>28</v>
      </c>
      <c r="I2354" s="7" t="s">
        <v>286</v>
      </c>
      <c r="J2354" s="7" t="s">
        <v>298</v>
      </c>
      <c r="K2354" s="7" t="s">
        <v>6594</v>
      </c>
      <c r="L2354" s="7" t="s">
        <v>136</v>
      </c>
      <c r="M2354" s="7">
        <v>4.6353359999999997</v>
      </c>
      <c r="N2354" s="7">
        <v>12.3055</v>
      </c>
      <c r="O2354" s="7" t="s">
        <v>23</v>
      </c>
    </row>
    <row r="2355" spans="1:15" hidden="1" x14ac:dyDescent="0.25">
      <c r="A2355" s="2">
        <f t="shared" si="36"/>
        <v>2353</v>
      </c>
      <c r="B2355" s="7" t="s">
        <v>6598</v>
      </c>
      <c r="C2355" s="7" t="s">
        <v>6599</v>
      </c>
      <c r="D2355" s="7" t="s">
        <v>6598</v>
      </c>
      <c r="E2355" s="7" t="s">
        <v>250</v>
      </c>
      <c r="F2355" s="7" t="s">
        <v>6600</v>
      </c>
      <c r="G2355" s="17" t="s">
        <v>7747</v>
      </c>
      <c r="H2355" s="7" t="s">
        <v>28</v>
      </c>
      <c r="I2355" s="7" t="s">
        <v>269</v>
      </c>
      <c r="J2355" s="7" t="s">
        <v>270</v>
      </c>
      <c r="K2355" s="7" t="s">
        <v>6099</v>
      </c>
      <c r="L2355" s="7" t="s">
        <v>136</v>
      </c>
      <c r="M2355" s="7">
        <v>2.3282729999999998</v>
      </c>
      <c r="N2355" s="7">
        <v>11.427134000000001</v>
      </c>
      <c r="O2355" s="7" t="s">
        <v>23</v>
      </c>
    </row>
    <row r="2356" spans="1:15" hidden="1" x14ac:dyDescent="0.25">
      <c r="A2356" s="2">
        <f t="shared" si="36"/>
        <v>2354</v>
      </c>
      <c r="B2356" s="7" t="s">
        <v>6616</v>
      </c>
      <c r="C2356" s="7" t="s">
        <v>6617</v>
      </c>
      <c r="D2356" s="7" t="s">
        <v>6616</v>
      </c>
      <c r="E2356" s="7" t="s">
        <v>182</v>
      </c>
      <c r="F2356" s="7" t="s">
        <v>6618</v>
      </c>
      <c r="G2356" s="17" t="s">
        <v>7747</v>
      </c>
      <c r="H2356" s="7" t="s">
        <v>28</v>
      </c>
      <c r="I2356" s="7" t="s">
        <v>275</v>
      </c>
      <c r="J2356" s="7" t="s">
        <v>276</v>
      </c>
      <c r="K2356" s="7" t="s">
        <v>557</v>
      </c>
      <c r="L2356" s="7" t="s">
        <v>136</v>
      </c>
      <c r="M2356" s="7">
        <v>3.7778489999999998</v>
      </c>
      <c r="N2356" s="7">
        <v>11.355373999999999</v>
      </c>
      <c r="O2356" s="7" t="s">
        <v>23</v>
      </c>
    </row>
    <row r="2357" spans="1:15" hidden="1" x14ac:dyDescent="0.25">
      <c r="A2357" s="2">
        <f t="shared" si="36"/>
        <v>2355</v>
      </c>
      <c r="B2357" s="7" t="s">
        <v>6619</v>
      </c>
      <c r="C2357" s="7" t="s">
        <v>6620</v>
      </c>
      <c r="D2357" s="7" t="s">
        <v>6619</v>
      </c>
      <c r="E2357" s="7" t="s">
        <v>182</v>
      </c>
      <c r="F2357" s="7" t="s">
        <v>6621</v>
      </c>
      <c r="G2357" s="17" t="s">
        <v>7747</v>
      </c>
      <c r="H2357" s="7" t="s">
        <v>28</v>
      </c>
      <c r="I2357" s="7" t="s">
        <v>807</v>
      </c>
      <c r="J2357" s="7" t="s">
        <v>185</v>
      </c>
      <c r="K2357" s="7" t="s">
        <v>808</v>
      </c>
      <c r="L2357" s="7" t="s">
        <v>136</v>
      </c>
      <c r="M2357" s="7">
        <v>3.882533</v>
      </c>
      <c r="N2357" s="7">
        <v>11.51979</v>
      </c>
      <c r="O2357" s="7" t="s">
        <v>23</v>
      </c>
    </row>
    <row r="2358" spans="1:15" hidden="1" x14ac:dyDescent="0.25">
      <c r="A2358" s="2">
        <f t="shared" si="36"/>
        <v>2356</v>
      </c>
      <c r="B2358" s="7" t="s">
        <v>6637</v>
      </c>
      <c r="C2358" s="7" t="s">
        <v>6638</v>
      </c>
      <c r="D2358" s="7" t="s">
        <v>6637</v>
      </c>
      <c r="E2358" s="7" t="s">
        <v>182</v>
      </c>
      <c r="F2358" s="7" t="s">
        <v>6639</v>
      </c>
      <c r="G2358" s="17" t="s">
        <v>7747</v>
      </c>
      <c r="H2358" s="7" t="s">
        <v>28</v>
      </c>
      <c r="I2358" s="7" t="s">
        <v>1553</v>
      </c>
      <c r="J2358" s="7" t="s">
        <v>185</v>
      </c>
      <c r="K2358" s="7" t="s">
        <v>1367</v>
      </c>
      <c r="L2358" s="7" t="s">
        <v>136</v>
      </c>
      <c r="M2358" s="7">
        <v>3.8619829999999999</v>
      </c>
      <c r="N2358" s="7">
        <v>11.573238</v>
      </c>
      <c r="O2358" s="7" t="s">
        <v>23</v>
      </c>
    </row>
    <row r="2359" spans="1:15" hidden="1" x14ac:dyDescent="0.25">
      <c r="A2359" s="2">
        <f t="shared" si="36"/>
        <v>2357</v>
      </c>
      <c r="B2359" s="7" t="s">
        <v>6646</v>
      </c>
      <c r="C2359" s="7" t="s">
        <v>6647</v>
      </c>
      <c r="D2359" s="7" t="s">
        <v>6646</v>
      </c>
      <c r="E2359" s="7" t="s">
        <v>182</v>
      </c>
      <c r="F2359" s="7" t="s">
        <v>6648</v>
      </c>
      <c r="G2359" s="17" t="s">
        <v>7747</v>
      </c>
      <c r="H2359" s="7" t="s">
        <v>28</v>
      </c>
      <c r="I2359" s="7" t="s">
        <v>1766</v>
      </c>
      <c r="J2359" s="7" t="s">
        <v>185</v>
      </c>
      <c r="K2359" s="7" t="s">
        <v>808</v>
      </c>
      <c r="L2359" s="7" t="s">
        <v>136</v>
      </c>
      <c r="M2359" s="7">
        <v>3.9834100000000001</v>
      </c>
      <c r="N2359" s="7">
        <v>11.52089</v>
      </c>
      <c r="O2359" s="7" t="s">
        <v>23</v>
      </c>
    </row>
    <row r="2360" spans="1:15" hidden="1" x14ac:dyDescent="0.25">
      <c r="A2360" s="2">
        <f t="shared" si="36"/>
        <v>2358</v>
      </c>
      <c r="B2360" s="7" t="s">
        <v>6661</v>
      </c>
      <c r="C2360" s="7" t="s">
        <v>6662</v>
      </c>
      <c r="D2360" s="7" t="s">
        <v>6661</v>
      </c>
      <c r="E2360" s="7" t="s">
        <v>182</v>
      </c>
      <c r="F2360" s="7" t="s">
        <v>6663</v>
      </c>
      <c r="G2360" s="17" t="s">
        <v>7747</v>
      </c>
      <c r="H2360" s="7" t="s">
        <v>28</v>
      </c>
      <c r="I2360" s="7" t="s">
        <v>184</v>
      </c>
      <c r="J2360" s="7" t="s">
        <v>6664</v>
      </c>
      <c r="K2360" s="7" t="s">
        <v>4539</v>
      </c>
      <c r="L2360" s="7" t="s">
        <v>136</v>
      </c>
      <c r="M2360" s="7">
        <v>3.9308999999999998</v>
      </c>
      <c r="N2360" s="7">
        <v>11.5967</v>
      </c>
      <c r="O2360" s="7" t="s">
        <v>613</v>
      </c>
    </row>
    <row r="2361" spans="1:15" hidden="1" x14ac:dyDescent="0.25">
      <c r="A2361" s="2">
        <f t="shared" si="36"/>
        <v>2359</v>
      </c>
      <c r="B2361" s="7" t="s">
        <v>6665</v>
      </c>
      <c r="C2361" s="7" t="s">
        <v>6666</v>
      </c>
      <c r="D2361" s="7" t="s">
        <v>6665</v>
      </c>
      <c r="E2361" s="7" t="s">
        <v>250</v>
      </c>
      <c r="F2361" s="7" t="s">
        <v>6667</v>
      </c>
      <c r="G2361" s="17" t="s">
        <v>7747</v>
      </c>
      <c r="H2361" s="7" t="s">
        <v>28</v>
      </c>
      <c r="I2361" s="7" t="s">
        <v>252</v>
      </c>
      <c r="J2361" s="7" t="s">
        <v>323</v>
      </c>
      <c r="K2361" s="7" t="s">
        <v>4849</v>
      </c>
      <c r="L2361" s="7" t="s">
        <v>136</v>
      </c>
      <c r="M2361" s="7">
        <v>2.8146100000000001</v>
      </c>
      <c r="N2361" s="7">
        <v>12.411595</v>
      </c>
      <c r="O2361" s="7" t="s">
        <v>23</v>
      </c>
    </row>
    <row r="2362" spans="1:15" hidden="1" x14ac:dyDescent="0.25">
      <c r="A2362" s="2">
        <f t="shared" si="36"/>
        <v>2360</v>
      </c>
      <c r="B2362" s="7" t="s">
        <v>6677</v>
      </c>
      <c r="C2362" s="7" t="s">
        <v>6678</v>
      </c>
      <c r="D2362" s="7" t="s">
        <v>6677</v>
      </c>
      <c r="E2362" s="7" t="s">
        <v>250</v>
      </c>
      <c r="F2362" s="7" t="s">
        <v>6679</v>
      </c>
      <c r="G2362" s="17" t="s">
        <v>7747</v>
      </c>
      <c r="H2362" s="7" t="s">
        <v>28</v>
      </c>
      <c r="I2362" s="7" t="s">
        <v>322</v>
      </c>
      <c r="J2362" s="7" t="s">
        <v>253</v>
      </c>
      <c r="K2362" s="7" t="s">
        <v>324</v>
      </c>
      <c r="L2362" s="7" t="s">
        <v>136</v>
      </c>
      <c r="M2362" s="7">
        <v>3.035803</v>
      </c>
      <c r="N2362" s="7">
        <v>11.750847</v>
      </c>
      <c r="O2362" s="7" t="s">
        <v>23</v>
      </c>
    </row>
    <row r="2363" spans="1:15" hidden="1" x14ac:dyDescent="0.25">
      <c r="A2363" s="2">
        <f t="shared" si="36"/>
        <v>2361</v>
      </c>
      <c r="B2363" s="7" t="s">
        <v>6680</v>
      </c>
      <c r="C2363" s="7" t="s">
        <v>6681</v>
      </c>
      <c r="D2363" s="7" t="s">
        <v>6680</v>
      </c>
      <c r="E2363" s="7" t="s">
        <v>250</v>
      </c>
      <c r="F2363" s="7" t="s">
        <v>6682</v>
      </c>
      <c r="G2363" s="17" t="s">
        <v>7747</v>
      </c>
      <c r="H2363" s="7" t="s">
        <v>28</v>
      </c>
      <c r="I2363" s="7" t="s">
        <v>341</v>
      </c>
      <c r="J2363" s="7" t="s">
        <v>253</v>
      </c>
      <c r="K2363" s="7" t="s">
        <v>1606</v>
      </c>
      <c r="L2363" s="7" t="s">
        <v>136</v>
      </c>
      <c r="M2363" s="7">
        <v>3.4702199999999999</v>
      </c>
      <c r="N2363" s="7">
        <v>11.736280000000001</v>
      </c>
      <c r="O2363" s="7" t="s">
        <v>23</v>
      </c>
    </row>
    <row r="2364" spans="1:15" hidden="1" x14ac:dyDescent="0.25">
      <c r="A2364" s="2">
        <f t="shared" si="36"/>
        <v>2362</v>
      </c>
      <c r="B2364" s="7" t="s">
        <v>6683</v>
      </c>
      <c r="C2364" s="7" t="s">
        <v>6684</v>
      </c>
      <c r="D2364" s="7" t="s">
        <v>6683</v>
      </c>
      <c r="E2364" s="7" t="s">
        <v>182</v>
      </c>
      <c r="F2364" s="7" t="s">
        <v>6685</v>
      </c>
      <c r="G2364" s="17" t="s">
        <v>7747</v>
      </c>
      <c r="H2364" s="7" t="s">
        <v>28</v>
      </c>
      <c r="I2364" s="7" t="s">
        <v>1637</v>
      </c>
      <c r="J2364" s="7" t="s">
        <v>185</v>
      </c>
      <c r="K2364" s="7" t="s">
        <v>808</v>
      </c>
      <c r="L2364" s="7" t="s">
        <v>136</v>
      </c>
      <c r="M2364" s="7">
        <v>3.85663</v>
      </c>
      <c r="N2364" s="7">
        <v>11.51976</v>
      </c>
      <c r="O2364" s="7" t="s">
        <v>23</v>
      </c>
    </row>
    <row r="2365" spans="1:15" hidden="1" x14ac:dyDescent="0.25">
      <c r="A2365" s="2">
        <f t="shared" si="36"/>
        <v>2363</v>
      </c>
      <c r="B2365" s="7" t="s">
        <v>6705</v>
      </c>
      <c r="C2365" s="7" t="s">
        <v>6706</v>
      </c>
      <c r="D2365" s="7" t="s">
        <v>6705</v>
      </c>
      <c r="E2365" s="7" t="s">
        <v>182</v>
      </c>
      <c r="F2365" s="7" t="s">
        <v>6707</v>
      </c>
      <c r="G2365" s="17" t="s">
        <v>7747</v>
      </c>
      <c r="H2365" s="7" t="s">
        <v>28</v>
      </c>
      <c r="I2365" s="7" t="s">
        <v>807</v>
      </c>
      <c r="J2365" s="7" t="s">
        <v>185</v>
      </c>
      <c r="K2365" s="7" t="s">
        <v>1375</v>
      </c>
      <c r="L2365" s="7" t="s">
        <v>136</v>
      </c>
      <c r="M2365" s="7">
        <v>3.9420679999999999</v>
      </c>
      <c r="N2365" s="7">
        <v>11.563838000000001</v>
      </c>
      <c r="O2365" s="7" t="s">
        <v>23</v>
      </c>
    </row>
    <row r="2366" spans="1:15" hidden="1" x14ac:dyDescent="0.25">
      <c r="A2366" s="2">
        <f t="shared" si="36"/>
        <v>2364</v>
      </c>
      <c r="B2366" s="7" t="s">
        <v>6711</v>
      </c>
      <c r="C2366" s="7" t="s">
        <v>6712</v>
      </c>
      <c r="D2366" s="7" t="s">
        <v>6711</v>
      </c>
      <c r="E2366" s="7" t="s">
        <v>250</v>
      </c>
      <c r="F2366" s="7" t="s">
        <v>6713</v>
      </c>
      <c r="G2366" s="17" t="s">
        <v>7747</v>
      </c>
      <c r="H2366" s="7" t="s">
        <v>28</v>
      </c>
      <c r="I2366" s="7" t="s">
        <v>322</v>
      </c>
      <c r="J2366" s="7" t="s">
        <v>253</v>
      </c>
      <c r="K2366" s="7" t="s">
        <v>324</v>
      </c>
      <c r="L2366" s="7" t="s">
        <v>136</v>
      </c>
      <c r="M2366" s="7">
        <v>2.959441</v>
      </c>
      <c r="N2366" s="7">
        <v>11.780295000000001</v>
      </c>
      <c r="O2366" s="7" t="s">
        <v>23</v>
      </c>
    </row>
    <row r="2367" spans="1:15" hidden="1" x14ac:dyDescent="0.25">
      <c r="A2367" s="2">
        <f t="shared" si="36"/>
        <v>2365</v>
      </c>
      <c r="B2367" s="7" t="s">
        <v>6720</v>
      </c>
      <c r="C2367" s="7" t="s">
        <v>6721</v>
      </c>
      <c r="D2367" s="7" t="s">
        <v>6720</v>
      </c>
      <c r="E2367" s="7" t="s">
        <v>182</v>
      </c>
      <c r="F2367" s="7" t="s">
        <v>6722</v>
      </c>
      <c r="G2367" s="17" t="s">
        <v>7747</v>
      </c>
      <c r="H2367" s="7" t="s">
        <v>28</v>
      </c>
      <c r="I2367" s="7" t="s">
        <v>297</v>
      </c>
      <c r="J2367" s="7" t="s">
        <v>287</v>
      </c>
      <c r="K2367" s="7" t="s">
        <v>645</v>
      </c>
      <c r="L2367" s="7" t="s">
        <v>136</v>
      </c>
      <c r="M2367" s="7">
        <v>3.8882750000000001</v>
      </c>
      <c r="N2367" s="7">
        <v>11.352914999999999</v>
      </c>
      <c r="O2367" s="7" t="s">
        <v>23</v>
      </c>
    </row>
    <row r="2368" spans="1:15" hidden="1" x14ac:dyDescent="0.25">
      <c r="A2368" s="2">
        <f t="shared" si="36"/>
        <v>2366</v>
      </c>
      <c r="B2368" s="7" t="s">
        <v>6729</v>
      </c>
      <c r="C2368" s="7" t="s">
        <v>6730</v>
      </c>
      <c r="D2368" s="7" t="s">
        <v>6729</v>
      </c>
      <c r="E2368" s="7" t="s">
        <v>182</v>
      </c>
      <c r="F2368" s="7" t="s">
        <v>6731</v>
      </c>
      <c r="G2368" s="17" t="s">
        <v>7747</v>
      </c>
      <c r="H2368" s="7" t="s">
        <v>28</v>
      </c>
      <c r="I2368" s="7" t="s">
        <v>297</v>
      </c>
      <c r="J2368" s="7" t="s">
        <v>185</v>
      </c>
      <c r="K2368" s="7" t="s">
        <v>1393</v>
      </c>
      <c r="L2368" s="7" t="s">
        <v>136</v>
      </c>
      <c r="M2368" s="7">
        <v>3.8660950000000001</v>
      </c>
      <c r="N2368" s="7">
        <v>11.389939999999999</v>
      </c>
      <c r="O2368" s="7" t="s">
        <v>23</v>
      </c>
    </row>
    <row r="2369" spans="1:15" hidden="1" x14ac:dyDescent="0.25">
      <c r="A2369" s="2">
        <f t="shared" si="36"/>
        <v>2367</v>
      </c>
      <c r="B2369" s="7" t="s">
        <v>6773</v>
      </c>
      <c r="C2369" s="7" t="s">
        <v>6774</v>
      </c>
      <c r="D2369" s="7" t="s">
        <v>6773</v>
      </c>
      <c r="E2369" s="7" t="s">
        <v>182</v>
      </c>
      <c r="F2369" s="7" t="s">
        <v>6775</v>
      </c>
      <c r="G2369" s="17" t="s">
        <v>7747</v>
      </c>
      <c r="H2369" s="7" t="s">
        <v>28</v>
      </c>
      <c r="I2369" s="7" t="s">
        <v>184</v>
      </c>
      <c r="J2369" s="7" t="s">
        <v>185</v>
      </c>
      <c r="K2369" s="7" t="s">
        <v>186</v>
      </c>
      <c r="L2369" s="7" t="s">
        <v>136</v>
      </c>
      <c r="M2369" s="7">
        <v>3.9615070000000001</v>
      </c>
      <c r="N2369" s="7">
        <v>11.583613</v>
      </c>
      <c r="O2369" s="7" t="s">
        <v>613</v>
      </c>
    </row>
    <row r="2370" spans="1:15" hidden="1" x14ac:dyDescent="0.25">
      <c r="A2370" s="2">
        <f t="shared" si="36"/>
        <v>2368</v>
      </c>
      <c r="B2370" s="7" t="s">
        <v>6779</v>
      </c>
      <c r="C2370" s="7" t="s">
        <v>6780</v>
      </c>
      <c r="D2370" s="7" t="s">
        <v>6779</v>
      </c>
      <c r="E2370" s="7" t="s">
        <v>182</v>
      </c>
      <c r="F2370" s="7" t="s">
        <v>6781</v>
      </c>
      <c r="G2370" s="17" t="s">
        <v>7747</v>
      </c>
      <c r="H2370" s="7" t="s">
        <v>28</v>
      </c>
      <c r="I2370" s="7" t="s">
        <v>1385</v>
      </c>
      <c r="J2370" s="7" t="s">
        <v>185</v>
      </c>
      <c r="K2370" s="7" t="s">
        <v>1367</v>
      </c>
      <c r="L2370" s="7" t="s">
        <v>136</v>
      </c>
      <c r="M2370" s="7">
        <v>3.76973</v>
      </c>
      <c r="N2370" s="7">
        <v>11.520239999999999</v>
      </c>
      <c r="O2370" s="7" t="s">
        <v>23</v>
      </c>
    </row>
    <row r="2371" spans="1:15" hidden="1" x14ac:dyDescent="0.25">
      <c r="A2371" s="2">
        <f t="shared" si="36"/>
        <v>2369</v>
      </c>
      <c r="B2371" s="7" t="s">
        <v>6822</v>
      </c>
      <c r="C2371" s="7" t="s">
        <v>6823</v>
      </c>
      <c r="D2371" s="7" t="s">
        <v>6822</v>
      </c>
      <c r="E2371" s="7" t="s">
        <v>182</v>
      </c>
      <c r="F2371" s="7" t="s">
        <v>6824</v>
      </c>
      <c r="G2371" s="17" t="s">
        <v>7747</v>
      </c>
      <c r="H2371" s="7" t="s">
        <v>28</v>
      </c>
      <c r="I2371" s="7" t="s">
        <v>286</v>
      </c>
      <c r="J2371" s="7" t="s">
        <v>287</v>
      </c>
      <c r="K2371" s="7" t="s">
        <v>2370</v>
      </c>
      <c r="L2371" s="7" t="s">
        <v>136</v>
      </c>
      <c r="M2371" s="7">
        <v>4.3421149999999997</v>
      </c>
      <c r="N2371" s="7">
        <v>11.628454</v>
      </c>
      <c r="O2371" s="7" t="s">
        <v>23</v>
      </c>
    </row>
    <row r="2372" spans="1:15" hidden="1" x14ac:dyDescent="0.25">
      <c r="A2372" s="2">
        <f t="shared" si="36"/>
        <v>2370</v>
      </c>
      <c r="B2372" s="7" t="s">
        <v>6832</v>
      </c>
      <c r="C2372" s="7" t="s">
        <v>6833</v>
      </c>
      <c r="D2372" s="7" t="s">
        <v>6832</v>
      </c>
      <c r="E2372" s="7" t="s">
        <v>182</v>
      </c>
      <c r="F2372" s="7" t="s">
        <v>6834</v>
      </c>
      <c r="G2372" s="17" t="s">
        <v>7747</v>
      </c>
      <c r="H2372" s="7" t="s">
        <v>28</v>
      </c>
      <c r="I2372" s="7" t="s">
        <v>286</v>
      </c>
      <c r="J2372" s="7" t="s">
        <v>287</v>
      </c>
      <c r="K2372" s="7" t="s">
        <v>288</v>
      </c>
      <c r="L2372" s="7" t="s">
        <v>136</v>
      </c>
      <c r="M2372" s="7">
        <v>4.1068790000000002</v>
      </c>
      <c r="N2372" s="7">
        <v>11.538074999999999</v>
      </c>
      <c r="O2372" s="7" t="s">
        <v>23</v>
      </c>
    </row>
    <row r="2373" spans="1:15" hidden="1" x14ac:dyDescent="0.25">
      <c r="A2373" s="2">
        <f t="shared" ref="A2373:A2436" si="37">+A2372+1</f>
        <v>2371</v>
      </c>
      <c r="B2373" s="7" t="s">
        <v>6835</v>
      </c>
      <c r="C2373" s="7" t="s">
        <v>6836</v>
      </c>
      <c r="D2373" s="7" t="s">
        <v>6835</v>
      </c>
      <c r="E2373" s="7" t="s">
        <v>182</v>
      </c>
      <c r="F2373" s="7" t="s">
        <v>6837</v>
      </c>
      <c r="G2373" s="17" t="s">
        <v>7747</v>
      </c>
      <c r="H2373" s="7" t="s">
        <v>28</v>
      </c>
      <c r="I2373" s="7" t="s">
        <v>1284</v>
      </c>
      <c r="J2373" s="7" t="s">
        <v>185</v>
      </c>
      <c r="K2373" s="7" t="s">
        <v>1322</v>
      </c>
      <c r="L2373" s="7" t="s">
        <v>136</v>
      </c>
      <c r="M2373" s="7">
        <v>3.8381940000000001</v>
      </c>
      <c r="N2373" s="7">
        <v>11.486806</v>
      </c>
      <c r="O2373" s="7" t="s">
        <v>613</v>
      </c>
    </row>
    <row r="2374" spans="1:15" hidden="1" x14ac:dyDescent="0.25">
      <c r="A2374" s="2">
        <f t="shared" si="37"/>
        <v>2372</v>
      </c>
      <c r="B2374" s="7" t="s">
        <v>6838</v>
      </c>
      <c r="C2374" s="7" t="s">
        <v>6839</v>
      </c>
      <c r="D2374" s="7" t="s">
        <v>6838</v>
      </c>
      <c r="E2374" s="7" t="s">
        <v>182</v>
      </c>
      <c r="F2374" s="7" t="s">
        <v>6840</v>
      </c>
      <c r="G2374" s="17" t="s">
        <v>7747</v>
      </c>
      <c r="H2374" s="7" t="s">
        <v>28</v>
      </c>
      <c r="I2374" s="7" t="s">
        <v>1374</v>
      </c>
      <c r="J2374" s="7" t="s">
        <v>185</v>
      </c>
      <c r="K2374" s="7" t="s">
        <v>1375</v>
      </c>
      <c r="L2374" s="7" t="s">
        <v>136</v>
      </c>
      <c r="M2374" s="7">
        <v>3.8965809999999999</v>
      </c>
      <c r="N2374" s="7">
        <v>11.492239</v>
      </c>
      <c r="O2374" s="7" t="s">
        <v>23</v>
      </c>
    </row>
    <row r="2375" spans="1:15" hidden="1" x14ac:dyDescent="0.25">
      <c r="A2375" s="2">
        <f t="shared" si="37"/>
        <v>2373</v>
      </c>
      <c r="B2375" s="7" t="s">
        <v>6872</v>
      </c>
      <c r="C2375" s="7" t="s">
        <v>6873</v>
      </c>
      <c r="D2375" s="7" t="s">
        <v>6872</v>
      </c>
      <c r="E2375" s="7" t="s">
        <v>182</v>
      </c>
      <c r="F2375" s="7" t="s">
        <v>6874</v>
      </c>
      <c r="G2375" s="17" t="s">
        <v>7747</v>
      </c>
      <c r="H2375" s="7" t="s">
        <v>28</v>
      </c>
      <c r="I2375" s="7" t="s">
        <v>297</v>
      </c>
      <c r="J2375" s="7" t="s">
        <v>287</v>
      </c>
      <c r="K2375" s="7" t="s">
        <v>645</v>
      </c>
      <c r="L2375" s="7" t="s">
        <v>136</v>
      </c>
      <c r="M2375" s="7">
        <v>3.8894500000000001</v>
      </c>
      <c r="N2375" s="7">
        <v>11.264530000000001</v>
      </c>
      <c r="O2375" s="7" t="s">
        <v>23</v>
      </c>
    </row>
    <row r="2376" spans="1:15" hidden="1" x14ac:dyDescent="0.25">
      <c r="A2376" s="2">
        <f t="shared" si="37"/>
        <v>2374</v>
      </c>
      <c r="B2376" s="12" t="s">
        <v>6875</v>
      </c>
      <c r="C2376" s="7" t="s">
        <v>6876</v>
      </c>
      <c r="D2376" s="12" t="s">
        <v>6875</v>
      </c>
      <c r="E2376" s="7" t="s">
        <v>182</v>
      </c>
      <c r="F2376" s="7" t="s">
        <v>6877</v>
      </c>
      <c r="G2376" s="17" t="s">
        <v>7747</v>
      </c>
      <c r="H2376" s="7" t="s">
        <v>19</v>
      </c>
      <c r="I2376" s="7" t="s">
        <v>1637</v>
      </c>
      <c r="J2376" s="7" t="s">
        <v>185</v>
      </c>
      <c r="K2376" s="7" t="s">
        <v>1462</v>
      </c>
      <c r="L2376" s="7" t="s">
        <v>136</v>
      </c>
      <c r="M2376" s="7">
        <v>3.84775</v>
      </c>
      <c r="N2376" s="7">
        <v>11.49625</v>
      </c>
      <c r="O2376" s="7" t="s">
        <v>613</v>
      </c>
    </row>
    <row r="2377" spans="1:15" hidden="1" x14ac:dyDescent="0.25">
      <c r="A2377" s="2">
        <f t="shared" si="37"/>
        <v>2375</v>
      </c>
      <c r="B2377" s="7" t="s">
        <v>6903</v>
      </c>
      <c r="C2377" s="7" t="s">
        <v>6904</v>
      </c>
      <c r="D2377" s="7" t="s">
        <v>6903</v>
      </c>
      <c r="E2377" s="7" t="s">
        <v>182</v>
      </c>
      <c r="F2377" s="7" t="s">
        <v>6905</v>
      </c>
      <c r="G2377" s="17" t="s">
        <v>7747</v>
      </c>
      <c r="H2377" s="7" t="s">
        <v>28</v>
      </c>
      <c r="I2377" s="7" t="s">
        <v>1461</v>
      </c>
      <c r="J2377" s="7" t="s">
        <v>185</v>
      </c>
      <c r="K2377" s="7" t="s">
        <v>1367</v>
      </c>
      <c r="L2377" s="7" t="s">
        <v>136</v>
      </c>
      <c r="M2377" s="7">
        <v>3.8600699999999999</v>
      </c>
      <c r="N2377" s="7">
        <v>11.514675</v>
      </c>
      <c r="O2377" s="7" t="s">
        <v>613</v>
      </c>
    </row>
    <row r="2378" spans="1:15" hidden="1" x14ac:dyDescent="0.25">
      <c r="A2378" s="2">
        <f t="shared" si="37"/>
        <v>2376</v>
      </c>
      <c r="B2378" s="7" t="s">
        <v>6914</v>
      </c>
      <c r="C2378" s="7" t="s">
        <v>6915</v>
      </c>
      <c r="D2378" s="7" t="s">
        <v>6914</v>
      </c>
      <c r="E2378" s="7" t="s">
        <v>182</v>
      </c>
      <c r="F2378" s="7" t="s">
        <v>6916</v>
      </c>
      <c r="G2378" s="17" t="s">
        <v>7747</v>
      </c>
      <c r="H2378" s="7" t="s">
        <v>28</v>
      </c>
      <c r="I2378" s="7" t="s">
        <v>807</v>
      </c>
      <c r="J2378" s="7" t="s">
        <v>185</v>
      </c>
      <c r="K2378" s="7" t="s">
        <v>808</v>
      </c>
      <c r="L2378" s="7" t="s">
        <v>136</v>
      </c>
      <c r="M2378" s="7">
        <v>3.8772890000000002</v>
      </c>
      <c r="N2378" s="7">
        <v>11.523331000000001</v>
      </c>
      <c r="O2378" s="7" t="s">
        <v>23</v>
      </c>
    </row>
    <row r="2379" spans="1:15" hidden="1" x14ac:dyDescent="0.25">
      <c r="A2379" s="2">
        <f t="shared" si="37"/>
        <v>2377</v>
      </c>
      <c r="B2379" s="7" t="s">
        <v>6917</v>
      </c>
      <c r="C2379" s="7" t="s">
        <v>6918</v>
      </c>
      <c r="D2379" s="7" t="s">
        <v>6917</v>
      </c>
      <c r="E2379" s="7" t="s">
        <v>182</v>
      </c>
      <c r="F2379" s="7" t="s">
        <v>6919</v>
      </c>
      <c r="G2379" s="17" t="s">
        <v>7747</v>
      </c>
      <c r="H2379" s="7" t="s">
        <v>28</v>
      </c>
      <c r="I2379" s="7" t="s">
        <v>1461</v>
      </c>
      <c r="J2379" s="7" t="s">
        <v>185</v>
      </c>
      <c r="K2379" s="7" t="s">
        <v>1462</v>
      </c>
      <c r="L2379" s="7" t="s">
        <v>136</v>
      </c>
      <c r="M2379" s="7">
        <v>3.8218000000000001</v>
      </c>
      <c r="N2379" s="7">
        <v>11.508668</v>
      </c>
      <c r="O2379" s="7" t="s">
        <v>23</v>
      </c>
    </row>
    <row r="2380" spans="1:15" hidden="1" x14ac:dyDescent="0.25">
      <c r="A2380" s="2">
        <f t="shared" si="37"/>
        <v>2378</v>
      </c>
      <c r="B2380" s="7" t="s">
        <v>6923</v>
      </c>
      <c r="C2380" s="7" t="s">
        <v>6924</v>
      </c>
      <c r="D2380" s="7" t="s">
        <v>6923</v>
      </c>
      <c r="E2380" s="7" t="s">
        <v>182</v>
      </c>
      <c r="F2380" s="7" t="s">
        <v>6925</v>
      </c>
      <c r="G2380" s="17" t="s">
        <v>7747</v>
      </c>
      <c r="H2380" s="7" t="s">
        <v>28</v>
      </c>
      <c r="I2380" s="7" t="s">
        <v>297</v>
      </c>
      <c r="J2380" s="7" t="s">
        <v>185</v>
      </c>
      <c r="K2380" s="7" t="s">
        <v>1393</v>
      </c>
      <c r="L2380" s="7" t="s">
        <v>136</v>
      </c>
      <c r="M2380" s="7">
        <v>3.8641890000000001</v>
      </c>
      <c r="N2380" s="7">
        <v>11.462842</v>
      </c>
      <c r="O2380" s="7" t="s">
        <v>23</v>
      </c>
    </row>
    <row r="2381" spans="1:15" hidden="1" x14ac:dyDescent="0.25">
      <c r="A2381" s="2">
        <f t="shared" si="37"/>
        <v>2379</v>
      </c>
      <c r="B2381" s="7" t="s">
        <v>6926</v>
      </c>
      <c r="C2381" s="7" t="s">
        <v>6927</v>
      </c>
      <c r="D2381" s="7" t="s">
        <v>6926</v>
      </c>
      <c r="E2381" s="7" t="s">
        <v>182</v>
      </c>
      <c r="F2381" s="7" t="s">
        <v>6928</v>
      </c>
      <c r="G2381" s="17" t="s">
        <v>7747</v>
      </c>
      <c r="H2381" s="7" t="s">
        <v>28</v>
      </c>
      <c r="I2381" s="7" t="s">
        <v>1385</v>
      </c>
      <c r="J2381" s="7" t="s">
        <v>185</v>
      </c>
      <c r="K2381" s="7" t="s">
        <v>1367</v>
      </c>
      <c r="L2381" s="7" t="s">
        <v>136</v>
      </c>
      <c r="M2381" s="7">
        <v>3.8019720000000001</v>
      </c>
      <c r="N2381" s="7">
        <v>11.529464000000001</v>
      </c>
      <c r="O2381" s="7" t="s">
        <v>613</v>
      </c>
    </row>
    <row r="2382" spans="1:15" hidden="1" x14ac:dyDescent="0.25">
      <c r="A2382" s="2">
        <f t="shared" si="37"/>
        <v>2380</v>
      </c>
      <c r="B2382" s="7" t="s">
        <v>6929</v>
      </c>
      <c r="C2382" s="7" t="s">
        <v>6930</v>
      </c>
      <c r="D2382" s="7" t="s">
        <v>6929</v>
      </c>
      <c r="E2382" s="7" t="s">
        <v>182</v>
      </c>
      <c r="F2382" s="7" t="s">
        <v>6931</v>
      </c>
      <c r="G2382" s="17" t="s">
        <v>7747</v>
      </c>
      <c r="H2382" s="7" t="s">
        <v>28</v>
      </c>
      <c r="I2382" s="7" t="s">
        <v>374</v>
      </c>
      <c r="J2382" s="7" t="s">
        <v>185</v>
      </c>
      <c r="K2382" s="7" t="s">
        <v>3382</v>
      </c>
      <c r="L2382" s="7" t="s">
        <v>136</v>
      </c>
      <c r="M2382" s="7">
        <v>4.2926500000000001</v>
      </c>
      <c r="N2382" s="7">
        <v>11.318232999999999</v>
      </c>
      <c r="O2382" s="7" t="s">
        <v>23</v>
      </c>
    </row>
    <row r="2383" spans="1:15" hidden="1" x14ac:dyDescent="0.25">
      <c r="A2383" s="2">
        <f t="shared" si="37"/>
        <v>2381</v>
      </c>
      <c r="B2383" s="12" t="s">
        <v>6939</v>
      </c>
      <c r="C2383" s="7" t="s">
        <v>6940</v>
      </c>
      <c r="D2383" s="12" t="s">
        <v>6939</v>
      </c>
      <c r="E2383" s="7" t="s">
        <v>182</v>
      </c>
      <c r="F2383" s="7" t="s">
        <v>6941</v>
      </c>
      <c r="G2383" s="17" t="s">
        <v>7747</v>
      </c>
      <c r="H2383" s="7" t="s">
        <v>28</v>
      </c>
      <c r="I2383" s="7" t="s">
        <v>1374</v>
      </c>
      <c r="J2383" s="7" t="s">
        <v>3940</v>
      </c>
      <c r="K2383" s="7" t="s">
        <v>6942</v>
      </c>
      <c r="L2383" s="7" t="s">
        <v>136</v>
      </c>
      <c r="M2383" s="7">
        <v>3.8853499999999999</v>
      </c>
      <c r="N2383" s="7">
        <v>11.4955</v>
      </c>
      <c r="O2383" s="7" t="s">
        <v>23</v>
      </c>
    </row>
    <row r="2384" spans="1:15" hidden="1" x14ac:dyDescent="0.25">
      <c r="A2384" s="2">
        <f t="shared" si="37"/>
        <v>2382</v>
      </c>
      <c r="B2384" s="7" t="s">
        <v>6946</v>
      </c>
      <c r="C2384" s="7" t="s">
        <v>6947</v>
      </c>
      <c r="D2384" s="7" t="s">
        <v>6946</v>
      </c>
      <c r="E2384" s="7" t="s">
        <v>182</v>
      </c>
      <c r="F2384" s="7" t="s">
        <v>6948</v>
      </c>
      <c r="G2384" s="17" t="s">
        <v>7747</v>
      </c>
      <c r="H2384" s="7" t="s">
        <v>28</v>
      </c>
      <c r="I2384" s="7" t="s">
        <v>1553</v>
      </c>
      <c r="J2384" s="7" t="s">
        <v>826</v>
      </c>
      <c r="K2384" s="7" t="s">
        <v>819</v>
      </c>
      <c r="L2384" s="7" t="s">
        <v>136</v>
      </c>
      <c r="M2384" s="7">
        <v>3.8527499999999999</v>
      </c>
      <c r="N2384" s="7">
        <v>11.576517000000001</v>
      </c>
      <c r="O2384" s="7" t="s">
        <v>613</v>
      </c>
    </row>
    <row r="2385" spans="1:15" hidden="1" x14ac:dyDescent="0.25">
      <c r="A2385" s="2">
        <f t="shared" si="37"/>
        <v>2383</v>
      </c>
      <c r="B2385" s="7" t="s">
        <v>6953</v>
      </c>
      <c r="C2385" s="7" t="s">
        <v>6954</v>
      </c>
      <c r="D2385" s="7" t="s">
        <v>6953</v>
      </c>
      <c r="E2385" s="7" t="s">
        <v>182</v>
      </c>
      <c r="F2385" s="7" t="s">
        <v>6955</v>
      </c>
      <c r="G2385" s="17" t="s">
        <v>7747</v>
      </c>
      <c r="H2385" s="7" t="s">
        <v>28</v>
      </c>
      <c r="I2385" s="7" t="s">
        <v>275</v>
      </c>
      <c r="J2385" s="7" t="s">
        <v>185</v>
      </c>
      <c r="K2385" s="7" t="s">
        <v>1322</v>
      </c>
      <c r="L2385" s="7" t="s">
        <v>136</v>
      </c>
      <c r="M2385" s="7">
        <v>3.8096999999999999</v>
      </c>
      <c r="N2385" s="7">
        <v>11.4679</v>
      </c>
      <c r="O2385" s="7" t="s">
        <v>613</v>
      </c>
    </row>
    <row r="2386" spans="1:15" hidden="1" x14ac:dyDescent="0.25">
      <c r="A2386" s="2">
        <f t="shared" si="37"/>
        <v>2384</v>
      </c>
      <c r="B2386" s="7" t="s">
        <v>6956</v>
      </c>
      <c r="C2386" s="7" t="s">
        <v>6957</v>
      </c>
      <c r="D2386" s="7" t="s">
        <v>6956</v>
      </c>
      <c r="E2386" s="7" t="s">
        <v>182</v>
      </c>
      <c r="F2386" s="7" t="s">
        <v>6958</v>
      </c>
      <c r="G2386" s="17" t="s">
        <v>7747</v>
      </c>
      <c r="H2386" s="7" t="s">
        <v>28</v>
      </c>
      <c r="I2386" s="7" t="s">
        <v>1366</v>
      </c>
      <c r="J2386" s="7" t="s">
        <v>185</v>
      </c>
      <c r="K2386" s="7" t="s">
        <v>1322</v>
      </c>
      <c r="L2386" s="7" t="s">
        <v>136</v>
      </c>
      <c r="M2386" s="7">
        <v>3.8866429999999998</v>
      </c>
      <c r="N2386" s="7">
        <v>11.566748</v>
      </c>
      <c r="O2386" s="7" t="s">
        <v>613</v>
      </c>
    </row>
    <row r="2387" spans="1:15" hidden="1" x14ac:dyDescent="0.25">
      <c r="A2387" s="2">
        <f t="shared" si="37"/>
        <v>2385</v>
      </c>
      <c r="B2387" s="7" t="s">
        <v>6959</v>
      </c>
      <c r="C2387" s="7" t="s">
        <v>6960</v>
      </c>
      <c r="D2387" s="7" t="s">
        <v>6959</v>
      </c>
      <c r="E2387" s="7" t="s">
        <v>182</v>
      </c>
      <c r="F2387" s="7" t="s">
        <v>6961</v>
      </c>
      <c r="G2387" s="17" t="s">
        <v>7747</v>
      </c>
      <c r="H2387" s="7" t="s">
        <v>28</v>
      </c>
      <c r="I2387" s="7" t="s">
        <v>807</v>
      </c>
      <c r="J2387" s="7" t="s">
        <v>185</v>
      </c>
      <c r="K2387" s="7" t="s">
        <v>808</v>
      </c>
      <c r="L2387" s="7" t="s">
        <v>136</v>
      </c>
      <c r="M2387" s="7">
        <v>3.9177</v>
      </c>
      <c r="N2387" s="7">
        <v>11.5411</v>
      </c>
      <c r="O2387" s="7" t="s">
        <v>613</v>
      </c>
    </row>
    <row r="2388" spans="1:15" hidden="1" x14ac:dyDescent="0.25">
      <c r="A2388" s="2">
        <f t="shared" si="37"/>
        <v>2386</v>
      </c>
      <c r="B2388" s="7" t="s">
        <v>6962</v>
      </c>
      <c r="C2388" s="7" t="s">
        <v>6963</v>
      </c>
      <c r="D2388" s="7" t="s">
        <v>6962</v>
      </c>
      <c r="E2388" s="7" t="s">
        <v>182</v>
      </c>
      <c r="F2388" s="7" t="s">
        <v>6964</v>
      </c>
      <c r="G2388" s="17" t="s">
        <v>7747</v>
      </c>
      <c r="H2388" s="7" t="s">
        <v>28</v>
      </c>
      <c r="I2388" s="7" t="s">
        <v>1637</v>
      </c>
      <c r="J2388" s="7" t="s">
        <v>185</v>
      </c>
      <c r="K2388" s="7" t="s">
        <v>1322</v>
      </c>
      <c r="L2388" s="7" t="s">
        <v>136</v>
      </c>
      <c r="M2388" s="7">
        <v>3.8605200000000002</v>
      </c>
      <c r="N2388" s="7">
        <v>11.477489</v>
      </c>
      <c r="O2388" s="7" t="s">
        <v>613</v>
      </c>
    </row>
    <row r="2389" spans="1:15" hidden="1" x14ac:dyDescent="0.25">
      <c r="A2389" s="2">
        <f t="shared" si="37"/>
        <v>2387</v>
      </c>
      <c r="B2389" s="7" t="s">
        <v>6965</v>
      </c>
      <c r="C2389" s="7" t="s">
        <v>6966</v>
      </c>
      <c r="D2389" s="7" t="s">
        <v>6965</v>
      </c>
      <c r="E2389" s="7" t="s">
        <v>182</v>
      </c>
      <c r="F2389" s="7" t="s">
        <v>6967</v>
      </c>
      <c r="G2389" s="17" t="s">
        <v>7747</v>
      </c>
      <c r="H2389" s="7" t="s">
        <v>28</v>
      </c>
      <c r="I2389" s="7" t="s">
        <v>1284</v>
      </c>
      <c r="J2389" s="7" t="s">
        <v>185</v>
      </c>
      <c r="K2389" s="7" t="s">
        <v>1462</v>
      </c>
      <c r="L2389" s="7" t="s">
        <v>136</v>
      </c>
      <c r="M2389" s="7">
        <v>4.8318659999999998</v>
      </c>
      <c r="N2389" s="7">
        <v>11.475239999999999</v>
      </c>
      <c r="O2389" s="7" t="s">
        <v>613</v>
      </c>
    </row>
    <row r="2390" spans="1:15" hidden="1" x14ac:dyDescent="0.25">
      <c r="A2390" s="2">
        <f t="shared" si="37"/>
        <v>2388</v>
      </c>
      <c r="B2390" s="7" t="s">
        <v>6968</v>
      </c>
      <c r="C2390" s="7" t="s">
        <v>6969</v>
      </c>
      <c r="D2390" s="7" t="s">
        <v>6968</v>
      </c>
      <c r="E2390" s="7" t="s">
        <v>182</v>
      </c>
      <c r="F2390" s="7" t="s">
        <v>6970</v>
      </c>
      <c r="G2390" s="17" t="s">
        <v>7747</v>
      </c>
      <c r="H2390" s="7" t="s">
        <v>28</v>
      </c>
      <c r="I2390" s="7" t="s">
        <v>184</v>
      </c>
      <c r="J2390" s="7" t="s">
        <v>185</v>
      </c>
      <c r="K2390" s="7" t="s">
        <v>1435</v>
      </c>
      <c r="L2390" s="7" t="s">
        <v>136</v>
      </c>
      <c r="M2390" s="7">
        <v>3.8968060000000002</v>
      </c>
      <c r="N2390" s="7">
        <v>11.558842</v>
      </c>
      <c r="O2390" s="7" t="s">
        <v>613</v>
      </c>
    </row>
    <row r="2391" spans="1:15" hidden="1" x14ac:dyDescent="0.25">
      <c r="A2391" s="2">
        <f t="shared" si="37"/>
        <v>2389</v>
      </c>
      <c r="B2391" s="7" t="s">
        <v>6971</v>
      </c>
      <c r="C2391" s="7" t="s">
        <v>6972</v>
      </c>
      <c r="D2391" s="7" t="s">
        <v>6971</v>
      </c>
      <c r="E2391" s="7" t="s">
        <v>182</v>
      </c>
      <c r="F2391" s="7" t="s">
        <v>6973</v>
      </c>
      <c r="G2391" s="17" t="s">
        <v>7747</v>
      </c>
      <c r="H2391" s="7" t="s">
        <v>28</v>
      </c>
      <c r="I2391" s="7" t="s">
        <v>1385</v>
      </c>
      <c r="J2391" s="7" t="s">
        <v>185</v>
      </c>
      <c r="K2391" s="7" t="s">
        <v>6974</v>
      </c>
      <c r="L2391" s="7" t="s">
        <v>136</v>
      </c>
      <c r="M2391" s="7">
        <v>3.7805</v>
      </c>
      <c r="N2391" s="7">
        <v>11.551610999999999</v>
      </c>
      <c r="O2391" s="7" t="s">
        <v>613</v>
      </c>
    </row>
    <row r="2392" spans="1:15" hidden="1" x14ac:dyDescent="0.25">
      <c r="A2392" s="2">
        <f t="shared" si="37"/>
        <v>2390</v>
      </c>
      <c r="B2392" s="7" t="s">
        <v>6975</v>
      </c>
      <c r="C2392" s="7" t="s">
        <v>6976</v>
      </c>
      <c r="D2392" s="7" t="s">
        <v>6975</v>
      </c>
      <c r="E2392" s="7" t="s">
        <v>182</v>
      </c>
      <c r="F2392" s="7" t="s">
        <v>6977</v>
      </c>
      <c r="G2392" s="17" t="s">
        <v>7747</v>
      </c>
      <c r="H2392" s="7" t="s">
        <v>28</v>
      </c>
      <c r="I2392" s="7" t="s">
        <v>1284</v>
      </c>
      <c r="J2392" s="7" t="s">
        <v>185</v>
      </c>
      <c r="K2392" s="7" t="s">
        <v>1322</v>
      </c>
      <c r="L2392" s="7" t="s">
        <v>136</v>
      </c>
      <c r="M2392" s="7">
        <v>4.8515689999999996</v>
      </c>
      <c r="N2392" s="7">
        <v>11.473203</v>
      </c>
      <c r="O2392" s="7" t="s">
        <v>613</v>
      </c>
    </row>
    <row r="2393" spans="1:15" hidden="1" x14ac:dyDescent="0.25">
      <c r="A2393" s="2">
        <f t="shared" si="37"/>
        <v>2391</v>
      </c>
      <c r="B2393" s="7" t="s">
        <v>7005</v>
      </c>
      <c r="C2393" s="7" t="s">
        <v>7006</v>
      </c>
      <c r="D2393" s="7" t="s">
        <v>7005</v>
      </c>
      <c r="E2393" s="7" t="s">
        <v>182</v>
      </c>
      <c r="F2393" s="7" t="s">
        <v>7007</v>
      </c>
      <c r="G2393" s="17" t="s">
        <v>7747</v>
      </c>
      <c r="H2393" s="7" t="s">
        <v>28</v>
      </c>
      <c r="I2393" s="7" t="s">
        <v>184</v>
      </c>
      <c r="J2393" s="7" t="s">
        <v>7008</v>
      </c>
      <c r="K2393" s="7" t="s">
        <v>1435</v>
      </c>
      <c r="L2393" s="7" t="s">
        <v>136</v>
      </c>
      <c r="M2393" s="7">
        <v>3.9141400000000002</v>
      </c>
      <c r="N2393" s="7">
        <v>11.545450000000001</v>
      </c>
      <c r="O2393" s="7" t="s">
        <v>613</v>
      </c>
    </row>
    <row r="2394" spans="1:15" hidden="1" x14ac:dyDescent="0.25">
      <c r="A2394" s="2">
        <f t="shared" si="37"/>
        <v>2392</v>
      </c>
      <c r="B2394" s="7" t="s">
        <v>7012</v>
      </c>
      <c r="C2394" s="7" t="s">
        <v>7013</v>
      </c>
      <c r="D2394" s="7" t="s">
        <v>7012</v>
      </c>
      <c r="E2394" s="7" t="s">
        <v>182</v>
      </c>
      <c r="F2394" s="7" t="s">
        <v>7014</v>
      </c>
      <c r="G2394" s="17" t="s">
        <v>7747</v>
      </c>
      <c r="H2394" s="7" t="s">
        <v>28</v>
      </c>
      <c r="I2394" s="7" t="s">
        <v>275</v>
      </c>
      <c r="J2394" s="7" t="s">
        <v>7015</v>
      </c>
      <c r="K2394" s="7" t="s">
        <v>1802</v>
      </c>
      <c r="L2394" s="7" t="s">
        <v>136</v>
      </c>
      <c r="M2394" s="7">
        <v>3.8096890000000001</v>
      </c>
      <c r="N2394" s="7">
        <v>11.433218999999999</v>
      </c>
      <c r="O2394" s="7" t="s">
        <v>613</v>
      </c>
    </row>
    <row r="2395" spans="1:15" hidden="1" x14ac:dyDescent="0.25">
      <c r="A2395" s="2">
        <f t="shared" si="37"/>
        <v>2393</v>
      </c>
      <c r="B2395" s="7" t="s">
        <v>7016</v>
      </c>
      <c r="C2395" s="7" t="s">
        <v>7017</v>
      </c>
      <c r="D2395" s="7" t="s">
        <v>7016</v>
      </c>
      <c r="E2395" s="7" t="s">
        <v>182</v>
      </c>
      <c r="F2395" s="7" t="s">
        <v>7018</v>
      </c>
      <c r="G2395" s="17" t="s">
        <v>7747</v>
      </c>
      <c r="H2395" s="7" t="s">
        <v>28</v>
      </c>
      <c r="I2395" s="7" t="s">
        <v>1766</v>
      </c>
      <c r="J2395" s="7" t="s">
        <v>185</v>
      </c>
      <c r="K2395" s="7" t="s">
        <v>1322</v>
      </c>
      <c r="L2395" s="7" t="s">
        <v>136</v>
      </c>
      <c r="M2395" s="7">
        <v>3.80403</v>
      </c>
      <c r="N2395" s="7">
        <v>11.473371999999999</v>
      </c>
      <c r="O2395" s="7" t="s">
        <v>613</v>
      </c>
    </row>
    <row r="2396" spans="1:15" hidden="1" x14ac:dyDescent="0.25">
      <c r="A2396" s="2">
        <f t="shared" si="37"/>
        <v>2394</v>
      </c>
      <c r="B2396" s="7" t="s">
        <v>7019</v>
      </c>
      <c r="C2396" s="7" t="s">
        <v>7020</v>
      </c>
      <c r="D2396" s="7" t="s">
        <v>7019</v>
      </c>
      <c r="E2396" s="7" t="s">
        <v>182</v>
      </c>
      <c r="F2396" s="7" t="s">
        <v>7021</v>
      </c>
      <c r="G2396" s="17" t="s">
        <v>7747</v>
      </c>
      <c r="H2396" s="7" t="s">
        <v>28</v>
      </c>
      <c r="I2396" s="7" t="s">
        <v>275</v>
      </c>
      <c r="J2396" s="7" t="s">
        <v>7015</v>
      </c>
      <c r="K2396" s="7" t="s">
        <v>1322</v>
      </c>
      <c r="L2396" s="7" t="s">
        <v>136</v>
      </c>
      <c r="M2396" s="7">
        <v>3.8171309999999998</v>
      </c>
      <c r="N2396" s="7">
        <v>11.446111</v>
      </c>
      <c r="O2396" s="7" t="s">
        <v>23</v>
      </c>
    </row>
    <row r="2397" spans="1:15" hidden="1" x14ac:dyDescent="0.25">
      <c r="A2397" s="2">
        <f t="shared" si="37"/>
        <v>2395</v>
      </c>
      <c r="B2397" s="7" t="s">
        <v>7028</v>
      </c>
      <c r="C2397" s="7" t="s">
        <v>7029</v>
      </c>
      <c r="D2397" s="7" t="s">
        <v>7028</v>
      </c>
      <c r="E2397" s="7" t="s">
        <v>182</v>
      </c>
      <c r="F2397" s="7" t="s">
        <v>7030</v>
      </c>
      <c r="G2397" s="17" t="s">
        <v>7747</v>
      </c>
      <c r="H2397" s="7" t="s">
        <v>28</v>
      </c>
      <c r="I2397" s="7" t="s">
        <v>1553</v>
      </c>
      <c r="J2397" s="7" t="s">
        <v>826</v>
      </c>
      <c r="K2397" s="7" t="s">
        <v>819</v>
      </c>
      <c r="L2397" s="7" t="s">
        <v>136</v>
      </c>
      <c r="M2397" s="7">
        <v>3.8697780000000002</v>
      </c>
      <c r="N2397" s="7">
        <v>11.631588000000001</v>
      </c>
      <c r="O2397" s="7" t="s">
        <v>613</v>
      </c>
    </row>
    <row r="2398" spans="1:15" hidden="1" x14ac:dyDescent="0.25">
      <c r="A2398" s="2">
        <f t="shared" si="37"/>
        <v>2396</v>
      </c>
      <c r="B2398" s="7" t="s">
        <v>7034</v>
      </c>
      <c r="C2398" s="7" t="s">
        <v>7035</v>
      </c>
      <c r="D2398" s="7" t="s">
        <v>7034</v>
      </c>
      <c r="E2398" s="7" t="s">
        <v>182</v>
      </c>
      <c r="F2398" s="7" t="s">
        <v>7036</v>
      </c>
      <c r="G2398" s="17" t="s">
        <v>7747</v>
      </c>
      <c r="H2398" s="7" t="s">
        <v>28</v>
      </c>
      <c r="I2398" s="7" t="s">
        <v>1284</v>
      </c>
      <c r="J2398" s="7" t="s">
        <v>7008</v>
      </c>
      <c r="K2398" s="7" t="s">
        <v>1322</v>
      </c>
      <c r="L2398" s="7" t="s">
        <v>136</v>
      </c>
      <c r="M2398" s="7">
        <v>3.8241000000000001</v>
      </c>
      <c r="N2398" s="7">
        <v>11.479200000000001</v>
      </c>
      <c r="O2398" s="7" t="s">
        <v>613</v>
      </c>
    </row>
    <row r="2399" spans="1:15" hidden="1" x14ac:dyDescent="0.25">
      <c r="A2399" s="2">
        <f t="shared" si="37"/>
        <v>2397</v>
      </c>
      <c r="B2399" s="7" t="s">
        <v>7068</v>
      </c>
      <c r="C2399" s="7" t="s">
        <v>7069</v>
      </c>
      <c r="D2399" s="7" t="s">
        <v>7068</v>
      </c>
      <c r="E2399" s="7" t="s">
        <v>182</v>
      </c>
      <c r="F2399" s="7" t="s">
        <v>7070</v>
      </c>
      <c r="G2399" s="17" t="s">
        <v>7747</v>
      </c>
      <c r="H2399" s="7" t="s">
        <v>28</v>
      </c>
      <c r="I2399" s="7" t="s">
        <v>1553</v>
      </c>
      <c r="J2399" s="7" t="s">
        <v>826</v>
      </c>
      <c r="K2399" s="7" t="s">
        <v>819</v>
      </c>
      <c r="L2399" s="7" t="s">
        <v>136</v>
      </c>
      <c r="M2399" s="7">
        <v>3.8626200000000002</v>
      </c>
      <c r="N2399" s="7">
        <v>11.585750000000001</v>
      </c>
      <c r="O2399" s="7" t="s">
        <v>23</v>
      </c>
    </row>
    <row r="2400" spans="1:15" hidden="1" x14ac:dyDescent="0.25">
      <c r="A2400" s="2">
        <f t="shared" si="37"/>
        <v>2398</v>
      </c>
      <c r="B2400" s="7" t="s">
        <v>7083</v>
      </c>
      <c r="C2400" s="7" t="s">
        <v>7084</v>
      </c>
      <c r="D2400" s="7" t="s">
        <v>7083</v>
      </c>
      <c r="E2400" s="7" t="s">
        <v>182</v>
      </c>
      <c r="F2400" s="7" t="s">
        <v>7085</v>
      </c>
      <c r="G2400" s="17" t="s">
        <v>7747</v>
      </c>
      <c r="H2400" s="7" t="s">
        <v>28</v>
      </c>
      <c r="I2400" s="7" t="s">
        <v>1385</v>
      </c>
      <c r="J2400" s="7" t="s">
        <v>185</v>
      </c>
      <c r="K2400" s="7" t="s">
        <v>6974</v>
      </c>
      <c r="L2400" s="7" t="s">
        <v>136</v>
      </c>
      <c r="M2400" s="7">
        <v>3.760043</v>
      </c>
      <c r="N2400" s="7">
        <v>11.5185</v>
      </c>
      <c r="O2400" s="7" t="s">
        <v>23</v>
      </c>
    </row>
    <row r="2401" spans="1:15" hidden="1" x14ac:dyDescent="0.25">
      <c r="A2401" s="2">
        <f t="shared" si="37"/>
        <v>2399</v>
      </c>
      <c r="B2401" s="7" t="s">
        <v>7109</v>
      </c>
      <c r="C2401" s="7" t="s">
        <v>7110</v>
      </c>
      <c r="D2401" s="7" t="s">
        <v>7109</v>
      </c>
      <c r="E2401" s="7" t="s">
        <v>182</v>
      </c>
      <c r="F2401" s="7" t="s">
        <v>7111</v>
      </c>
      <c r="G2401" s="17" t="s">
        <v>7747</v>
      </c>
      <c r="H2401" s="7" t="s">
        <v>28</v>
      </c>
      <c r="I2401" s="7" t="s">
        <v>286</v>
      </c>
      <c r="J2401" s="7" t="s">
        <v>7112</v>
      </c>
      <c r="K2401" s="7" t="s">
        <v>1745</v>
      </c>
      <c r="L2401" s="7" t="s">
        <v>136</v>
      </c>
      <c r="M2401" s="7">
        <v>4.4929490000000003</v>
      </c>
      <c r="N2401" s="7">
        <v>12.000976</v>
      </c>
      <c r="O2401" s="7" t="s">
        <v>23</v>
      </c>
    </row>
    <row r="2402" spans="1:15" hidden="1" x14ac:dyDescent="0.25">
      <c r="A2402" s="2">
        <f t="shared" si="37"/>
        <v>2400</v>
      </c>
      <c r="B2402" s="7" t="s">
        <v>7127</v>
      </c>
      <c r="C2402" s="7" t="s">
        <v>7128</v>
      </c>
      <c r="D2402" s="7" t="s">
        <v>7127</v>
      </c>
      <c r="E2402" s="7" t="s">
        <v>182</v>
      </c>
      <c r="F2402" s="7" t="s">
        <v>7129</v>
      </c>
      <c r="G2402" s="17" t="s">
        <v>7747</v>
      </c>
      <c r="H2402" s="7" t="s">
        <v>28</v>
      </c>
      <c r="I2402" s="7" t="s">
        <v>184</v>
      </c>
      <c r="J2402" s="7" t="s">
        <v>6664</v>
      </c>
      <c r="K2402" s="7" t="s">
        <v>1435</v>
      </c>
      <c r="L2402" s="7" t="s">
        <v>136</v>
      </c>
      <c r="M2402" s="7">
        <v>3.918361</v>
      </c>
      <c r="N2402" s="7">
        <v>11.56162</v>
      </c>
      <c r="O2402" s="7" t="s">
        <v>613</v>
      </c>
    </row>
    <row r="2403" spans="1:15" x14ac:dyDescent="0.25">
      <c r="A2403" s="2">
        <f t="shared" si="37"/>
        <v>2401</v>
      </c>
      <c r="B2403" s="7" t="s">
        <v>7154</v>
      </c>
      <c r="C2403" s="7" t="s">
        <v>7155</v>
      </c>
      <c r="D2403" s="7" t="s">
        <v>7154</v>
      </c>
      <c r="E2403" s="7" t="s">
        <v>131</v>
      </c>
      <c r="F2403" s="7" t="s">
        <v>7156</v>
      </c>
      <c r="G2403" s="17" t="s">
        <v>7747</v>
      </c>
      <c r="H2403" s="7" t="s">
        <v>28</v>
      </c>
      <c r="I2403" s="7" t="s">
        <v>133</v>
      </c>
      <c r="J2403" s="7" t="s">
        <v>7157</v>
      </c>
      <c r="K2403" s="7" t="s">
        <v>133</v>
      </c>
      <c r="L2403" s="7" t="s">
        <v>136</v>
      </c>
      <c r="M2403" s="7">
        <v>4.7655599999999998</v>
      </c>
      <c r="N2403" s="7">
        <v>11.22837</v>
      </c>
      <c r="O2403" s="7" t="s">
        <v>613</v>
      </c>
    </row>
    <row r="2404" spans="1:15" hidden="1" x14ac:dyDescent="0.25">
      <c r="A2404" s="2">
        <f t="shared" si="37"/>
        <v>2402</v>
      </c>
      <c r="B2404" s="7" t="s">
        <v>7171</v>
      </c>
      <c r="C2404" s="7" t="s">
        <v>7172</v>
      </c>
      <c r="D2404" s="7" t="s">
        <v>7171</v>
      </c>
      <c r="E2404" s="7" t="s">
        <v>182</v>
      </c>
      <c r="F2404" s="7" t="s">
        <v>7173</v>
      </c>
      <c r="G2404" s="17" t="s">
        <v>7747</v>
      </c>
      <c r="H2404" s="7" t="s">
        <v>28</v>
      </c>
      <c r="I2404" s="7" t="s">
        <v>286</v>
      </c>
      <c r="J2404" s="7" t="s">
        <v>6664</v>
      </c>
      <c r="K2404" s="7" t="s">
        <v>4539</v>
      </c>
      <c r="L2404" s="7" t="s">
        <v>136</v>
      </c>
      <c r="M2404" s="7">
        <v>4.0214299999999996</v>
      </c>
      <c r="N2404" s="7">
        <v>11.556179999999999</v>
      </c>
      <c r="O2404" s="7" t="s">
        <v>613</v>
      </c>
    </row>
    <row r="2405" spans="1:15" hidden="1" x14ac:dyDescent="0.25">
      <c r="A2405" s="2">
        <f t="shared" si="37"/>
        <v>2403</v>
      </c>
      <c r="B2405" s="7" t="s">
        <v>7177</v>
      </c>
      <c r="C2405" s="7" t="s">
        <v>7178</v>
      </c>
      <c r="D2405" s="7" t="s">
        <v>7177</v>
      </c>
      <c r="E2405" s="7" t="s">
        <v>182</v>
      </c>
      <c r="F2405" s="7" t="s">
        <v>7179</v>
      </c>
      <c r="G2405" s="17" t="s">
        <v>7747</v>
      </c>
      <c r="H2405" s="7" t="s">
        <v>28</v>
      </c>
      <c r="I2405" s="7" t="s">
        <v>1766</v>
      </c>
      <c r="J2405" s="7" t="s">
        <v>185</v>
      </c>
      <c r="K2405" s="7" t="s">
        <v>6942</v>
      </c>
      <c r="L2405" s="7" t="s">
        <v>136</v>
      </c>
      <c r="M2405" s="7">
        <v>3.95418</v>
      </c>
      <c r="N2405" s="7">
        <v>11.52108</v>
      </c>
      <c r="O2405" s="7" t="s">
        <v>613</v>
      </c>
    </row>
    <row r="2406" spans="1:15" hidden="1" x14ac:dyDescent="0.25">
      <c r="A2406" s="2">
        <f t="shared" si="37"/>
        <v>2404</v>
      </c>
      <c r="B2406" s="7" t="s">
        <v>7180</v>
      </c>
      <c r="C2406" s="7" t="s">
        <v>7181</v>
      </c>
      <c r="D2406" s="7" t="s">
        <v>7180</v>
      </c>
      <c r="E2406" s="7" t="s">
        <v>182</v>
      </c>
      <c r="F2406" s="7" t="s">
        <v>7182</v>
      </c>
      <c r="G2406" s="17" t="s">
        <v>7747</v>
      </c>
      <c r="H2406" s="7" t="s">
        <v>28</v>
      </c>
      <c r="I2406" s="7" t="s">
        <v>1284</v>
      </c>
      <c r="J2406" s="7" t="s">
        <v>7015</v>
      </c>
      <c r="K2406" s="7" t="s">
        <v>1802</v>
      </c>
      <c r="L2406" s="7" t="s">
        <v>136</v>
      </c>
      <c r="M2406" s="7">
        <v>3.7693099999999999</v>
      </c>
      <c r="N2406" s="7">
        <v>11.454560000000001</v>
      </c>
      <c r="O2406" s="7" t="s">
        <v>23</v>
      </c>
    </row>
    <row r="2407" spans="1:15" hidden="1" x14ac:dyDescent="0.25">
      <c r="A2407" s="2">
        <f t="shared" si="37"/>
        <v>2405</v>
      </c>
      <c r="B2407" s="7" t="s">
        <v>7186</v>
      </c>
      <c r="C2407" s="7" t="s">
        <v>7187</v>
      </c>
      <c r="D2407" s="7" t="s">
        <v>7186</v>
      </c>
      <c r="E2407" s="7" t="s">
        <v>182</v>
      </c>
      <c r="F2407" s="7" t="s">
        <v>7188</v>
      </c>
      <c r="G2407" s="17" t="s">
        <v>7747</v>
      </c>
      <c r="H2407" s="7" t="s">
        <v>28</v>
      </c>
      <c r="I2407" s="7" t="s">
        <v>297</v>
      </c>
      <c r="J2407" s="7" t="s">
        <v>7008</v>
      </c>
      <c r="K2407" s="7" t="s">
        <v>1322</v>
      </c>
      <c r="L2407" s="7" t="s">
        <v>136</v>
      </c>
      <c r="M2407" s="7">
        <v>3.8736299999999999</v>
      </c>
      <c r="N2407" s="7">
        <v>11.433859999999999</v>
      </c>
      <c r="O2407" s="7" t="s">
        <v>613</v>
      </c>
    </row>
    <row r="2408" spans="1:15" hidden="1" x14ac:dyDescent="0.25">
      <c r="A2408" s="2">
        <f t="shared" si="37"/>
        <v>2406</v>
      </c>
      <c r="B2408" s="7" t="s">
        <v>7195</v>
      </c>
      <c r="C2408" s="7" t="s">
        <v>7196</v>
      </c>
      <c r="D2408" s="7" t="s">
        <v>7195</v>
      </c>
      <c r="E2408" s="7" t="s">
        <v>182</v>
      </c>
      <c r="F2408" s="7" t="s">
        <v>7197</v>
      </c>
      <c r="G2408" s="17" t="s">
        <v>7747</v>
      </c>
      <c r="H2408" s="7" t="s">
        <v>28</v>
      </c>
      <c r="I2408" s="7" t="s">
        <v>275</v>
      </c>
      <c r="J2408" s="7" t="s">
        <v>7008</v>
      </c>
      <c r="K2408" s="7" t="s">
        <v>1322</v>
      </c>
      <c r="L2408" s="7" t="s">
        <v>136</v>
      </c>
      <c r="M2408" s="7">
        <v>3.7940399999999999</v>
      </c>
      <c r="N2408" s="7">
        <v>11.457850000000001</v>
      </c>
      <c r="O2408" s="7" t="s">
        <v>613</v>
      </c>
    </row>
    <row r="2409" spans="1:15" hidden="1" x14ac:dyDescent="0.25">
      <c r="A2409" s="2">
        <f t="shared" si="37"/>
        <v>2407</v>
      </c>
      <c r="B2409" s="7" t="s">
        <v>7218</v>
      </c>
      <c r="C2409" s="7" t="s">
        <v>7219</v>
      </c>
      <c r="D2409" s="7" t="s">
        <v>7218</v>
      </c>
      <c r="E2409" s="7" t="s">
        <v>7220</v>
      </c>
      <c r="F2409" s="7" t="s">
        <v>7221</v>
      </c>
      <c r="G2409" s="17" t="s">
        <v>7747</v>
      </c>
      <c r="H2409" s="7" t="s">
        <v>28</v>
      </c>
      <c r="I2409" s="7" t="s">
        <v>322</v>
      </c>
      <c r="J2409" s="7" t="s">
        <v>7089</v>
      </c>
      <c r="K2409" s="7" t="s">
        <v>322</v>
      </c>
      <c r="L2409" s="7" t="s">
        <v>136</v>
      </c>
      <c r="M2409" s="7">
        <v>2.9864000000000002</v>
      </c>
      <c r="N2409" s="7">
        <v>11.962</v>
      </c>
      <c r="O2409" s="7" t="s">
        <v>23</v>
      </c>
    </row>
    <row r="2410" spans="1:15" hidden="1" x14ac:dyDescent="0.25">
      <c r="A2410" s="2">
        <f t="shared" si="37"/>
        <v>2408</v>
      </c>
      <c r="B2410" s="7" t="s">
        <v>7222</v>
      </c>
      <c r="C2410" s="7" t="s">
        <v>7223</v>
      </c>
      <c r="D2410" s="7" t="s">
        <v>7222</v>
      </c>
      <c r="E2410" s="7" t="s">
        <v>250</v>
      </c>
      <c r="F2410" s="7" t="s">
        <v>7224</v>
      </c>
      <c r="G2410" s="17" t="s">
        <v>7747</v>
      </c>
      <c r="H2410" s="7" t="s">
        <v>28</v>
      </c>
      <c r="I2410" s="7" t="s">
        <v>341</v>
      </c>
      <c r="J2410" s="7" t="s">
        <v>7225</v>
      </c>
      <c r="K2410" s="7" t="s">
        <v>341</v>
      </c>
      <c r="L2410" s="7" t="s">
        <v>136</v>
      </c>
      <c r="M2410" s="7">
        <v>3.467028</v>
      </c>
      <c r="N2410" s="7">
        <v>11.5405</v>
      </c>
      <c r="O2410" s="7" t="s">
        <v>23</v>
      </c>
    </row>
    <row r="2411" spans="1:15" hidden="1" x14ac:dyDescent="0.25">
      <c r="A2411" s="2">
        <f t="shared" si="37"/>
        <v>2409</v>
      </c>
      <c r="B2411" s="7" t="s">
        <v>7229</v>
      </c>
      <c r="C2411" s="7" t="s">
        <v>7230</v>
      </c>
      <c r="D2411" s="7" t="s">
        <v>7229</v>
      </c>
      <c r="E2411" s="7" t="s">
        <v>7220</v>
      </c>
      <c r="F2411" s="7" t="s">
        <v>7231</v>
      </c>
      <c r="G2411" s="17" t="s">
        <v>7747</v>
      </c>
      <c r="H2411" s="7" t="s">
        <v>28</v>
      </c>
      <c r="I2411" s="7" t="s">
        <v>322</v>
      </c>
      <c r="J2411" s="7" t="s">
        <v>7089</v>
      </c>
      <c r="K2411" s="7" t="s">
        <v>6114</v>
      </c>
      <c r="L2411" s="7" t="s">
        <v>136</v>
      </c>
      <c r="M2411" s="7">
        <v>2.959457</v>
      </c>
      <c r="N2411" s="7">
        <v>11.920819</v>
      </c>
      <c r="O2411" s="7" t="s">
        <v>23</v>
      </c>
    </row>
    <row r="2412" spans="1:15" hidden="1" x14ac:dyDescent="0.25">
      <c r="A2412" s="2">
        <f t="shared" si="37"/>
        <v>2410</v>
      </c>
      <c r="B2412" s="7" t="s">
        <v>7236</v>
      </c>
      <c r="C2412" s="7" t="s">
        <v>7237</v>
      </c>
      <c r="D2412" s="7" t="s">
        <v>7236</v>
      </c>
      <c r="E2412" s="7" t="s">
        <v>250</v>
      </c>
      <c r="F2412" s="7" t="s">
        <v>7238</v>
      </c>
      <c r="G2412" s="17" t="s">
        <v>7747</v>
      </c>
      <c r="H2412" s="7" t="s">
        <v>28</v>
      </c>
      <c r="I2412" s="7" t="s">
        <v>322</v>
      </c>
      <c r="J2412" s="7" t="s">
        <v>7089</v>
      </c>
      <c r="K2412" s="7" t="s">
        <v>322</v>
      </c>
      <c r="L2412" s="7" t="s">
        <v>136</v>
      </c>
      <c r="M2412" s="7">
        <v>2.9645277999999999</v>
      </c>
      <c r="N2412" s="7">
        <v>11.6866389</v>
      </c>
      <c r="O2412" s="7" t="s">
        <v>23</v>
      </c>
    </row>
    <row r="2413" spans="1:15" hidden="1" x14ac:dyDescent="0.25">
      <c r="A2413" s="2">
        <f t="shared" si="37"/>
        <v>2411</v>
      </c>
      <c r="B2413" s="7" t="s">
        <v>7239</v>
      </c>
      <c r="C2413" s="7" t="s">
        <v>7240</v>
      </c>
      <c r="D2413" s="7" t="s">
        <v>7239</v>
      </c>
      <c r="E2413" s="7" t="s">
        <v>250</v>
      </c>
      <c r="F2413" s="7" t="s">
        <v>7241</v>
      </c>
      <c r="G2413" s="17" t="s">
        <v>7747</v>
      </c>
      <c r="H2413" s="7" t="s">
        <v>28</v>
      </c>
      <c r="I2413" s="7" t="s">
        <v>322</v>
      </c>
      <c r="J2413" s="7" t="s">
        <v>7093</v>
      </c>
      <c r="K2413" s="7" t="s">
        <v>7242</v>
      </c>
      <c r="L2413" s="7" t="s">
        <v>136</v>
      </c>
      <c r="M2413" s="7">
        <v>3.1923620000000001</v>
      </c>
      <c r="N2413" s="7">
        <v>11.803162</v>
      </c>
      <c r="O2413" s="7" t="s">
        <v>23</v>
      </c>
    </row>
    <row r="2414" spans="1:15" hidden="1" x14ac:dyDescent="0.25">
      <c r="A2414" s="2">
        <f t="shared" si="37"/>
        <v>2412</v>
      </c>
      <c r="B2414" s="7" t="s">
        <v>7243</v>
      </c>
      <c r="C2414" s="7" t="s">
        <v>7244</v>
      </c>
      <c r="D2414" s="7" t="s">
        <v>7243</v>
      </c>
      <c r="E2414" s="7" t="s">
        <v>7220</v>
      </c>
      <c r="F2414" s="7" t="s">
        <v>7245</v>
      </c>
      <c r="G2414" s="17" t="s">
        <v>7747</v>
      </c>
      <c r="H2414" s="7" t="s">
        <v>28</v>
      </c>
      <c r="I2414" s="7" t="s">
        <v>322</v>
      </c>
      <c r="J2414" s="7" t="s">
        <v>7089</v>
      </c>
      <c r="K2414" s="7" t="s">
        <v>322</v>
      </c>
      <c r="L2414" s="7" t="s">
        <v>136</v>
      </c>
      <c r="M2414" s="7">
        <v>3.3217189999999999</v>
      </c>
      <c r="N2414" s="7">
        <v>11.824458999999999</v>
      </c>
      <c r="O2414" s="7" t="s">
        <v>23</v>
      </c>
    </row>
    <row r="2415" spans="1:15" hidden="1" x14ac:dyDescent="0.25">
      <c r="A2415" s="2">
        <f t="shared" si="37"/>
        <v>2413</v>
      </c>
      <c r="B2415" s="7" t="s">
        <v>7246</v>
      </c>
      <c r="C2415" s="7" t="s">
        <v>7247</v>
      </c>
      <c r="D2415" s="7" t="s">
        <v>7246</v>
      </c>
      <c r="E2415" s="7" t="s">
        <v>182</v>
      </c>
      <c r="F2415" s="7" t="s">
        <v>7248</v>
      </c>
      <c r="G2415" s="17" t="s">
        <v>7747</v>
      </c>
      <c r="H2415" s="7" t="s">
        <v>28</v>
      </c>
      <c r="I2415" s="7" t="s">
        <v>600</v>
      </c>
      <c r="J2415" s="7" t="s">
        <v>7249</v>
      </c>
      <c r="K2415" s="7" t="s">
        <v>7250</v>
      </c>
      <c r="L2415" s="7" t="s">
        <v>136</v>
      </c>
      <c r="M2415" s="7">
        <v>3.95</v>
      </c>
      <c r="N2415" s="7">
        <v>10.915361000000001</v>
      </c>
      <c r="O2415" s="7" t="s">
        <v>23</v>
      </c>
    </row>
    <row r="2416" spans="1:15" hidden="1" x14ac:dyDescent="0.25">
      <c r="A2416" s="2">
        <f t="shared" si="37"/>
        <v>2414</v>
      </c>
      <c r="B2416" s="7" t="s">
        <v>7251</v>
      </c>
      <c r="C2416" s="7" t="s">
        <v>7252</v>
      </c>
      <c r="D2416" s="7" t="s">
        <v>7251</v>
      </c>
      <c r="E2416" s="7" t="s">
        <v>182</v>
      </c>
      <c r="F2416" s="7" t="s">
        <v>7253</v>
      </c>
      <c r="G2416" s="17" t="s">
        <v>7747</v>
      </c>
      <c r="H2416" s="7" t="s">
        <v>28</v>
      </c>
      <c r="I2416" s="7" t="s">
        <v>286</v>
      </c>
      <c r="J2416" s="7" t="s">
        <v>7254</v>
      </c>
      <c r="K2416" s="7" t="s">
        <v>337</v>
      </c>
      <c r="L2416" s="7" t="s">
        <v>136</v>
      </c>
      <c r="M2416" s="7">
        <v>4.2207309999999998</v>
      </c>
      <c r="N2416" s="7">
        <v>11.59735</v>
      </c>
      <c r="O2416" s="7" t="s">
        <v>23</v>
      </c>
    </row>
    <row r="2417" spans="1:15" hidden="1" x14ac:dyDescent="0.25">
      <c r="A2417" s="2">
        <f t="shared" si="37"/>
        <v>2415</v>
      </c>
      <c r="B2417" s="7" t="s">
        <v>7255</v>
      </c>
      <c r="C2417" s="7" t="s">
        <v>7256</v>
      </c>
      <c r="D2417" s="7" t="s">
        <v>7255</v>
      </c>
      <c r="E2417" s="7" t="s">
        <v>182</v>
      </c>
      <c r="F2417" s="7" t="s">
        <v>7257</v>
      </c>
      <c r="G2417" s="17" t="s">
        <v>7747</v>
      </c>
      <c r="H2417" s="7" t="s">
        <v>28</v>
      </c>
      <c r="I2417" s="7" t="s">
        <v>297</v>
      </c>
      <c r="J2417" s="7" t="s">
        <v>7258</v>
      </c>
      <c r="K2417" s="7" t="s">
        <v>645</v>
      </c>
      <c r="L2417" s="7" t="s">
        <v>136</v>
      </c>
      <c r="M2417" s="7">
        <v>3.9006110999999999</v>
      </c>
      <c r="N2417" s="7">
        <v>11.1751389</v>
      </c>
      <c r="O2417" s="7" t="s">
        <v>23</v>
      </c>
    </row>
    <row r="2418" spans="1:15" hidden="1" x14ac:dyDescent="0.25">
      <c r="A2418" s="2">
        <f t="shared" si="37"/>
        <v>2416</v>
      </c>
      <c r="B2418" s="7" t="s">
        <v>7269</v>
      </c>
      <c r="C2418" s="7" t="s">
        <v>7270</v>
      </c>
      <c r="D2418" s="7" t="s">
        <v>7269</v>
      </c>
      <c r="E2418" s="7" t="s">
        <v>250</v>
      </c>
      <c r="F2418" s="7" t="s">
        <v>7271</v>
      </c>
      <c r="G2418" s="17" t="s">
        <v>7747</v>
      </c>
      <c r="H2418" s="7" t="s">
        <v>28</v>
      </c>
      <c r="I2418" s="7" t="s">
        <v>322</v>
      </c>
      <c r="J2418" s="7" t="s">
        <v>7089</v>
      </c>
      <c r="K2418" s="7" t="s">
        <v>7272</v>
      </c>
      <c r="L2418" s="7" t="s">
        <v>136</v>
      </c>
      <c r="M2418" s="7">
        <v>2.9636469999999999</v>
      </c>
      <c r="N2418" s="7">
        <v>12.211558</v>
      </c>
      <c r="O2418" s="7" t="s">
        <v>23</v>
      </c>
    </row>
    <row r="2419" spans="1:15" hidden="1" x14ac:dyDescent="0.25">
      <c r="A2419" s="2">
        <f t="shared" si="37"/>
        <v>2417</v>
      </c>
      <c r="B2419" s="7" t="s">
        <v>7348</v>
      </c>
      <c r="C2419" s="7" t="s">
        <v>7349</v>
      </c>
      <c r="D2419" s="7" t="s">
        <v>7348</v>
      </c>
      <c r="E2419" s="7" t="s">
        <v>182</v>
      </c>
      <c r="F2419" s="7" t="s">
        <v>7350</v>
      </c>
      <c r="G2419" s="17" t="s">
        <v>7747</v>
      </c>
      <c r="H2419" s="7" t="s">
        <v>28</v>
      </c>
      <c r="I2419" s="7" t="s">
        <v>7351</v>
      </c>
      <c r="J2419" s="7" t="s">
        <v>185</v>
      </c>
      <c r="K2419" s="7" t="s">
        <v>6942</v>
      </c>
      <c r="L2419" s="7" t="s">
        <v>136</v>
      </c>
      <c r="M2419" s="7">
        <v>3.8658361000000001</v>
      </c>
      <c r="N2419" s="7">
        <v>11.5162944</v>
      </c>
      <c r="O2419" s="7" t="s">
        <v>613</v>
      </c>
    </row>
    <row r="2420" spans="1:15" hidden="1" x14ac:dyDescent="0.25">
      <c r="A2420" s="2">
        <f t="shared" si="37"/>
        <v>2418</v>
      </c>
      <c r="B2420" s="7" t="s">
        <v>7381</v>
      </c>
      <c r="C2420" s="7" t="s">
        <v>7382</v>
      </c>
      <c r="D2420" s="7" t="s">
        <v>7381</v>
      </c>
      <c r="E2420" s="7" t="s">
        <v>182</v>
      </c>
      <c r="F2420" s="7" t="s">
        <v>7383</v>
      </c>
      <c r="G2420" s="17" t="s">
        <v>7747</v>
      </c>
      <c r="H2420" s="7" t="s">
        <v>28</v>
      </c>
      <c r="I2420" s="7" t="s">
        <v>275</v>
      </c>
      <c r="J2420" s="7" t="s">
        <v>7384</v>
      </c>
      <c r="K2420" s="7" t="s">
        <v>7385</v>
      </c>
      <c r="L2420" s="7" t="s">
        <v>136</v>
      </c>
      <c r="M2420" s="7">
        <v>3.8008739999999999</v>
      </c>
      <c r="N2420" s="7">
        <v>11.447773</v>
      </c>
      <c r="O2420" s="7" t="s">
        <v>613</v>
      </c>
    </row>
    <row r="2421" spans="1:15" hidden="1" x14ac:dyDescent="0.25">
      <c r="A2421" s="2">
        <f t="shared" si="37"/>
        <v>2419</v>
      </c>
      <c r="B2421" s="7" t="s">
        <v>7409</v>
      </c>
      <c r="C2421" s="7" t="s">
        <v>7410</v>
      </c>
      <c r="D2421" s="7" t="s">
        <v>7409</v>
      </c>
      <c r="E2421" s="7" t="s">
        <v>182</v>
      </c>
      <c r="F2421" s="7" t="s">
        <v>7411</v>
      </c>
      <c r="G2421" s="17" t="s">
        <v>7747</v>
      </c>
      <c r="H2421" s="7" t="s">
        <v>28</v>
      </c>
      <c r="I2421" s="7" t="s">
        <v>1553</v>
      </c>
      <c r="J2421" s="7" t="s">
        <v>185</v>
      </c>
      <c r="K2421" s="7" t="s">
        <v>819</v>
      </c>
      <c r="L2421" s="7" t="s">
        <v>136</v>
      </c>
      <c r="M2421" s="7">
        <v>3.8499530000000002</v>
      </c>
      <c r="N2421" s="7">
        <v>11.619197</v>
      </c>
      <c r="O2421" s="7" t="s">
        <v>23</v>
      </c>
    </row>
    <row r="2422" spans="1:15" hidden="1" x14ac:dyDescent="0.25">
      <c r="A2422" s="2">
        <f t="shared" si="37"/>
        <v>2420</v>
      </c>
      <c r="B2422" s="7" t="s">
        <v>7412</v>
      </c>
      <c r="C2422" s="7" t="s">
        <v>7413</v>
      </c>
      <c r="D2422" s="7" t="s">
        <v>7412</v>
      </c>
      <c r="E2422" s="7" t="s">
        <v>182</v>
      </c>
      <c r="F2422" s="7" t="s">
        <v>7414</v>
      </c>
      <c r="G2422" s="17" t="s">
        <v>7747</v>
      </c>
      <c r="H2422" s="7" t="s">
        <v>28</v>
      </c>
      <c r="I2422" s="7" t="s">
        <v>275</v>
      </c>
      <c r="J2422" s="7" t="s">
        <v>7008</v>
      </c>
      <c r="K2422" s="7" t="s">
        <v>1322</v>
      </c>
      <c r="L2422" s="7" t="s">
        <v>136</v>
      </c>
      <c r="M2422" s="7">
        <v>3.8207</v>
      </c>
      <c r="N2422" s="7">
        <v>11.454499999999999</v>
      </c>
      <c r="O2422" s="7" t="s">
        <v>23</v>
      </c>
    </row>
    <row r="2423" spans="1:15" hidden="1" x14ac:dyDescent="0.25">
      <c r="A2423" s="2">
        <f t="shared" si="37"/>
        <v>2421</v>
      </c>
      <c r="B2423" s="7" t="s">
        <v>7421</v>
      </c>
      <c r="C2423" s="7" t="s">
        <v>7422</v>
      </c>
      <c r="D2423" s="7" t="s">
        <v>7421</v>
      </c>
      <c r="E2423" s="7" t="s">
        <v>182</v>
      </c>
      <c r="F2423" s="7" t="s">
        <v>7423</v>
      </c>
      <c r="G2423" s="17" t="s">
        <v>7747</v>
      </c>
      <c r="H2423" s="7" t="s">
        <v>28</v>
      </c>
      <c r="I2423" s="7" t="s">
        <v>1553</v>
      </c>
      <c r="J2423" s="7" t="s">
        <v>7008</v>
      </c>
      <c r="K2423" s="7" t="s">
        <v>1322</v>
      </c>
      <c r="L2423" s="7" t="s">
        <v>136</v>
      </c>
      <c r="M2423" s="7">
        <v>3.8071329999999999</v>
      </c>
      <c r="N2423" s="7">
        <v>11.56122</v>
      </c>
      <c r="O2423" s="7" t="s">
        <v>23</v>
      </c>
    </row>
    <row r="2424" spans="1:15" hidden="1" x14ac:dyDescent="0.25">
      <c r="A2424" s="2">
        <f t="shared" si="37"/>
        <v>2422</v>
      </c>
      <c r="B2424" s="7" t="s">
        <v>7424</v>
      </c>
      <c r="C2424" s="7" t="s">
        <v>7425</v>
      </c>
      <c r="D2424" s="7" t="s">
        <v>7424</v>
      </c>
      <c r="E2424" s="7" t="s">
        <v>182</v>
      </c>
      <c r="F2424" s="7" t="s">
        <v>7426</v>
      </c>
      <c r="G2424" s="17" t="s">
        <v>7747</v>
      </c>
      <c r="H2424" s="7" t="s">
        <v>28</v>
      </c>
      <c r="I2424" s="7" t="s">
        <v>1552</v>
      </c>
      <c r="J2424" s="7" t="s">
        <v>185</v>
      </c>
      <c r="K2424" s="7" t="s">
        <v>819</v>
      </c>
      <c r="L2424" s="7" t="s">
        <v>136</v>
      </c>
      <c r="M2424" s="7">
        <v>3.8603149999999999</v>
      </c>
      <c r="N2424" s="7">
        <v>11.584194</v>
      </c>
      <c r="O2424" s="7" t="s">
        <v>23</v>
      </c>
    </row>
    <row r="2425" spans="1:15" hidden="1" x14ac:dyDescent="0.25">
      <c r="A2425" s="2">
        <f t="shared" si="37"/>
        <v>2423</v>
      </c>
      <c r="B2425" s="7" t="s">
        <v>7427</v>
      </c>
      <c r="C2425" s="7" t="s">
        <v>7428</v>
      </c>
      <c r="D2425" s="7" t="s">
        <v>7427</v>
      </c>
      <c r="E2425" s="7" t="s">
        <v>182</v>
      </c>
      <c r="F2425" s="7" t="s">
        <v>7429</v>
      </c>
      <c r="G2425" s="17" t="s">
        <v>7747</v>
      </c>
      <c r="H2425" s="7" t="s">
        <v>28</v>
      </c>
      <c r="I2425" s="7" t="s">
        <v>1552</v>
      </c>
      <c r="J2425" s="7" t="s">
        <v>185</v>
      </c>
      <c r="K2425" s="7" t="s">
        <v>819</v>
      </c>
      <c r="L2425" s="7" t="s">
        <v>136</v>
      </c>
      <c r="M2425" s="7">
        <v>3.875877</v>
      </c>
      <c r="N2425" s="7">
        <v>11.611891999999999</v>
      </c>
      <c r="O2425" s="7" t="s">
        <v>23</v>
      </c>
    </row>
    <row r="2426" spans="1:15" hidden="1" x14ac:dyDescent="0.25">
      <c r="A2426" s="2">
        <f t="shared" si="37"/>
        <v>2424</v>
      </c>
      <c r="B2426" s="7" t="s">
        <v>7433</v>
      </c>
      <c r="C2426" s="7" t="s">
        <v>7434</v>
      </c>
      <c r="D2426" s="7" t="s">
        <v>7433</v>
      </c>
      <c r="E2426" s="7" t="s">
        <v>182</v>
      </c>
      <c r="F2426" s="7" t="s">
        <v>7435</v>
      </c>
      <c r="G2426" s="17" t="s">
        <v>7747</v>
      </c>
      <c r="H2426" s="7" t="s">
        <v>28</v>
      </c>
      <c r="I2426" s="7" t="s">
        <v>7436</v>
      </c>
      <c r="J2426" s="7" t="s">
        <v>185</v>
      </c>
      <c r="K2426" s="7" t="s">
        <v>1435</v>
      </c>
      <c r="L2426" s="7" t="s">
        <v>136</v>
      </c>
      <c r="M2426" s="7">
        <v>3.8794439999999999</v>
      </c>
      <c r="N2426" s="7">
        <v>11.534722</v>
      </c>
      <c r="O2426" s="7" t="s">
        <v>613</v>
      </c>
    </row>
    <row r="2427" spans="1:15" hidden="1" x14ac:dyDescent="0.25">
      <c r="A2427" s="2">
        <f t="shared" si="37"/>
        <v>2425</v>
      </c>
      <c r="B2427" s="7" t="s">
        <v>7437</v>
      </c>
      <c r="C2427" s="7" t="s">
        <v>7438</v>
      </c>
      <c r="D2427" s="7" t="s">
        <v>7437</v>
      </c>
      <c r="E2427" s="7" t="s">
        <v>182</v>
      </c>
      <c r="F2427" s="7" t="s">
        <v>7439</v>
      </c>
      <c r="G2427" s="17" t="s">
        <v>7747</v>
      </c>
      <c r="H2427" s="7" t="s">
        <v>28</v>
      </c>
      <c r="I2427" s="7" t="s">
        <v>1766</v>
      </c>
      <c r="J2427" s="7" t="s">
        <v>7440</v>
      </c>
      <c r="K2427" s="7" t="s">
        <v>186</v>
      </c>
      <c r="L2427" s="7" t="s">
        <v>136</v>
      </c>
      <c r="M2427" s="7">
        <v>3.9849459999999999</v>
      </c>
      <c r="N2427" s="7">
        <v>11.548330999999999</v>
      </c>
      <c r="O2427" s="7" t="s">
        <v>613</v>
      </c>
    </row>
    <row r="2428" spans="1:15" hidden="1" x14ac:dyDescent="0.25">
      <c r="A2428" s="2">
        <f t="shared" si="37"/>
        <v>2426</v>
      </c>
      <c r="B2428" s="7" t="s">
        <v>7441</v>
      </c>
      <c r="C2428" s="7" t="s">
        <v>7442</v>
      </c>
      <c r="D2428" s="7" t="s">
        <v>7441</v>
      </c>
      <c r="E2428" s="7" t="s">
        <v>182</v>
      </c>
      <c r="F2428" s="7" t="s">
        <v>7443</v>
      </c>
      <c r="G2428" s="17" t="s">
        <v>7747</v>
      </c>
      <c r="H2428" s="7" t="s">
        <v>28</v>
      </c>
      <c r="I2428" s="7" t="s">
        <v>7444</v>
      </c>
      <c r="J2428" s="7" t="s">
        <v>185</v>
      </c>
      <c r="K2428" s="7" t="s">
        <v>808</v>
      </c>
      <c r="L2428" s="7" t="s">
        <v>136</v>
      </c>
      <c r="M2428" s="7">
        <v>3.9400650000000002</v>
      </c>
      <c r="N2428" s="7">
        <v>11.509296000000001</v>
      </c>
      <c r="O2428" s="7" t="s">
        <v>613</v>
      </c>
    </row>
    <row r="2429" spans="1:15" hidden="1" x14ac:dyDescent="0.25">
      <c r="A2429" s="2">
        <f t="shared" si="37"/>
        <v>2427</v>
      </c>
      <c r="B2429" s="7" t="s">
        <v>7445</v>
      </c>
      <c r="C2429" s="7" t="s">
        <v>7446</v>
      </c>
      <c r="D2429" s="7" t="s">
        <v>7445</v>
      </c>
      <c r="E2429" s="7" t="s">
        <v>182</v>
      </c>
      <c r="F2429" s="7" t="s">
        <v>7447</v>
      </c>
      <c r="G2429" s="17" t="s">
        <v>7747</v>
      </c>
      <c r="H2429" s="7" t="s">
        <v>28</v>
      </c>
      <c r="I2429" s="7" t="s">
        <v>7448</v>
      </c>
      <c r="J2429" s="7" t="s">
        <v>185</v>
      </c>
      <c r="K2429" s="7" t="s">
        <v>1367</v>
      </c>
      <c r="L2429" s="7" t="s">
        <v>136</v>
      </c>
      <c r="M2429" s="7">
        <v>3.8025500000000001</v>
      </c>
      <c r="N2429" s="7">
        <v>11.546566</v>
      </c>
      <c r="O2429" s="7" t="s">
        <v>613</v>
      </c>
    </row>
    <row r="2430" spans="1:15" hidden="1" x14ac:dyDescent="0.25">
      <c r="A2430" s="2">
        <f t="shared" si="37"/>
        <v>2428</v>
      </c>
      <c r="B2430" s="7" t="s">
        <v>7449</v>
      </c>
      <c r="C2430" s="7" t="s">
        <v>7450</v>
      </c>
      <c r="D2430" s="7" t="s">
        <v>7449</v>
      </c>
      <c r="E2430" s="7" t="s">
        <v>182</v>
      </c>
      <c r="F2430" s="7" t="s">
        <v>7451</v>
      </c>
      <c r="G2430" s="17" t="s">
        <v>7747</v>
      </c>
      <c r="H2430" s="7" t="s">
        <v>28</v>
      </c>
      <c r="I2430" s="7" t="s">
        <v>7452</v>
      </c>
      <c r="J2430" s="7" t="s">
        <v>185</v>
      </c>
      <c r="K2430" s="7" t="s">
        <v>1435</v>
      </c>
      <c r="L2430" s="7" t="s">
        <v>136</v>
      </c>
      <c r="M2430" s="7">
        <v>3.9082370000000002</v>
      </c>
      <c r="N2430" s="7">
        <v>11.536261</v>
      </c>
      <c r="O2430" s="7" t="s">
        <v>613</v>
      </c>
    </row>
    <row r="2431" spans="1:15" hidden="1" x14ac:dyDescent="0.25">
      <c r="A2431" s="2">
        <f t="shared" si="37"/>
        <v>2429</v>
      </c>
      <c r="B2431" s="7" t="s">
        <v>7453</v>
      </c>
      <c r="C2431" s="7" t="s">
        <v>7454</v>
      </c>
      <c r="D2431" s="7" t="s">
        <v>7453</v>
      </c>
      <c r="E2431" s="7" t="s">
        <v>182</v>
      </c>
      <c r="F2431" s="7" t="s">
        <v>7455</v>
      </c>
      <c r="G2431" s="17" t="s">
        <v>7747</v>
      </c>
      <c r="H2431" s="7" t="s">
        <v>28</v>
      </c>
      <c r="I2431" s="7" t="s">
        <v>7444</v>
      </c>
      <c r="J2431" s="7" t="s">
        <v>185</v>
      </c>
      <c r="K2431" s="7" t="s">
        <v>808</v>
      </c>
      <c r="L2431" s="7" t="s">
        <v>136</v>
      </c>
      <c r="M2431" s="7">
        <v>3.9577778000000001</v>
      </c>
      <c r="N2431" s="7">
        <v>11.5241667</v>
      </c>
      <c r="O2431" s="7" t="s">
        <v>613</v>
      </c>
    </row>
    <row r="2432" spans="1:15" hidden="1" x14ac:dyDescent="0.25">
      <c r="A2432" s="2">
        <f t="shared" si="37"/>
        <v>2430</v>
      </c>
      <c r="B2432" s="7" t="s">
        <v>7456</v>
      </c>
      <c r="C2432" s="7" t="s">
        <v>7457</v>
      </c>
      <c r="D2432" s="7" t="s">
        <v>7456</v>
      </c>
      <c r="E2432" s="7" t="s">
        <v>182</v>
      </c>
      <c r="F2432" s="7" t="s">
        <v>7458</v>
      </c>
      <c r="G2432" s="17" t="s">
        <v>7747</v>
      </c>
      <c r="H2432" s="7" t="s">
        <v>28</v>
      </c>
      <c r="I2432" s="7" t="s">
        <v>7459</v>
      </c>
      <c r="J2432" s="7" t="s">
        <v>185</v>
      </c>
      <c r="K2432" s="7" t="s">
        <v>1322</v>
      </c>
      <c r="L2432" s="7" t="s">
        <v>136</v>
      </c>
      <c r="M2432" s="7">
        <v>3.8524120000000002</v>
      </c>
      <c r="N2432" s="7">
        <v>11.484645</v>
      </c>
      <c r="O2432" s="7" t="s">
        <v>613</v>
      </c>
    </row>
    <row r="2433" spans="1:15" hidden="1" x14ac:dyDescent="0.25">
      <c r="A2433" s="2">
        <f t="shared" si="37"/>
        <v>2431</v>
      </c>
      <c r="B2433" s="7" t="s">
        <v>7482</v>
      </c>
      <c r="C2433" s="7" t="s">
        <v>7483</v>
      </c>
      <c r="D2433" s="7" t="s">
        <v>7482</v>
      </c>
      <c r="E2433" s="7" t="s">
        <v>182</v>
      </c>
      <c r="F2433" s="7" t="s">
        <v>7484</v>
      </c>
      <c r="G2433" s="17" t="s">
        <v>7747</v>
      </c>
      <c r="H2433" s="7" t="s">
        <v>28</v>
      </c>
      <c r="I2433" s="7" t="s">
        <v>297</v>
      </c>
      <c r="J2433" s="7" t="s">
        <v>185</v>
      </c>
      <c r="K2433" s="7" t="s">
        <v>1393</v>
      </c>
      <c r="L2433" s="7" t="s">
        <v>136</v>
      </c>
      <c r="M2433" s="7">
        <v>3.9111259999999999</v>
      </c>
      <c r="N2433" s="7">
        <v>11.445739</v>
      </c>
      <c r="O2433" s="7" t="s">
        <v>613</v>
      </c>
    </row>
    <row r="2434" spans="1:15" hidden="1" x14ac:dyDescent="0.25">
      <c r="A2434" s="2">
        <f t="shared" si="37"/>
        <v>2432</v>
      </c>
      <c r="B2434" s="7" t="s">
        <v>7485</v>
      </c>
      <c r="C2434" s="7" t="s">
        <v>7486</v>
      </c>
      <c r="D2434" s="7" t="s">
        <v>7485</v>
      </c>
      <c r="E2434" s="7" t="s">
        <v>182</v>
      </c>
      <c r="F2434" s="7" t="s">
        <v>7487</v>
      </c>
      <c r="G2434" s="17" t="s">
        <v>7747</v>
      </c>
      <c r="H2434" s="7" t="s">
        <v>28</v>
      </c>
      <c r="I2434" s="7" t="s">
        <v>1637</v>
      </c>
      <c r="J2434" s="7" t="s">
        <v>185</v>
      </c>
      <c r="K2434" s="7" t="s">
        <v>7385</v>
      </c>
      <c r="L2434" s="7" t="s">
        <v>136</v>
      </c>
      <c r="M2434" s="7">
        <v>3.8504010000000002</v>
      </c>
      <c r="N2434" s="7">
        <v>11.500121999999999</v>
      </c>
      <c r="O2434" s="7" t="s">
        <v>613</v>
      </c>
    </row>
    <row r="2435" spans="1:15" hidden="1" x14ac:dyDescent="0.25">
      <c r="A2435" s="2">
        <f t="shared" si="37"/>
        <v>2433</v>
      </c>
      <c r="B2435" s="7" t="s">
        <v>7493</v>
      </c>
      <c r="C2435" s="7" t="s">
        <v>7494</v>
      </c>
      <c r="D2435" s="7" t="s">
        <v>7493</v>
      </c>
      <c r="E2435" s="7" t="s">
        <v>182</v>
      </c>
      <c r="F2435" s="7" t="s">
        <v>7495</v>
      </c>
      <c r="G2435" s="17" t="s">
        <v>7747</v>
      </c>
      <c r="H2435" s="7" t="s">
        <v>28</v>
      </c>
      <c r="I2435" s="7" t="s">
        <v>1553</v>
      </c>
      <c r="J2435" s="7"/>
      <c r="K2435" s="7"/>
      <c r="L2435" s="7" t="s">
        <v>136</v>
      </c>
      <c r="M2435" s="7">
        <v>3.8469419999999999</v>
      </c>
      <c r="N2435" s="7">
        <v>11.539789000000001</v>
      </c>
      <c r="O2435" s="7" t="s">
        <v>613</v>
      </c>
    </row>
    <row r="2436" spans="1:15" hidden="1" x14ac:dyDescent="0.25">
      <c r="A2436" s="2">
        <f t="shared" si="37"/>
        <v>2434</v>
      </c>
      <c r="B2436" s="7" t="s">
        <v>7500</v>
      </c>
      <c r="C2436" s="7" t="s">
        <v>7501</v>
      </c>
      <c r="D2436" s="7" t="s">
        <v>7500</v>
      </c>
      <c r="E2436" s="7" t="s">
        <v>182</v>
      </c>
      <c r="F2436" s="7" t="s">
        <v>7502</v>
      </c>
      <c r="G2436" s="17" t="s">
        <v>7747</v>
      </c>
      <c r="H2436" s="7" t="s">
        <v>28</v>
      </c>
      <c r="I2436" s="7" t="s">
        <v>1461</v>
      </c>
      <c r="J2436" s="7" t="s">
        <v>185</v>
      </c>
      <c r="K2436" s="7" t="s">
        <v>1462</v>
      </c>
      <c r="L2436" s="7" t="s">
        <v>136</v>
      </c>
      <c r="M2436" s="7">
        <v>3.8085200000000001</v>
      </c>
      <c r="N2436" s="7">
        <v>11.509539999999999</v>
      </c>
      <c r="O2436" s="7" t="s">
        <v>613</v>
      </c>
    </row>
    <row r="2437" spans="1:15" hidden="1" x14ac:dyDescent="0.25">
      <c r="A2437" s="2">
        <f t="shared" ref="A2437:A2443" si="38">+A2436+1</f>
        <v>2435</v>
      </c>
      <c r="B2437" s="7" t="s">
        <v>7516</v>
      </c>
      <c r="C2437" s="7" t="s">
        <v>7517</v>
      </c>
      <c r="D2437" s="7" t="s">
        <v>7516</v>
      </c>
      <c r="E2437" s="7" t="s">
        <v>250</v>
      </c>
      <c r="F2437" s="7" t="s">
        <v>7518</v>
      </c>
      <c r="G2437" s="17" t="s">
        <v>7747</v>
      </c>
      <c r="H2437" s="7" t="s">
        <v>28</v>
      </c>
      <c r="I2437" s="7" t="s">
        <v>311</v>
      </c>
      <c r="J2437" s="7" t="s">
        <v>312</v>
      </c>
      <c r="K2437" s="7" t="s">
        <v>7519</v>
      </c>
      <c r="L2437" s="7" t="s">
        <v>136</v>
      </c>
      <c r="M2437" s="7">
        <v>2.8680569999999999</v>
      </c>
      <c r="N2437" s="7">
        <v>11.182646</v>
      </c>
      <c r="O2437" s="7" t="s">
        <v>23</v>
      </c>
    </row>
    <row r="2438" spans="1:15" hidden="1" x14ac:dyDescent="0.25">
      <c r="A2438" s="2">
        <f t="shared" si="38"/>
        <v>2436</v>
      </c>
      <c r="B2438" s="7" t="s">
        <v>7534</v>
      </c>
      <c r="C2438" s="7" t="s">
        <v>7535</v>
      </c>
      <c r="D2438" s="7" t="s">
        <v>7534</v>
      </c>
      <c r="E2438" s="7" t="s">
        <v>182</v>
      </c>
      <c r="F2438" s="7" t="s">
        <v>7536</v>
      </c>
      <c r="G2438" s="17" t="s">
        <v>7747</v>
      </c>
      <c r="H2438" s="7" t="s">
        <v>28</v>
      </c>
      <c r="I2438" s="7" t="s">
        <v>3940</v>
      </c>
      <c r="J2438" s="7" t="s">
        <v>185</v>
      </c>
      <c r="K2438" s="7" t="s">
        <v>1375</v>
      </c>
      <c r="L2438" s="7" t="s">
        <v>136</v>
      </c>
      <c r="M2438" s="7">
        <v>3.8990589999999998</v>
      </c>
      <c r="N2438" s="7">
        <v>11.48371</v>
      </c>
      <c r="O2438" s="7" t="s">
        <v>613</v>
      </c>
    </row>
    <row r="2439" spans="1:15" hidden="1" x14ac:dyDescent="0.25">
      <c r="A2439" s="2">
        <f t="shared" si="38"/>
        <v>2437</v>
      </c>
      <c r="B2439" s="7" t="s">
        <v>7572</v>
      </c>
      <c r="C2439" s="7" t="s">
        <v>7573</v>
      </c>
      <c r="D2439" s="7" t="s">
        <v>7572</v>
      </c>
      <c r="E2439" s="7" t="s">
        <v>182</v>
      </c>
      <c r="F2439" s="7" t="s">
        <v>7574</v>
      </c>
      <c r="G2439" s="17" t="s">
        <v>7747</v>
      </c>
      <c r="H2439" s="7" t="s">
        <v>28</v>
      </c>
      <c r="I2439" s="7" t="s">
        <v>374</v>
      </c>
      <c r="J2439" s="7" t="s">
        <v>7258</v>
      </c>
      <c r="K2439" s="7" t="s">
        <v>3382</v>
      </c>
      <c r="L2439" s="7" t="s">
        <v>136</v>
      </c>
      <c r="M2439" s="7">
        <v>4.4478200000000001</v>
      </c>
      <c r="N2439" s="7">
        <v>11.448539999999999</v>
      </c>
      <c r="O2439" s="7" t="s">
        <v>23</v>
      </c>
    </row>
    <row r="2440" spans="1:15" hidden="1" x14ac:dyDescent="0.25">
      <c r="A2440" s="2">
        <f t="shared" si="38"/>
        <v>2438</v>
      </c>
      <c r="B2440" s="7" t="s">
        <v>7578</v>
      </c>
      <c r="C2440" s="7" t="s">
        <v>7579</v>
      </c>
      <c r="D2440" s="7" t="s">
        <v>7578</v>
      </c>
      <c r="E2440" s="7" t="s">
        <v>182</v>
      </c>
      <c r="F2440" s="7" t="s">
        <v>7580</v>
      </c>
      <c r="G2440" s="17" t="s">
        <v>7747</v>
      </c>
      <c r="H2440" s="7" t="s">
        <v>28</v>
      </c>
      <c r="I2440" s="7" t="s">
        <v>374</v>
      </c>
      <c r="J2440" s="7" t="s">
        <v>7258</v>
      </c>
      <c r="K2440" s="7" t="s">
        <v>3382</v>
      </c>
      <c r="L2440" s="7" t="s">
        <v>136</v>
      </c>
      <c r="M2440" s="7">
        <v>4.3963140000000003</v>
      </c>
      <c r="N2440" s="7">
        <v>11.41316</v>
      </c>
      <c r="O2440" s="7" t="s">
        <v>23</v>
      </c>
    </row>
    <row r="2441" spans="1:15" hidden="1" x14ac:dyDescent="0.25">
      <c r="A2441" s="2">
        <f t="shared" si="38"/>
        <v>2439</v>
      </c>
      <c r="B2441" s="7" t="s">
        <v>7593</v>
      </c>
      <c r="C2441" s="7" t="s">
        <v>7594</v>
      </c>
      <c r="D2441" s="7" t="s">
        <v>7593</v>
      </c>
      <c r="E2441" s="7" t="s">
        <v>250</v>
      </c>
      <c r="F2441" s="7" t="s">
        <v>7595</v>
      </c>
      <c r="G2441" s="17" t="s">
        <v>7747</v>
      </c>
      <c r="H2441" s="7" t="s">
        <v>28</v>
      </c>
      <c r="I2441" s="7" t="s">
        <v>252</v>
      </c>
      <c r="J2441" s="7" t="s">
        <v>7089</v>
      </c>
      <c r="K2441" s="7" t="s">
        <v>881</v>
      </c>
      <c r="L2441" s="7" t="s">
        <v>136</v>
      </c>
      <c r="M2441" s="7">
        <v>2.762384</v>
      </c>
      <c r="N2441" s="7">
        <v>12.474361399999999</v>
      </c>
      <c r="O2441" s="7" t="s">
        <v>23</v>
      </c>
    </row>
    <row r="2442" spans="1:15" hidden="1" x14ac:dyDescent="0.25">
      <c r="A2442" s="2">
        <f t="shared" si="38"/>
        <v>2440</v>
      </c>
      <c r="B2442" s="7" t="s">
        <v>7602</v>
      </c>
      <c r="C2442" s="7" t="s">
        <v>7603</v>
      </c>
      <c r="D2442" s="7" t="s">
        <v>7602</v>
      </c>
      <c r="E2442" s="7" t="s">
        <v>182</v>
      </c>
      <c r="F2442" s="7" t="s">
        <v>7604</v>
      </c>
      <c r="G2442" s="17" t="s">
        <v>7747</v>
      </c>
      <c r="H2442" s="7" t="s">
        <v>28</v>
      </c>
      <c r="I2442" s="7" t="s">
        <v>286</v>
      </c>
      <c r="J2442" s="7" t="s">
        <v>7258</v>
      </c>
      <c r="K2442" s="7" t="s">
        <v>4952</v>
      </c>
      <c r="L2442" s="7" t="s">
        <v>136</v>
      </c>
      <c r="M2442" s="7">
        <v>4.1461790000000001</v>
      </c>
      <c r="N2442" s="7">
        <v>11.298838999999999</v>
      </c>
      <c r="O2442" s="7" t="s">
        <v>23</v>
      </c>
    </row>
    <row r="2443" spans="1:15" hidden="1" x14ac:dyDescent="0.25">
      <c r="A2443" s="2">
        <f t="shared" si="38"/>
        <v>2441</v>
      </c>
      <c r="B2443" s="7" t="s">
        <v>7623</v>
      </c>
      <c r="C2443" s="7" t="s">
        <v>7624</v>
      </c>
      <c r="D2443" s="7" t="s">
        <v>7623</v>
      </c>
      <c r="E2443" s="7" t="s">
        <v>182</v>
      </c>
      <c r="F2443" s="7" t="s">
        <v>7625</v>
      </c>
      <c r="G2443" s="17" t="s">
        <v>7747</v>
      </c>
      <c r="H2443" s="7" t="s">
        <v>28</v>
      </c>
      <c r="I2443" s="7" t="s">
        <v>374</v>
      </c>
      <c r="J2443" s="10" t="s">
        <v>134</v>
      </c>
      <c r="K2443" s="10" t="s">
        <v>375</v>
      </c>
      <c r="L2443" s="7" t="s">
        <v>136</v>
      </c>
      <c r="M2443" s="7">
        <v>4.4630609999999997</v>
      </c>
      <c r="N2443" s="7">
        <v>11.612730000000001</v>
      </c>
      <c r="O2443" s="7" t="s">
        <v>23</v>
      </c>
    </row>
  </sheetData>
  <autoFilter ref="A2:O2443" xr:uid="{109B995C-3D25-49C5-8524-DF3CCD95AC94}">
    <filterColumn colId="4">
      <filters>
        <filter val="Littoral"/>
        <filter val="North West"/>
        <filter val="South West"/>
        <filter val="West"/>
      </filters>
    </filterColumn>
    <sortState xmlns:xlrd2="http://schemas.microsoft.com/office/spreadsheetml/2017/richdata2" ref="A3:O2443">
      <sortCondition ref="L2"/>
    </sortState>
  </autoFilter>
  <mergeCells count="1">
    <mergeCell ref="AA3:AA4"/>
  </mergeCells>
  <pageMargins left="0.7" right="0.7" top="0.75" bottom="0.75" header="0.3" footer="0.3"/>
  <pageSetup paperSize="9" orientation="portrait" horizontalDpi="0" verticalDpi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EE0D-83A7-AF45-BC2B-388F81415AE7}">
  <dimension ref="A1:R446"/>
  <sheetViews>
    <sheetView showGridLines="0"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V15" sqref="V15"/>
    </sheetView>
  </sheetViews>
  <sheetFormatPr baseColWidth="10" defaultColWidth="10.85546875" defaultRowHeight="14.25" x14ac:dyDescent="0.2"/>
  <cols>
    <col min="1" max="1" width="4.140625" style="20" bestFit="1" customWidth="1"/>
    <col min="2" max="2" width="17.85546875" style="20" customWidth="1"/>
    <col min="3" max="3" width="13.7109375" style="20" bestFit="1" customWidth="1"/>
    <col min="4" max="4" width="15.7109375" style="20" customWidth="1"/>
    <col min="5" max="5" width="10.140625" style="20" bestFit="1" customWidth="1"/>
    <col min="6" max="6" width="22.42578125" style="20" bestFit="1" customWidth="1"/>
    <col min="7" max="7" width="15.42578125" style="20" bestFit="1" customWidth="1"/>
    <col min="8" max="8" width="19.42578125" style="20" customWidth="1"/>
    <col min="9" max="9" width="9.85546875" style="20" bestFit="1" customWidth="1"/>
    <col min="10" max="10" width="15" style="20" bestFit="1" customWidth="1"/>
    <col min="11" max="11" width="21.7109375" style="20" bestFit="1" customWidth="1"/>
    <col min="12" max="12" width="16.7109375" style="20" bestFit="1" customWidth="1"/>
    <col min="13" max="14" width="10.28515625" style="20" bestFit="1" customWidth="1"/>
    <col min="15" max="15" width="8.85546875" style="20" bestFit="1" customWidth="1"/>
    <col min="16" max="16" width="10.85546875" style="20"/>
    <col min="17" max="17" width="20" style="20" bestFit="1" customWidth="1"/>
    <col min="18" max="18" width="12" style="20" bestFit="1" customWidth="1"/>
    <col min="19" max="16384" width="10.85546875" style="20"/>
  </cols>
  <sheetData>
    <row r="1" spans="1:18" x14ac:dyDescent="0.2">
      <c r="G1" s="20">
        <f>+SUBTOTAL(3,G3:G446)</f>
        <v>444</v>
      </c>
    </row>
    <row r="2" spans="1:18" ht="31.5" x14ac:dyDescent="0.2">
      <c r="A2" s="36" t="s">
        <v>0</v>
      </c>
      <c r="B2" s="37" t="s">
        <v>1</v>
      </c>
      <c r="C2" s="37" t="s">
        <v>2</v>
      </c>
      <c r="D2" s="37" t="s">
        <v>1</v>
      </c>
      <c r="E2" s="37" t="s">
        <v>3</v>
      </c>
      <c r="F2" s="37" t="s">
        <v>4</v>
      </c>
      <c r="G2" s="38" t="s">
        <v>5</v>
      </c>
      <c r="H2" s="37" t="s">
        <v>6</v>
      </c>
      <c r="I2" s="37" t="s">
        <v>7</v>
      </c>
      <c r="J2" s="37" t="s">
        <v>8</v>
      </c>
      <c r="K2" s="37" t="s">
        <v>9</v>
      </c>
      <c r="L2" s="37" t="s">
        <v>10</v>
      </c>
      <c r="M2" s="37" t="s">
        <v>11</v>
      </c>
      <c r="N2" s="37" t="s">
        <v>12</v>
      </c>
      <c r="O2" s="37" t="s">
        <v>13</v>
      </c>
      <c r="Q2" s="39" t="s">
        <v>5</v>
      </c>
      <c r="R2" s="20" t="s">
        <v>7745</v>
      </c>
    </row>
    <row r="3" spans="1:18" x14ac:dyDescent="0.2">
      <c r="A3" s="24">
        <v>1</v>
      </c>
      <c r="B3" s="40" t="s">
        <v>758</v>
      </c>
      <c r="C3" s="40" t="s">
        <v>759</v>
      </c>
      <c r="D3" s="40" t="s">
        <v>758</v>
      </c>
      <c r="E3" s="40" t="s">
        <v>131</v>
      </c>
      <c r="F3" s="40" t="s">
        <v>760</v>
      </c>
      <c r="G3" s="41" t="s">
        <v>18</v>
      </c>
      <c r="H3" s="40" t="s">
        <v>28</v>
      </c>
      <c r="I3" s="40" t="s">
        <v>245</v>
      </c>
      <c r="J3" s="40" t="s">
        <v>761</v>
      </c>
      <c r="K3" s="40" t="s">
        <v>762</v>
      </c>
      <c r="L3" s="40" t="s">
        <v>247</v>
      </c>
      <c r="M3" s="40">
        <v>5.6820279999999999</v>
      </c>
      <c r="N3" s="40">
        <v>10.366139</v>
      </c>
      <c r="O3" s="40" t="s">
        <v>23</v>
      </c>
      <c r="Q3" s="42" t="s">
        <v>18</v>
      </c>
      <c r="R3" s="20">
        <v>425</v>
      </c>
    </row>
    <row r="4" spans="1:18" x14ac:dyDescent="0.2">
      <c r="A4" s="24">
        <f>1+A3</f>
        <v>2</v>
      </c>
      <c r="B4" s="40" t="s">
        <v>1019</v>
      </c>
      <c r="C4" s="40" t="s">
        <v>1020</v>
      </c>
      <c r="D4" s="40" t="s">
        <v>1019</v>
      </c>
      <c r="E4" s="40" t="s">
        <v>131</v>
      </c>
      <c r="F4" s="40" t="s">
        <v>1021</v>
      </c>
      <c r="G4" s="41" t="s">
        <v>18</v>
      </c>
      <c r="H4" s="40" t="s">
        <v>28</v>
      </c>
      <c r="I4" s="40" t="s">
        <v>245</v>
      </c>
      <c r="J4" s="40" t="s">
        <v>761</v>
      </c>
      <c r="K4" s="40" t="s">
        <v>762</v>
      </c>
      <c r="L4" s="40" t="s">
        <v>247</v>
      </c>
      <c r="M4" s="40">
        <v>5.6677970000000002</v>
      </c>
      <c r="N4" s="40">
        <v>10.447418000000001</v>
      </c>
      <c r="O4" s="40" t="s">
        <v>23</v>
      </c>
      <c r="Q4" s="42" t="s">
        <v>36</v>
      </c>
      <c r="R4" s="20">
        <v>17</v>
      </c>
    </row>
    <row r="5" spans="1:18" x14ac:dyDescent="0.2">
      <c r="A5" s="24">
        <f t="shared" ref="A5:A68" si="0">1+A4</f>
        <v>3</v>
      </c>
      <c r="B5" s="40" t="s">
        <v>1051</v>
      </c>
      <c r="C5" s="40" t="s">
        <v>1052</v>
      </c>
      <c r="D5" s="40" t="s">
        <v>1051</v>
      </c>
      <c r="E5" s="40" t="s">
        <v>131</v>
      </c>
      <c r="F5" s="40" t="s">
        <v>1053</v>
      </c>
      <c r="G5" s="41" t="s">
        <v>18</v>
      </c>
      <c r="H5" s="40" t="s">
        <v>28</v>
      </c>
      <c r="I5" s="40" t="s">
        <v>396</v>
      </c>
      <c r="J5" s="40" t="s">
        <v>1054</v>
      </c>
      <c r="K5" s="40" t="s">
        <v>1055</v>
      </c>
      <c r="L5" s="40" t="s">
        <v>247</v>
      </c>
      <c r="M5" s="40">
        <v>5.5936620000000001</v>
      </c>
      <c r="N5" s="40">
        <v>10.61917</v>
      </c>
      <c r="O5" s="40" t="s">
        <v>23</v>
      </c>
      <c r="Q5" s="42" t="s">
        <v>896</v>
      </c>
      <c r="R5" s="20">
        <v>1</v>
      </c>
    </row>
    <row r="6" spans="1:18" x14ac:dyDescent="0.2">
      <c r="A6" s="24">
        <f t="shared" si="0"/>
        <v>4</v>
      </c>
      <c r="B6" s="40" t="s">
        <v>1082</v>
      </c>
      <c r="C6" s="40" t="s">
        <v>1083</v>
      </c>
      <c r="D6" s="40" t="s">
        <v>1082</v>
      </c>
      <c r="E6" s="40" t="s">
        <v>131</v>
      </c>
      <c r="F6" s="40" t="s">
        <v>1084</v>
      </c>
      <c r="G6" s="41" t="s">
        <v>18</v>
      </c>
      <c r="H6" s="40" t="s">
        <v>28</v>
      </c>
      <c r="I6" s="40" t="s">
        <v>245</v>
      </c>
      <c r="J6" s="40" t="s">
        <v>761</v>
      </c>
      <c r="K6" s="40" t="s">
        <v>762</v>
      </c>
      <c r="L6" s="40" t="s">
        <v>247</v>
      </c>
      <c r="M6" s="40">
        <v>5.7008999999999999</v>
      </c>
      <c r="N6" s="40">
        <v>10.492000000000001</v>
      </c>
      <c r="O6" s="40" t="s">
        <v>23</v>
      </c>
      <c r="Q6" s="42" t="s">
        <v>89</v>
      </c>
      <c r="R6" s="20">
        <v>1</v>
      </c>
    </row>
    <row r="7" spans="1:18" x14ac:dyDescent="0.2">
      <c r="A7" s="24">
        <f t="shared" si="0"/>
        <v>5</v>
      </c>
      <c r="B7" s="40" t="s">
        <v>1463</v>
      </c>
      <c r="C7" s="40" t="s">
        <v>1464</v>
      </c>
      <c r="D7" s="40" t="s">
        <v>1463</v>
      </c>
      <c r="E7" s="40" t="s">
        <v>131</v>
      </c>
      <c r="F7" s="40" t="s">
        <v>762</v>
      </c>
      <c r="G7" s="41" t="s">
        <v>18</v>
      </c>
      <c r="H7" s="40" t="s">
        <v>28</v>
      </c>
      <c r="I7" s="40" t="s">
        <v>245</v>
      </c>
      <c r="J7" s="40" t="s">
        <v>761</v>
      </c>
      <c r="K7" s="40" t="s">
        <v>762</v>
      </c>
      <c r="L7" s="40" t="s">
        <v>247</v>
      </c>
      <c r="M7" s="40">
        <v>5.6951000000000001</v>
      </c>
      <c r="N7" s="40">
        <v>10.36</v>
      </c>
      <c r="O7" s="40" t="s">
        <v>23</v>
      </c>
      <c r="Q7" s="42" t="s">
        <v>7738</v>
      </c>
      <c r="R7" s="20">
        <v>444</v>
      </c>
    </row>
    <row r="8" spans="1:18" x14ac:dyDescent="0.2">
      <c r="A8" s="24">
        <f t="shared" si="0"/>
        <v>6</v>
      </c>
      <c r="B8" s="40" t="s">
        <v>1523</v>
      </c>
      <c r="C8" s="40" t="s">
        <v>1524</v>
      </c>
      <c r="D8" s="40" t="s">
        <v>1523</v>
      </c>
      <c r="E8" s="40" t="s">
        <v>131</v>
      </c>
      <c r="F8" s="40" t="s">
        <v>398</v>
      </c>
      <c r="G8" s="41" t="s">
        <v>18</v>
      </c>
      <c r="H8" s="40" t="s">
        <v>28</v>
      </c>
      <c r="I8" s="40" t="s">
        <v>396</v>
      </c>
      <c r="J8" s="40" t="s">
        <v>397</v>
      </c>
      <c r="K8" s="40" t="s">
        <v>398</v>
      </c>
      <c r="L8" s="40" t="s">
        <v>247</v>
      </c>
      <c r="M8" s="40">
        <v>5.6478890000000002</v>
      </c>
      <c r="N8" s="40">
        <v>10.614667000000001</v>
      </c>
      <c r="O8" s="40" t="s">
        <v>23</v>
      </c>
    </row>
    <row r="9" spans="1:18" x14ac:dyDescent="0.2">
      <c r="A9" s="24">
        <f t="shared" si="0"/>
        <v>7</v>
      </c>
      <c r="B9" s="40" t="s">
        <v>2151</v>
      </c>
      <c r="C9" s="40" t="s">
        <v>2152</v>
      </c>
      <c r="D9" s="40" t="s">
        <v>2151</v>
      </c>
      <c r="E9" s="40" t="s">
        <v>131</v>
      </c>
      <c r="F9" s="40" t="s">
        <v>1055</v>
      </c>
      <c r="G9" s="41" t="s">
        <v>18</v>
      </c>
      <c r="H9" s="40" t="s">
        <v>28</v>
      </c>
      <c r="I9" s="40" t="s">
        <v>396</v>
      </c>
      <c r="J9" s="40" t="s">
        <v>397</v>
      </c>
      <c r="K9" s="40" t="s">
        <v>1055</v>
      </c>
      <c r="L9" s="40" t="s">
        <v>247</v>
      </c>
      <c r="M9" s="40">
        <v>5.875667</v>
      </c>
      <c r="N9" s="40">
        <v>10.673916999999999</v>
      </c>
      <c r="O9" s="40" t="s">
        <v>23</v>
      </c>
    </row>
    <row r="10" spans="1:18" x14ac:dyDescent="0.2">
      <c r="A10" s="24">
        <f t="shared" si="0"/>
        <v>8</v>
      </c>
      <c r="B10" s="40" t="s">
        <v>2162</v>
      </c>
      <c r="C10" s="40" t="s">
        <v>2163</v>
      </c>
      <c r="D10" s="40" t="s">
        <v>2162</v>
      </c>
      <c r="E10" s="40" t="s">
        <v>131</v>
      </c>
      <c r="F10" s="40" t="s">
        <v>1084</v>
      </c>
      <c r="G10" s="41" t="s">
        <v>18</v>
      </c>
      <c r="H10" s="40" t="s">
        <v>19</v>
      </c>
      <c r="I10" s="40" t="s">
        <v>245</v>
      </c>
      <c r="J10" s="40" t="s">
        <v>761</v>
      </c>
      <c r="K10" s="40" t="s">
        <v>762</v>
      </c>
      <c r="L10" s="40" t="s">
        <v>247</v>
      </c>
      <c r="M10" s="40">
        <v>5.7136399999999998</v>
      </c>
      <c r="N10" s="40">
        <v>10.446389</v>
      </c>
      <c r="O10" s="40" t="s">
        <v>23</v>
      </c>
      <c r="Q10" s="24" t="s">
        <v>5</v>
      </c>
      <c r="R10" s="24" t="s">
        <v>7745</v>
      </c>
    </row>
    <row r="11" spans="1:18" x14ac:dyDescent="0.2">
      <c r="A11" s="24">
        <f t="shared" si="0"/>
        <v>9</v>
      </c>
      <c r="B11" s="40" t="s">
        <v>24</v>
      </c>
      <c r="C11" s="40" t="s">
        <v>25</v>
      </c>
      <c r="D11" s="40" t="s">
        <v>24</v>
      </c>
      <c r="E11" s="40" t="s">
        <v>26</v>
      </c>
      <c r="F11" s="40" t="s">
        <v>27</v>
      </c>
      <c r="G11" s="41" t="s">
        <v>18</v>
      </c>
      <c r="H11" s="40" t="s">
        <v>28</v>
      </c>
      <c r="I11" s="40" t="s">
        <v>29</v>
      </c>
      <c r="J11" s="40" t="s">
        <v>30</v>
      </c>
      <c r="K11" s="40" t="s">
        <v>27</v>
      </c>
      <c r="L11" s="40" t="s">
        <v>31</v>
      </c>
      <c r="M11" s="40">
        <v>6.5311833330000004</v>
      </c>
      <c r="N11" s="40">
        <v>10.199999999999999</v>
      </c>
      <c r="O11" s="40" t="s">
        <v>23</v>
      </c>
      <c r="Q11" s="24" t="s">
        <v>18</v>
      </c>
      <c r="R11" s="24">
        <v>425</v>
      </c>
    </row>
    <row r="12" spans="1:18" x14ac:dyDescent="0.2">
      <c r="A12" s="24">
        <f t="shared" si="0"/>
        <v>10</v>
      </c>
      <c r="B12" s="40" t="s">
        <v>111</v>
      </c>
      <c r="C12" s="40" t="s">
        <v>112</v>
      </c>
      <c r="D12" s="40" t="s">
        <v>111</v>
      </c>
      <c r="E12" s="40" t="s">
        <v>26</v>
      </c>
      <c r="F12" s="40" t="s">
        <v>113</v>
      </c>
      <c r="G12" s="41" t="s">
        <v>18</v>
      </c>
      <c r="H12" s="40" t="s">
        <v>28</v>
      </c>
      <c r="I12" s="40" t="s">
        <v>114</v>
      </c>
      <c r="J12" s="40" t="s">
        <v>115</v>
      </c>
      <c r="K12" s="40" t="s">
        <v>116</v>
      </c>
      <c r="L12" s="40" t="s">
        <v>31</v>
      </c>
      <c r="M12" s="40">
        <v>6.3445109999999998</v>
      </c>
      <c r="N12" s="40">
        <v>10.770329</v>
      </c>
      <c r="O12" s="40" t="s">
        <v>23</v>
      </c>
      <c r="Q12" s="24" t="s">
        <v>36</v>
      </c>
      <c r="R12" s="24">
        <v>17</v>
      </c>
    </row>
    <row r="13" spans="1:18" x14ac:dyDescent="0.2">
      <c r="A13" s="24">
        <f t="shared" si="0"/>
        <v>11</v>
      </c>
      <c r="B13" s="40" t="s">
        <v>137</v>
      </c>
      <c r="C13" s="40" t="s">
        <v>138</v>
      </c>
      <c r="D13" s="40" t="s">
        <v>137</v>
      </c>
      <c r="E13" s="40" t="s">
        <v>26</v>
      </c>
      <c r="F13" s="40" t="s">
        <v>139</v>
      </c>
      <c r="G13" s="41" t="s">
        <v>18</v>
      </c>
      <c r="H13" s="40" t="s">
        <v>28</v>
      </c>
      <c r="I13" s="40" t="s">
        <v>140</v>
      </c>
      <c r="J13" s="40" t="s">
        <v>115</v>
      </c>
      <c r="K13" s="40" t="s">
        <v>141</v>
      </c>
      <c r="L13" s="40" t="s">
        <v>31</v>
      </c>
      <c r="M13" s="40">
        <v>6.2371800000000004</v>
      </c>
      <c r="N13" s="40">
        <v>10.589529000000001</v>
      </c>
      <c r="O13" s="40" t="s">
        <v>23</v>
      </c>
      <c r="Q13" s="24" t="s">
        <v>896</v>
      </c>
      <c r="R13" s="24">
        <v>1</v>
      </c>
    </row>
    <row r="14" spans="1:18" x14ac:dyDescent="0.2">
      <c r="A14" s="24">
        <f t="shared" si="0"/>
        <v>12</v>
      </c>
      <c r="B14" s="40" t="s">
        <v>191</v>
      </c>
      <c r="C14" s="40" t="s">
        <v>192</v>
      </c>
      <c r="D14" s="40" t="s">
        <v>191</v>
      </c>
      <c r="E14" s="40" t="s">
        <v>26</v>
      </c>
      <c r="F14" s="40" t="s">
        <v>193</v>
      </c>
      <c r="G14" s="41" t="s">
        <v>36</v>
      </c>
      <c r="H14" s="40" t="s">
        <v>28</v>
      </c>
      <c r="I14" s="40" t="s">
        <v>194</v>
      </c>
      <c r="J14" s="40" t="s">
        <v>195</v>
      </c>
      <c r="K14" s="40" t="s">
        <v>196</v>
      </c>
      <c r="L14" s="40" t="s">
        <v>31</v>
      </c>
      <c r="M14" s="40">
        <v>5.9493330000000002</v>
      </c>
      <c r="N14" s="40">
        <v>10.326582999999999</v>
      </c>
      <c r="O14" s="40" t="s">
        <v>23</v>
      </c>
      <c r="Q14" s="24" t="s">
        <v>89</v>
      </c>
      <c r="R14" s="24">
        <v>1</v>
      </c>
    </row>
    <row r="15" spans="1:18" x14ac:dyDescent="0.2">
      <c r="A15" s="24">
        <f t="shared" si="0"/>
        <v>13</v>
      </c>
      <c r="B15" s="40" t="s">
        <v>220</v>
      </c>
      <c r="C15" s="40" t="s">
        <v>221</v>
      </c>
      <c r="D15" s="40" t="s">
        <v>220</v>
      </c>
      <c r="E15" s="40" t="s">
        <v>26</v>
      </c>
      <c r="F15" s="40" t="s">
        <v>222</v>
      </c>
      <c r="G15" s="41" t="s">
        <v>18</v>
      </c>
      <c r="H15" s="40" t="s">
        <v>28</v>
      </c>
      <c r="I15" s="40" t="s">
        <v>194</v>
      </c>
      <c r="J15" s="40" t="s">
        <v>195</v>
      </c>
      <c r="K15" s="40" t="s">
        <v>196</v>
      </c>
      <c r="L15" s="40" t="s">
        <v>31</v>
      </c>
      <c r="M15" s="40">
        <v>6.013814</v>
      </c>
      <c r="N15" s="40">
        <v>10.320171999999999</v>
      </c>
      <c r="O15" s="40" t="s">
        <v>23</v>
      </c>
      <c r="Q15" s="24" t="s">
        <v>7738</v>
      </c>
      <c r="R15" s="24">
        <v>444</v>
      </c>
    </row>
    <row r="16" spans="1:18" x14ac:dyDescent="0.2">
      <c r="A16" s="24">
        <f t="shared" si="0"/>
        <v>14</v>
      </c>
      <c r="B16" s="40" t="s">
        <v>237</v>
      </c>
      <c r="C16" s="40" t="s">
        <v>238</v>
      </c>
      <c r="D16" s="40" t="s">
        <v>237</v>
      </c>
      <c r="E16" s="40" t="s">
        <v>26</v>
      </c>
      <c r="F16" s="40" t="s">
        <v>239</v>
      </c>
      <c r="G16" s="41" t="s">
        <v>18</v>
      </c>
      <c r="H16" s="40" t="s">
        <v>240</v>
      </c>
      <c r="I16" s="40" t="s">
        <v>241</v>
      </c>
      <c r="J16" s="40" t="s">
        <v>195</v>
      </c>
      <c r="K16" s="40" t="s">
        <v>196</v>
      </c>
      <c r="L16" s="40" t="s">
        <v>31</v>
      </c>
      <c r="M16" s="40">
        <v>5.807455</v>
      </c>
      <c r="N16" s="40">
        <v>10.066274999999999</v>
      </c>
      <c r="O16" s="40" t="s">
        <v>23</v>
      </c>
    </row>
    <row r="17" spans="1:15" x14ac:dyDescent="0.2">
      <c r="A17" s="24">
        <f t="shared" si="0"/>
        <v>15</v>
      </c>
      <c r="B17" s="40" t="s">
        <v>325</v>
      </c>
      <c r="C17" s="40" t="s">
        <v>326</v>
      </c>
      <c r="D17" s="40" t="s">
        <v>325</v>
      </c>
      <c r="E17" s="40" t="s">
        <v>26</v>
      </c>
      <c r="F17" s="40" t="s">
        <v>327</v>
      </c>
      <c r="G17" s="41" t="s">
        <v>18</v>
      </c>
      <c r="H17" s="40" t="s">
        <v>28</v>
      </c>
      <c r="I17" s="40" t="s">
        <v>114</v>
      </c>
      <c r="J17" s="40" t="s">
        <v>328</v>
      </c>
      <c r="K17" s="40" t="s">
        <v>329</v>
      </c>
      <c r="L17" s="40" t="s">
        <v>31</v>
      </c>
      <c r="M17" s="40">
        <v>6.3832649999999997</v>
      </c>
      <c r="N17" s="40">
        <v>10.584664999999999</v>
      </c>
      <c r="O17" s="40" t="s">
        <v>23</v>
      </c>
    </row>
    <row r="18" spans="1:15" x14ac:dyDescent="0.2">
      <c r="A18" s="24">
        <f t="shared" si="0"/>
        <v>16</v>
      </c>
      <c r="B18" s="40" t="s">
        <v>346</v>
      </c>
      <c r="C18" s="40" t="s">
        <v>347</v>
      </c>
      <c r="D18" s="40" t="s">
        <v>346</v>
      </c>
      <c r="E18" s="40" t="s">
        <v>26</v>
      </c>
      <c r="F18" s="40" t="s">
        <v>348</v>
      </c>
      <c r="G18" s="41" t="s">
        <v>18</v>
      </c>
      <c r="H18" s="40" t="s">
        <v>28</v>
      </c>
      <c r="I18" s="40" t="s">
        <v>140</v>
      </c>
      <c r="J18" s="40" t="s">
        <v>328</v>
      </c>
      <c r="K18" s="40" t="s">
        <v>349</v>
      </c>
      <c r="L18" s="40" t="s">
        <v>31</v>
      </c>
      <c r="M18" s="40">
        <v>6.0944444400000002</v>
      </c>
      <c r="N18" s="40">
        <v>10.637861109999999</v>
      </c>
      <c r="O18" s="40" t="s">
        <v>23</v>
      </c>
    </row>
    <row r="19" spans="1:15" x14ac:dyDescent="0.2">
      <c r="A19" s="24">
        <f t="shared" si="0"/>
        <v>17</v>
      </c>
      <c r="B19" s="40" t="s">
        <v>362</v>
      </c>
      <c r="C19" s="40" t="s">
        <v>363</v>
      </c>
      <c r="D19" s="40" t="s">
        <v>362</v>
      </c>
      <c r="E19" s="40" t="s">
        <v>26</v>
      </c>
      <c r="F19" s="40" t="s">
        <v>364</v>
      </c>
      <c r="G19" s="41" t="s">
        <v>18</v>
      </c>
      <c r="H19" s="40" t="s">
        <v>28</v>
      </c>
      <c r="I19" s="40" t="s">
        <v>241</v>
      </c>
      <c r="J19" s="40" t="s">
        <v>365</v>
      </c>
      <c r="K19" s="40" t="s">
        <v>366</v>
      </c>
      <c r="L19" s="40" t="s">
        <v>31</v>
      </c>
      <c r="M19" s="40">
        <v>6.1292249999999999</v>
      </c>
      <c r="N19" s="40">
        <v>9.8565166669999993</v>
      </c>
      <c r="O19" s="40" t="s">
        <v>23</v>
      </c>
    </row>
    <row r="20" spans="1:15" x14ac:dyDescent="0.2">
      <c r="A20" s="24">
        <f t="shared" si="0"/>
        <v>18</v>
      </c>
      <c r="B20" s="40" t="s">
        <v>431</v>
      </c>
      <c r="C20" s="40" t="s">
        <v>432</v>
      </c>
      <c r="D20" s="40" t="s">
        <v>431</v>
      </c>
      <c r="E20" s="40" t="s">
        <v>26</v>
      </c>
      <c r="F20" s="40" t="s">
        <v>433</v>
      </c>
      <c r="G20" s="41" t="s">
        <v>18</v>
      </c>
      <c r="H20" s="40" t="s">
        <v>28</v>
      </c>
      <c r="I20" s="40" t="s">
        <v>29</v>
      </c>
      <c r="J20" s="40" t="s">
        <v>195</v>
      </c>
      <c r="K20" s="40" t="s">
        <v>29</v>
      </c>
      <c r="L20" s="40" t="s">
        <v>31</v>
      </c>
      <c r="M20" s="40">
        <v>6.1116429999999999</v>
      </c>
      <c r="N20" s="40">
        <v>10.121765999999999</v>
      </c>
      <c r="O20" s="40" t="s">
        <v>23</v>
      </c>
    </row>
    <row r="21" spans="1:15" x14ac:dyDescent="0.2">
      <c r="A21" s="24">
        <f t="shared" si="0"/>
        <v>19</v>
      </c>
      <c r="B21" s="40" t="s">
        <v>528</v>
      </c>
      <c r="C21" s="40" t="s">
        <v>529</v>
      </c>
      <c r="D21" s="40" t="s">
        <v>528</v>
      </c>
      <c r="E21" s="40" t="s">
        <v>26</v>
      </c>
      <c r="F21" s="40" t="s">
        <v>530</v>
      </c>
      <c r="G21" s="41" t="s">
        <v>18</v>
      </c>
      <c r="H21" s="40" t="s">
        <v>28</v>
      </c>
      <c r="I21" s="40" t="s">
        <v>114</v>
      </c>
      <c r="J21" s="40" t="s">
        <v>328</v>
      </c>
      <c r="K21" s="40" t="s">
        <v>531</v>
      </c>
      <c r="L21" s="40" t="s">
        <v>31</v>
      </c>
      <c r="M21" s="40">
        <v>6.2614080000000003</v>
      </c>
      <c r="N21" s="40">
        <v>10.946337</v>
      </c>
      <c r="O21" s="40" t="s">
        <v>23</v>
      </c>
    </row>
    <row r="22" spans="1:15" x14ac:dyDescent="0.2">
      <c r="A22" s="24">
        <f t="shared" si="0"/>
        <v>20</v>
      </c>
      <c r="B22" s="40" t="s">
        <v>534</v>
      </c>
      <c r="C22" s="40" t="s">
        <v>535</v>
      </c>
      <c r="D22" s="40" t="s">
        <v>534</v>
      </c>
      <c r="E22" s="40" t="s">
        <v>26</v>
      </c>
      <c r="F22" s="40" t="s">
        <v>536</v>
      </c>
      <c r="G22" s="41" t="s">
        <v>18</v>
      </c>
      <c r="H22" s="40" t="s">
        <v>28</v>
      </c>
      <c r="I22" s="40" t="s">
        <v>114</v>
      </c>
      <c r="J22" s="40" t="s">
        <v>306</v>
      </c>
      <c r="K22" s="40" t="s">
        <v>537</v>
      </c>
      <c r="L22" s="40" t="s">
        <v>31</v>
      </c>
      <c r="M22" s="40">
        <v>6.4542222200000001</v>
      </c>
      <c r="N22" s="40">
        <v>10.754222220000001</v>
      </c>
      <c r="O22" s="40" t="s">
        <v>23</v>
      </c>
    </row>
    <row r="23" spans="1:15" x14ac:dyDescent="0.2">
      <c r="A23" s="24">
        <f t="shared" si="0"/>
        <v>21</v>
      </c>
      <c r="B23" s="40" t="s">
        <v>541</v>
      </c>
      <c r="C23" s="40" t="s">
        <v>542</v>
      </c>
      <c r="D23" s="40" t="s">
        <v>541</v>
      </c>
      <c r="E23" s="40" t="s">
        <v>26</v>
      </c>
      <c r="F23" s="40" t="s">
        <v>543</v>
      </c>
      <c r="G23" s="41" t="s">
        <v>18</v>
      </c>
      <c r="H23" s="40" t="s">
        <v>28</v>
      </c>
      <c r="I23" s="40" t="s">
        <v>140</v>
      </c>
      <c r="J23" s="40" t="s">
        <v>328</v>
      </c>
      <c r="K23" s="40" t="s">
        <v>543</v>
      </c>
      <c r="L23" s="40" t="s">
        <v>31</v>
      </c>
      <c r="M23" s="40">
        <v>6.1885469999999998</v>
      </c>
      <c r="N23" s="40">
        <v>10.849605</v>
      </c>
      <c r="O23" s="40" t="s">
        <v>23</v>
      </c>
    </row>
    <row r="24" spans="1:15" x14ac:dyDescent="0.2">
      <c r="A24" s="24">
        <f t="shared" si="0"/>
        <v>22</v>
      </c>
      <c r="B24" s="40" t="s">
        <v>544</v>
      </c>
      <c r="C24" s="40" t="s">
        <v>545</v>
      </c>
      <c r="D24" s="40" t="s">
        <v>544</v>
      </c>
      <c r="E24" s="40" t="s">
        <v>26</v>
      </c>
      <c r="F24" s="40" t="s">
        <v>546</v>
      </c>
      <c r="G24" s="41" t="s">
        <v>18</v>
      </c>
      <c r="H24" s="40" t="s">
        <v>28</v>
      </c>
      <c r="I24" s="40" t="s">
        <v>241</v>
      </c>
      <c r="J24" s="40" t="s">
        <v>365</v>
      </c>
      <c r="K24" s="40" t="s">
        <v>547</v>
      </c>
      <c r="L24" s="40" t="s">
        <v>31</v>
      </c>
      <c r="M24" s="40">
        <v>5.9681240000000004</v>
      </c>
      <c r="N24" s="40">
        <v>10.036383000000001</v>
      </c>
      <c r="O24" s="40" t="s">
        <v>23</v>
      </c>
    </row>
    <row r="25" spans="1:15" x14ac:dyDescent="0.2">
      <c r="A25" s="24">
        <f t="shared" si="0"/>
        <v>23</v>
      </c>
      <c r="B25" s="40" t="s">
        <v>548</v>
      </c>
      <c r="C25" s="40" t="s">
        <v>549</v>
      </c>
      <c r="D25" s="40" t="s">
        <v>548</v>
      </c>
      <c r="E25" s="40" t="s">
        <v>26</v>
      </c>
      <c r="F25" s="40" t="s">
        <v>550</v>
      </c>
      <c r="G25" s="41" t="s">
        <v>18</v>
      </c>
      <c r="H25" s="40" t="s">
        <v>28</v>
      </c>
      <c r="I25" s="40" t="s">
        <v>241</v>
      </c>
      <c r="J25" s="40" t="s">
        <v>365</v>
      </c>
      <c r="K25" s="40" t="s">
        <v>547</v>
      </c>
      <c r="L25" s="40" t="s">
        <v>31</v>
      </c>
      <c r="M25" s="40">
        <v>6.0012160000000003</v>
      </c>
      <c r="N25" s="40">
        <v>10.020552</v>
      </c>
      <c r="O25" s="40" t="s">
        <v>23</v>
      </c>
    </row>
    <row r="26" spans="1:15" x14ac:dyDescent="0.2">
      <c r="A26" s="24">
        <f t="shared" si="0"/>
        <v>24</v>
      </c>
      <c r="B26" s="40" t="s">
        <v>551</v>
      </c>
      <c r="C26" s="40" t="s">
        <v>552</v>
      </c>
      <c r="D26" s="40" t="s">
        <v>551</v>
      </c>
      <c r="E26" s="40" t="s">
        <v>26</v>
      </c>
      <c r="F26" s="40" t="s">
        <v>553</v>
      </c>
      <c r="G26" s="41" t="s">
        <v>18</v>
      </c>
      <c r="H26" s="40" t="s">
        <v>28</v>
      </c>
      <c r="I26" s="40" t="s">
        <v>241</v>
      </c>
      <c r="J26" s="40" t="s">
        <v>195</v>
      </c>
      <c r="K26" s="40" t="s">
        <v>241</v>
      </c>
      <c r="L26" s="40" t="s">
        <v>31</v>
      </c>
      <c r="M26" s="40">
        <v>5.9347300000000001</v>
      </c>
      <c r="N26" s="40">
        <v>10.13917</v>
      </c>
      <c r="O26" s="40" t="s">
        <v>23</v>
      </c>
    </row>
    <row r="27" spans="1:15" x14ac:dyDescent="0.2">
      <c r="A27" s="24">
        <f t="shared" si="0"/>
        <v>25</v>
      </c>
      <c r="B27" s="40" t="s">
        <v>656</v>
      </c>
      <c r="C27" s="40" t="s">
        <v>657</v>
      </c>
      <c r="D27" s="40" t="s">
        <v>656</v>
      </c>
      <c r="E27" s="40" t="s">
        <v>26</v>
      </c>
      <c r="F27" s="40" t="s">
        <v>658</v>
      </c>
      <c r="G27" s="41" t="s">
        <v>18</v>
      </c>
      <c r="H27" s="40" t="s">
        <v>28</v>
      </c>
      <c r="I27" s="40" t="s">
        <v>114</v>
      </c>
      <c r="J27" s="40" t="s">
        <v>328</v>
      </c>
      <c r="K27" s="40" t="s">
        <v>329</v>
      </c>
      <c r="L27" s="40" t="s">
        <v>31</v>
      </c>
      <c r="M27" s="40">
        <v>6.4422860000000002</v>
      </c>
      <c r="N27" s="40">
        <v>10.620562</v>
      </c>
      <c r="O27" s="40" t="s">
        <v>23</v>
      </c>
    </row>
    <row r="28" spans="1:15" x14ac:dyDescent="0.2">
      <c r="A28" s="24">
        <f t="shared" si="0"/>
        <v>26</v>
      </c>
      <c r="B28" s="40" t="s">
        <v>719</v>
      </c>
      <c r="C28" s="40" t="s">
        <v>720</v>
      </c>
      <c r="D28" s="40" t="s">
        <v>719</v>
      </c>
      <c r="E28" s="40" t="s">
        <v>26</v>
      </c>
      <c r="F28" s="40" t="s">
        <v>721</v>
      </c>
      <c r="G28" s="41" t="s">
        <v>18</v>
      </c>
      <c r="H28" s="40" t="s">
        <v>28</v>
      </c>
      <c r="I28" s="40" t="s">
        <v>140</v>
      </c>
      <c r="J28" s="40" t="s">
        <v>328</v>
      </c>
      <c r="K28" s="40" t="s">
        <v>722</v>
      </c>
      <c r="L28" s="40" t="s">
        <v>31</v>
      </c>
      <c r="M28" s="40">
        <v>6.2407899999999996</v>
      </c>
      <c r="N28" s="40">
        <v>10.465491999999999</v>
      </c>
      <c r="O28" s="40" t="s">
        <v>23</v>
      </c>
    </row>
    <row r="29" spans="1:15" x14ac:dyDescent="0.2">
      <c r="A29" s="24">
        <f t="shared" si="0"/>
        <v>27</v>
      </c>
      <c r="B29" s="40" t="s">
        <v>763</v>
      </c>
      <c r="C29" s="40" t="s">
        <v>764</v>
      </c>
      <c r="D29" s="40" t="s">
        <v>763</v>
      </c>
      <c r="E29" s="40" t="s">
        <v>26</v>
      </c>
      <c r="F29" s="40" t="s">
        <v>765</v>
      </c>
      <c r="G29" s="41" t="s">
        <v>18</v>
      </c>
      <c r="H29" s="40" t="s">
        <v>28</v>
      </c>
      <c r="I29" s="40" t="s">
        <v>194</v>
      </c>
      <c r="J29" s="40" t="s">
        <v>766</v>
      </c>
      <c r="K29" s="40" t="s">
        <v>767</v>
      </c>
      <c r="L29" s="40" t="s">
        <v>31</v>
      </c>
      <c r="M29" s="40">
        <v>6.2713609999999997</v>
      </c>
      <c r="N29" s="40">
        <v>10.294694</v>
      </c>
      <c r="O29" s="40" t="s">
        <v>23</v>
      </c>
    </row>
    <row r="30" spans="1:15" x14ac:dyDescent="0.2">
      <c r="A30" s="24">
        <f t="shared" si="0"/>
        <v>28</v>
      </c>
      <c r="B30" s="40" t="s">
        <v>794</v>
      </c>
      <c r="C30" s="40" t="s">
        <v>795</v>
      </c>
      <c r="D30" s="40" t="s">
        <v>794</v>
      </c>
      <c r="E30" s="40" t="s">
        <v>26</v>
      </c>
      <c r="F30" s="40" t="s">
        <v>796</v>
      </c>
      <c r="G30" s="41" t="s">
        <v>18</v>
      </c>
      <c r="H30" s="40" t="s">
        <v>28</v>
      </c>
      <c r="I30" s="40" t="s">
        <v>114</v>
      </c>
      <c r="J30" s="40" t="s">
        <v>766</v>
      </c>
      <c r="K30" s="40" t="s">
        <v>796</v>
      </c>
      <c r="L30" s="40" t="s">
        <v>31</v>
      </c>
      <c r="M30" s="40">
        <v>6.5345370000000003</v>
      </c>
      <c r="N30" s="40">
        <v>10.478177000000001</v>
      </c>
      <c r="O30" s="40" t="s">
        <v>23</v>
      </c>
    </row>
    <row r="31" spans="1:15" x14ac:dyDescent="0.2">
      <c r="A31" s="24">
        <f t="shared" si="0"/>
        <v>29</v>
      </c>
      <c r="B31" s="40" t="s">
        <v>809</v>
      </c>
      <c r="C31" s="40" t="s">
        <v>810</v>
      </c>
      <c r="D31" s="40" t="s">
        <v>809</v>
      </c>
      <c r="E31" s="40" t="s">
        <v>26</v>
      </c>
      <c r="F31" s="40" t="s">
        <v>811</v>
      </c>
      <c r="G31" s="41" t="s">
        <v>36</v>
      </c>
      <c r="H31" s="40" t="s">
        <v>28</v>
      </c>
      <c r="I31" s="40" t="s">
        <v>29</v>
      </c>
      <c r="J31" s="40" t="s">
        <v>812</v>
      </c>
      <c r="K31" s="40" t="s">
        <v>813</v>
      </c>
      <c r="L31" s="40" t="s">
        <v>31</v>
      </c>
      <c r="M31" s="40">
        <v>6.56741668</v>
      </c>
      <c r="N31" s="40">
        <v>10.09394447</v>
      </c>
      <c r="O31" s="40" t="s">
        <v>23</v>
      </c>
    </row>
    <row r="32" spans="1:15" x14ac:dyDescent="0.2">
      <c r="A32" s="24">
        <f t="shared" si="0"/>
        <v>30</v>
      </c>
      <c r="B32" s="40" t="s">
        <v>841</v>
      </c>
      <c r="C32" s="40" t="s">
        <v>842</v>
      </c>
      <c r="D32" s="40" t="s">
        <v>841</v>
      </c>
      <c r="E32" s="40" t="s">
        <v>26</v>
      </c>
      <c r="F32" s="40" t="s">
        <v>843</v>
      </c>
      <c r="G32" s="41" t="s">
        <v>18</v>
      </c>
      <c r="H32" s="40" t="s">
        <v>28</v>
      </c>
      <c r="I32" s="40" t="s">
        <v>140</v>
      </c>
      <c r="J32" s="40" t="s">
        <v>328</v>
      </c>
      <c r="K32" s="40" t="s">
        <v>722</v>
      </c>
      <c r="L32" s="40" t="s">
        <v>31</v>
      </c>
      <c r="M32" s="40">
        <v>6.1325000000000003</v>
      </c>
      <c r="N32" s="40">
        <v>10.471014</v>
      </c>
      <c r="O32" s="40" t="s">
        <v>23</v>
      </c>
    </row>
    <row r="33" spans="1:15" x14ac:dyDescent="0.2">
      <c r="A33" s="24">
        <f t="shared" si="0"/>
        <v>31</v>
      </c>
      <c r="B33" s="40" t="s">
        <v>847</v>
      </c>
      <c r="C33" s="40" t="s">
        <v>848</v>
      </c>
      <c r="D33" s="40" t="s">
        <v>847</v>
      </c>
      <c r="E33" s="40" t="s">
        <v>26</v>
      </c>
      <c r="F33" s="40" t="s">
        <v>849</v>
      </c>
      <c r="G33" s="41" t="s">
        <v>18</v>
      </c>
      <c r="H33" s="40" t="s">
        <v>28</v>
      </c>
      <c r="I33" s="40" t="s">
        <v>114</v>
      </c>
      <c r="J33" s="40" t="s">
        <v>306</v>
      </c>
      <c r="K33" s="40" t="s">
        <v>850</v>
      </c>
      <c r="L33" s="40" t="s">
        <v>31</v>
      </c>
      <c r="M33" s="40">
        <v>6.7075199999999997</v>
      </c>
      <c r="N33" s="40">
        <v>10.50703</v>
      </c>
      <c r="O33" s="40" t="s">
        <v>23</v>
      </c>
    </row>
    <row r="34" spans="1:15" x14ac:dyDescent="0.2">
      <c r="A34" s="24">
        <f t="shared" si="0"/>
        <v>32</v>
      </c>
      <c r="B34" s="40" t="s">
        <v>971</v>
      </c>
      <c r="C34" s="40" t="s">
        <v>972</v>
      </c>
      <c r="D34" s="40" t="s">
        <v>971</v>
      </c>
      <c r="E34" s="40" t="s">
        <v>26</v>
      </c>
      <c r="F34" s="40" t="s">
        <v>973</v>
      </c>
      <c r="G34" s="41" t="s">
        <v>18</v>
      </c>
      <c r="H34" s="40" t="s">
        <v>28</v>
      </c>
      <c r="I34" s="40" t="s">
        <v>114</v>
      </c>
      <c r="J34" s="40" t="s">
        <v>306</v>
      </c>
      <c r="K34" s="40" t="s">
        <v>114</v>
      </c>
      <c r="L34" s="40" t="s">
        <v>31</v>
      </c>
      <c r="M34" s="40">
        <v>6.5416939999999997</v>
      </c>
      <c r="N34" s="40">
        <v>10.773250000000001</v>
      </c>
      <c r="O34" s="40" t="s">
        <v>23</v>
      </c>
    </row>
    <row r="35" spans="1:15" x14ac:dyDescent="0.2">
      <c r="A35" s="24">
        <f t="shared" si="0"/>
        <v>33</v>
      </c>
      <c r="B35" s="40" t="s">
        <v>980</v>
      </c>
      <c r="C35" s="40" t="s">
        <v>981</v>
      </c>
      <c r="D35" s="40" t="s">
        <v>980</v>
      </c>
      <c r="E35" s="40" t="s">
        <v>26</v>
      </c>
      <c r="F35" s="40" t="s">
        <v>982</v>
      </c>
      <c r="G35" s="41" t="s">
        <v>18</v>
      </c>
      <c r="H35" s="40" t="s">
        <v>28</v>
      </c>
      <c r="I35" s="40" t="s">
        <v>194</v>
      </c>
      <c r="J35" s="40" t="s">
        <v>766</v>
      </c>
      <c r="K35" s="40" t="s">
        <v>196</v>
      </c>
      <c r="L35" s="40" t="s">
        <v>31</v>
      </c>
      <c r="M35" s="40">
        <v>6.1176500000000003</v>
      </c>
      <c r="N35" s="40">
        <v>10.246167</v>
      </c>
      <c r="O35" s="40" t="s">
        <v>23</v>
      </c>
    </row>
    <row r="36" spans="1:15" x14ac:dyDescent="0.2">
      <c r="A36" s="24">
        <f t="shared" si="0"/>
        <v>34</v>
      </c>
      <c r="B36" s="40" t="s">
        <v>1000</v>
      </c>
      <c r="C36" s="40" t="s">
        <v>1001</v>
      </c>
      <c r="D36" s="40" t="s">
        <v>1000</v>
      </c>
      <c r="E36" s="40" t="s">
        <v>26</v>
      </c>
      <c r="F36" s="40" t="s">
        <v>1002</v>
      </c>
      <c r="G36" s="41" t="s">
        <v>18</v>
      </c>
      <c r="H36" s="40" t="s">
        <v>28</v>
      </c>
      <c r="I36" s="40" t="s">
        <v>29</v>
      </c>
      <c r="J36" s="40" t="s">
        <v>812</v>
      </c>
      <c r="K36" s="40" t="s">
        <v>1002</v>
      </c>
      <c r="L36" s="40" t="s">
        <v>31</v>
      </c>
      <c r="M36" s="40">
        <v>6.4</v>
      </c>
      <c r="N36" s="40">
        <v>9.8999999899999995</v>
      </c>
      <c r="O36" s="40" t="s">
        <v>23</v>
      </c>
    </row>
    <row r="37" spans="1:15" x14ac:dyDescent="0.2">
      <c r="A37" s="24">
        <f t="shared" si="0"/>
        <v>35</v>
      </c>
      <c r="B37" s="40" t="s">
        <v>1007</v>
      </c>
      <c r="C37" s="40" t="s">
        <v>1008</v>
      </c>
      <c r="D37" s="40" t="s">
        <v>1007</v>
      </c>
      <c r="E37" s="40" t="s">
        <v>26</v>
      </c>
      <c r="F37" s="40" t="s">
        <v>1009</v>
      </c>
      <c r="G37" s="41" t="s">
        <v>18</v>
      </c>
      <c r="H37" s="40" t="s">
        <v>28</v>
      </c>
      <c r="I37" s="40" t="s">
        <v>1010</v>
      </c>
      <c r="J37" s="40" t="s">
        <v>195</v>
      </c>
      <c r="K37" s="40" t="s">
        <v>241</v>
      </c>
      <c r="L37" s="40" t="s">
        <v>31</v>
      </c>
      <c r="M37" s="40">
        <v>5.9876199999999997</v>
      </c>
      <c r="N37" s="40">
        <v>10.153187000000001</v>
      </c>
      <c r="O37" s="40" t="s">
        <v>23</v>
      </c>
    </row>
    <row r="38" spans="1:15" x14ac:dyDescent="0.2">
      <c r="A38" s="24">
        <f t="shared" si="0"/>
        <v>36</v>
      </c>
      <c r="B38" s="40" t="s">
        <v>1072</v>
      </c>
      <c r="C38" s="40" t="s">
        <v>1073</v>
      </c>
      <c r="D38" s="40" t="s">
        <v>1072</v>
      </c>
      <c r="E38" s="40" t="s">
        <v>131</v>
      </c>
      <c r="F38" s="40" t="s">
        <v>1074</v>
      </c>
      <c r="G38" s="41" t="s">
        <v>18</v>
      </c>
      <c r="H38" s="40" t="s">
        <v>28</v>
      </c>
      <c r="I38" s="40" t="s">
        <v>245</v>
      </c>
      <c r="J38" s="40" t="s">
        <v>761</v>
      </c>
      <c r="K38" s="40" t="s">
        <v>762</v>
      </c>
      <c r="L38" s="40" t="s">
        <v>31</v>
      </c>
      <c r="M38" s="40">
        <v>5.756589</v>
      </c>
      <c r="N38" s="40">
        <v>10.31809</v>
      </c>
      <c r="O38" s="40" t="s">
        <v>23</v>
      </c>
    </row>
    <row r="39" spans="1:15" x14ac:dyDescent="0.2">
      <c r="A39" s="24">
        <f t="shared" si="0"/>
        <v>37</v>
      </c>
      <c r="B39" s="40" t="s">
        <v>1085</v>
      </c>
      <c r="C39" s="40" t="s">
        <v>1086</v>
      </c>
      <c r="D39" s="40" t="s">
        <v>1085</v>
      </c>
      <c r="E39" s="40" t="s">
        <v>26</v>
      </c>
      <c r="F39" s="40" t="s">
        <v>1087</v>
      </c>
      <c r="G39" s="41" t="s">
        <v>18</v>
      </c>
      <c r="H39" s="40" t="s">
        <v>28</v>
      </c>
      <c r="I39" s="40" t="s">
        <v>1010</v>
      </c>
      <c r="J39" s="40" t="s">
        <v>195</v>
      </c>
      <c r="K39" s="40" t="s">
        <v>241</v>
      </c>
      <c r="L39" s="40" t="s">
        <v>31</v>
      </c>
      <c r="M39" s="40">
        <v>5.9529399999999999</v>
      </c>
      <c r="N39" s="40">
        <v>10.1571</v>
      </c>
      <c r="O39" s="40" t="s">
        <v>23</v>
      </c>
    </row>
    <row r="40" spans="1:15" x14ac:dyDescent="0.2">
      <c r="A40" s="24">
        <f t="shared" si="0"/>
        <v>38</v>
      </c>
      <c r="B40" s="40" t="s">
        <v>1088</v>
      </c>
      <c r="C40" s="40" t="s">
        <v>1089</v>
      </c>
      <c r="D40" s="40" t="s">
        <v>1088</v>
      </c>
      <c r="E40" s="40" t="s">
        <v>26</v>
      </c>
      <c r="F40" s="40" t="s">
        <v>1090</v>
      </c>
      <c r="G40" s="41" t="s">
        <v>18</v>
      </c>
      <c r="H40" s="40" t="s">
        <v>28</v>
      </c>
      <c r="I40" s="40" t="s">
        <v>1010</v>
      </c>
      <c r="J40" s="40" t="s">
        <v>195</v>
      </c>
      <c r="K40" s="40" t="s">
        <v>241</v>
      </c>
      <c r="L40" s="40" t="s">
        <v>31</v>
      </c>
      <c r="M40" s="40">
        <v>5.9898379999999998</v>
      </c>
      <c r="N40" s="40">
        <v>10.162345999999999</v>
      </c>
      <c r="O40" s="40" t="s">
        <v>23</v>
      </c>
    </row>
    <row r="41" spans="1:15" x14ac:dyDescent="0.2">
      <c r="A41" s="24">
        <f t="shared" si="0"/>
        <v>39</v>
      </c>
      <c r="B41" s="40" t="s">
        <v>1091</v>
      </c>
      <c r="C41" s="40" t="s">
        <v>1092</v>
      </c>
      <c r="D41" s="40" t="s">
        <v>1091</v>
      </c>
      <c r="E41" s="40" t="s">
        <v>26</v>
      </c>
      <c r="F41" s="40" t="s">
        <v>1093</v>
      </c>
      <c r="G41" s="41" t="s">
        <v>18</v>
      </c>
      <c r="H41" s="40" t="s">
        <v>28</v>
      </c>
      <c r="I41" s="40" t="s">
        <v>29</v>
      </c>
      <c r="J41" s="40" t="s">
        <v>195</v>
      </c>
      <c r="K41" s="40" t="s">
        <v>241</v>
      </c>
      <c r="L41" s="40" t="s">
        <v>31</v>
      </c>
      <c r="M41" s="40">
        <v>6.0102209999999996</v>
      </c>
      <c r="N41" s="40">
        <v>10.133228000000001</v>
      </c>
      <c r="O41" s="40" t="s">
        <v>23</v>
      </c>
    </row>
    <row r="42" spans="1:15" x14ac:dyDescent="0.2">
      <c r="A42" s="24">
        <f t="shared" si="0"/>
        <v>40</v>
      </c>
      <c r="B42" s="40" t="s">
        <v>1094</v>
      </c>
      <c r="C42" s="40" t="s">
        <v>1095</v>
      </c>
      <c r="D42" s="40" t="s">
        <v>1094</v>
      </c>
      <c r="E42" s="40" t="s">
        <v>26</v>
      </c>
      <c r="F42" s="40" t="s">
        <v>1096</v>
      </c>
      <c r="G42" s="41" t="s">
        <v>18</v>
      </c>
      <c r="H42" s="40" t="s">
        <v>28</v>
      </c>
      <c r="I42" s="40" t="s">
        <v>1010</v>
      </c>
      <c r="J42" s="40" t="s">
        <v>195</v>
      </c>
      <c r="K42" s="40" t="s">
        <v>194</v>
      </c>
      <c r="L42" s="40" t="s">
        <v>31</v>
      </c>
      <c r="M42" s="40">
        <v>5.9357470000000001</v>
      </c>
      <c r="N42" s="40">
        <v>10.162219</v>
      </c>
      <c r="O42" s="40" t="s">
        <v>23</v>
      </c>
    </row>
    <row r="43" spans="1:15" x14ac:dyDescent="0.2">
      <c r="A43" s="24">
        <f t="shared" si="0"/>
        <v>41</v>
      </c>
      <c r="B43" s="40" t="s">
        <v>1097</v>
      </c>
      <c r="C43" s="40" t="s">
        <v>1098</v>
      </c>
      <c r="D43" s="40" t="s">
        <v>1097</v>
      </c>
      <c r="E43" s="40" t="s">
        <v>26</v>
      </c>
      <c r="F43" s="40" t="s">
        <v>1099</v>
      </c>
      <c r="G43" s="41" t="s">
        <v>18</v>
      </c>
      <c r="H43" s="40" t="s">
        <v>28</v>
      </c>
      <c r="I43" s="40" t="s">
        <v>194</v>
      </c>
      <c r="J43" s="40" t="s">
        <v>195</v>
      </c>
      <c r="K43" s="40" t="s">
        <v>194</v>
      </c>
      <c r="L43" s="40" t="s">
        <v>31</v>
      </c>
      <c r="M43" s="40">
        <v>5.9401190000000001</v>
      </c>
      <c r="N43" s="40">
        <v>10.197202000000001</v>
      </c>
      <c r="O43" s="40" t="s">
        <v>23</v>
      </c>
    </row>
    <row r="44" spans="1:15" x14ac:dyDescent="0.2">
      <c r="A44" s="24">
        <f t="shared" si="0"/>
        <v>42</v>
      </c>
      <c r="B44" s="40" t="s">
        <v>1100</v>
      </c>
      <c r="C44" s="40" t="s">
        <v>1101</v>
      </c>
      <c r="D44" s="40" t="s">
        <v>1100</v>
      </c>
      <c r="E44" s="40" t="s">
        <v>26</v>
      </c>
      <c r="F44" s="40" t="s">
        <v>1102</v>
      </c>
      <c r="G44" s="41" t="s">
        <v>18</v>
      </c>
      <c r="H44" s="40" t="s">
        <v>28</v>
      </c>
      <c r="I44" s="40" t="s">
        <v>241</v>
      </c>
      <c r="J44" s="40" t="s">
        <v>195</v>
      </c>
      <c r="K44" s="40" t="s">
        <v>241</v>
      </c>
      <c r="L44" s="40" t="s">
        <v>31</v>
      </c>
      <c r="M44" s="40">
        <v>5.9482299999999997</v>
      </c>
      <c r="N44" s="40">
        <v>10.130345999999999</v>
      </c>
      <c r="O44" s="40" t="s">
        <v>23</v>
      </c>
    </row>
    <row r="45" spans="1:15" x14ac:dyDescent="0.2">
      <c r="A45" s="24">
        <f t="shared" si="0"/>
        <v>43</v>
      </c>
      <c r="B45" s="40" t="s">
        <v>1103</v>
      </c>
      <c r="C45" s="40" t="s">
        <v>1104</v>
      </c>
      <c r="D45" s="40" t="s">
        <v>1103</v>
      </c>
      <c r="E45" s="40" t="s">
        <v>26</v>
      </c>
      <c r="F45" s="40" t="s">
        <v>1105</v>
      </c>
      <c r="G45" s="41" t="s">
        <v>1106</v>
      </c>
      <c r="H45" s="40" t="s">
        <v>28</v>
      </c>
      <c r="I45" s="40" t="s">
        <v>241</v>
      </c>
      <c r="J45" s="40" t="s">
        <v>195</v>
      </c>
      <c r="K45" s="40" t="s">
        <v>194</v>
      </c>
      <c r="L45" s="40" t="s">
        <v>31</v>
      </c>
      <c r="M45" s="40">
        <v>5.9370830000000003</v>
      </c>
      <c r="N45" s="40">
        <v>10.150407</v>
      </c>
      <c r="O45" s="40" t="s">
        <v>23</v>
      </c>
    </row>
    <row r="46" spans="1:15" x14ac:dyDescent="0.2">
      <c r="A46" s="24">
        <f t="shared" si="0"/>
        <v>44</v>
      </c>
      <c r="B46" s="40" t="s">
        <v>1133</v>
      </c>
      <c r="C46" s="40" t="s">
        <v>1134</v>
      </c>
      <c r="D46" s="40" t="s">
        <v>1133</v>
      </c>
      <c r="E46" s="40" t="s">
        <v>26</v>
      </c>
      <c r="F46" s="40" t="s">
        <v>1135</v>
      </c>
      <c r="G46" s="41" t="s">
        <v>18</v>
      </c>
      <c r="H46" s="40" t="s">
        <v>28</v>
      </c>
      <c r="I46" s="40" t="s">
        <v>29</v>
      </c>
      <c r="J46" s="40" t="s">
        <v>195</v>
      </c>
      <c r="K46" s="40" t="s">
        <v>29</v>
      </c>
      <c r="L46" s="40" t="s">
        <v>31</v>
      </c>
      <c r="M46" s="40">
        <v>6.0378600000000002</v>
      </c>
      <c r="N46" s="40">
        <v>10.15</v>
      </c>
      <c r="O46" s="40" t="s">
        <v>23</v>
      </c>
    </row>
    <row r="47" spans="1:15" x14ac:dyDescent="0.2">
      <c r="A47" s="24">
        <f t="shared" si="0"/>
        <v>45</v>
      </c>
      <c r="B47" s="40" t="s">
        <v>1140</v>
      </c>
      <c r="C47" s="40" t="s">
        <v>1141</v>
      </c>
      <c r="D47" s="40" t="s">
        <v>1140</v>
      </c>
      <c r="E47" s="40" t="s">
        <v>26</v>
      </c>
      <c r="F47" s="40" t="s">
        <v>1142</v>
      </c>
      <c r="G47" s="41" t="s">
        <v>18</v>
      </c>
      <c r="H47" s="40" t="s">
        <v>28</v>
      </c>
      <c r="I47" s="40" t="s">
        <v>194</v>
      </c>
      <c r="J47" s="40" t="s">
        <v>766</v>
      </c>
      <c r="K47" s="40" t="s">
        <v>27</v>
      </c>
      <c r="L47" s="40" t="s">
        <v>31</v>
      </c>
      <c r="M47" s="40">
        <v>6.35433</v>
      </c>
      <c r="N47" s="40">
        <v>10.239699999999999</v>
      </c>
      <c r="O47" s="40" t="s">
        <v>23</v>
      </c>
    </row>
    <row r="48" spans="1:15" x14ac:dyDescent="0.2">
      <c r="A48" s="24">
        <f t="shared" si="0"/>
        <v>46</v>
      </c>
      <c r="B48" s="40" t="s">
        <v>1149</v>
      </c>
      <c r="C48" s="40" t="s">
        <v>1150</v>
      </c>
      <c r="D48" s="40" t="s">
        <v>1149</v>
      </c>
      <c r="E48" s="40" t="s">
        <v>131</v>
      </c>
      <c r="F48" s="40" t="s">
        <v>1151</v>
      </c>
      <c r="G48" s="41" t="s">
        <v>18</v>
      </c>
      <c r="H48" s="40" t="s">
        <v>28</v>
      </c>
      <c r="I48" s="40" t="s">
        <v>194</v>
      </c>
      <c r="J48" s="40" t="s">
        <v>1054</v>
      </c>
      <c r="K48" s="40" t="s">
        <v>1152</v>
      </c>
      <c r="L48" s="40" t="s">
        <v>31</v>
      </c>
      <c r="M48" s="40">
        <v>5.8406929999999999</v>
      </c>
      <c r="N48" s="40">
        <v>10.380815999999999</v>
      </c>
      <c r="O48" s="40" t="s">
        <v>23</v>
      </c>
    </row>
    <row r="49" spans="1:15" x14ac:dyDescent="0.2">
      <c r="A49" s="24">
        <f t="shared" si="0"/>
        <v>47</v>
      </c>
      <c r="B49" s="40" t="s">
        <v>1157</v>
      </c>
      <c r="C49" s="40" t="s">
        <v>1158</v>
      </c>
      <c r="D49" s="40" t="s">
        <v>1157</v>
      </c>
      <c r="E49" s="40" t="s">
        <v>26</v>
      </c>
      <c r="F49" s="40" t="s">
        <v>1159</v>
      </c>
      <c r="G49" s="41" t="s">
        <v>18</v>
      </c>
      <c r="H49" s="40" t="s">
        <v>28</v>
      </c>
      <c r="I49" s="40" t="s">
        <v>140</v>
      </c>
      <c r="J49" s="40" t="s">
        <v>1160</v>
      </c>
      <c r="K49" s="40" t="s">
        <v>1161</v>
      </c>
      <c r="L49" s="40" t="s">
        <v>31</v>
      </c>
      <c r="M49" s="40">
        <v>6.06911111111111</v>
      </c>
      <c r="N49" s="40">
        <v>10.442305555555556</v>
      </c>
      <c r="O49" s="40" t="s">
        <v>23</v>
      </c>
    </row>
    <row r="50" spans="1:15" x14ac:dyDescent="0.2">
      <c r="A50" s="24">
        <f t="shared" si="0"/>
        <v>48</v>
      </c>
      <c r="B50" s="40" t="s">
        <v>1179</v>
      </c>
      <c r="C50" s="40" t="s">
        <v>1180</v>
      </c>
      <c r="D50" s="40" t="s">
        <v>1179</v>
      </c>
      <c r="E50" s="40" t="s">
        <v>26</v>
      </c>
      <c r="F50" s="40" t="s">
        <v>1181</v>
      </c>
      <c r="G50" s="41" t="s">
        <v>18</v>
      </c>
      <c r="H50" s="40" t="s">
        <v>28</v>
      </c>
      <c r="I50" s="40" t="s">
        <v>194</v>
      </c>
      <c r="J50" s="40" t="s">
        <v>195</v>
      </c>
      <c r="K50" s="40" t="s">
        <v>1182</v>
      </c>
      <c r="L50" s="40" t="s">
        <v>31</v>
      </c>
      <c r="M50" s="40">
        <v>5.8855560000000002</v>
      </c>
      <c r="N50" s="40">
        <v>10.158917000000001</v>
      </c>
      <c r="O50" s="40" t="s">
        <v>23</v>
      </c>
    </row>
    <row r="51" spans="1:15" x14ac:dyDescent="0.2">
      <c r="A51" s="24">
        <f t="shared" si="0"/>
        <v>49</v>
      </c>
      <c r="B51" s="40" t="s">
        <v>1190</v>
      </c>
      <c r="C51" s="40" t="s">
        <v>1191</v>
      </c>
      <c r="D51" s="40" t="s">
        <v>1190</v>
      </c>
      <c r="E51" s="40" t="s">
        <v>26</v>
      </c>
      <c r="F51" s="40" t="s">
        <v>1192</v>
      </c>
      <c r="G51" s="41" t="s">
        <v>18</v>
      </c>
      <c r="H51" s="40" t="s">
        <v>28</v>
      </c>
      <c r="I51" s="40" t="s">
        <v>114</v>
      </c>
      <c r="J51" s="40" t="s">
        <v>306</v>
      </c>
      <c r="K51" s="40" t="s">
        <v>1192</v>
      </c>
      <c r="L51" s="40" t="s">
        <v>31</v>
      </c>
      <c r="M51" s="40">
        <v>6.816719</v>
      </c>
      <c r="N51" s="40">
        <v>10.71663</v>
      </c>
      <c r="O51" s="40" t="s">
        <v>23</v>
      </c>
    </row>
    <row r="52" spans="1:15" x14ac:dyDescent="0.2">
      <c r="A52" s="24">
        <f t="shared" si="0"/>
        <v>50</v>
      </c>
      <c r="B52" s="40" t="s">
        <v>1201</v>
      </c>
      <c r="C52" s="40" t="s">
        <v>1202</v>
      </c>
      <c r="D52" s="40" t="s">
        <v>1201</v>
      </c>
      <c r="E52" s="40" t="s">
        <v>26</v>
      </c>
      <c r="F52" s="40" t="s">
        <v>1203</v>
      </c>
      <c r="G52" s="41" t="s">
        <v>18</v>
      </c>
      <c r="H52" s="40" t="s">
        <v>28</v>
      </c>
      <c r="I52" s="40" t="s">
        <v>241</v>
      </c>
      <c r="J52" s="40" t="s">
        <v>365</v>
      </c>
      <c r="K52" s="40" t="s">
        <v>547</v>
      </c>
      <c r="L52" s="40" t="s">
        <v>31</v>
      </c>
      <c r="M52" s="40">
        <v>5.9881390000000003</v>
      </c>
      <c r="N52" s="40">
        <v>9.9337219999999995</v>
      </c>
      <c r="O52" s="40" t="s">
        <v>23</v>
      </c>
    </row>
    <row r="53" spans="1:15" x14ac:dyDescent="0.2">
      <c r="A53" s="24">
        <f t="shared" si="0"/>
        <v>51</v>
      </c>
      <c r="B53" s="40" t="s">
        <v>1204</v>
      </c>
      <c r="C53" s="40" t="s">
        <v>1205</v>
      </c>
      <c r="D53" s="40" t="s">
        <v>1204</v>
      </c>
      <c r="E53" s="40" t="s">
        <v>26</v>
      </c>
      <c r="F53" s="40" t="s">
        <v>1206</v>
      </c>
      <c r="G53" s="41" t="s">
        <v>18</v>
      </c>
      <c r="H53" s="40" t="s">
        <v>28</v>
      </c>
      <c r="I53" s="40" t="s">
        <v>194</v>
      </c>
      <c r="J53" s="40" t="s">
        <v>766</v>
      </c>
      <c r="K53" s="40" t="s">
        <v>767</v>
      </c>
      <c r="L53" s="40" t="s">
        <v>31</v>
      </c>
      <c r="M53" s="40">
        <v>6.2965970000000002</v>
      </c>
      <c r="N53" s="40">
        <v>10.33318</v>
      </c>
      <c r="O53" s="40" t="s">
        <v>23</v>
      </c>
    </row>
    <row r="54" spans="1:15" x14ac:dyDescent="0.2">
      <c r="A54" s="24">
        <f t="shared" si="0"/>
        <v>52</v>
      </c>
      <c r="B54" s="40" t="s">
        <v>1228</v>
      </c>
      <c r="C54" s="40" t="s">
        <v>1229</v>
      </c>
      <c r="D54" s="40" t="s">
        <v>1228</v>
      </c>
      <c r="E54" s="40" t="s">
        <v>26</v>
      </c>
      <c r="F54" s="40" t="s">
        <v>1230</v>
      </c>
      <c r="G54" s="41" t="s">
        <v>18</v>
      </c>
      <c r="H54" s="40" t="s">
        <v>28</v>
      </c>
      <c r="I54" s="40" t="s">
        <v>194</v>
      </c>
      <c r="J54" s="40" t="s">
        <v>766</v>
      </c>
      <c r="K54" s="40" t="s">
        <v>1230</v>
      </c>
      <c r="L54" s="40" t="s">
        <v>31</v>
      </c>
      <c r="M54" s="40">
        <v>6.2242100000000002</v>
      </c>
      <c r="N54" s="40">
        <v>10.307333</v>
      </c>
      <c r="O54" s="40" t="s">
        <v>23</v>
      </c>
    </row>
    <row r="55" spans="1:15" x14ac:dyDescent="0.2">
      <c r="A55" s="24">
        <f t="shared" si="0"/>
        <v>53</v>
      </c>
      <c r="B55" s="40" t="s">
        <v>1275</v>
      </c>
      <c r="C55" s="40" t="s">
        <v>1276</v>
      </c>
      <c r="D55" s="40" t="s">
        <v>1275</v>
      </c>
      <c r="E55" s="40" t="s">
        <v>26</v>
      </c>
      <c r="F55" s="40" t="s">
        <v>1277</v>
      </c>
      <c r="G55" s="41" t="s">
        <v>18</v>
      </c>
      <c r="H55" s="40" t="s">
        <v>28</v>
      </c>
      <c r="I55" s="40" t="s">
        <v>140</v>
      </c>
      <c r="J55" s="40" t="s">
        <v>328</v>
      </c>
      <c r="K55" s="40" t="s">
        <v>329</v>
      </c>
      <c r="L55" s="40" t="s">
        <v>31</v>
      </c>
      <c r="M55" s="40">
        <v>6.2772199999999998</v>
      </c>
      <c r="N55" s="40">
        <v>10.56278</v>
      </c>
      <c r="O55" s="40" t="s">
        <v>23</v>
      </c>
    </row>
    <row r="56" spans="1:15" x14ac:dyDescent="0.2">
      <c r="A56" s="24">
        <f t="shared" si="0"/>
        <v>54</v>
      </c>
      <c r="B56" s="40" t="s">
        <v>1451</v>
      </c>
      <c r="C56" s="40" t="s">
        <v>1452</v>
      </c>
      <c r="D56" s="40" t="s">
        <v>1451</v>
      </c>
      <c r="E56" s="40" t="s">
        <v>26</v>
      </c>
      <c r="F56" s="40" t="s">
        <v>1453</v>
      </c>
      <c r="G56" s="41" t="s">
        <v>18</v>
      </c>
      <c r="H56" s="40" t="s">
        <v>28</v>
      </c>
      <c r="I56" s="40" t="s">
        <v>140</v>
      </c>
      <c r="J56" s="40" t="s">
        <v>1160</v>
      </c>
      <c r="K56" s="40" t="s">
        <v>1454</v>
      </c>
      <c r="L56" s="40" t="s">
        <v>31</v>
      </c>
      <c r="M56" s="40">
        <v>5.9846111110000004</v>
      </c>
      <c r="N56" s="40">
        <v>10.458</v>
      </c>
      <c r="O56" s="40" t="s">
        <v>23</v>
      </c>
    </row>
    <row r="57" spans="1:15" x14ac:dyDescent="0.2">
      <c r="A57" s="24">
        <f t="shared" si="0"/>
        <v>55</v>
      </c>
      <c r="B57" s="40" t="s">
        <v>1472</v>
      </c>
      <c r="C57" s="40" t="s">
        <v>1473</v>
      </c>
      <c r="D57" s="40" t="s">
        <v>1472</v>
      </c>
      <c r="E57" s="40" t="s">
        <v>26</v>
      </c>
      <c r="F57" s="40" t="s">
        <v>1474</v>
      </c>
      <c r="G57" s="41" t="s">
        <v>18</v>
      </c>
      <c r="H57" s="40" t="s">
        <v>28</v>
      </c>
      <c r="I57" s="40" t="s">
        <v>114</v>
      </c>
      <c r="J57" s="40" t="s">
        <v>306</v>
      </c>
      <c r="K57" s="40" t="s">
        <v>114</v>
      </c>
      <c r="L57" s="40" t="s">
        <v>31</v>
      </c>
      <c r="M57" s="40">
        <v>6.5732390000000001</v>
      </c>
      <c r="N57" s="40">
        <v>10.709175999999999</v>
      </c>
      <c r="O57" s="40" t="s">
        <v>23</v>
      </c>
    </row>
    <row r="58" spans="1:15" x14ac:dyDescent="0.2">
      <c r="A58" s="24">
        <f t="shared" si="0"/>
        <v>56</v>
      </c>
      <c r="B58" s="40" t="s">
        <v>1488</v>
      </c>
      <c r="C58" s="40" t="s">
        <v>1489</v>
      </c>
      <c r="D58" s="40" t="s">
        <v>1488</v>
      </c>
      <c r="E58" s="40" t="s">
        <v>26</v>
      </c>
      <c r="F58" s="40" t="s">
        <v>1490</v>
      </c>
      <c r="G58" s="41" t="s">
        <v>18</v>
      </c>
      <c r="H58" s="40" t="s">
        <v>28</v>
      </c>
      <c r="I58" s="40" t="s">
        <v>114</v>
      </c>
      <c r="J58" s="40" t="s">
        <v>306</v>
      </c>
      <c r="K58" s="40" t="s">
        <v>537</v>
      </c>
      <c r="L58" s="40" t="s">
        <v>31</v>
      </c>
      <c r="M58" s="40">
        <v>6.4269790000000002</v>
      </c>
      <c r="N58" s="40">
        <v>10.790075</v>
      </c>
      <c r="O58" s="40" t="s">
        <v>23</v>
      </c>
    </row>
    <row r="59" spans="1:15" x14ac:dyDescent="0.2">
      <c r="A59" s="24">
        <f t="shared" si="0"/>
        <v>57</v>
      </c>
      <c r="B59" s="40" t="s">
        <v>1500</v>
      </c>
      <c r="C59" s="40" t="s">
        <v>1501</v>
      </c>
      <c r="D59" s="40" t="s">
        <v>1500</v>
      </c>
      <c r="E59" s="40" t="s">
        <v>26</v>
      </c>
      <c r="F59" s="40" t="s">
        <v>1502</v>
      </c>
      <c r="G59" s="41" t="s">
        <v>18</v>
      </c>
      <c r="H59" s="40" t="s">
        <v>28</v>
      </c>
      <c r="I59" s="40" t="s">
        <v>194</v>
      </c>
      <c r="J59" s="40" t="s">
        <v>195</v>
      </c>
      <c r="K59" s="40" t="s">
        <v>1182</v>
      </c>
      <c r="L59" s="40" t="s">
        <v>31</v>
      </c>
      <c r="M59" s="40">
        <v>5.8502130000000001</v>
      </c>
      <c r="N59" s="40">
        <v>10.244930999999999</v>
      </c>
      <c r="O59" s="40" t="s">
        <v>23</v>
      </c>
    </row>
    <row r="60" spans="1:15" x14ac:dyDescent="0.2">
      <c r="A60" s="24">
        <f t="shared" si="0"/>
        <v>58</v>
      </c>
      <c r="B60" s="40" t="s">
        <v>1653</v>
      </c>
      <c r="C60" s="40" t="s">
        <v>1654</v>
      </c>
      <c r="D60" s="40" t="s">
        <v>1653</v>
      </c>
      <c r="E60" s="40" t="s">
        <v>26</v>
      </c>
      <c r="F60" s="40" t="s">
        <v>1655</v>
      </c>
      <c r="G60" s="41" t="s">
        <v>18</v>
      </c>
      <c r="H60" s="40" t="s">
        <v>19</v>
      </c>
      <c r="I60" s="40" t="s">
        <v>1010</v>
      </c>
      <c r="J60" s="40" t="s">
        <v>195</v>
      </c>
      <c r="K60" s="40" t="s">
        <v>194</v>
      </c>
      <c r="L60" s="40" t="s">
        <v>31</v>
      </c>
      <c r="M60" s="40">
        <v>5.9532040000000004</v>
      </c>
      <c r="N60" s="40">
        <v>10.183572</v>
      </c>
      <c r="O60" s="40" t="s">
        <v>23</v>
      </c>
    </row>
    <row r="61" spans="1:15" x14ac:dyDescent="0.2">
      <c r="A61" s="24">
        <f t="shared" si="0"/>
        <v>59</v>
      </c>
      <c r="B61" s="40" t="s">
        <v>1737</v>
      </c>
      <c r="C61" s="40" t="s">
        <v>1738</v>
      </c>
      <c r="D61" s="40" t="s">
        <v>1737</v>
      </c>
      <c r="E61" s="40" t="s">
        <v>26</v>
      </c>
      <c r="F61" s="40" t="s">
        <v>1739</v>
      </c>
      <c r="G61" s="41" t="s">
        <v>18</v>
      </c>
      <c r="H61" s="40" t="s">
        <v>28</v>
      </c>
      <c r="I61" s="40" t="s">
        <v>241</v>
      </c>
      <c r="J61" s="40" t="s">
        <v>195</v>
      </c>
      <c r="K61" s="40" t="s">
        <v>241</v>
      </c>
      <c r="L61" s="40" t="s">
        <v>31</v>
      </c>
      <c r="M61" s="40">
        <v>5.9635670000000003</v>
      </c>
      <c r="N61" s="40">
        <v>10.159238</v>
      </c>
      <c r="O61" s="40" t="s">
        <v>23</v>
      </c>
    </row>
    <row r="62" spans="1:15" x14ac:dyDescent="0.2">
      <c r="A62" s="24">
        <f t="shared" si="0"/>
        <v>60</v>
      </c>
      <c r="B62" s="40" t="s">
        <v>1846</v>
      </c>
      <c r="C62" s="40" t="s">
        <v>1847</v>
      </c>
      <c r="D62" s="40" t="s">
        <v>1846</v>
      </c>
      <c r="E62" s="40" t="s">
        <v>26</v>
      </c>
      <c r="F62" s="40" t="s">
        <v>1848</v>
      </c>
      <c r="G62" s="41" t="s">
        <v>18</v>
      </c>
      <c r="H62" s="40" t="s">
        <v>28</v>
      </c>
      <c r="I62" s="40" t="s">
        <v>114</v>
      </c>
      <c r="J62" s="40" t="s">
        <v>306</v>
      </c>
      <c r="K62" s="40" t="s">
        <v>537</v>
      </c>
      <c r="L62" s="40" t="s">
        <v>31</v>
      </c>
      <c r="M62" s="40">
        <v>6.4228059999999996</v>
      </c>
      <c r="N62" s="40">
        <v>10.784388999999999</v>
      </c>
      <c r="O62" s="40" t="s">
        <v>23</v>
      </c>
    </row>
    <row r="63" spans="1:15" x14ac:dyDescent="0.2">
      <c r="A63" s="24">
        <f t="shared" si="0"/>
        <v>61</v>
      </c>
      <c r="B63" s="40" t="s">
        <v>1917</v>
      </c>
      <c r="C63" s="40" t="s">
        <v>1918</v>
      </c>
      <c r="D63" s="40" t="s">
        <v>1917</v>
      </c>
      <c r="E63" s="40" t="s">
        <v>26</v>
      </c>
      <c r="F63" s="40" t="s">
        <v>1919</v>
      </c>
      <c r="G63" s="41" t="s">
        <v>18</v>
      </c>
      <c r="H63" s="40" t="s">
        <v>28</v>
      </c>
      <c r="I63" s="40" t="s">
        <v>140</v>
      </c>
      <c r="J63" s="40" t="s">
        <v>328</v>
      </c>
      <c r="K63" s="40" t="s">
        <v>1920</v>
      </c>
      <c r="L63" s="40" t="s">
        <v>31</v>
      </c>
      <c r="M63" s="40">
        <v>6.2395833300000003</v>
      </c>
      <c r="N63" s="40">
        <v>10.69488889</v>
      </c>
      <c r="O63" s="40" t="s">
        <v>23</v>
      </c>
    </row>
    <row r="64" spans="1:15" x14ac:dyDescent="0.2">
      <c r="A64" s="24">
        <f t="shared" si="0"/>
        <v>62</v>
      </c>
      <c r="B64" s="40" t="s">
        <v>1966</v>
      </c>
      <c r="C64" s="40" t="s">
        <v>1967</v>
      </c>
      <c r="D64" s="40" t="s">
        <v>1966</v>
      </c>
      <c r="E64" s="40" t="s">
        <v>26</v>
      </c>
      <c r="F64" s="40" t="s">
        <v>1968</v>
      </c>
      <c r="G64" s="41" t="s">
        <v>18</v>
      </c>
      <c r="H64" s="40" t="s">
        <v>28</v>
      </c>
      <c r="I64" s="40" t="s">
        <v>194</v>
      </c>
      <c r="J64" s="40" t="s">
        <v>766</v>
      </c>
      <c r="K64" s="40" t="s">
        <v>1969</v>
      </c>
      <c r="L64" s="40" t="s">
        <v>31</v>
      </c>
      <c r="M64" s="40">
        <v>5.9597300000000004</v>
      </c>
      <c r="N64" s="40">
        <v>10.166463</v>
      </c>
      <c r="O64" s="40" t="s">
        <v>23</v>
      </c>
    </row>
    <row r="65" spans="1:15" x14ac:dyDescent="0.2">
      <c r="A65" s="24">
        <f t="shared" si="0"/>
        <v>63</v>
      </c>
      <c r="B65" s="40" t="s">
        <v>1976</v>
      </c>
      <c r="C65" s="40" t="s">
        <v>1977</v>
      </c>
      <c r="D65" s="40" t="s">
        <v>1976</v>
      </c>
      <c r="E65" s="40" t="s">
        <v>26</v>
      </c>
      <c r="F65" s="40" t="s">
        <v>1978</v>
      </c>
      <c r="G65" s="41" t="s">
        <v>18</v>
      </c>
      <c r="H65" s="40" t="s">
        <v>28</v>
      </c>
      <c r="I65" s="40" t="s">
        <v>194</v>
      </c>
      <c r="J65" s="40" t="s">
        <v>195</v>
      </c>
      <c r="K65" s="40" t="s">
        <v>196</v>
      </c>
      <c r="L65" s="40" t="s">
        <v>31</v>
      </c>
      <c r="M65" s="40">
        <v>6.0099340000000003</v>
      </c>
      <c r="N65" s="40">
        <v>10.227228999999999</v>
      </c>
      <c r="O65" s="40" t="s">
        <v>23</v>
      </c>
    </row>
    <row r="66" spans="1:15" x14ac:dyDescent="0.2">
      <c r="A66" s="24">
        <f t="shared" si="0"/>
        <v>64</v>
      </c>
      <c r="B66" s="40" t="s">
        <v>2009</v>
      </c>
      <c r="C66" s="40" t="s">
        <v>2010</v>
      </c>
      <c r="D66" s="40" t="s">
        <v>2009</v>
      </c>
      <c r="E66" s="40" t="s">
        <v>26</v>
      </c>
      <c r="F66" s="40" t="s">
        <v>2011</v>
      </c>
      <c r="G66" s="41" t="s">
        <v>18</v>
      </c>
      <c r="H66" s="40" t="s">
        <v>19</v>
      </c>
      <c r="I66" s="40" t="s">
        <v>29</v>
      </c>
      <c r="J66" s="40" t="s">
        <v>812</v>
      </c>
      <c r="K66" s="40" t="s">
        <v>2011</v>
      </c>
      <c r="L66" s="40" t="s">
        <v>31</v>
      </c>
      <c r="M66" s="40">
        <v>6.3943027780000001</v>
      </c>
      <c r="N66" s="40">
        <v>10.083888890000001</v>
      </c>
      <c r="O66" s="40" t="s">
        <v>23</v>
      </c>
    </row>
    <row r="67" spans="1:15" x14ac:dyDescent="0.2">
      <c r="A67" s="24">
        <f t="shared" si="0"/>
        <v>65</v>
      </c>
      <c r="B67" s="40" t="s">
        <v>2012</v>
      </c>
      <c r="C67" s="40" t="s">
        <v>2013</v>
      </c>
      <c r="D67" s="40" t="s">
        <v>2012</v>
      </c>
      <c r="E67" s="40" t="s">
        <v>26</v>
      </c>
      <c r="F67" s="40" t="s">
        <v>2011</v>
      </c>
      <c r="G67" s="41" t="s">
        <v>18</v>
      </c>
      <c r="H67" s="40" t="s">
        <v>19</v>
      </c>
      <c r="I67" s="40" t="s">
        <v>29</v>
      </c>
      <c r="J67" s="40" t="s">
        <v>812</v>
      </c>
      <c r="K67" s="40" t="s">
        <v>2011</v>
      </c>
      <c r="L67" s="40" t="s">
        <v>31</v>
      </c>
      <c r="M67" s="40">
        <v>6.3811</v>
      </c>
      <c r="N67" s="40">
        <v>10.07868</v>
      </c>
      <c r="O67" s="40" t="s">
        <v>23</v>
      </c>
    </row>
    <row r="68" spans="1:15" x14ac:dyDescent="0.2">
      <c r="A68" s="24">
        <f t="shared" si="0"/>
        <v>66</v>
      </c>
      <c r="B68" s="40" t="s">
        <v>2031</v>
      </c>
      <c r="C68" s="40" t="s">
        <v>2032</v>
      </c>
      <c r="D68" s="40" t="s">
        <v>2031</v>
      </c>
      <c r="E68" s="40" t="s">
        <v>26</v>
      </c>
      <c r="F68" s="40" t="s">
        <v>2033</v>
      </c>
      <c r="G68" s="41" t="s">
        <v>18</v>
      </c>
      <c r="H68" s="40" t="s">
        <v>28</v>
      </c>
      <c r="I68" s="40" t="s">
        <v>1010</v>
      </c>
      <c r="J68" s="40" t="s">
        <v>195</v>
      </c>
      <c r="K68" s="40" t="s">
        <v>241</v>
      </c>
      <c r="L68" s="40" t="s">
        <v>31</v>
      </c>
      <c r="M68" s="40">
        <v>5.9520799999999996</v>
      </c>
      <c r="N68" s="40">
        <v>10.152419999999999</v>
      </c>
      <c r="O68" s="40" t="s">
        <v>613</v>
      </c>
    </row>
    <row r="69" spans="1:15" x14ac:dyDescent="0.2">
      <c r="A69" s="24">
        <f t="shared" ref="A69:A132" si="1">1+A68</f>
        <v>67</v>
      </c>
      <c r="B69" s="40" t="s">
        <v>2048</v>
      </c>
      <c r="C69" s="40" t="s">
        <v>2049</v>
      </c>
      <c r="D69" s="40" t="s">
        <v>2048</v>
      </c>
      <c r="E69" s="40" t="s">
        <v>26</v>
      </c>
      <c r="F69" s="40" t="s">
        <v>2050</v>
      </c>
      <c r="G69" s="41" t="s">
        <v>18</v>
      </c>
      <c r="H69" s="40" t="s">
        <v>19</v>
      </c>
      <c r="I69" s="40" t="s">
        <v>1010</v>
      </c>
      <c r="J69" s="40" t="s">
        <v>195</v>
      </c>
      <c r="K69" s="40" t="s">
        <v>241</v>
      </c>
      <c r="L69" s="40" t="s">
        <v>31</v>
      </c>
      <c r="M69" s="40">
        <v>5.958558</v>
      </c>
      <c r="N69" s="40">
        <v>10.151246</v>
      </c>
      <c r="O69" s="40" t="s">
        <v>613</v>
      </c>
    </row>
    <row r="70" spans="1:15" x14ac:dyDescent="0.2">
      <c r="A70" s="24">
        <f t="shared" si="1"/>
        <v>68</v>
      </c>
      <c r="B70" s="40" t="s">
        <v>2060</v>
      </c>
      <c r="C70" s="40" t="s">
        <v>2061</v>
      </c>
      <c r="D70" s="40" t="s">
        <v>2060</v>
      </c>
      <c r="E70" s="40" t="s">
        <v>26</v>
      </c>
      <c r="F70" s="40" t="s">
        <v>2062</v>
      </c>
      <c r="G70" s="41" t="s">
        <v>18</v>
      </c>
      <c r="H70" s="40" t="s">
        <v>28</v>
      </c>
      <c r="I70" s="40" t="s">
        <v>1010</v>
      </c>
      <c r="J70" s="40" t="s">
        <v>195</v>
      </c>
      <c r="K70" s="40" t="s">
        <v>241</v>
      </c>
      <c r="L70" s="40" t="s">
        <v>31</v>
      </c>
      <c r="M70" s="40">
        <v>5.9743599999999999</v>
      </c>
      <c r="N70" s="40">
        <v>10.1563</v>
      </c>
      <c r="O70" s="40" t="s">
        <v>23</v>
      </c>
    </row>
    <row r="71" spans="1:15" x14ac:dyDescent="0.2">
      <c r="A71" s="24">
        <f t="shared" si="1"/>
        <v>69</v>
      </c>
      <c r="B71" s="40" t="s">
        <v>2117</v>
      </c>
      <c r="C71" s="40" t="s">
        <v>2118</v>
      </c>
      <c r="D71" s="40" t="s">
        <v>2117</v>
      </c>
      <c r="E71" s="40" t="s">
        <v>26</v>
      </c>
      <c r="F71" s="40" t="s">
        <v>2119</v>
      </c>
      <c r="G71" s="41" t="s">
        <v>18</v>
      </c>
      <c r="H71" s="40" t="s">
        <v>28</v>
      </c>
      <c r="I71" s="40" t="s">
        <v>1010</v>
      </c>
      <c r="J71" s="40" t="s">
        <v>195</v>
      </c>
      <c r="K71" s="40" t="s">
        <v>241</v>
      </c>
      <c r="L71" s="40" t="s">
        <v>31</v>
      </c>
      <c r="M71" s="40">
        <v>5.9619400000000002</v>
      </c>
      <c r="N71" s="40">
        <v>10.151759999999999</v>
      </c>
      <c r="O71" s="40" t="s">
        <v>613</v>
      </c>
    </row>
    <row r="72" spans="1:15" x14ac:dyDescent="0.2">
      <c r="A72" s="24">
        <f t="shared" si="1"/>
        <v>70</v>
      </c>
      <c r="B72" s="40" t="s">
        <v>2144</v>
      </c>
      <c r="C72" s="40" t="s">
        <v>2145</v>
      </c>
      <c r="D72" s="40" t="s">
        <v>2144</v>
      </c>
      <c r="E72" s="40" t="s">
        <v>26</v>
      </c>
      <c r="F72" s="40" t="s">
        <v>2146</v>
      </c>
      <c r="G72" s="41" t="s">
        <v>18</v>
      </c>
      <c r="H72" s="40" t="s">
        <v>28</v>
      </c>
      <c r="I72" s="40" t="s">
        <v>92</v>
      </c>
      <c r="J72" s="40" t="s">
        <v>365</v>
      </c>
      <c r="K72" s="40" t="s">
        <v>2147</v>
      </c>
      <c r="L72" s="40" t="s">
        <v>31</v>
      </c>
      <c r="M72" s="40">
        <v>5.8850800000000003</v>
      </c>
      <c r="N72" s="40">
        <v>9.7542799999999996</v>
      </c>
      <c r="O72" s="40" t="s">
        <v>23</v>
      </c>
    </row>
    <row r="73" spans="1:15" x14ac:dyDescent="0.2">
      <c r="A73" s="24">
        <f t="shared" si="1"/>
        <v>71</v>
      </c>
      <c r="B73" s="40" t="s">
        <v>2164</v>
      </c>
      <c r="C73" s="40" t="s">
        <v>2165</v>
      </c>
      <c r="D73" s="40" t="s">
        <v>2164</v>
      </c>
      <c r="E73" s="40" t="s">
        <v>26</v>
      </c>
      <c r="F73" s="40" t="s">
        <v>2166</v>
      </c>
      <c r="G73" s="41" t="s">
        <v>18</v>
      </c>
      <c r="H73" s="40" t="s">
        <v>19</v>
      </c>
      <c r="I73" s="40" t="s">
        <v>194</v>
      </c>
      <c r="J73" s="40" t="s">
        <v>1054</v>
      </c>
      <c r="K73" s="40" t="s">
        <v>1152</v>
      </c>
      <c r="L73" s="40" t="s">
        <v>31</v>
      </c>
      <c r="M73" s="40">
        <v>5.8983930000000004</v>
      </c>
      <c r="N73" s="40">
        <v>10.372153000000001</v>
      </c>
      <c r="O73" s="40" t="s">
        <v>23</v>
      </c>
    </row>
    <row r="74" spans="1:15" x14ac:dyDescent="0.2">
      <c r="A74" s="24">
        <f t="shared" si="1"/>
        <v>72</v>
      </c>
      <c r="B74" s="40" t="s">
        <v>2230</v>
      </c>
      <c r="C74" s="40" t="s">
        <v>2231</v>
      </c>
      <c r="D74" s="40" t="s">
        <v>2230</v>
      </c>
      <c r="E74" s="40" t="s">
        <v>26</v>
      </c>
      <c r="F74" s="40" t="s">
        <v>2232</v>
      </c>
      <c r="G74" s="41" t="s">
        <v>18</v>
      </c>
      <c r="H74" s="40" t="s">
        <v>19</v>
      </c>
      <c r="I74" s="40" t="s">
        <v>114</v>
      </c>
      <c r="J74" s="40" t="s">
        <v>328</v>
      </c>
      <c r="K74" s="40" t="s">
        <v>116</v>
      </c>
      <c r="L74" s="40" t="s">
        <v>31</v>
      </c>
      <c r="M74" s="40">
        <v>6.3106944440000001</v>
      </c>
      <c r="N74" s="40">
        <v>10.726749999999999</v>
      </c>
      <c r="O74" s="40" t="s">
        <v>23</v>
      </c>
    </row>
    <row r="75" spans="1:15" x14ac:dyDescent="0.2">
      <c r="A75" s="24">
        <f t="shared" si="1"/>
        <v>73</v>
      </c>
      <c r="B75" s="40" t="s">
        <v>2279</v>
      </c>
      <c r="C75" s="40" t="s">
        <v>2280</v>
      </c>
      <c r="D75" s="40" t="s">
        <v>2279</v>
      </c>
      <c r="E75" s="40" t="s">
        <v>26</v>
      </c>
      <c r="F75" s="40" t="s">
        <v>2281</v>
      </c>
      <c r="G75" s="41" t="s">
        <v>18</v>
      </c>
      <c r="H75" s="40" t="s">
        <v>28</v>
      </c>
      <c r="I75" s="40" t="s">
        <v>140</v>
      </c>
      <c r="J75" s="40" t="s">
        <v>328</v>
      </c>
      <c r="K75" s="40" t="s">
        <v>140</v>
      </c>
      <c r="L75" s="40" t="s">
        <v>31</v>
      </c>
      <c r="M75" s="40">
        <v>6.1698240000000002</v>
      </c>
      <c r="N75" s="40">
        <v>10.673164999999999</v>
      </c>
      <c r="O75" s="40" t="s">
        <v>23</v>
      </c>
    </row>
    <row r="76" spans="1:15" x14ac:dyDescent="0.2">
      <c r="A76" s="24">
        <f t="shared" si="1"/>
        <v>74</v>
      </c>
      <c r="B76" s="40" t="s">
        <v>2328</v>
      </c>
      <c r="C76" s="40" t="s">
        <v>2329</v>
      </c>
      <c r="D76" s="40" t="s">
        <v>2328</v>
      </c>
      <c r="E76" s="40" t="s">
        <v>26</v>
      </c>
      <c r="F76" s="40" t="s">
        <v>2330</v>
      </c>
      <c r="G76" s="41" t="s">
        <v>18</v>
      </c>
      <c r="H76" s="40" t="s">
        <v>19</v>
      </c>
      <c r="I76" s="40" t="s">
        <v>1010</v>
      </c>
      <c r="J76" s="40" t="s">
        <v>195</v>
      </c>
      <c r="K76" s="40" t="s">
        <v>241</v>
      </c>
      <c r="L76" s="40" t="s">
        <v>31</v>
      </c>
      <c r="M76" s="40">
        <v>5.9709310000000002</v>
      </c>
      <c r="N76" s="40">
        <v>10.140806</v>
      </c>
      <c r="O76" s="40" t="s">
        <v>23</v>
      </c>
    </row>
    <row r="77" spans="1:15" x14ac:dyDescent="0.2">
      <c r="A77" s="24">
        <f t="shared" si="1"/>
        <v>75</v>
      </c>
      <c r="B77" s="40" t="s">
        <v>2364</v>
      </c>
      <c r="C77" s="40" t="s">
        <v>2365</v>
      </c>
      <c r="D77" s="40" t="s">
        <v>2364</v>
      </c>
      <c r="E77" s="40" t="s">
        <v>26</v>
      </c>
      <c r="F77" s="40" t="s">
        <v>2366</v>
      </c>
      <c r="G77" s="41" t="s">
        <v>18</v>
      </c>
      <c r="H77" s="40" t="s">
        <v>19</v>
      </c>
      <c r="I77" s="40" t="s">
        <v>241</v>
      </c>
      <c r="J77" s="40" t="s">
        <v>195</v>
      </c>
      <c r="K77" s="40" t="s">
        <v>241</v>
      </c>
      <c r="L77" s="40" t="s">
        <v>31</v>
      </c>
      <c r="M77" s="40">
        <v>5.9708550000000002</v>
      </c>
      <c r="N77" s="40">
        <v>10.164631</v>
      </c>
      <c r="O77" s="40" t="s">
        <v>23</v>
      </c>
    </row>
    <row r="78" spans="1:15" x14ac:dyDescent="0.2">
      <c r="A78" s="24">
        <f t="shared" si="1"/>
        <v>76</v>
      </c>
      <c r="B78" s="40" t="s">
        <v>2414</v>
      </c>
      <c r="C78" s="40" t="s">
        <v>2415</v>
      </c>
      <c r="D78" s="40" t="s">
        <v>2414</v>
      </c>
      <c r="E78" s="40" t="s">
        <v>26</v>
      </c>
      <c r="F78" s="40" t="s">
        <v>2416</v>
      </c>
      <c r="G78" s="41" t="s">
        <v>18</v>
      </c>
      <c r="H78" s="40" t="s">
        <v>19</v>
      </c>
      <c r="I78" s="40" t="s">
        <v>1010</v>
      </c>
      <c r="J78" s="40" t="s">
        <v>195</v>
      </c>
      <c r="K78" s="40" t="s">
        <v>1010</v>
      </c>
      <c r="L78" s="40" t="s">
        <v>31</v>
      </c>
      <c r="M78" s="40">
        <v>5.9811589999999999</v>
      </c>
      <c r="N78" s="40">
        <v>10.178846999999999</v>
      </c>
      <c r="O78" s="40" t="s">
        <v>23</v>
      </c>
    </row>
    <row r="79" spans="1:15" x14ac:dyDescent="0.2">
      <c r="A79" s="24">
        <f t="shared" si="1"/>
        <v>77</v>
      </c>
      <c r="B79" s="40" t="s">
        <v>2530</v>
      </c>
      <c r="C79" s="40" t="s">
        <v>2531</v>
      </c>
      <c r="D79" s="40" t="s">
        <v>2530</v>
      </c>
      <c r="E79" s="40" t="s">
        <v>26</v>
      </c>
      <c r="F79" s="40" t="s">
        <v>2532</v>
      </c>
      <c r="G79" s="41" t="s">
        <v>18</v>
      </c>
      <c r="H79" s="40" t="s">
        <v>28</v>
      </c>
      <c r="I79" s="40" t="s">
        <v>241</v>
      </c>
      <c r="J79" s="40" t="s">
        <v>195</v>
      </c>
      <c r="K79" s="40" t="s">
        <v>241</v>
      </c>
      <c r="L79" s="40" t="s">
        <v>31</v>
      </c>
      <c r="M79" s="40">
        <v>5.9593400000000001</v>
      </c>
      <c r="N79" s="40">
        <v>10.14494</v>
      </c>
      <c r="O79" s="40" t="s">
        <v>613</v>
      </c>
    </row>
    <row r="80" spans="1:15" x14ac:dyDescent="0.2">
      <c r="A80" s="24">
        <f t="shared" si="1"/>
        <v>78</v>
      </c>
      <c r="B80" s="40" t="s">
        <v>2616</v>
      </c>
      <c r="C80" s="40" t="s">
        <v>2617</v>
      </c>
      <c r="D80" s="40" t="s">
        <v>2616</v>
      </c>
      <c r="E80" s="40" t="s">
        <v>26</v>
      </c>
      <c r="F80" s="40" t="s">
        <v>2618</v>
      </c>
      <c r="G80" s="41" t="s">
        <v>18</v>
      </c>
      <c r="H80" s="40" t="s">
        <v>28</v>
      </c>
      <c r="I80" s="40" t="s">
        <v>241</v>
      </c>
      <c r="J80" s="40" t="s">
        <v>195</v>
      </c>
      <c r="K80" s="40" t="s">
        <v>241</v>
      </c>
      <c r="L80" s="40" t="s">
        <v>31</v>
      </c>
      <c r="M80" s="40">
        <v>5.9420900000000003</v>
      </c>
      <c r="N80" s="40">
        <v>10.15291</v>
      </c>
      <c r="O80" s="40" t="s">
        <v>23</v>
      </c>
    </row>
    <row r="81" spans="1:15" x14ac:dyDescent="0.2">
      <c r="A81" s="24">
        <f t="shared" si="1"/>
        <v>79</v>
      </c>
      <c r="B81" s="40" t="s">
        <v>2690</v>
      </c>
      <c r="C81" s="40" t="s">
        <v>2691</v>
      </c>
      <c r="D81" s="40" t="s">
        <v>2690</v>
      </c>
      <c r="E81" s="40" t="s">
        <v>26</v>
      </c>
      <c r="F81" s="40" t="s">
        <v>2692</v>
      </c>
      <c r="G81" s="41" t="s">
        <v>18</v>
      </c>
      <c r="H81" s="40" t="s">
        <v>28</v>
      </c>
      <c r="I81" s="40" t="s">
        <v>194</v>
      </c>
      <c r="J81" s="40" t="s">
        <v>1160</v>
      </c>
      <c r="K81" s="40" t="s">
        <v>1454</v>
      </c>
      <c r="L81" s="40" t="s">
        <v>31</v>
      </c>
      <c r="M81" s="40">
        <v>5.99031</v>
      </c>
      <c r="N81" s="40">
        <v>10.376480000000001</v>
      </c>
      <c r="O81" s="40" t="s">
        <v>23</v>
      </c>
    </row>
    <row r="82" spans="1:15" x14ac:dyDescent="0.2">
      <c r="A82" s="24">
        <f t="shared" si="1"/>
        <v>80</v>
      </c>
      <c r="B82" s="40" t="s">
        <v>2716</v>
      </c>
      <c r="C82" s="40" t="s">
        <v>2717</v>
      </c>
      <c r="D82" s="40" t="s">
        <v>2716</v>
      </c>
      <c r="E82" s="40" t="s">
        <v>26</v>
      </c>
      <c r="F82" s="40" t="s">
        <v>2718</v>
      </c>
      <c r="G82" s="41" t="s">
        <v>18</v>
      </c>
      <c r="H82" s="40" t="s">
        <v>19</v>
      </c>
      <c r="I82" s="40" t="s">
        <v>241</v>
      </c>
      <c r="J82" s="40" t="s">
        <v>195</v>
      </c>
      <c r="K82" s="40" t="s">
        <v>2718</v>
      </c>
      <c r="L82" s="40" t="s">
        <v>31</v>
      </c>
      <c r="M82" s="40">
        <v>5.8791859999999998</v>
      </c>
      <c r="N82" s="40">
        <v>10.011922</v>
      </c>
      <c r="O82" s="40" t="s">
        <v>23</v>
      </c>
    </row>
    <row r="83" spans="1:15" x14ac:dyDescent="0.2">
      <c r="A83" s="24">
        <f t="shared" si="1"/>
        <v>81</v>
      </c>
      <c r="B83" s="40" t="s">
        <v>2731</v>
      </c>
      <c r="C83" s="40" t="s">
        <v>2732</v>
      </c>
      <c r="D83" s="40" t="s">
        <v>2731</v>
      </c>
      <c r="E83" s="40" t="s">
        <v>26</v>
      </c>
      <c r="F83" s="40" t="s">
        <v>2733</v>
      </c>
      <c r="G83" s="41" t="s">
        <v>18</v>
      </c>
      <c r="H83" s="40" t="s">
        <v>28</v>
      </c>
      <c r="I83" s="40" t="s">
        <v>140</v>
      </c>
      <c r="J83" s="40" t="s">
        <v>1160</v>
      </c>
      <c r="K83" s="40" t="s">
        <v>1161</v>
      </c>
      <c r="L83" s="40" t="s">
        <v>31</v>
      </c>
      <c r="M83" s="40">
        <v>6.0702559999999997</v>
      </c>
      <c r="N83" s="40">
        <v>10.487463</v>
      </c>
      <c r="O83" s="40" t="s">
        <v>23</v>
      </c>
    </row>
    <row r="84" spans="1:15" x14ac:dyDescent="0.2">
      <c r="A84" s="24">
        <f t="shared" si="1"/>
        <v>82</v>
      </c>
      <c r="B84" s="40" t="s">
        <v>2734</v>
      </c>
      <c r="C84" s="40" t="s">
        <v>2735</v>
      </c>
      <c r="D84" s="40" t="s">
        <v>2734</v>
      </c>
      <c r="E84" s="40" t="s">
        <v>26</v>
      </c>
      <c r="F84" s="40" t="s">
        <v>349</v>
      </c>
      <c r="G84" s="41" t="s">
        <v>18</v>
      </c>
      <c r="H84" s="40" t="s">
        <v>19</v>
      </c>
      <c r="I84" s="40" t="s">
        <v>140</v>
      </c>
      <c r="J84" s="40" t="s">
        <v>328</v>
      </c>
      <c r="K84" s="40" t="s">
        <v>349</v>
      </c>
      <c r="L84" s="40" t="s">
        <v>31</v>
      </c>
      <c r="M84" s="40">
        <v>6.083806</v>
      </c>
      <c r="N84" s="40">
        <v>10.608499999999999</v>
      </c>
      <c r="O84" s="40" t="s">
        <v>23</v>
      </c>
    </row>
    <row r="85" spans="1:15" x14ac:dyDescent="0.2">
      <c r="A85" s="24">
        <f t="shared" si="1"/>
        <v>83</v>
      </c>
      <c r="B85" s="40" t="s">
        <v>2739</v>
      </c>
      <c r="C85" s="40" t="s">
        <v>2740</v>
      </c>
      <c r="D85" s="40" t="s">
        <v>2739</v>
      </c>
      <c r="E85" s="40" t="s">
        <v>26</v>
      </c>
      <c r="F85" s="40" t="s">
        <v>2741</v>
      </c>
      <c r="G85" s="41" t="s">
        <v>18</v>
      </c>
      <c r="H85" s="40" t="s">
        <v>28</v>
      </c>
      <c r="I85" s="40" t="s">
        <v>140</v>
      </c>
      <c r="J85" s="40" t="s">
        <v>1160</v>
      </c>
      <c r="K85" s="40" t="s">
        <v>1161</v>
      </c>
      <c r="L85" s="40" t="s">
        <v>31</v>
      </c>
      <c r="M85" s="40">
        <v>6.332833333</v>
      </c>
      <c r="N85" s="40">
        <v>10.58295833</v>
      </c>
      <c r="O85" s="40" t="s">
        <v>23</v>
      </c>
    </row>
    <row r="86" spans="1:15" x14ac:dyDescent="0.2">
      <c r="A86" s="24">
        <f t="shared" si="1"/>
        <v>84</v>
      </c>
      <c r="B86" s="40" t="s">
        <v>2746</v>
      </c>
      <c r="C86" s="40" t="s">
        <v>2747</v>
      </c>
      <c r="D86" s="40" t="s">
        <v>2746</v>
      </c>
      <c r="E86" s="40" t="s">
        <v>26</v>
      </c>
      <c r="F86" s="40" t="s">
        <v>349</v>
      </c>
      <c r="G86" s="41" t="s">
        <v>18</v>
      </c>
      <c r="H86" s="40" t="s">
        <v>19</v>
      </c>
      <c r="I86" s="40" t="s">
        <v>140</v>
      </c>
      <c r="J86" s="40" t="s">
        <v>328</v>
      </c>
      <c r="K86" s="40" t="s">
        <v>349</v>
      </c>
      <c r="L86" s="40" t="s">
        <v>31</v>
      </c>
      <c r="M86" s="40">
        <v>6.0825800000000001</v>
      </c>
      <c r="N86" s="40">
        <v>10.60824</v>
      </c>
      <c r="O86" s="40" t="s">
        <v>23</v>
      </c>
    </row>
    <row r="87" spans="1:15" x14ac:dyDescent="0.2">
      <c r="A87" s="24">
        <f t="shared" si="1"/>
        <v>85</v>
      </c>
      <c r="B87" s="40" t="s">
        <v>2776</v>
      </c>
      <c r="C87" s="40" t="s">
        <v>2777</v>
      </c>
      <c r="D87" s="40" t="s">
        <v>2776</v>
      </c>
      <c r="E87" s="40" t="s">
        <v>26</v>
      </c>
      <c r="F87" s="40" t="s">
        <v>2778</v>
      </c>
      <c r="G87" s="41" t="s">
        <v>18</v>
      </c>
      <c r="H87" s="40" t="s">
        <v>19</v>
      </c>
      <c r="I87" s="40" t="s">
        <v>114</v>
      </c>
      <c r="J87" s="40" t="s">
        <v>328</v>
      </c>
      <c r="K87" s="40" t="s">
        <v>116</v>
      </c>
      <c r="L87" s="40" t="s">
        <v>31</v>
      </c>
      <c r="M87" s="40">
        <v>6.3106299999999997</v>
      </c>
      <c r="N87" s="40">
        <v>10.727040000000001</v>
      </c>
      <c r="O87" s="40" t="s">
        <v>23</v>
      </c>
    </row>
    <row r="88" spans="1:15" x14ac:dyDescent="0.2">
      <c r="A88" s="24">
        <f t="shared" si="1"/>
        <v>86</v>
      </c>
      <c r="B88" s="40" t="s">
        <v>2783</v>
      </c>
      <c r="C88" s="40" t="s">
        <v>2784</v>
      </c>
      <c r="D88" s="40" t="s">
        <v>2783</v>
      </c>
      <c r="E88" s="40" t="s">
        <v>26</v>
      </c>
      <c r="F88" s="40" t="s">
        <v>547</v>
      </c>
      <c r="G88" s="41" t="s">
        <v>18</v>
      </c>
      <c r="H88" s="40" t="s">
        <v>19</v>
      </c>
      <c r="I88" s="40" t="s">
        <v>241</v>
      </c>
      <c r="J88" s="40" t="s">
        <v>365</v>
      </c>
      <c r="K88" s="40" t="s">
        <v>547</v>
      </c>
      <c r="L88" s="40" t="s">
        <v>31</v>
      </c>
      <c r="M88" s="40">
        <v>6.0065030000000004</v>
      </c>
      <c r="N88" s="40">
        <v>10.001763</v>
      </c>
      <c r="O88" s="40" t="s">
        <v>23</v>
      </c>
    </row>
    <row r="89" spans="1:15" x14ac:dyDescent="0.2">
      <c r="A89" s="24">
        <f t="shared" si="1"/>
        <v>87</v>
      </c>
      <c r="B89" s="40" t="s">
        <v>2785</v>
      </c>
      <c r="C89" s="40" t="s">
        <v>2786</v>
      </c>
      <c r="D89" s="40" t="s">
        <v>2785</v>
      </c>
      <c r="E89" s="40" t="s">
        <v>26</v>
      </c>
      <c r="F89" s="40" t="s">
        <v>2787</v>
      </c>
      <c r="G89" s="41" t="s">
        <v>18</v>
      </c>
      <c r="H89" s="40" t="s">
        <v>28</v>
      </c>
      <c r="I89" s="40" t="s">
        <v>140</v>
      </c>
      <c r="J89" s="40" t="s">
        <v>328</v>
      </c>
      <c r="K89" s="40" t="s">
        <v>349</v>
      </c>
      <c r="L89" s="40" t="s">
        <v>31</v>
      </c>
      <c r="M89" s="40">
        <v>6.0773165999999996</v>
      </c>
      <c r="N89" s="40">
        <v>10.640361</v>
      </c>
      <c r="O89" s="40" t="s">
        <v>23</v>
      </c>
    </row>
    <row r="90" spans="1:15" x14ac:dyDescent="0.2">
      <c r="A90" s="24">
        <f t="shared" si="1"/>
        <v>88</v>
      </c>
      <c r="B90" s="40" t="s">
        <v>2794</v>
      </c>
      <c r="C90" s="40" t="s">
        <v>2795</v>
      </c>
      <c r="D90" s="40" t="s">
        <v>2794</v>
      </c>
      <c r="E90" s="40" t="s">
        <v>26</v>
      </c>
      <c r="F90" s="40" t="s">
        <v>29</v>
      </c>
      <c r="G90" s="41" t="s">
        <v>18</v>
      </c>
      <c r="H90" s="40" t="s">
        <v>19</v>
      </c>
      <c r="I90" s="40" t="s">
        <v>29</v>
      </c>
      <c r="J90" s="40" t="s">
        <v>195</v>
      </c>
      <c r="K90" s="40" t="s">
        <v>29</v>
      </c>
      <c r="L90" s="40" t="s">
        <v>31</v>
      </c>
      <c r="M90" s="40">
        <v>6.0735999999999999</v>
      </c>
      <c r="N90" s="40">
        <v>10.142670000000001</v>
      </c>
      <c r="O90" s="40" t="s">
        <v>23</v>
      </c>
    </row>
    <row r="91" spans="1:15" x14ac:dyDescent="0.2">
      <c r="A91" s="24">
        <f t="shared" si="1"/>
        <v>89</v>
      </c>
      <c r="B91" s="40" t="s">
        <v>2830</v>
      </c>
      <c r="C91" s="40" t="s">
        <v>2831</v>
      </c>
      <c r="D91" s="40" t="s">
        <v>2830</v>
      </c>
      <c r="E91" s="40" t="s">
        <v>26</v>
      </c>
      <c r="F91" s="40" t="s">
        <v>2832</v>
      </c>
      <c r="G91" s="41" t="s">
        <v>18</v>
      </c>
      <c r="H91" s="40" t="s">
        <v>28</v>
      </c>
      <c r="I91" s="40" t="s">
        <v>241</v>
      </c>
      <c r="J91" s="40" t="s">
        <v>195</v>
      </c>
      <c r="K91" s="40" t="s">
        <v>241</v>
      </c>
      <c r="L91" s="40" t="s">
        <v>31</v>
      </c>
      <c r="M91" s="40">
        <v>5.9586490000000003</v>
      </c>
      <c r="N91" s="40">
        <v>10.129381</v>
      </c>
      <c r="O91" s="40" t="s">
        <v>23</v>
      </c>
    </row>
    <row r="92" spans="1:15" x14ac:dyDescent="0.2">
      <c r="A92" s="24">
        <f t="shared" si="1"/>
        <v>90</v>
      </c>
      <c r="B92" s="40" t="s">
        <v>2833</v>
      </c>
      <c r="C92" s="40" t="s">
        <v>2834</v>
      </c>
      <c r="D92" s="40" t="s">
        <v>2833</v>
      </c>
      <c r="E92" s="40" t="s">
        <v>26</v>
      </c>
      <c r="F92" s="40" t="s">
        <v>2835</v>
      </c>
      <c r="G92" s="41" t="s">
        <v>18</v>
      </c>
      <c r="H92" s="40" t="s">
        <v>28</v>
      </c>
      <c r="I92" s="40" t="s">
        <v>194</v>
      </c>
      <c r="J92" s="40" t="s">
        <v>195</v>
      </c>
      <c r="K92" s="40" t="s">
        <v>194</v>
      </c>
      <c r="L92" s="40" t="s">
        <v>31</v>
      </c>
      <c r="M92" s="40">
        <v>5.9335040000000001</v>
      </c>
      <c r="N92" s="40">
        <v>10.183420999999999</v>
      </c>
      <c r="O92" s="40" t="s">
        <v>23</v>
      </c>
    </row>
    <row r="93" spans="1:15" x14ac:dyDescent="0.2">
      <c r="A93" s="24">
        <f t="shared" si="1"/>
        <v>91</v>
      </c>
      <c r="B93" s="40" t="s">
        <v>2883</v>
      </c>
      <c r="C93" s="40" t="s">
        <v>2884</v>
      </c>
      <c r="D93" s="40" t="s">
        <v>2883</v>
      </c>
      <c r="E93" s="40" t="s">
        <v>26</v>
      </c>
      <c r="F93" s="40" t="s">
        <v>1454</v>
      </c>
      <c r="G93" s="41" t="s">
        <v>18</v>
      </c>
      <c r="H93" s="40" t="s">
        <v>19</v>
      </c>
      <c r="I93" s="40" t="s">
        <v>140</v>
      </c>
      <c r="J93" s="40" t="s">
        <v>1160</v>
      </c>
      <c r="K93" s="40" t="s">
        <v>1454</v>
      </c>
      <c r="L93" s="40" t="s">
        <v>31</v>
      </c>
      <c r="M93" s="40">
        <v>5.9846166670000001</v>
      </c>
      <c r="N93" s="40">
        <v>10.43468333</v>
      </c>
      <c r="O93" s="40" t="s">
        <v>23</v>
      </c>
    </row>
    <row r="94" spans="1:15" x14ac:dyDescent="0.2">
      <c r="A94" s="24">
        <f t="shared" si="1"/>
        <v>92</v>
      </c>
      <c r="B94" s="40" t="s">
        <v>3093</v>
      </c>
      <c r="C94" s="40" t="s">
        <v>3094</v>
      </c>
      <c r="D94" s="40" t="s">
        <v>3093</v>
      </c>
      <c r="E94" s="40" t="s">
        <v>26</v>
      </c>
      <c r="F94" s="40" t="s">
        <v>3095</v>
      </c>
      <c r="G94" s="41" t="s">
        <v>18</v>
      </c>
      <c r="H94" s="40" t="s">
        <v>28</v>
      </c>
      <c r="I94" s="40" t="s">
        <v>241</v>
      </c>
      <c r="J94" s="40" t="s">
        <v>365</v>
      </c>
      <c r="K94" s="40" t="s">
        <v>3095</v>
      </c>
      <c r="L94" s="40" t="s">
        <v>31</v>
      </c>
      <c r="M94" s="40">
        <v>5.8363839999999998</v>
      </c>
      <c r="N94" s="40">
        <v>9.8830439999999999</v>
      </c>
      <c r="O94" s="40" t="s">
        <v>23</v>
      </c>
    </row>
    <row r="95" spans="1:15" x14ac:dyDescent="0.2">
      <c r="A95" s="24">
        <f t="shared" si="1"/>
        <v>93</v>
      </c>
      <c r="B95" s="40" t="s">
        <v>3199</v>
      </c>
      <c r="C95" s="40" t="s">
        <v>3200</v>
      </c>
      <c r="D95" s="40" t="s">
        <v>3199</v>
      </c>
      <c r="E95" s="40" t="s">
        <v>26</v>
      </c>
      <c r="F95" s="40" t="s">
        <v>3201</v>
      </c>
      <c r="G95" s="41" t="s">
        <v>18</v>
      </c>
      <c r="H95" s="40" t="s">
        <v>28</v>
      </c>
      <c r="I95" s="40" t="s">
        <v>194</v>
      </c>
      <c r="J95" s="40" t="s">
        <v>195</v>
      </c>
      <c r="K95" s="40" t="s">
        <v>3202</v>
      </c>
      <c r="L95" s="40" t="s">
        <v>31</v>
      </c>
      <c r="M95" s="40">
        <v>6.0077199999999999</v>
      </c>
      <c r="N95" s="40">
        <v>10.253880000000001</v>
      </c>
      <c r="O95" s="40" t="s">
        <v>23</v>
      </c>
    </row>
    <row r="96" spans="1:15" x14ac:dyDescent="0.2">
      <c r="A96" s="24">
        <f t="shared" si="1"/>
        <v>94</v>
      </c>
      <c r="B96" s="40" t="s">
        <v>3233</v>
      </c>
      <c r="C96" s="40" t="s">
        <v>3234</v>
      </c>
      <c r="D96" s="40" t="s">
        <v>3233</v>
      </c>
      <c r="E96" s="40" t="s">
        <v>26</v>
      </c>
      <c r="F96" s="40" t="s">
        <v>3235</v>
      </c>
      <c r="G96" s="41" t="s">
        <v>18</v>
      </c>
      <c r="H96" s="40" t="s">
        <v>28</v>
      </c>
      <c r="I96" s="40" t="s">
        <v>241</v>
      </c>
      <c r="J96" s="40" t="s">
        <v>195</v>
      </c>
      <c r="K96" s="40" t="s">
        <v>2718</v>
      </c>
      <c r="L96" s="40" t="s">
        <v>31</v>
      </c>
      <c r="M96" s="40">
        <v>5.8916944439999996</v>
      </c>
      <c r="N96" s="40">
        <v>10.02088889</v>
      </c>
      <c r="O96" s="40" t="s">
        <v>23</v>
      </c>
    </row>
    <row r="97" spans="1:15" x14ac:dyDescent="0.2">
      <c r="A97" s="24">
        <f t="shared" si="1"/>
        <v>95</v>
      </c>
      <c r="B97" s="40" t="s">
        <v>3299</v>
      </c>
      <c r="C97" s="40" t="s">
        <v>3300</v>
      </c>
      <c r="D97" s="40" t="s">
        <v>3299</v>
      </c>
      <c r="E97" s="40" t="s">
        <v>26</v>
      </c>
      <c r="F97" s="40" t="s">
        <v>3301</v>
      </c>
      <c r="G97" s="41" t="s">
        <v>18</v>
      </c>
      <c r="H97" s="40" t="s">
        <v>28</v>
      </c>
      <c r="I97" s="40" t="s">
        <v>1010</v>
      </c>
      <c r="J97" s="40" t="s">
        <v>195</v>
      </c>
      <c r="K97" s="40" t="s">
        <v>241</v>
      </c>
      <c r="L97" s="40" t="s">
        <v>31</v>
      </c>
      <c r="M97" s="40">
        <v>5.9587719999999997</v>
      </c>
      <c r="N97" s="40">
        <v>10.168169000000001</v>
      </c>
      <c r="O97" s="40" t="s">
        <v>23</v>
      </c>
    </row>
    <row r="98" spans="1:15" x14ac:dyDescent="0.2">
      <c r="A98" s="24">
        <f t="shared" si="1"/>
        <v>96</v>
      </c>
      <c r="B98" s="40" t="s">
        <v>3302</v>
      </c>
      <c r="C98" s="40" t="s">
        <v>3303</v>
      </c>
      <c r="D98" s="40" t="s">
        <v>3302</v>
      </c>
      <c r="E98" s="40" t="s">
        <v>26</v>
      </c>
      <c r="F98" s="40" t="s">
        <v>3304</v>
      </c>
      <c r="G98" s="41" t="s">
        <v>18</v>
      </c>
      <c r="H98" s="40" t="s">
        <v>28</v>
      </c>
      <c r="I98" s="40" t="s">
        <v>241</v>
      </c>
      <c r="J98" s="40" t="s">
        <v>195</v>
      </c>
      <c r="K98" s="40" t="s">
        <v>241</v>
      </c>
      <c r="L98" s="40" t="s">
        <v>31</v>
      </c>
      <c r="M98" s="40">
        <v>5.9534719999999997</v>
      </c>
      <c r="N98" s="40">
        <v>10.146556</v>
      </c>
      <c r="O98" s="40" t="s">
        <v>613</v>
      </c>
    </row>
    <row r="99" spans="1:15" x14ac:dyDescent="0.2">
      <c r="A99" s="24">
        <f t="shared" si="1"/>
        <v>97</v>
      </c>
      <c r="B99" s="40" t="s">
        <v>3430</v>
      </c>
      <c r="C99" s="40" t="s">
        <v>3431</v>
      </c>
      <c r="D99" s="40" t="s">
        <v>3430</v>
      </c>
      <c r="E99" s="40" t="s">
        <v>26</v>
      </c>
      <c r="F99" s="40" t="s">
        <v>3432</v>
      </c>
      <c r="G99" s="41" t="s">
        <v>18</v>
      </c>
      <c r="H99" s="40" t="s">
        <v>28</v>
      </c>
      <c r="I99" s="40" t="s">
        <v>1010</v>
      </c>
      <c r="J99" s="40" t="s">
        <v>195</v>
      </c>
      <c r="K99" s="40" t="s">
        <v>241</v>
      </c>
      <c r="L99" s="40" t="s">
        <v>31</v>
      </c>
      <c r="M99" s="40">
        <v>5.9719709999999999</v>
      </c>
      <c r="N99" s="40">
        <v>10.141662999999999</v>
      </c>
      <c r="O99" s="40" t="s">
        <v>23</v>
      </c>
    </row>
    <row r="100" spans="1:15" x14ac:dyDescent="0.2">
      <c r="A100" s="24">
        <f t="shared" si="1"/>
        <v>98</v>
      </c>
      <c r="B100" s="40" t="s">
        <v>3453</v>
      </c>
      <c r="C100" s="40" t="s">
        <v>3454</v>
      </c>
      <c r="D100" s="40" t="s">
        <v>3453</v>
      </c>
      <c r="E100" s="40" t="s">
        <v>26</v>
      </c>
      <c r="F100" s="40" t="s">
        <v>3455</v>
      </c>
      <c r="G100" s="41" t="s">
        <v>18</v>
      </c>
      <c r="H100" s="40" t="s">
        <v>28</v>
      </c>
      <c r="I100" s="40" t="s">
        <v>194</v>
      </c>
      <c r="J100" s="40" t="s">
        <v>195</v>
      </c>
      <c r="K100" s="40" t="s">
        <v>241</v>
      </c>
      <c r="L100" s="40" t="s">
        <v>31</v>
      </c>
      <c r="M100" s="40">
        <v>5.9725840000000003</v>
      </c>
      <c r="N100" s="40">
        <v>10.173876</v>
      </c>
      <c r="O100" s="40" t="s">
        <v>613</v>
      </c>
    </row>
    <row r="101" spans="1:15" x14ac:dyDescent="0.2">
      <c r="A101" s="24">
        <f t="shared" si="1"/>
        <v>99</v>
      </c>
      <c r="B101" s="40" t="s">
        <v>3565</v>
      </c>
      <c r="C101" s="40" t="s">
        <v>3566</v>
      </c>
      <c r="D101" s="40" t="s">
        <v>3565</v>
      </c>
      <c r="E101" s="40" t="s">
        <v>26</v>
      </c>
      <c r="F101" s="40" t="s">
        <v>3567</v>
      </c>
      <c r="G101" s="41" t="s">
        <v>18</v>
      </c>
      <c r="H101" s="40" t="s">
        <v>28</v>
      </c>
      <c r="I101" s="40" t="s">
        <v>1010</v>
      </c>
      <c r="J101" s="40" t="s">
        <v>195</v>
      </c>
      <c r="K101" s="40" t="s">
        <v>194</v>
      </c>
      <c r="L101" s="40" t="s">
        <v>31</v>
      </c>
      <c r="M101" s="40">
        <v>5.9441670000000002</v>
      </c>
      <c r="N101" s="40">
        <v>10.170555999999999</v>
      </c>
      <c r="O101" s="40" t="s">
        <v>23</v>
      </c>
    </row>
    <row r="102" spans="1:15" x14ac:dyDescent="0.2">
      <c r="A102" s="24">
        <f t="shared" si="1"/>
        <v>100</v>
      </c>
      <c r="B102" s="40" t="s">
        <v>3796</v>
      </c>
      <c r="C102" s="40" t="s">
        <v>3797</v>
      </c>
      <c r="D102" s="40" t="s">
        <v>3796</v>
      </c>
      <c r="E102" s="40" t="s">
        <v>26</v>
      </c>
      <c r="F102" s="40" t="s">
        <v>3798</v>
      </c>
      <c r="G102" s="41" t="s">
        <v>18</v>
      </c>
      <c r="H102" s="40" t="s">
        <v>28</v>
      </c>
      <c r="I102" s="40" t="s">
        <v>29</v>
      </c>
      <c r="J102" s="40" t="s">
        <v>195</v>
      </c>
      <c r="K102" s="40" t="s">
        <v>241</v>
      </c>
      <c r="L102" s="40" t="s">
        <v>31</v>
      </c>
      <c r="M102" s="40">
        <v>6.0110599999999996</v>
      </c>
      <c r="N102" s="40">
        <v>10.11225</v>
      </c>
      <c r="O102" s="40" t="s">
        <v>23</v>
      </c>
    </row>
    <row r="103" spans="1:15" x14ac:dyDescent="0.2">
      <c r="A103" s="24">
        <f t="shared" si="1"/>
        <v>101</v>
      </c>
      <c r="B103" s="40" t="s">
        <v>3923</v>
      </c>
      <c r="C103" s="40" t="s">
        <v>3924</v>
      </c>
      <c r="D103" s="40" t="s">
        <v>3923</v>
      </c>
      <c r="E103" s="40" t="s">
        <v>26</v>
      </c>
      <c r="F103" s="40" t="s">
        <v>3925</v>
      </c>
      <c r="G103" s="41" t="s">
        <v>18</v>
      </c>
      <c r="H103" s="40" t="s">
        <v>28</v>
      </c>
      <c r="I103" s="40" t="s">
        <v>140</v>
      </c>
      <c r="J103" s="40" t="s">
        <v>1160</v>
      </c>
      <c r="K103" s="40" t="s">
        <v>1454</v>
      </c>
      <c r="L103" s="40" t="s">
        <v>31</v>
      </c>
      <c r="M103" s="40">
        <v>6.0013800000000002</v>
      </c>
      <c r="N103" s="40">
        <v>10.44359</v>
      </c>
      <c r="O103" s="40" t="s">
        <v>23</v>
      </c>
    </row>
    <row r="104" spans="1:15" x14ac:dyDescent="0.2">
      <c r="A104" s="24">
        <f t="shared" si="1"/>
        <v>102</v>
      </c>
      <c r="B104" s="40" t="s">
        <v>4032</v>
      </c>
      <c r="C104" s="40" t="s">
        <v>4033</v>
      </c>
      <c r="D104" s="40" t="s">
        <v>4032</v>
      </c>
      <c r="E104" s="40" t="s">
        <v>26</v>
      </c>
      <c r="F104" s="40" t="s">
        <v>140</v>
      </c>
      <c r="G104" s="41" t="s">
        <v>18</v>
      </c>
      <c r="H104" s="40" t="s">
        <v>19</v>
      </c>
      <c r="I104" s="40" t="s">
        <v>140</v>
      </c>
      <c r="J104" s="40" t="s">
        <v>328</v>
      </c>
      <c r="K104" s="40" t="s">
        <v>1920</v>
      </c>
      <c r="L104" s="40" t="s">
        <v>31</v>
      </c>
      <c r="M104" s="40">
        <v>6.20106</v>
      </c>
      <c r="N104" s="40">
        <v>10.70356</v>
      </c>
      <c r="O104" s="40" t="s">
        <v>23</v>
      </c>
    </row>
    <row r="105" spans="1:15" x14ac:dyDescent="0.2">
      <c r="A105" s="24">
        <f t="shared" si="1"/>
        <v>103</v>
      </c>
      <c r="B105" s="40" t="s">
        <v>4055</v>
      </c>
      <c r="C105" s="40" t="s">
        <v>4056</v>
      </c>
      <c r="D105" s="40" t="s">
        <v>4055</v>
      </c>
      <c r="E105" s="40" t="s">
        <v>26</v>
      </c>
      <c r="F105" s="40" t="s">
        <v>722</v>
      </c>
      <c r="G105" s="41" t="s">
        <v>18</v>
      </c>
      <c r="H105" s="40" t="s">
        <v>28</v>
      </c>
      <c r="I105" s="40" t="s">
        <v>140</v>
      </c>
      <c r="J105" s="40" t="s">
        <v>328</v>
      </c>
      <c r="K105" s="40" t="s">
        <v>722</v>
      </c>
      <c r="L105" s="40" t="s">
        <v>31</v>
      </c>
      <c r="M105" s="40">
        <v>6.24871</v>
      </c>
      <c r="N105" s="40">
        <v>10.50643</v>
      </c>
      <c r="O105" s="40" t="s">
        <v>23</v>
      </c>
    </row>
    <row r="106" spans="1:15" x14ac:dyDescent="0.2">
      <c r="A106" s="24">
        <f t="shared" si="1"/>
        <v>104</v>
      </c>
      <c r="B106" s="40" t="s">
        <v>4106</v>
      </c>
      <c r="C106" s="40" t="s">
        <v>4107</v>
      </c>
      <c r="D106" s="40" t="s">
        <v>4106</v>
      </c>
      <c r="E106" s="40" t="s">
        <v>26</v>
      </c>
      <c r="F106" s="40" t="s">
        <v>4108</v>
      </c>
      <c r="G106" s="41" t="s">
        <v>18</v>
      </c>
      <c r="H106" s="40" t="s">
        <v>19</v>
      </c>
      <c r="I106" s="40" t="s">
        <v>140</v>
      </c>
      <c r="J106" s="40" t="s">
        <v>328</v>
      </c>
      <c r="K106" s="40" t="s">
        <v>1920</v>
      </c>
      <c r="L106" s="40" t="s">
        <v>31</v>
      </c>
      <c r="M106" s="40">
        <v>6.2024169999999996</v>
      </c>
      <c r="N106" s="40">
        <v>10.703722000000001</v>
      </c>
      <c r="O106" s="40" t="s">
        <v>23</v>
      </c>
    </row>
    <row r="107" spans="1:15" x14ac:dyDescent="0.2">
      <c r="A107" s="24">
        <f t="shared" si="1"/>
        <v>105</v>
      </c>
      <c r="B107" s="40" t="s">
        <v>4240</v>
      </c>
      <c r="C107" s="40" t="s">
        <v>4241</v>
      </c>
      <c r="D107" s="40" t="s">
        <v>4240</v>
      </c>
      <c r="E107" s="40" t="s">
        <v>26</v>
      </c>
      <c r="F107" s="40" t="s">
        <v>4242</v>
      </c>
      <c r="G107" s="41" t="s">
        <v>18</v>
      </c>
      <c r="H107" s="40" t="s">
        <v>28</v>
      </c>
      <c r="I107" s="40" t="s">
        <v>140</v>
      </c>
      <c r="J107" s="40" t="s">
        <v>328</v>
      </c>
      <c r="K107" s="40" t="s">
        <v>722</v>
      </c>
      <c r="L107" s="40" t="s">
        <v>31</v>
      </c>
      <c r="M107" s="40">
        <v>6.2387277780000003</v>
      </c>
      <c r="N107" s="40">
        <v>10.498950000000001</v>
      </c>
      <c r="O107" s="40" t="s">
        <v>23</v>
      </c>
    </row>
    <row r="108" spans="1:15" x14ac:dyDescent="0.2">
      <c r="A108" s="24">
        <f t="shared" si="1"/>
        <v>106</v>
      </c>
      <c r="B108" s="40" t="s">
        <v>4247</v>
      </c>
      <c r="C108" s="40" t="s">
        <v>4248</v>
      </c>
      <c r="D108" s="40" t="s">
        <v>4247</v>
      </c>
      <c r="E108" s="40" t="s">
        <v>26</v>
      </c>
      <c r="F108" s="40" t="s">
        <v>4249</v>
      </c>
      <c r="G108" s="41" t="s">
        <v>18</v>
      </c>
      <c r="H108" s="40" t="s">
        <v>28</v>
      </c>
      <c r="I108" s="40" t="s">
        <v>241</v>
      </c>
      <c r="J108" s="40" t="s">
        <v>195</v>
      </c>
      <c r="K108" s="40" t="s">
        <v>1182</v>
      </c>
      <c r="L108" s="40" t="s">
        <v>31</v>
      </c>
      <c r="M108" s="40">
        <v>5.7762250000000002</v>
      </c>
      <c r="N108" s="40">
        <v>10.068580000000001</v>
      </c>
      <c r="O108" s="40" t="s">
        <v>23</v>
      </c>
    </row>
    <row r="109" spans="1:15" x14ac:dyDescent="0.2">
      <c r="A109" s="24">
        <f t="shared" si="1"/>
        <v>107</v>
      </c>
      <c r="B109" s="40" t="s">
        <v>4255</v>
      </c>
      <c r="C109" s="40" t="s">
        <v>4256</v>
      </c>
      <c r="D109" s="40" t="s">
        <v>4255</v>
      </c>
      <c r="E109" s="40" t="s">
        <v>26</v>
      </c>
      <c r="F109" s="40" t="s">
        <v>4257</v>
      </c>
      <c r="G109" s="41" t="s">
        <v>18</v>
      </c>
      <c r="H109" s="40" t="s">
        <v>19</v>
      </c>
      <c r="I109" s="40" t="s">
        <v>1010</v>
      </c>
      <c r="J109" s="40" t="s">
        <v>195</v>
      </c>
      <c r="K109" s="40" t="s">
        <v>241</v>
      </c>
      <c r="L109" s="40" t="s">
        <v>31</v>
      </c>
      <c r="M109" s="40">
        <v>5.9838300000000002</v>
      </c>
      <c r="N109" s="40">
        <v>10.129958</v>
      </c>
      <c r="O109" s="40" t="s">
        <v>23</v>
      </c>
    </row>
    <row r="110" spans="1:15" x14ac:dyDescent="0.2">
      <c r="A110" s="24">
        <f t="shared" si="1"/>
        <v>108</v>
      </c>
      <c r="B110" s="40" t="s">
        <v>4270</v>
      </c>
      <c r="C110" s="40" t="s">
        <v>4271</v>
      </c>
      <c r="D110" s="40" t="s">
        <v>4270</v>
      </c>
      <c r="E110" s="40" t="s">
        <v>26</v>
      </c>
      <c r="F110" s="40" t="s">
        <v>4272</v>
      </c>
      <c r="G110" s="41" t="s">
        <v>18</v>
      </c>
      <c r="H110" s="40" t="s">
        <v>28</v>
      </c>
      <c r="I110" s="40" t="s">
        <v>194</v>
      </c>
      <c r="J110" s="40" t="s">
        <v>1054</v>
      </c>
      <c r="K110" s="40" t="s">
        <v>1152</v>
      </c>
      <c r="L110" s="40" t="s">
        <v>31</v>
      </c>
      <c r="M110" s="40">
        <v>5.877891</v>
      </c>
      <c r="N110" s="40">
        <v>10.389462</v>
      </c>
      <c r="O110" s="40" t="s">
        <v>23</v>
      </c>
    </row>
    <row r="111" spans="1:15" x14ac:dyDescent="0.2">
      <c r="A111" s="24">
        <f t="shared" si="1"/>
        <v>109</v>
      </c>
      <c r="B111" s="40" t="s">
        <v>4280</v>
      </c>
      <c r="C111" s="40" t="s">
        <v>4281</v>
      </c>
      <c r="D111" s="40" t="s">
        <v>4280</v>
      </c>
      <c r="E111" s="40" t="s">
        <v>26</v>
      </c>
      <c r="F111" s="40" t="s">
        <v>1969</v>
      </c>
      <c r="G111" s="41" t="s">
        <v>18</v>
      </c>
      <c r="H111" s="40" t="s">
        <v>28</v>
      </c>
      <c r="I111" s="40" t="s">
        <v>194</v>
      </c>
      <c r="J111" s="40" t="s">
        <v>766</v>
      </c>
      <c r="K111" s="40" t="s">
        <v>4282</v>
      </c>
      <c r="L111" s="40" t="s">
        <v>31</v>
      </c>
      <c r="M111" s="40">
        <v>6.176361</v>
      </c>
      <c r="N111" s="40">
        <v>10.341443999999999</v>
      </c>
      <c r="O111" s="40" t="s">
        <v>23</v>
      </c>
    </row>
    <row r="112" spans="1:15" x14ac:dyDescent="0.2">
      <c r="A112" s="24">
        <f t="shared" si="1"/>
        <v>110</v>
      </c>
      <c r="B112" s="40" t="s">
        <v>4302</v>
      </c>
      <c r="C112" s="40" t="s">
        <v>4303</v>
      </c>
      <c r="D112" s="40" t="s">
        <v>4302</v>
      </c>
      <c r="E112" s="40" t="s">
        <v>26</v>
      </c>
      <c r="F112" s="40" t="s">
        <v>4304</v>
      </c>
      <c r="G112" s="41" t="s">
        <v>18</v>
      </c>
      <c r="H112" s="40" t="s">
        <v>28</v>
      </c>
      <c r="I112" s="40" t="s">
        <v>140</v>
      </c>
      <c r="J112" s="40" t="s">
        <v>328</v>
      </c>
      <c r="K112" s="40" t="s">
        <v>349</v>
      </c>
      <c r="L112" s="40" t="s">
        <v>31</v>
      </c>
      <c r="M112" s="40">
        <v>6.1369899999999999</v>
      </c>
      <c r="N112" s="40">
        <v>10.58663</v>
      </c>
      <c r="O112" s="40" t="s">
        <v>23</v>
      </c>
    </row>
    <row r="113" spans="1:15" x14ac:dyDescent="0.2">
      <c r="A113" s="24">
        <f t="shared" si="1"/>
        <v>111</v>
      </c>
      <c r="B113" s="40" t="s">
        <v>4308</v>
      </c>
      <c r="C113" s="40" t="s">
        <v>4309</v>
      </c>
      <c r="D113" s="40" t="s">
        <v>4308</v>
      </c>
      <c r="E113" s="40" t="s">
        <v>26</v>
      </c>
      <c r="F113" s="40" t="s">
        <v>196</v>
      </c>
      <c r="G113" s="41" t="s">
        <v>18</v>
      </c>
      <c r="H113" s="40" t="s">
        <v>28</v>
      </c>
      <c r="I113" s="40" t="s">
        <v>194</v>
      </c>
      <c r="J113" s="40" t="s">
        <v>195</v>
      </c>
      <c r="K113" s="40" t="s">
        <v>3202</v>
      </c>
      <c r="L113" s="40" t="s">
        <v>31</v>
      </c>
      <c r="M113" s="40">
        <v>6.01844</v>
      </c>
      <c r="N113" s="40">
        <v>10.241580000000001</v>
      </c>
      <c r="O113" s="40" t="s">
        <v>23</v>
      </c>
    </row>
    <row r="114" spans="1:15" x14ac:dyDescent="0.2">
      <c r="A114" s="24">
        <f t="shared" si="1"/>
        <v>112</v>
      </c>
      <c r="B114" s="40" t="s">
        <v>4310</v>
      </c>
      <c r="C114" s="40" t="s">
        <v>4311</v>
      </c>
      <c r="D114" s="40" t="s">
        <v>4310</v>
      </c>
      <c r="E114" s="40" t="s">
        <v>26</v>
      </c>
      <c r="F114" s="40" t="s">
        <v>4312</v>
      </c>
      <c r="G114" s="41" t="s">
        <v>1106</v>
      </c>
      <c r="H114" s="40" t="s">
        <v>28</v>
      </c>
      <c r="I114" s="40" t="s">
        <v>245</v>
      </c>
      <c r="J114" s="40" t="s">
        <v>761</v>
      </c>
      <c r="K114" s="40" t="s">
        <v>4275</v>
      </c>
      <c r="L114" s="40" t="s">
        <v>31</v>
      </c>
      <c r="M114" s="40">
        <v>5.7354200000000004</v>
      </c>
      <c r="N114" s="40">
        <v>10.14756</v>
      </c>
      <c r="O114" s="40" t="s">
        <v>23</v>
      </c>
    </row>
    <row r="115" spans="1:15" x14ac:dyDescent="0.2">
      <c r="A115" s="24">
        <f t="shared" si="1"/>
        <v>113</v>
      </c>
      <c r="B115" s="40" t="s">
        <v>4313</v>
      </c>
      <c r="C115" s="40" t="s">
        <v>4314</v>
      </c>
      <c r="D115" s="40" t="s">
        <v>4313</v>
      </c>
      <c r="E115" s="40" t="s">
        <v>26</v>
      </c>
      <c r="F115" s="40" t="s">
        <v>4315</v>
      </c>
      <c r="G115" s="41" t="s">
        <v>18</v>
      </c>
      <c r="H115" s="40" t="s">
        <v>28</v>
      </c>
      <c r="I115" s="40" t="s">
        <v>140</v>
      </c>
      <c r="J115" s="40" t="s">
        <v>328</v>
      </c>
      <c r="K115" s="40" t="s">
        <v>349</v>
      </c>
      <c r="L115" s="40" t="s">
        <v>31</v>
      </c>
      <c r="M115" s="40">
        <v>6.1365400000000001</v>
      </c>
      <c r="N115" s="40">
        <v>10.64364</v>
      </c>
      <c r="O115" s="40" t="s">
        <v>23</v>
      </c>
    </row>
    <row r="116" spans="1:15" x14ac:dyDescent="0.2">
      <c r="A116" s="24">
        <f t="shared" si="1"/>
        <v>114</v>
      </c>
      <c r="B116" s="40" t="s">
        <v>4348</v>
      </c>
      <c r="C116" s="40" t="s">
        <v>4349</v>
      </c>
      <c r="D116" s="40" t="s">
        <v>4348</v>
      </c>
      <c r="E116" s="40" t="s">
        <v>26</v>
      </c>
      <c r="F116" s="40" t="s">
        <v>4350</v>
      </c>
      <c r="G116" s="41" t="s">
        <v>18</v>
      </c>
      <c r="H116" s="40" t="s">
        <v>28</v>
      </c>
      <c r="I116" s="40" t="s">
        <v>194</v>
      </c>
      <c r="J116" s="40" t="s">
        <v>195</v>
      </c>
      <c r="K116" s="40" t="s">
        <v>1010</v>
      </c>
      <c r="L116" s="40" t="s">
        <v>31</v>
      </c>
      <c r="M116" s="40">
        <v>5.9953599999999998</v>
      </c>
      <c r="N116" s="40">
        <v>10.200519999999999</v>
      </c>
      <c r="O116" s="40" t="s">
        <v>23</v>
      </c>
    </row>
    <row r="117" spans="1:15" x14ac:dyDescent="0.2">
      <c r="A117" s="24">
        <f t="shared" si="1"/>
        <v>115</v>
      </c>
      <c r="B117" s="40" t="s">
        <v>4480</v>
      </c>
      <c r="C117" s="40" t="s">
        <v>4481</v>
      </c>
      <c r="D117" s="40" t="s">
        <v>4480</v>
      </c>
      <c r="E117" s="40" t="s">
        <v>26</v>
      </c>
      <c r="F117" s="40" t="s">
        <v>3095</v>
      </c>
      <c r="G117" s="41" t="s">
        <v>18</v>
      </c>
      <c r="H117" s="40" t="s">
        <v>19</v>
      </c>
      <c r="I117" s="40" t="s">
        <v>241</v>
      </c>
      <c r="J117" s="40" t="s">
        <v>195</v>
      </c>
      <c r="K117" s="40" t="s">
        <v>3095</v>
      </c>
      <c r="L117" s="40" t="s">
        <v>31</v>
      </c>
      <c r="M117" s="40">
        <v>5.8348899999999997</v>
      </c>
      <c r="N117" s="40">
        <v>9.8834199999999992</v>
      </c>
      <c r="O117" s="40" t="s">
        <v>23</v>
      </c>
    </row>
    <row r="118" spans="1:15" x14ac:dyDescent="0.2">
      <c r="A118" s="24">
        <f t="shared" si="1"/>
        <v>116</v>
      </c>
      <c r="B118" s="40" t="s">
        <v>4543</v>
      </c>
      <c r="C118" s="40" t="s">
        <v>4544</v>
      </c>
      <c r="D118" s="40" t="s">
        <v>4543</v>
      </c>
      <c r="E118" s="40" t="s">
        <v>26</v>
      </c>
      <c r="F118" s="40" t="s">
        <v>4545</v>
      </c>
      <c r="G118" s="41" t="s">
        <v>18</v>
      </c>
      <c r="H118" s="40" t="s">
        <v>28</v>
      </c>
      <c r="I118" s="40" t="s">
        <v>194</v>
      </c>
      <c r="J118" s="40" t="s">
        <v>195</v>
      </c>
      <c r="K118" s="40" t="s">
        <v>241</v>
      </c>
      <c r="L118" s="40" t="s">
        <v>31</v>
      </c>
      <c r="M118" s="40">
        <v>5.9683529999999996</v>
      </c>
      <c r="N118" s="40">
        <v>10.181889</v>
      </c>
      <c r="O118" s="40" t="s">
        <v>23</v>
      </c>
    </row>
    <row r="119" spans="1:15" x14ac:dyDescent="0.2">
      <c r="A119" s="24">
        <f t="shared" si="1"/>
        <v>117</v>
      </c>
      <c r="B119" s="40" t="s">
        <v>4617</v>
      </c>
      <c r="C119" s="40" t="s">
        <v>4618</v>
      </c>
      <c r="D119" s="40" t="s">
        <v>4617</v>
      </c>
      <c r="E119" s="40" t="s">
        <v>26</v>
      </c>
      <c r="F119" s="40" t="s">
        <v>4619</v>
      </c>
      <c r="G119" s="41" t="s">
        <v>18</v>
      </c>
      <c r="H119" s="40" t="s">
        <v>19</v>
      </c>
      <c r="I119" s="40" t="s">
        <v>194</v>
      </c>
      <c r="J119" s="40" t="s">
        <v>195</v>
      </c>
      <c r="K119" s="40" t="s">
        <v>2718</v>
      </c>
      <c r="L119" s="40" t="s">
        <v>31</v>
      </c>
      <c r="M119" s="40">
        <v>5.9980900000000004</v>
      </c>
      <c r="N119" s="40">
        <v>10.284319999999999</v>
      </c>
      <c r="O119" s="40" t="s">
        <v>23</v>
      </c>
    </row>
    <row r="120" spans="1:15" x14ac:dyDescent="0.2">
      <c r="A120" s="24">
        <f t="shared" si="1"/>
        <v>118</v>
      </c>
      <c r="B120" s="40" t="s">
        <v>4620</v>
      </c>
      <c r="C120" s="40" t="s">
        <v>4621</v>
      </c>
      <c r="D120" s="40" t="s">
        <v>4620</v>
      </c>
      <c r="E120" s="40" t="s">
        <v>26</v>
      </c>
      <c r="F120" s="40" t="s">
        <v>4622</v>
      </c>
      <c r="G120" s="41" t="s">
        <v>18</v>
      </c>
      <c r="H120" s="40" t="s">
        <v>28</v>
      </c>
      <c r="I120" s="40" t="s">
        <v>194</v>
      </c>
      <c r="J120" s="40" t="s">
        <v>766</v>
      </c>
      <c r="K120" s="40" t="s">
        <v>196</v>
      </c>
      <c r="L120" s="40" t="s">
        <v>31</v>
      </c>
      <c r="M120" s="40">
        <v>6.139024</v>
      </c>
      <c r="N120" s="40">
        <v>10.256549</v>
      </c>
      <c r="O120" s="40" t="s">
        <v>23</v>
      </c>
    </row>
    <row r="121" spans="1:15" x14ac:dyDescent="0.2">
      <c r="A121" s="24">
        <f t="shared" si="1"/>
        <v>119</v>
      </c>
      <c r="B121" s="40" t="s">
        <v>4623</v>
      </c>
      <c r="C121" s="40" t="s">
        <v>4624</v>
      </c>
      <c r="D121" s="40" t="s">
        <v>4623</v>
      </c>
      <c r="E121" s="40" t="s">
        <v>26</v>
      </c>
      <c r="F121" s="40" t="s">
        <v>4625</v>
      </c>
      <c r="G121" s="41" t="s">
        <v>18</v>
      </c>
      <c r="H121" s="40" t="s">
        <v>19</v>
      </c>
      <c r="I121" s="40" t="s">
        <v>194</v>
      </c>
      <c r="J121" s="40" t="s">
        <v>195</v>
      </c>
      <c r="K121" s="40" t="s">
        <v>3202</v>
      </c>
      <c r="L121" s="40" t="s">
        <v>31</v>
      </c>
      <c r="M121" s="40">
        <v>5.9980140000000004</v>
      </c>
      <c r="N121" s="40">
        <v>10.284268000000001</v>
      </c>
      <c r="O121" s="40" t="s">
        <v>23</v>
      </c>
    </row>
    <row r="122" spans="1:15" x14ac:dyDescent="0.2">
      <c r="A122" s="24">
        <f t="shared" si="1"/>
        <v>120</v>
      </c>
      <c r="B122" s="40" t="s">
        <v>4626</v>
      </c>
      <c r="C122" s="40" t="s">
        <v>4627</v>
      </c>
      <c r="D122" s="40" t="s">
        <v>4626</v>
      </c>
      <c r="E122" s="40" t="s">
        <v>26</v>
      </c>
      <c r="F122" s="40" t="s">
        <v>1502</v>
      </c>
      <c r="G122" s="41" t="s">
        <v>18</v>
      </c>
      <c r="H122" s="40" t="s">
        <v>28</v>
      </c>
      <c r="I122" s="40" t="s">
        <v>194</v>
      </c>
      <c r="J122" s="40" t="s">
        <v>195</v>
      </c>
      <c r="K122" s="40" t="s">
        <v>4628</v>
      </c>
      <c r="L122" s="40" t="s">
        <v>31</v>
      </c>
      <c r="M122" s="40">
        <v>5.8503340000000001</v>
      </c>
      <c r="N122" s="40">
        <v>10.244092999999999</v>
      </c>
      <c r="O122" s="40" t="s">
        <v>23</v>
      </c>
    </row>
    <row r="123" spans="1:15" x14ac:dyDescent="0.2">
      <c r="A123" s="24">
        <f t="shared" si="1"/>
        <v>121</v>
      </c>
      <c r="B123" s="40" t="s">
        <v>4629</v>
      </c>
      <c r="C123" s="40" t="s">
        <v>4630</v>
      </c>
      <c r="D123" s="40" t="s">
        <v>4629</v>
      </c>
      <c r="E123" s="40" t="s">
        <v>26</v>
      </c>
      <c r="F123" s="40" t="s">
        <v>4631</v>
      </c>
      <c r="G123" s="41" t="s">
        <v>18</v>
      </c>
      <c r="H123" s="40" t="s">
        <v>19</v>
      </c>
      <c r="I123" s="40" t="s">
        <v>1010</v>
      </c>
      <c r="J123" s="40" t="s">
        <v>195</v>
      </c>
      <c r="K123" s="40" t="s">
        <v>1182</v>
      </c>
      <c r="L123" s="40" t="s">
        <v>31</v>
      </c>
      <c r="M123" s="40">
        <v>5.8020569999999996</v>
      </c>
      <c r="N123" s="40">
        <v>10.159784</v>
      </c>
      <c r="O123" s="40" t="s">
        <v>23</v>
      </c>
    </row>
    <row r="124" spans="1:15" x14ac:dyDescent="0.2">
      <c r="A124" s="24">
        <f t="shared" si="1"/>
        <v>122</v>
      </c>
      <c r="B124" s="40" t="s">
        <v>4632</v>
      </c>
      <c r="C124" s="40" t="s">
        <v>4633</v>
      </c>
      <c r="D124" s="40" t="s">
        <v>4632</v>
      </c>
      <c r="E124" s="40" t="s">
        <v>26</v>
      </c>
      <c r="F124" s="40" t="s">
        <v>2718</v>
      </c>
      <c r="G124" s="41" t="s">
        <v>18</v>
      </c>
      <c r="H124" s="40" t="s">
        <v>19</v>
      </c>
      <c r="I124" s="40" t="s">
        <v>241</v>
      </c>
      <c r="J124" s="40" t="s">
        <v>195</v>
      </c>
      <c r="K124" s="40" t="s">
        <v>2718</v>
      </c>
      <c r="L124" s="40" t="s">
        <v>31</v>
      </c>
      <c r="M124" s="40">
        <v>5.8794149999999998</v>
      </c>
      <c r="N124" s="40">
        <v>10.011998</v>
      </c>
      <c r="O124" s="40" t="s">
        <v>23</v>
      </c>
    </row>
    <row r="125" spans="1:15" x14ac:dyDescent="0.2">
      <c r="A125" s="24">
        <f t="shared" si="1"/>
        <v>123</v>
      </c>
      <c r="B125" s="40" t="s">
        <v>4636</v>
      </c>
      <c r="C125" s="40" t="s">
        <v>4637</v>
      </c>
      <c r="D125" s="40" t="s">
        <v>4636</v>
      </c>
      <c r="E125" s="40" t="s">
        <v>26</v>
      </c>
      <c r="F125" s="40" t="s">
        <v>767</v>
      </c>
      <c r="G125" s="41" t="s">
        <v>18</v>
      </c>
      <c r="H125" s="40" t="s">
        <v>19</v>
      </c>
      <c r="I125" s="40" t="s">
        <v>194</v>
      </c>
      <c r="J125" s="40" t="s">
        <v>766</v>
      </c>
      <c r="K125" s="40" t="s">
        <v>767</v>
      </c>
      <c r="L125" s="40" t="s">
        <v>31</v>
      </c>
      <c r="M125" s="40">
        <v>6.2943499999999997</v>
      </c>
      <c r="N125" s="40">
        <v>10.268331</v>
      </c>
      <c r="O125" s="40" t="s">
        <v>23</v>
      </c>
    </row>
    <row r="126" spans="1:15" x14ac:dyDescent="0.2">
      <c r="A126" s="24">
        <f t="shared" si="1"/>
        <v>124</v>
      </c>
      <c r="B126" s="40" t="s">
        <v>4638</v>
      </c>
      <c r="C126" s="40" t="s">
        <v>4639</v>
      </c>
      <c r="D126" s="40" t="s">
        <v>4638</v>
      </c>
      <c r="E126" s="40" t="s">
        <v>26</v>
      </c>
      <c r="F126" s="40" t="s">
        <v>4640</v>
      </c>
      <c r="G126" s="41" t="s">
        <v>18</v>
      </c>
      <c r="H126" s="40" t="s">
        <v>28</v>
      </c>
      <c r="I126" s="40" t="s">
        <v>194</v>
      </c>
      <c r="J126" s="40" t="s">
        <v>766</v>
      </c>
      <c r="K126" s="40" t="s">
        <v>1969</v>
      </c>
      <c r="L126" s="40" t="s">
        <v>31</v>
      </c>
      <c r="M126" s="40">
        <v>6.1810809999999998</v>
      </c>
      <c r="N126" s="40">
        <v>10.287743000000001</v>
      </c>
      <c r="O126" s="40" t="s">
        <v>23</v>
      </c>
    </row>
    <row r="127" spans="1:15" x14ac:dyDescent="0.2">
      <c r="A127" s="24">
        <f t="shared" si="1"/>
        <v>125</v>
      </c>
      <c r="B127" s="40" t="s">
        <v>4641</v>
      </c>
      <c r="C127" s="40" t="s">
        <v>4642</v>
      </c>
      <c r="D127" s="40" t="s">
        <v>4641</v>
      </c>
      <c r="E127" s="40" t="s">
        <v>26</v>
      </c>
      <c r="F127" s="40" t="s">
        <v>4643</v>
      </c>
      <c r="G127" s="41" t="s">
        <v>18</v>
      </c>
      <c r="H127" s="40" t="s">
        <v>19</v>
      </c>
      <c r="I127" s="40" t="s">
        <v>194</v>
      </c>
      <c r="J127" s="40" t="s">
        <v>766</v>
      </c>
      <c r="K127" s="40" t="s">
        <v>767</v>
      </c>
      <c r="L127" s="40" t="s">
        <v>31</v>
      </c>
      <c r="M127" s="40">
        <v>6.2548000000000004</v>
      </c>
      <c r="N127" s="40">
        <v>10.261240000000001</v>
      </c>
      <c r="O127" s="40" t="s">
        <v>23</v>
      </c>
    </row>
    <row r="128" spans="1:15" x14ac:dyDescent="0.2">
      <c r="A128" s="24">
        <f t="shared" si="1"/>
        <v>126</v>
      </c>
      <c r="B128" s="40" t="s">
        <v>4646</v>
      </c>
      <c r="C128" s="40" t="s">
        <v>4647</v>
      </c>
      <c r="D128" s="40" t="s">
        <v>4646</v>
      </c>
      <c r="E128" s="40" t="s">
        <v>26</v>
      </c>
      <c r="F128" s="40" t="s">
        <v>1454</v>
      </c>
      <c r="G128" s="41" t="s">
        <v>18</v>
      </c>
      <c r="H128" s="40" t="s">
        <v>19</v>
      </c>
      <c r="I128" s="40" t="s">
        <v>140</v>
      </c>
      <c r="J128" s="40" t="s">
        <v>1160</v>
      </c>
      <c r="K128" s="40" t="s">
        <v>1454</v>
      </c>
      <c r="L128" s="40" t="s">
        <v>31</v>
      </c>
      <c r="M128" s="40">
        <v>5.9823399999999998</v>
      </c>
      <c r="N128" s="40">
        <v>10.4354</v>
      </c>
      <c r="O128" s="40" t="s">
        <v>23</v>
      </c>
    </row>
    <row r="129" spans="1:15" x14ac:dyDescent="0.2">
      <c r="A129" s="24">
        <f t="shared" si="1"/>
        <v>127</v>
      </c>
      <c r="B129" s="40" t="s">
        <v>4691</v>
      </c>
      <c r="C129" s="40" t="s">
        <v>4692</v>
      </c>
      <c r="D129" s="40" t="s">
        <v>4691</v>
      </c>
      <c r="E129" s="40" t="s">
        <v>26</v>
      </c>
      <c r="F129" s="40" t="s">
        <v>4693</v>
      </c>
      <c r="G129" s="41" t="s">
        <v>18</v>
      </c>
      <c r="H129" s="40" t="s">
        <v>19</v>
      </c>
      <c r="I129" s="40" t="s">
        <v>114</v>
      </c>
      <c r="J129" s="40" t="s">
        <v>1160</v>
      </c>
      <c r="K129" s="40" t="s">
        <v>537</v>
      </c>
      <c r="L129" s="40" t="s">
        <v>31</v>
      </c>
      <c r="M129" s="40">
        <v>6.4209259999999997</v>
      </c>
      <c r="N129" s="40">
        <v>10.796643</v>
      </c>
      <c r="O129" s="40" t="s">
        <v>23</v>
      </c>
    </row>
    <row r="130" spans="1:15" x14ac:dyDescent="0.2">
      <c r="A130" s="24">
        <f t="shared" si="1"/>
        <v>128</v>
      </c>
      <c r="B130" s="40" t="s">
        <v>4694</v>
      </c>
      <c r="C130" s="40" t="s">
        <v>4695</v>
      </c>
      <c r="D130" s="40" t="s">
        <v>4694</v>
      </c>
      <c r="E130" s="40" t="s">
        <v>26</v>
      </c>
      <c r="F130" s="40" t="s">
        <v>537</v>
      </c>
      <c r="G130" s="41" t="s">
        <v>18</v>
      </c>
      <c r="H130" s="40" t="s">
        <v>19</v>
      </c>
      <c r="I130" s="40" t="s">
        <v>114</v>
      </c>
      <c r="J130" s="40" t="s">
        <v>306</v>
      </c>
      <c r="K130" s="40" t="s">
        <v>537</v>
      </c>
      <c r="L130" s="40" t="s">
        <v>31</v>
      </c>
      <c r="M130" s="40">
        <v>6.420833333</v>
      </c>
      <c r="N130" s="40">
        <v>10.796611110000001</v>
      </c>
      <c r="O130" s="40" t="s">
        <v>23</v>
      </c>
    </row>
    <row r="131" spans="1:15" x14ac:dyDescent="0.2">
      <c r="A131" s="24">
        <f t="shared" si="1"/>
        <v>129</v>
      </c>
      <c r="B131" s="40" t="s">
        <v>4837</v>
      </c>
      <c r="C131" s="40" t="s">
        <v>4838</v>
      </c>
      <c r="D131" s="40" t="s">
        <v>4837</v>
      </c>
      <c r="E131" s="40" t="s">
        <v>26</v>
      </c>
      <c r="F131" s="40" t="s">
        <v>4839</v>
      </c>
      <c r="G131" s="41" t="s">
        <v>18</v>
      </c>
      <c r="H131" s="40" t="s">
        <v>19</v>
      </c>
      <c r="I131" s="40" t="s">
        <v>241</v>
      </c>
      <c r="J131" s="40" t="s">
        <v>195</v>
      </c>
      <c r="K131" s="40" t="s">
        <v>241</v>
      </c>
      <c r="L131" s="40" t="s">
        <v>31</v>
      </c>
      <c r="M131" s="40">
        <v>5.9553890000000003</v>
      </c>
      <c r="N131" s="40">
        <v>10.135904</v>
      </c>
      <c r="O131" s="40" t="s">
        <v>23</v>
      </c>
    </row>
    <row r="132" spans="1:15" x14ac:dyDescent="0.2">
      <c r="A132" s="24">
        <f t="shared" si="1"/>
        <v>130</v>
      </c>
      <c r="B132" s="40" t="s">
        <v>4840</v>
      </c>
      <c r="C132" s="40" t="s">
        <v>4841</v>
      </c>
      <c r="D132" s="40" t="s">
        <v>4840</v>
      </c>
      <c r="E132" s="40" t="s">
        <v>26</v>
      </c>
      <c r="F132" s="40" t="s">
        <v>4842</v>
      </c>
      <c r="G132" s="41" t="s">
        <v>18</v>
      </c>
      <c r="H132" s="40" t="s">
        <v>28</v>
      </c>
      <c r="I132" s="40" t="s">
        <v>241</v>
      </c>
      <c r="J132" s="40" t="s">
        <v>195</v>
      </c>
      <c r="K132" s="40" t="s">
        <v>2718</v>
      </c>
      <c r="L132" s="40" t="s">
        <v>31</v>
      </c>
      <c r="M132" s="40">
        <v>5.9113800000000003</v>
      </c>
      <c r="N132" s="40">
        <v>10.14087</v>
      </c>
      <c r="O132" s="40" t="s">
        <v>23</v>
      </c>
    </row>
    <row r="133" spans="1:15" x14ac:dyDescent="0.2">
      <c r="A133" s="24">
        <f t="shared" ref="A133:A196" si="2">1+A132</f>
        <v>131</v>
      </c>
      <c r="B133" s="40" t="s">
        <v>4861</v>
      </c>
      <c r="C133" s="40" t="s">
        <v>4862</v>
      </c>
      <c r="D133" s="40" t="s">
        <v>4861</v>
      </c>
      <c r="E133" s="40" t="s">
        <v>26</v>
      </c>
      <c r="F133" s="40" t="s">
        <v>4863</v>
      </c>
      <c r="G133" s="41" t="s">
        <v>18</v>
      </c>
      <c r="H133" s="40" t="s">
        <v>28</v>
      </c>
      <c r="I133" s="40" t="s">
        <v>241</v>
      </c>
      <c r="J133" s="40" t="s">
        <v>195</v>
      </c>
      <c r="K133" s="40" t="s">
        <v>241</v>
      </c>
      <c r="L133" s="40" t="s">
        <v>31</v>
      </c>
      <c r="M133" s="40">
        <v>5.9276939999999998</v>
      </c>
      <c r="N133" s="40">
        <v>10.117972</v>
      </c>
      <c r="O133" s="40" t="s">
        <v>23</v>
      </c>
    </row>
    <row r="134" spans="1:15" x14ac:dyDescent="0.2">
      <c r="A134" s="24">
        <f t="shared" si="2"/>
        <v>132</v>
      </c>
      <c r="B134" s="40" t="s">
        <v>4910</v>
      </c>
      <c r="C134" s="40" t="s">
        <v>4911</v>
      </c>
      <c r="D134" s="40" t="s">
        <v>4910</v>
      </c>
      <c r="E134" s="40" t="s">
        <v>26</v>
      </c>
      <c r="F134" s="40" t="s">
        <v>4912</v>
      </c>
      <c r="G134" s="41" t="s">
        <v>18</v>
      </c>
      <c r="H134" s="40" t="s">
        <v>28</v>
      </c>
      <c r="I134" s="40" t="s">
        <v>241</v>
      </c>
      <c r="J134" s="40" t="s">
        <v>195</v>
      </c>
      <c r="K134" s="40" t="s">
        <v>241</v>
      </c>
      <c r="L134" s="40" t="s">
        <v>31</v>
      </c>
      <c r="M134" s="40">
        <v>5.9473330000000004</v>
      </c>
      <c r="N134" s="40">
        <v>10.140389000000001</v>
      </c>
      <c r="O134" s="40" t="s">
        <v>23</v>
      </c>
    </row>
    <row r="135" spans="1:15" x14ac:dyDescent="0.2">
      <c r="A135" s="24">
        <f t="shared" si="2"/>
        <v>133</v>
      </c>
      <c r="B135" s="40" t="s">
        <v>5008</v>
      </c>
      <c r="C135" s="40" t="s">
        <v>5009</v>
      </c>
      <c r="D135" s="40" t="s">
        <v>5008</v>
      </c>
      <c r="E135" s="40" t="s">
        <v>26</v>
      </c>
      <c r="F135" s="40" t="s">
        <v>5010</v>
      </c>
      <c r="G135" s="41" t="s">
        <v>18</v>
      </c>
      <c r="H135" s="40" t="s">
        <v>28</v>
      </c>
      <c r="I135" s="40" t="s">
        <v>194</v>
      </c>
      <c r="J135" s="40" t="s">
        <v>195</v>
      </c>
      <c r="K135" s="40" t="s">
        <v>196</v>
      </c>
      <c r="L135" s="40" t="s">
        <v>31</v>
      </c>
      <c r="M135" s="40">
        <v>6.00488</v>
      </c>
      <c r="N135" s="40">
        <v>10.255388</v>
      </c>
      <c r="O135" s="40" t="s">
        <v>613</v>
      </c>
    </row>
    <row r="136" spans="1:15" x14ac:dyDescent="0.2">
      <c r="A136" s="24">
        <f t="shared" si="2"/>
        <v>134</v>
      </c>
      <c r="B136" s="40" t="s">
        <v>5116</v>
      </c>
      <c r="C136" s="40" t="s">
        <v>5117</v>
      </c>
      <c r="D136" s="40" t="s">
        <v>5116</v>
      </c>
      <c r="E136" s="40" t="s">
        <v>131</v>
      </c>
      <c r="F136" s="40" t="s">
        <v>5118</v>
      </c>
      <c r="G136" s="41" t="s">
        <v>18</v>
      </c>
      <c r="H136" s="40" t="s">
        <v>28</v>
      </c>
      <c r="I136" s="40" t="s">
        <v>783</v>
      </c>
      <c r="J136" s="40" t="s">
        <v>1070</v>
      </c>
      <c r="K136" s="40" t="s">
        <v>1071</v>
      </c>
      <c r="L136" s="40" t="s">
        <v>31</v>
      </c>
      <c r="M136" s="40">
        <v>6.4742499999999996</v>
      </c>
      <c r="N136" s="40">
        <v>10.419917</v>
      </c>
      <c r="O136" s="40" t="s">
        <v>613</v>
      </c>
    </row>
    <row r="137" spans="1:15" x14ac:dyDescent="0.2">
      <c r="A137" s="24">
        <f t="shared" si="2"/>
        <v>135</v>
      </c>
      <c r="B137" s="40" t="s">
        <v>5854</v>
      </c>
      <c r="C137" s="40" t="s">
        <v>5855</v>
      </c>
      <c r="D137" s="40" t="s">
        <v>5854</v>
      </c>
      <c r="E137" s="40" t="s">
        <v>26</v>
      </c>
      <c r="F137" s="40" t="s">
        <v>5856</v>
      </c>
      <c r="G137" s="41" t="s">
        <v>18</v>
      </c>
      <c r="H137" s="40" t="s">
        <v>28</v>
      </c>
      <c r="I137" s="40" t="s">
        <v>241</v>
      </c>
      <c r="J137" s="40" t="s">
        <v>365</v>
      </c>
      <c r="K137" s="40" t="s">
        <v>2147</v>
      </c>
      <c r="L137" s="40" t="s">
        <v>31</v>
      </c>
      <c r="M137" s="40">
        <v>5.8486700000000003</v>
      </c>
      <c r="N137" s="40">
        <v>9.81297</v>
      </c>
      <c r="O137" s="40" t="s">
        <v>23</v>
      </c>
    </row>
    <row r="138" spans="1:15" x14ac:dyDescent="0.2">
      <c r="A138" s="24">
        <f t="shared" si="2"/>
        <v>136</v>
      </c>
      <c r="B138" s="40" t="s">
        <v>5953</v>
      </c>
      <c r="C138" s="40" t="s">
        <v>5954</v>
      </c>
      <c r="D138" s="40" t="s">
        <v>5953</v>
      </c>
      <c r="E138" s="40" t="s">
        <v>26</v>
      </c>
      <c r="F138" s="40" t="s">
        <v>5955</v>
      </c>
      <c r="G138" s="41" t="s">
        <v>18</v>
      </c>
      <c r="H138" s="40" t="s">
        <v>28</v>
      </c>
      <c r="I138" s="40" t="s">
        <v>29</v>
      </c>
      <c r="J138" s="40" t="s">
        <v>812</v>
      </c>
      <c r="K138" s="40" t="s">
        <v>29</v>
      </c>
      <c r="L138" s="40" t="s">
        <v>31</v>
      </c>
      <c r="M138" s="40">
        <v>6.2010079999999999</v>
      </c>
      <c r="N138" s="40">
        <v>10.06452</v>
      </c>
      <c r="O138" s="40" t="s">
        <v>23</v>
      </c>
    </row>
    <row r="139" spans="1:15" x14ac:dyDescent="0.2">
      <c r="A139" s="24">
        <f t="shared" si="2"/>
        <v>137</v>
      </c>
      <c r="B139" s="40" t="s">
        <v>6062</v>
      </c>
      <c r="C139" s="40" t="s">
        <v>6063</v>
      </c>
      <c r="D139" s="40" t="s">
        <v>6062</v>
      </c>
      <c r="E139" s="40" t="s">
        <v>26</v>
      </c>
      <c r="F139" s="40" t="s">
        <v>6064</v>
      </c>
      <c r="G139" s="41" t="s">
        <v>18</v>
      </c>
      <c r="H139" s="40" t="s">
        <v>28</v>
      </c>
      <c r="I139" s="40" t="s">
        <v>29</v>
      </c>
      <c r="J139" s="40" t="s">
        <v>812</v>
      </c>
      <c r="K139" s="40" t="s">
        <v>1002</v>
      </c>
      <c r="L139" s="40" t="s">
        <v>31</v>
      </c>
      <c r="M139" s="40">
        <v>6.3379099999999999</v>
      </c>
      <c r="N139" s="40">
        <v>9.9917700000000007</v>
      </c>
      <c r="O139" s="40" t="s">
        <v>23</v>
      </c>
    </row>
    <row r="140" spans="1:15" x14ac:dyDescent="0.2">
      <c r="A140" s="24">
        <f t="shared" si="2"/>
        <v>138</v>
      </c>
      <c r="B140" s="40" t="s">
        <v>6093</v>
      </c>
      <c r="C140" s="40" t="s">
        <v>6094</v>
      </c>
      <c r="D140" s="40" t="s">
        <v>6093</v>
      </c>
      <c r="E140" s="40" t="s">
        <v>26</v>
      </c>
      <c r="F140" s="40" t="s">
        <v>6095</v>
      </c>
      <c r="G140" s="41" t="s">
        <v>18</v>
      </c>
      <c r="H140" s="40" t="s">
        <v>28</v>
      </c>
      <c r="I140" s="40" t="s">
        <v>29</v>
      </c>
      <c r="J140" s="40" t="s">
        <v>812</v>
      </c>
      <c r="K140" s="40" t="s">
        <v>2011</v>
      </c>
      <c r="L140" s="40" t="s">
        <v>31</v>
      </c>
      <c r="M140" s="40">
        <v>6.2899950000000002</v>
      </c>
      <c r="N140" s="40">
        <v>10.036151</v>
      </c>
      <c r="O140" s="40" t="s">
        <v>23</v>
      </c>
    </row>
    <row r="141" spans="1:15" x14ac:dyDescent="0.2">
      <c r="A141" s="24">
        <f t="shared" si="2"/>
        <v>139</v>
      </c>
      <c r="B141" s="40" t="s">
        <v>6103</v>
      </c>
      <c r="C141" s="40" t="s">
        <v>6104</v>
      </c>
      <c r="D141" s="40" t="s">
        <v>6103</v>
      </c>
      <c r="E141" s="40" t="s">
        <v>26</v>
      </c>
      <c r="F141" s="40" t="s">
        <v>6105</v>
      </c>
      <c r="G141" s="41" t="s">
        <v>18</v>
      </c>
      <c r="H141" s="40" t="s">
        <v>28</v>
      </c>
      <c r="I141" s="40" t="s">
        <v>114</v>
      </c>
      <c r="J141" s="40" t="s">
        <v>306</v>
      </c>
      <c r="K141" s="40" t="s">
        <v>114</v>
      </c>
      <c r="L141" s="40" t="s">
        <v>31</v>
      </c>
      <c r="M141" s="40">
        <v>6.48055</v>
      </c>
      <c r="N141" s="40">
        <v>10.747643</v>
      </c>
      <c r="O141" s="40" t="s">
        <v>23</v>
      </c>
    </row>
    <row r="142" spans="1:15" x14ac:dyDescent="0.2">
      <c r="A142" s="24">
        <f t="shared" si="2"/>
        <v>140</v>
      </c>
      <c r="B142" s="40" t="s">
        <v>6144</v>
      </c>
      <c r="C142" s="40" t="s">
        <v>6145</v>
      </c>
      <c r="D142" s="40" t="s">
        <v>6144</v>
      </c>
      <c r="E142" s="40" t="s">
        <v>26</v>
      </c>
      <c r="F142" s="40" t="s">
        <v>6105</v>
      </c>
      <c r="G142" s="41" t="s">
        <v>18</v>
      </c>
      <c r="H142" s="40" t="s">
        <v>28</v>
      </c>
      <c r="I142" s="40" t="s">
        <v>114</v>
      </c>
      <c r="J142" s="40" t="s">
        <v>306</v>
      </c>
      <c r="K142" s="40" t="s">
        <v>114</v>
      </c>
      <c r="L142" s="40" t="s">
        <v>31</v>
      </c>
      <c r="M142" s="40">
        <v>6.4807920000000001</v>
      </c>
      <c r="N142" s="40">
        <v>10.747964</v>
      </c>
      <c r="O142" s="40" t="s">
        <v>23</v>
      </c>
    </row>
    <row r="143" spans="1:15" x14ac:dyDescent="0.2">
      <c r="A143" s="24">
        <f t="shared" si="2"/>
        <v>141</v>
      </c>
      <c r="B143" s="40" t="s">
        <v>6176</v>
      </c>
      <c r="C143" s="40" t="s">
        <v>6177</v>
      </c>
      <c r="D143" s="40" t="s">
        <v>6176</v>
      </c>
      <c r="E143" s="40" t="s">
        <v>26</v>
      </c>
      <c r="F143" s="40" t="s">
        <v>2147</v>
      </c>
      <c r="G143" s="41" t="s">
        <v>18</v>
      </c>
      <c r="H143" s="40" t="s">
        <v>28</v>
      </c>
      <c r="I143" s="40" t="s">
        <v>92</v>
      </c>
      <c r="J143" s="40" t="s">
        <v>365</v>
      </c>
      <c r="K143" s="40" t="s">
        <v>2147</v>
      </c>
      <c r="L143" s="40" t="s">
        <v>31</v>
      </c>
      <c r="M143" s="40">
        <v>5.8885277780000003</v>
      </c>
      <c r="N143" s="40">
        <v>9.7561666670000005</v>
      </c>
      <c r="O143" s="40" t="s">
        <v>23</v>
      </c>
    </row>
    <row r="144" spans="1:15" x14ac:dyDescent="0.2">
      <c r="A144" s="24">
        <f t="shared" si="2"/>
        <v>142</v>
      </c>
      <c r="B144" s="40" t="s">
        <v>6214</v>
      </c>
      <c r="C144" s="40" t="s">
        <v>6215</v>
      </c>
      <c r="D144" s="40" t="s">
        <v>6214</v>
      </c>
      <c r="E144" s="40" t="s">
        <v>26</v>
      </c>
      <c r="F144" s="40" t="s">
        <v>6216</v>
      </c>
      <c r="G144" s="41" t="s">
        <v>18</v>
      </c>
      <c r="H144" s="40" t="s">
        <v>28</v>
      </c>
      <c r="I144" s="40" t="s">
        <v>114</v>
      </c>
      <c r="J144" s="40" t="s">
        <v>306</v>
      </c>
      <c r="K144" s="40" t="s">
        <v>537</v>
      </c>
      <c r="L144" s="40" t="s">
        <v>31</v>
      </c>
      <c r="M144" s="40">
        <v>6.3617499999999998</v>
      </c>
      <c r="N144" s="40">
        <v>10.863111</v>
      </c>
      <c r="O144" s="40" t="s">
        <v>23</v>
      </c>
    </row>
    <row r="145" spans="1:15" x14ac:dyDescent="0.2">
      <c r="A145" s="24">
        <f t="shared" si="2"/>
        <v>143</v>
      </c>
      <c r="B145" s="40" t="s">
        <v>6217</v>
      </c>
      <c r="C145" s="40" t="s">
        <v>6218</v>
      </c>
      <c r="D145" s="40" t="s">
        <v>6217</v>
      </c>
      <c r="E145" s="40" t="s">
        <v>26</v>
      </c>
      <c r="F145" s="40" t="s">
        <v>329</v>
      </c>
      <c r="G145" s="41" t="s">
        <v>18</v>
      </c>
      <c r="H145" s="40" t="s">
        <v>28</v>
      </c>
      <c r="I145" s="40" t="s">
        <v>114</v>
      </c>
      <c r="J145" s="40" t="s">
        <v>328</v>
      </c>
      <c r="K145" s="40" t="s">
        <v>329</v>
      </c>
      <c r="L145" s="40" t="s">
        <v>31</v>
      </c>
      <c r="M145" s="40">
        <v>6.35</v>
      </c>
      <c r="N145" s="40">
        <v>10.566667000000001</v>
      </c>
      <c r="O145" s="40" t="s">
        <v>23</v>
      </c>
    </row>
    <row r="146" spans="1:15" x14ac:dyDescent="0.2">
      <c r="A146" s="24">
        <f t="shared" si="2"/>
        <v>144</v>
      </c>
      <c r="B146" s="40" t="s">
        <v>6277</v>
      </c>
      <c r="C146" s="40" t="s">
        <v>6278</v>
      </c>
      <c r="D146" s="40" t="s">
        <v>6277</v>
      </c>
      <c r="E146" s="40" t="s">
        <v>26</v>
      </c>
      <c r="F146" s="40" t="s">
        <v>6279</v>
      </c>
      <c r="G146" s="41" t="s">
        <v>18</v>
      </c>
      <c r="H146" s="40" t="s">
        <v>28</v>
      </c>
      <c r="I146" s="40" t="s">
        <v>114</v>
      </c>
      <c r="J146" s="40" t="s">
        <v>306</v>
      </c>
      <c r="K146" s="40" t="s">
        <v>6279</v>
      </c>
      <c r="L146" s="40" t="s">
        <v>31</v>
      </c>
      <c r="M146" s="40">
        <v>6.5666667099999998</v>
      </c>
      <c r="N146" s="40">
        <v>10.55000004</v>
      </c>
      <c r="O146" s="40" t="s">
        <v>23</v>
      </c>
    </row>
    <row r="147" spans="1:15" x14ac:dyDescent="0.2">
      <c r="A147" s="24">
        <f t="shared" si="2"/>
        <v>145</v>
      </c>
      <c r="B147" s="40" t="s">
        <v>6585</v>
      </c>
      <c r="C147" s="40" t="s">
        <v>6586</v>
      </c>
      <c r="D147" s="40" t="s">
        <v>6585</v>
      </c>
      <c r="E147" s="40" t="s">
        <v>26</v>
      </c>
      <c r="F147" s="40" t="s">
        <v>6587</v>
      </c>
      <c r="G147" s="41" t="s">
        <v>18</v>
      </c>
      <c r="H147" s="40" t="s">
        <v>28</v>
      </c>
      <c r="I147" s="40" t="s">
        <v>241</v>
      </c>
      <c r="J147" s="40" t="s">
        <v>365</v>
      </c>
      <c r="K147" s="40" t="s">
        <v>6587</v>
      </c>
      <c r="L147" s="40" t="s">
        <v>31</v>
      </c>
      <c r="M147" s="40">
        <v>5.9758100000000001</v>
      </c>
      <c r="N147" s="40">
        <v>9.8425039999999999</v>
      </c>
      <c r="O147" s="40" t="s">
        <v>23</v>
      </c>
    </row>
    <row r="148" spans="1:15" x14ac:dyDescent="0.2">
      <c r="A148" s="24">
        <f t="shared" si="2"/>
        <v>146</v>
      </c>
      <c r="B148" s="40" t="s">
        <v>6686</v>
      </c>
      <c r="C148" s="40" t="s">
        <v>6687</v>
      </c>
      <c r="D148" s="40" t="s">
        <v>6686</v>
      </c>
      <c r="E148" s="40" t="s">
        <v>26</v>
      </c>
      <c r="F148" s="40" t="s">
        <v>6688</v>
      </c>
      <c r="G148" s="41" t="s">
        <v>18</v>
      </c>
      <c r="H148" s="40" t="s">
        <v>28</v>
      </c>
      <c r="I148" s="40" t="s">
        <v>194</v>
      </c>
      <c r="J148" s="40" t="s">
        <v>195</v>
      </c>
      <c r="K148" s="40" t="s">
        <v>196</v>
      </c>
      <c r="L148" s="40" t="s">
        <v>31</v>
      </c>
      <c r="M148" s="40">
        <v>6.0135899999999998</v>
      </c>
      <c r="N148" s="40">
        <v>10.253880000000001</v>
      </c>
      <c r="O148" s="40" t="s">
        <v>23</v>
      </c>
    </row>
    <row r="149" spans="1:15" x14ac:dyDescent="0.2">
      <c r="A149" s="24">
        <f t="shared" si="2"/>
        <v>147</v>
      </c>
      <c r="B149" s="40" t="s">
        <v>6689</v>
      </c>
      <c r="C149" s="40" t="s">
        <v>6690</v>
      </c>
      <c r="D149" s="40" t="s">
        <v>6689</v>
      </c>
      <c r="E149" s="40" t="s">
        <v>26</v>
      </c>
      <c r="F149" s="40" t="s">
        <v>6691</v>
      </c>
      <c r="G149" s="41" t="s">
        <v>18</v>
      </c>
      <c r="H149" s="40" t="s">
        <v>28</v>
      </c>
      <c r="I149" s="40" t="s">
        <v>1010</v>
      </c>
      <c r="J149" s="40" t="s">
        <v>195</v>
      </c>
      <c r="K149" s="40" t="s">
        <v>241</v>
      </c>
      <c r="L149" s="40" t="s">
        <v>31</v>
      </c>
      <c r="M149" s="40">
        <v>5.9655279999999999</v>
      </c>
      <c r="N149" s="40">
        <v>10.127889</v>
      </c>
      <c r="O149" s="40" t="s">
        <v>23</v>
      </c>
    </row>
    <row r="150" spans="1:15" x14ac:dyDescent="0.2">
      <c r="A150" s="24">
        <f t="shared" si="2"/>
        <v>148</v>
      </c>
      <c r="B150" s="40" t="s">
        <v>6699</v>
      </c>
      <c r="C150" s="40" t="s">
        <v>6700</v>
      </c>
      <c r="D150" s="40" t="s">
        <v>6699</v>
      </c>
      <c r="E150" s="40" t="s">
        <v>26</v>
      </c>
      <c r="F150" s="40" t="s">
        <v>6701</v>
      </c>
      <c r="G150" s="41" t="s">
        <v>18</v>
      </c>
      <c r="H150" s="40" t="s">
        <v>28</v>
      </c>
      <c r="I150" s="40" t="s">
        <v>1010</v>
      </c>
      <c r="J150" s="40" t="s">
        <v>195</v>
      </c>
      <c r="K150" s="40" t="s">
        <v>194</v>
      </c>
      <c r="L150" s="40" t="s">
        <v>31</v>
      </c>
      <c r="M150" s="40">
        <v>5.9516109999999998</v>
      </c>
      <c r="N150" s="40">
        <v>10.174803000000001</v>
      </c>
      <c r="O150" s="40" t="s">
        <v>23</v>
      </c>
    </row>
    <row r="151" spans="1:15" x14ac:dyDescent="0.2">
      <c r="A151" s="24">
        <f t="shared" si="2"/>
        <v>149</v>
      </c>
      <c r="B151" s="40" t="s">
        <v>6708</v>
      </c>
      <c r="C151" s="40" t="s">
        <v>6709</v>
      </c>
      <c r="D151" s="40" t="s">
        <v>6708</v>
      </c>
      <c r="E151" s="40" t="s">
        <v>26</v>
      </c>
      <c r="F151" s="40" t="s">
        <v>6710</v>
      </c>
      <c r="G151" s="41" t="s">
        <v>18</v>
      </c>
      <c r="H151" s="40" t="s">
        <v>28</v>
      </c>
      <c r="I151" s="40" t="s">
        <v>241</v>
      </c>
      <c r="J151" s="40" t="s">
        <v>365</v>
      </c>
      <c r="K151" s="40" t="s">
        <v>6587</v>
      </c>
      <c r="L151" s="40" t="s">
        <v>31</v>
      </c>
      <c r="M151" s="40">
        <v>6.0813670000000002</v>
      </c>
      <c r="N151" s="40">
        <v>9.8916029999999999</v>
      </c>
      <c r="O151" s="40" t="s">
        <v>23</v>
      </c>
    </row>
    <row r="152" spans="1:15" x14ac:dyDescent="0.2">
      <c r="A152" s="24">
        <f t="shared" si="2"/>
        <v>150</v>
      </c>
      <c r="B152" s="40" t="s">
        <v>6714</v>
      </c>
      <c r="C152" s="40" t="s">
        <v>6715</v>
      </c>
      <c r="D152" s="40" t="s">
        <v>6714</v>
      </c>
      <c r="E152" s="40" t="s">
        <v>26</v>
      </c>
      <c r="F152" s="40" t="s">
        <v>6716</v>
      </c>
      <c r="G152" s="41" t="s">
        <v>18</v>
      </c>
      <c r="H152" s="40" t="s">
        <v>28</v>
      </c>
      <c r="I152" s="40" t="s">
        <v>194</v>
      </c>
      <c r="J152" s="40" t="s">
        <v>195</v>
      </c>
      <c r="K152" s="40" t="s">
        <v>1010</v>
      </c>
      <c r="L152" s="40" t="s">
        <v>31</v>
      </c>
      <c r="M152" s="40">
        <v>5.9875400000000001</v>
      </c>
      <c r="N152" s="40">
        <v>10.18276</v>
      </c>
      <c r="O152" s="40" t="s">
        <v>23</v>
      </c>
    </row>
    <row r="153" spans="1:15" x14ac:dyDescent="0.2">
      <c r="A153" s="24">
        <f t="shared" si="2"/>
        <v>151</v>
      </c>
      <c r="B153" s="40" t="s">
        <v>6736</v>
      </c>
      <c r="C153" s="40" t="s">
        <v>6737</v>
      </c>
      <c r="D153" s="40" t="s">
        <v>6736</v>
      </c>
      <c r="E153" s="40" t="s">
        <v>26</v>
      </c>
      <c r="F153" s="40" t="s">
        <v>6738</v>
      </c>
      <c r="G153" s="41" t="s">
        <v>18</v>
      </c>
      <c r="H153" s="40" t="s">
        <v>28</v>
      </c>
      <c r="I153" s="40" t="s">
        <v>241</v>
      </c>
      <c r="J153" s="40" t="s">
        <v>365</v>
      </c>
      <c r="K153" s="40" t="s">
        <v>366</v>
      </c>
      <c r="L153" s="40" t="s">
        <v>31</v>
      </c>
      <c r="M153" s="40">
        <v>6.0952999999999999</v>
      </c>
      <c r="N153" s="40">
        <v>9.8102999999999998</v>
      </c>
      <c r="O153" s="40" t="s">
        <v>23</v>
      </c>
    </row>
    <row r="154" spans="1:15" x14ac:dyDescent="0.2">
      <c r="A154" s="24">
        <f t="shared" si="2"/>
        <v>152</v>
      </c>
      <c r="B154" s="40" t="s">
        <v>6761</v>
      </c>
      <c r="C154" s="40" t="s">
        <v>6762</v>
      </c>
      <c r="D154" s="40" t="s">
        <v>6761</v>
      </c>
      <c r="E154" s="40" t="s">
        <v>26</v>
      </c>
      <c r="F154" s="40" t="s">
        <v>6763</v>
      </c>
      <c r="G154" s="41" t="s">
        <v>18</v>
      </c>
      <c r="H154" s="40" t="s">
        <v>28</v>
      </c>
      <c r="I154" s="40" t="s">
        <v>1010</v>
      </c>
      <c r="J154" s="40" t="s">
        <v>195</v>
      </c>
      <c r="K154" s="40" t="s">
        <v>194</v>
      </c>
      <c r="L154" s="40" t="s">
        <v>31</v>
      </c>
      <c r="M154" s="40">
        <v>5.9276109999999997</v>
      </c>
      <c r="N154" s="40">
        <v>10.155730999999999</v>
      </c>
      <c r="O154" s="40" t="s">
        <v>23</v>
      </c>
    </row>
    <row r="155" spans="1:15" x14ac:dyDescent="0.2">
      <c r="A155" s="24">
        <f t="shared" si="2"/>
        <v>153</v>
      </c>
      <c r="B155" s="40" t="s">
        <v>6819</v>
      </c>
      <c r="C155" s="40" t="s">
        <v>6820</v>
      </c>
      <c r="D155" s="40" t="s">
        <v>6819</v>
      </c>
      <c r="E155" s="40" t="s">
        <v>26</v>
      </c>
      <c r="F155" s="40" t="s">
        <v>6821</v>
      </c>
      <c r="G155" s="41" t="s">
        <v>18</v>
      </c>
      <c r="H155" s="40" t="s">
        <v>28</v>
      </c>
      <c r="I155" s="40" t="s">
        <v>241</v>
      </c>
      <c r="J155" s="40" t="s">
        <v>365</v>
      </c>
      <c r="K155" s="40" t="s">
        <v>6587</v>
      </c>
      <c r="L155" s="40" t="s">
        <v>31</v>
      </c>
      <c r="M155" s="40">
        <v>6.0576472222222204</v>
      </c>
      <c r="N155" s="40">
        <v>9.9035111111111096</v>
      </c>
      <c r="O155" s="40" t="s">
        <v>23</v>
      </c>
    </row>
    <row r="156" spans="1:15" x14ac:dyDescent="0.2">
      <c r="A156" s="24">
        <f t="shared" si="2"/>
        <v>154</v>
      </c>
      <c r="B156" s="40" t="s">
        <v>7022</v>
      </c>
      <c r="C156" s="40" t="s">
        <v>7023</v>
      </c>
      <c r="D156" s="40" t="s">
        <v>7022</v>
      </c>
      <c r="E156" s="40" t="s">
        <v>26</v>
      </c>
      <c r="F156" s="40" t="s">
        <v>7024</v>
      </c>
      <c r="G156" s="41" t="s">
        <v>18</v>
      </c>
      <c r="H156" s="40" t="s">
        <v>28</v>
      </c>
      <c r="I156" s="40" t="s">
        <v>1010</v>
      </c>
      <c r="J156" s="40" t="s">
        <v>195</v>
      </c>
      <c r="K156" s="40" t="s">
        <v>241</v>
      </c>
      <c r="L156" s="40" t="s">
        <v>31</v>
      </c>
      <c r="M156" s="40">
        <v>5.9689769999999998</v>
      </c>
      <c r="N156" s="40">
        <v>10.147043</v>
      </c>
      <c r="O156" s="40" t="s">
        <v>613</v>
      </c>
    </row>
    <row r="157" spans="1:15" x14ac:dyDescent="0.2">
      <c r="A157" s="24">
        <f t="shared" si="2"/>
        <v>155</v>
      </c>
      <c r="B157" s="40" t="s">
        <v>7124</v>
      </c>
      <c r="C157" s="40" t="s">
        <v>7125</v>
      </c>
      <c r="D157" s="40" t="s">
        <v>7124</v>
      </c>
      <c r="E157" s="40" t="s">
        <v>26</v>
      </c>
      <c r="F157" s="40" t="s">
        <v>7126</v>
      </c>
      <c r="G157" s="41" t="s">
        <v>18</v>
      </c>
      <c r="H157" s="40" t="s">
        <v>28</v>
      </c>
      <c r="I157" s="40" t="s">
        <v>194</v>
      </c>
      <c r="J157" s="40" t="s">
        <v>195</v>
      </c>
      <c r="K157" s="40" t="s">
        <v>196</v>
      </c>
      <c r="L157" s="40" t="s">
        <v>31</v>
      </c>
      <c r="M157" s="40">
        <v>6.0106729999999997</v>
      </c>
      <c r="N157" s="40">
        <v>10.241841000000001</v>
      </c>
      <c r="O157" s="40" t="s">
        <v>23</v>
      </c>
    </row>
    <row r="158" spans="1:15" x14ac:dyDescent="0.2">
      <c r="A158" s="24">
        <f t="shared" si="2"/>
        <v>156</v>
      </c>
      <c r="B158" s="40" t="s">
        <v>7130</v>
      </c>
      <c r="C158" s="40" t="s">
        <v>7131</v>
      </c>
      <c r="D158" s="40" t="s">
        <v>7130</v>
      </c>
      <c r="E158" s="40" t="s">
        <v>26</v>
      </c>
      <c r="F158" s="40" t="s">
        <v>7132</v>
      </c>
      <c r="G158" s="41" t="s">
        <v>18</v>
      </c>
      <c r="H158" s="40" t="s">
        <v>28</v>
      </c>
      <c r="I158" s="40" t="s">
        <v>194</v>
      </c>
      <c r="J158" s="40" t="s">
        <v>195</v>
      </c>
      <c r="K158" s="40" t="s">
        <v>1010</v>
      </c>
      <c r="L158" s="40" t="s">
        <v>31</v>
      </c>
      <c r="M158" s="40">
        <v>5.9736729999999998</v>
      </c>
      <c r="N158" s="40">
        <v>10.199527</v>
      </c>
      <c r="O158" s="40" t="s">
        <v>23</v>
      </c>
    </row>
    <row r="159" spans="1:15" x14ac:dyDescent="0.2">
      <c r="A159" s="24">
        <f t="shared" si="2"/>
        <v>157</v>
      </c>
      <c r="B159" s="40" t="s">
        <v>7278</v>
      </c>
      <c r="C159" s="40" t="s">
        <v>7279</v>
      </c>
      <c r="D159" s="40" t="s">
        <v>7278</v>
      </c>
      <c r="E159" s="40" t="s">
        <v>26</v>
      </c>
      <c r="F159" s="40" t="s">
        <v>7280</v>
      </c>
      <c r="G159" s="41" t="s">
        <v>18</v>
      </c>
      <c r="H159" s="40" t="s">
        <v>28</v>
      </c>
      <c r="I159" s="40" t="s">
        <v>241</v>
      </c>
      <c r="J159" s="40" t="s">
        <v>195</v>
      </c>
      <c r="K159" s="40" t="s">
        <v>241</v>
      </c>
      <c r="L159" s="40" t="s">
        <v>31</v>
      </c>
      <c r="M159" s="40">
        <v>5.7739000000000003</v>
      </c>
      <c r="N159" s="40">
        <v>10.105029999999999</v>
      </c>
      <c r="O159" s="40" t="s">
        <v>23</v>
      </c>
    </row>
    <row r="160" spans="1:15" x14ac:dyDescent="0.2">
      <c r="A160" s="24">
        <f t="shared" si="2"/>
        <v>158</v>
      </c>
      <c r="B160" s="40" t="s">
        <v>7313</v>
      </c>
      <c r="C160" s="40" t="s">
        <v>7314</v>
      </c>
      <c r="D160" s="40" t="s">
        <v>7313</v>
      </c>
      <c r="E160" s="40" t="s">
        <v>26</v>
      </c>
      <c r="F160" s="40" t="s">
        <v>7315</v>
      </c>
      <c r="G160" s="41" t="s">
        <v>18</v>
      </c>
      <c r="H160" s="40" t="s">
        <v>28</v>
      </c>
      <c r="I160" s="40" t="s">
        <v>140</v>
      </c>
      <c r="J160" s="40" t="s">
        <v>328</v>
      </c>
      <c r="K160" s="40" t="s">
        <v>116</v>
      </c>
      <c r="L160" s="40" t="s">
        <v>31</v>
      </c>
      <c r="M160" s="40">
        <v>6.2932430000000004</v>
      </c>
      <c r="N160" s="40">
        <v>10.786978</v>
      </c>
      <c r="O160" s="40" t="s">
        <v>23</v>
      </c>
    </row>
    <row r="161" spans="1:15" x14ac:dyDescent="0.2">
      <c r="A161" s="24">
        <f t="shared" si="2"/>
        <v>159</v>
      </c>
      <c r="B161" s="40" t="s">
        <v>7316</v>
      </c>
      <c r="C161" s="40" t="s">
        <v>7317</v>
      </c>
      <c r="D161" s="40" t="s">
        <v>7316</v>
      </c>
      <c r="E161" s="40" t="s">
        <v>26</v>
      </c>
      <c r="F161" s="40" t="s">
        <v>7318</v>
      </c>
      <c r="G161" s="41" t="s">
        <v>18</v>
      </c>
      <c r="H161" s="40" t="s">
        <v>28</v>
      </c>
      <c r="I161" s="40" t="s">
        <v>31</v>
      </c>
      <c r="J161" s="40" t="s">
        <v>195</v>
      </c>
      <c r="K161" s="40" t="s">
        <v>2718</v>
      </c>
      <c r="L161" s="40" t="s">
        <v>31</v>
      </c>
      <c r="M161" s="40">
        <v>5.9220569999999997</v>
      </c>
      <c r="N161" s="40">
        <v>10.068813</v>
      </c>
      <c r="O161" s="40" t="s">
        <v>23</v>
      </c>
    </row>
    <row r="162" spans="1:15" x14ac:dyDescent="0.2">
      <c r="A162" s="24">
        <f t="shared" si="2"/>
        <v>160</v>
      </c>
      <c r="B162" s="40" t="s">
        <v>7319</v>
      </c>
      <c r="C162" s="40" t="s">
        <v>7320</v>
      </c>
      <c r="D162" s="40" t="s">
        <v>7319</v>
      </c>
      <c r="E162" s="40" t="s">
        <v>26</v>
      </c>
      <c r="F162" s="40" t="s">
        <v>7321</v>
      </c>
      <c r="G162" s="41" t="s">
        <v>18</v>
      </c>
      <c r="H162" s="40" t="s">
        <v>28</v>
      </c>
      <c r="I162" s="40" t="s">
        <v>140</v>
      </c>
      <c r="J162" s="40" t="s">
        <v>328</v>
      </c>
      <c r="K162" s="40" t="s">
        <v>349</v>
      </c>
      <c r="L162" s="40" t="s">
        <v>31</v>
      </c>
      <c r="M162" s="40">
        <v>6.0379100000000001</v>
      </c>
      <c r="N162" s="40">
        <v>10.68852</v>
      </c>
      <c r="O162" s="40" t="s">
        <v>23</v>
      </c>
    </row>
    <row r="163" spans="1:15" x14ac:dyDescent="0.2">
      <c r="A163" s="24">
        <f t="shared" si="2"/>
        <v>161</v>
      </c>
      <c r="B163" s="40" t="s">
        <v>7322</v>
      </c>
      <c r="C163" s="40" t="s">
        <v>7323</v>
      </c>
      <c r="D163" s="40" t="s">
        <v>7322</v>
      </c>
      <c r="E163" s="40" t="s">
        <v>26</v>
      </c>
      <c r="F163" s="40" t="s">
        <v>7324</v>
      </c>
      <c r="G163" s="41" t="s">
        <v>18</v>
      </c>
      <c r="H163" s="40" t="s">
        <v>28</v>
      </c>
      <c r="I163" s="40" t="s">
        <v>140</v>
      </c>
      <c r="J163" s="40" t="s">
        <v>7325</v>
      </c>
      <c r="K163" s="40" t="s">
        <v>1454</v>
      </c>
      <c r="L163" s="40" t="s">
        <v>31</v>
      </c>
      <c r="M163" s="40">
        <v>5.9220499999999996</v>
      </c>
      <c r="N163" s="40">
        <v>10.435627999999999</v>
      </c>
      <c r="O163" s="40" t="s">
        <v>23</v>
      </c>
    </row>
    <row r="164" spans="1:15" x14ac:dyDescent="0.2">
      <c r="A164" s="24">
        <f t="shared" si="2"/>
        <v>162</v>
      </c>
      <c r="B164" s="40" t="s">
        <v>7333</v>
      </c>
      <c r="C164" s="40" t="s">
        <v>7334</v>
      </c>
      <c r="D164" s="40" t="s">
        <v>7333</v>
      </c>
      <c r="E164" s="40" t="s">
        <v>26</v>
      </c>
      <c r="F164" s="40" t="s">
        <v>7335</v>
      </c>
      <c r="G164" s="41" t="s">
        <v>18</v>
      </c>
      <c r="H164" s="40" t="s">
        <v>28</v>
      </c>
      <c r="I164" s="40" t="s">
        <v>140</v>
      </c>
      <c r="J164" s="40" t="s">
        <v>328</v>
      </c>
      <c r="K164" s="40" t="s">
        <v>116</v>
      </c>
      <c r="L164" s="40" t="s">
        <v>31</v>
      </c>
      <c r="M164" s="40">
        <v>6.2248000000000001</v>
      </c>
      <c r="N164" s="40">
        <v>10.792870000000001</v>
      </c>
      <c r="O164" s="40" t="s">
        <v>23</v>
      </c>
    </row>
    <row r="165" spans="1:15" x14ac:dyDescent="0.2">
      <c r="A165" s="24">
        <f t="shared" si="2"/>
        <v>163</v>
      </c>
      <c r="B165" s="40" t="s">
        <v>7336</v>
      </c>
      <c r="C165" s="40" t="s">
        <v>7337</v>
      </c>
      <c r="D165" s="40" t="s">
        <v>7336</v>
      </c>
      <c r="E165" s="40" t="s">
        <v>26</v>
      </c>
      <c r="F165" s="40" t="s">
        <v>7338</v>
      </c>
      <c r="G165" s="41" t="s">
        <v>18</v>
      </c>
      <c r="H165" s="40" t="s">
        <v>28</v>
      </c>
      <c r="I165" s="40" t="s">
        <v>140</v>
      </c>
      <c r="J165" s="40" t="s">
        <v>328</v>
      </c>
      <c r="K165" s="40" t="s">
        <v>116</v>
      </c>
      <c r="L165" s="40" t="s">
        <v>31</v>
      </c>
      <c r="M165" s="40">
        <v>6.2639480000000001</v>
      </c>
      <c r="N165" s="40">
        <v>10.751713000000001</v>
      </c>
      <c r="O165" s="40" t="s">
        <v>23</v>
      </c>
    </row>
    <row r="166" spans="1:15" x14ac:dyDescent="0.2">
      <c r="A166" s="24">
        <f t="shared" si="2"/>
        <v>164</v>
      </c>
      <c r="B166" s="40" t="s">
        <v>7342</v>
      </c>
      <c r="C166" s="40" t="s">
        <v>7343</v>
      </c>
      <c r="D166" s="40" t="s">
        <v>7342</v>
      </c>
      <c r="E166" s="40" t="s">
        <v>26</v>
      </c>
      <c r="F166" s="40" t="s">
        <v>7344</v>
      </c>
      <c r="G166" s="41" t="s">
        <v>18</v>
      </c>
      <c r="H166" s="40" t="s">
        <v>28</v>
      </c>
      <c r="I166" s="40" t="s">
        <v>241</v>
      </c>
      <c r="J166" s="40" t="s">
        <v>195</v>
      </c>
      <c r="K166" s="40" t="s">
        <v>241</v>
      </c>
      <c r="L166" s="40" t="s">
        <v>31</v>
      </c>
      <c r="M166" s="40">
        <v>5.97044</v>
      </c>
      <c r="N166" s="40">
        <v>10.088900000000001</v>
      </c>
      <c r="O166" s="40" t="s">
        <v>23</v>
      </c>
    </row>
    <row r="167" spans="1:15" x14ac:dyDescent="0.2">
      <c r="A167" s="24">
        <f t="shared" si="2"/>
        <v>165</v>
      </c>
      <c r="B167" s="40" t="s">
        <v>7345</v>
      </c>
      <c r="C167" s="40" t="s">
        <v>7346</v>
      </c>
      <c r="D167" s="40" t="s">
        <v>7345</v>
      </c>
      <c r="E167" s="40" t="s">
        <v>26</v>
      </c>
      <c r="F167" s="40" t="s">
        <v>7347</v>
      </c>
      <c r="G167" s="41" t="s">
        <v>18</v>
      </c>
      <c r="H167" s="40" t="s">
        <v>28</v>
      </c>
      <c r="I167" s="40" t="s">
        <v>31</v>
      </c>
      <c r="J167" s="40" t="s">
        <v>195</v>
      </c>
      <c r="K167" s="40" t="s">
        <v>29</v>
      </c>
      <c r="L167" s="40" t="s">
        <v>31</v>
      </c>
      <c r="M167" s="40">
        <v>6.1054199999999996</v>
      </c>
      <c r="N167" s="40">
        <v>10.084680000000001</v>
      </c>
      <c r="O167" s="40" t="s">
        <v>23</v>
      </c>
    </row>
    <row r="168" spans="1:15" x14ac:dyDescent="0.2">
      <c r="A168" s="24">
        <f t="shared" si="2"/>
        <v>166</v>
      </c>
      <c r="B168" s="40" t="s">
        <v>7355</v>
      </c>
      <c r="C168" s="40" t="s">
        <v>7356</v>
      </c>
      <c r="D168" s="40" t="s">
        <v>7355</v>
      </c>
      <c r="E168" s="40" t="s">
        <v>26</v>
      </c>
      <c r="F168" s="40" t="s">
        <v>7357</v>
      </c>
      <c r="G168" s="41" t="s">
        <v>18</v>
      </c>
      <c r="H168" s="40" t="s">
        <v>28</v>
      </c>
      <c r="I168" s="40" t="s">
        <v>1010</v>
      </c>
      <c r="J168" s="40" t="s">
        <v>195</v>
      </c>
      <c r="K168" s="40" t="s">
        <v>1010</v>
      </c>
      <c r="L168" s="40" t="s">
        <v>31</v>
      </c>
      <c r="M168" s="40">
        <v>5.9759260000000003</v>
      </c>
      <c r="N168" s="40">
        <v>10.180094</v>
      </c>
      <c r="O168" s="40" t="s">
        <v>23</v>
      </c>
    </row>
    <row r="169" spans="1:15" x14ac:dyDescent="0.2">
      <c r="A169" s="24">
        <f t="shared" si="2"/>
        <v>167</v>
      </c>
      <c r="B169" s="40" t="s">
        <v>7527</v>
      </c>
      <c r="C169" s="40" t="s">
        <v>7528</v>
      </c>
      <c r="D169" s="40" t="s">
        <v>7527</v>
      </c>
      <c r="E169" s="40" t="s">
        <v>26</v>
      </c>
      <c r="F169" s="40" t="s">
        <v>7529</v>
      </c>
      <c r="G169" s="41" t="s">
        <v>18</v>
      </c>
      <c r="H169" s="40" t="s">
        <v>28</v>
      </c>
      <c r="I169" s="40" t="s">
        <v>114</v>
      </c>
      <c r="J169" s="40" t="s">
        <v>306</v>
      </c>
      <c r="K169" s="40" t="s">
        <v>114</v>
      </c>
      <c r="L169" s="40" t="s">
        <v>31</v>
      </c>
      <c r="M169" s="40">
        <v>6.6634250000000002</v>
      </c>
      <c r="N169" s="40">
        <v>10.76455</v>
      </c>
      <c r="O169" s="40" t="s">
        <v>23</v>
      </c>
    </row>
    <row r="170" spans="1:15" x14ac:dyDescent="0.2">
      <c r="A170" s="24">
        <f t="shared" si="2"/>
        <v>168</v>
      </c>
      <c r="B170" s="40" t="s">
        <v>7549</v>
      </c>
      <c r="C170" s="40" t="s">
        <v>7550</v>
      </c>
      <c r="D170" s="40" t="s">
        <v>7549</v>
      </c>
      <c r="E170" s="40" t="s">
        <v>26</v>
      </c>
      <c r="F170" s="40" t="s">
        <v>7551</v>
      </c>
      <c r="G170" s="41" t="s">
        <v>18</v>
      </c>
      <c r="H170" s="40" t="s">
        <v>28</v>
      </c>
      <c r="I170" s="40" t="s">
        <v>29</v>
      </c>
      <c r="J170" s="40" t="s">
        <v>195</v>
      </c>
      <c r="K170" s="40" t="s">
        <v>29</v>
      </c>
      <c r="L170" s="40" t="s">
        <v>31</v>
      </c>
      <c r="M170" s="40">
        <v>6.0658079999999996</v>
      </c>
      <c r="N170" s="40">
        <v>10.101448</v>
      </c>
      <c r="O170" s="40" t="s">
        <v>23</v>
      </c>
    </row>
    <row r="171" spans="1:15" x14ac:dyDescent="0.2">
      <c r="A171" s="24">
        <f t="shared" si="2"/>
        <v>169</v>
      </c>
      <c r="B171" s="40" t="s">
        <v>7575</v>
      </c>
      <c r="C171" s="40" t="s">
        <v>7576</v>
      </c>
      <c r="D171" s="40" t="s">
        <v>7575</v>
      </c>
      <c r="E171" s="40" t="s">
        <v>26</v>
      </c>
      <c r="F171" s="40" t="s">
        <v>7577</v>
      </c>
      <c r="G171" s="41" t="s">
        <v>18</v>
      </c>
      <c r="H171" s="40" t="s">
        <v>28</v>
      </c>
      <c r="I171" s="40" t="s">
        <v>29</v>
      </c>
      <c r="J171" s="40" t="s">
        <v>812</v>
      </c>
      <c r="K171" s="40" t="s">
        <v>2011</v>
      </c>
      <c r="L171" s="40" t="s">
        <v>31</v>
      </c>
      <c r="M171" s="40">
        <v>6.4580330000000004</v>
      </c>
      <c r="N171" s="40">
        <v>10.122539</v>
      </c>
      <c r="O171" s="40" t="s">
        <v>23</v>
      </c>
    </row>
    <row r="172" spans="1:15" x14ac:dyDescent="0.2">
      <c r="A172" s="24">
        <f t="shared" si="2"/>
        <v>170</v>
      </c>
      <c r="B172" s="40" t="s">
        <v>142</v>
      </c>
      <c r="C172" s="40" t="s">
        <v>143</v>
      </c>
      <c r="D172" s="40" t="s">
        <v>142</v>
      </c>
      <c r="E172" s="40" t="s">
        <v>26</v>
      </c>
      <c r="F172" s="40" t="s">
        <v>144</v>
      </c>
      <c r="G172" s="41" t="s">
        <v>18</v>
      </c>
      <c r="H172" s="40" t="s">
        <v>28</v>
      </c>
      <c r="I172" s="40" t="s">
        <v>145</v>
      </c>
      <c r="J172" s="40" t="s">
        <v>146</v>
      </c>
      <c r="K172" s="40" t="s">
        <v>147</v>
      </c>
      <c r="L172" s="40" t="s">
        <v>121</v>
      </c>
      <c r="M172" s="40">
        <v>6.4088060000000002</v>
      </c>
      <c r="N172" s="40">
        <v>11.318972</v>
      </c>
      <c r="O172" s="40" t="s">
        <v>23</v>
      </c>
    </row>
    <row r="173" spans="1:15" x14ac:dyDescent="0.2">
      <c r="A173" s="24">
        <f t="shared" si="2"/>
        <v>171</v>
      </c>
      <c r="B173" s="40" t="s">
        <v>304</v>
      </c>
      <c r="C173" s="40" t="s">
        <v>305</v>
      </c>
      <c r="D173" s="40" t="s">
        <v>304</v>
      </c>
      <c r="E173" s="40" t="s">
        <v>26</v>
      </c>
      <c r="F173" s="40" t="s">
        <v>270</v>
      </c>
      <c r="G173" s="41" t="s">
        <v>18</v>
      </c>
      <c r="H173" s="40" t="s">
        <v>28</v>
      </c>
      <c r="I173" s="40" t="s">
        <v>114</v>
      </c>
      <c r="J173" s="40" t="s">
        <v>306</v>
      </c>
      <c r="K173" s="40" t="s">
        <v>307</v>
      </c>
      <c r="L173" s="40" t="s">
        <v>121</v>
      </c>
      <c r="M173" s="40">
        <v>6.3082799999999999</v>
      </c>
      <c r="N173" s="40">
        <v>11.030340000000001</v>
      </c>
      <c r="O173" s="40" t="s">
        <v>23</v>
      </c>
    </row>
    <row r="174" spans="1:15" x14ac:dyDescent="0.2">
      <c r="A174" s="24">
        <f t="shared" si="2"/>
        <v>172</v>
      </c>
      <c r="B174" s="40" t="s">
        <v>1207</v>
      </c>
      <c r="C174" s="40" t="s">
        <v>1208</v>
      </c>
      <c r="D174" s="40" t="s">
        <v>1207</v>
      </c>
      <c r="E174" s="40" t="s">
        <v>26</v>
      </c>
      <c r="F174" s="40" t="s">
        <v>1209</v>
      </c>
      <c r="G174" s="41" t="s">
        <v>18</v>
      </c>
      <c r="H174" s="40" t="s">
        <v>28</v>
      </c>
      <c r="I174" s="40" t="s">
        <v>114</v>
      </c>
      <c r="J174" s="40" t="s">
        <v>306</v>
      </c>
      <c r="K174" s="40" t="s">
        <v>1192</v>
      </c>
      <c r="L174" s="40" t="s">
        <v>121</v>
      </c>
      <c r="M174" s="40">
        <v>6.9556100000000001</v>
      </c>
      <c r="N174" s="40">
        <v>10.71881</v>
      </c>
      <c r="O174" s="40" t="s">
        <v>23</v>
      </c>
    </row>
    <row r="175" spans="1:15" x14ac:dyDescent="0.2">
      <c r="A175" s="24">
        <f t="shared" si="2"/>
        <v>173</v>
      </c>
      <c r="B175" s="40" t="s">
        <v>1992</v>
      </c>
      <c r="C175" s="40" t="s">
        <v>1993</v>
      </c>
      <c r="D175" s="40" t="s">
        <v>1992</v>
      </c>
      <c r="E175" s="40" t="s">
        <v>26</v>
      </c>
      <c r="F175" s="40" t="s">
        <v>1994</v>
      </c>
      <c r="G175" s="41" t="s">
        <v>1106</v>
      </c>
      <c r="H175" s="40" t="s">
        <v>28</v>
      </c>
      <c r="I175" s="40" t="s">
        <v>145</v>
      </c>
      <c r="J175" s="40" t="s">
        <v>146</v>
      </c>
      <c r="K175" s="40" t="s">
        <v>147</v>
      </c>
      <c r="L175" s="40" t="s">
        <v>121</v>
      </c>
      <c r="M175" s="40">
        <v>6.4658329999999999</v>
      </c>
      <c r="N175" s="40">
        <v>11.30917</v>
      </c>
      <c r="O175" s="40" t="s">
        <v>23</v>
      </c>
    </row>
    <row r="176" spans="1:15" x14ac:dyDescent="0.2">
      <c r="A176" s="24">
        <f t="shared" si="2"/>
        <v>174</v>
      </c>
      <c r="B176" s="40" t="s">
        <v>5871</v>
      </c>
      <c r="C176" s="40" t="s">
        <v>5872</v>
      </c>
      <c r="D176" s="40" t="s">
        <v>5871</v>
      </c>
      <c r="E176" s="40" t="s">
        <v>26</v>
      </c>
      <c r="F176" s="40" t="s">
        <v>5873</v>
      </c>
      <c r="G176" s="41" t="s">
        <v>18</v>
      </c>
      <c r="H176" s="40" t="s">
        <v>28</v>
      </c>
      <c r="I176" s="40" t="s">
        <v>114</v>
      </c>
      <c r="J176" s="40" t="s">
        <v>306</v>
      </c>
      <c r="K176" s="40" t="s">
        <v>307</v>
      </c>
      <c r="L176" s="40" t="s">
        <v>121</v>
      </c>
      <c r="M176" s="40">
        <v>6.3856109999999999</v>
      </c>
      <c r="N176" s="40">
        <v>11.165082999999999</v>
      </c>
      <c r="O176" s="40" t="s">
        <v>23</v>
      </c>
    </row>
    <row r="177" spans="1:15" x14ac:dyDescent="0.2">
      <c r="A177" s="24">
        <f t="shared" si="2"/>
        <v>175</v>
      </c>
      <c r="B177" s="40" t="s">
        <v>6209</v>
      </c>
      <c r="C177" s="40" t="s">
        <v>6210</v>
      </c>
      <c r="D177" s="40" t="s">
        <v>6209</v>
      </c>
      <c r="E177" s="40" t="s">
        <v>26</v>
      </c>
      <c r="F177" s="40" t="s">
        <v>6211</v>
      </c>
      <c r="G177" s="41" t="s">
        <v>18</v>
      </c>
      <c r="H177" s="40" t="s">
        <v>28</v>
      </c>
      <c r="I177" s="40" t="s">
        <v>114</v>
      </c>
      <c r="J177" s="40" t="s">
        <v>306</v>
      </c>
      <c r="K177" s="40" t="s">
        <v>307</v>
      </c>
      <c r="L177" s="40" t="s">
        <v>121</v>
      </c>
      <c r="M177" s="40">
        <v>6.4783730000000004</v>
      </c>
      <c r="N177" s="40">
        <v>11.063392</v>
      </c>
      <c r="O177" s="40" t="s">
        <v>23</v>
      </c>
    </row>
    <row r="178" spans="1:15" x14ac:dyDescent="0.2">
      <c r="A178" s="24">
        <f t="shared" si="2"/>
        <v>176</v>
      </c>
      <c r="B178" s="40" t="s">
        <v>6212</v>
      </c>
      <c r="C178" s="40" t="s">
        <v>6213</v>
      </c>
      <c r="D178" s="40" t="s">
        <v>6212</v>
      </c>
      <c r="E178" s="40" t="s">
        <v>26</v>
      </c>
      <c r="F178" s="40" t="s">
        <v>307</v>
      </c>
      <c r="G178" s="41" t="s">
        <v>18</v>
      </c>
      <c r="H178" s="40" t="s">
        <v>19</v>
      </c>
      <c r="I178" s="40" t="s">
        <v>114</v>
      </c>
      <c r="J178" s="40" t="s">
        <v>306</v>
      </c>
      <c r="K178" s="40" t="s">
        <v>307</v>
      </c>
      <c r="L178" s="40" t="s">
        <v>121</v>
      </c>
      <c r="M178" s="40">
        <v>6.4797500000000001</v>
      </c>
      <c r="N178" s="40">
        <v>11.063917</v>
      </c>
      <c r="O178" s="40" t="s">
        <v>23</v>
      </c>
    </row>
    <row r="179" spans="1:15" x14ac:dyDescent="0.2">
      <c r="A179" s="24">
        <f t="shared" si="2"/>
        <v>177</v>
      </c>
      <c r="B179" s="40" t="s">
        <v>32</v>
      </c>
      <c r="C179" s="40" t="s">
        <v>33</v>
      </c>
      <c r="D179" s="40" t="s">
        <v>32</v>
      </c>
      <c r="E179" s="40" t="s">
        <v>34</v>
      </c>
      <c r="F179" s="40" t="s">
        <v>35</v>
      </c>
      <c r="G179" s="41" t="s">
        <v>36</v>
      </c>
      <c r="H179" s="40" t="s">
        <v>28</v>
      </c>
      <c r="I179" s="40" t="s">
        <v>37</v>
      </c>
      <c r="J179" s="40" t="s">
        <v>38</v>
      </c>
      <c r="K179" s="40" t="s">
        <v>39</v>
      </c>
      <c r="L179" s="40" t="s">
        <v>37</v>
      </c>
      <c r="M179" s="40">
        <v>4.3199170000000002</v>
      </c>
      <c r="N179" s="40">
        <v>9.4300280000000001</v>
      </c>
      <c r="O179" s="40" t="s">
        <v>23</v>
      </c>
    </row>
    <row r="180" spans="1:15" x14ac:dyDescent="0.2">
      <c r="A180" s="24">
        <f t="shared" si="2"/>
        <v>178</v>
      </c>
      <c r="B180" s="40" t="s">
        <v>80</v>
      </c>
      <c r="C180" s="40" t="s">
        <v>81</v>
      </c>
      <c r="D180" s="40" t="s">
        <v>80</v>
      </c>
      <c r="E180" s="40" t="s">
        <v>34</v>
      </c>
      <c r="F180" s="40" t="s">
        <v>82</v>
      </c>
      <c r="G180" s="41" t="s">
        <v>18</v>
      </c>
      <c r="H180" s="40" t="s">
        <v>28</v>
      </c>
      <c r="I180" s="40" t="s">
        <v>37</v>
      </c>
      <c r="J180" s="40" t="s">
        <v>38</v>
      </c>
      <c r="K180" s="40" t="s">
        <v>37</v>
      </c>
      <c r="L180" s="40" t="s">
        <v>37</v>
      </c>
      <c r="M180" s="40">
        <v>4.1245200000000004</v>
      </c>
      <c r="N180" s="40">
        <v>9.2476299999999991</v>
      </c>
      <c r="O180" s="40" t="s">
        <v>23</v>
      </c>
    </row>
    <row r="181" spans="1:15" x14ac:dyDescent="0.2">
      <c r="A181" s="24">
        <f t="shared" si="2"/>
        <v>179</v>
      </c>
      <c r="B181" s="40" t="s">
        <v>83</v>
      </c>
      <c r="C181" s="40" t="s">
        <v>84</v>
      </c>
      <c r="D181" s="40" t="s">
        <v>83</v>
      </c>
      <c r="E181" s="40" t="s">
        <v>34</v>
      </c>
      <c r="F181" s="40" t="s">
        <v>85</v>
      </c>
      <c r="G181" s="41" t="s">
        <v>18</v>
      </c>
      <c r="H181" s="40" t="s">
        <v>28</v>
      </c>
      <c r="I181" s="40" t="s">
        <v>37</v>
      </c>
      <c r="J181" s="40" t="s">
        <v>38</v>
      </c>
      <c r="K181" s="40" t="s">
        <v>37</v>
      </c>
      <c r="L181" s="40" t="s">
        <v>37</v>
      </c>
      <c r="M181" s="40">
        <v>4.1463429999999999</v>
      </c>
      <c r="N181" s="40">
        <v>9.2511530000000004</v>
      </c>
      <c r="O181" s="40" t="s">
        <v>23</v>
      </c>
    </row>
    <row r="182" spans="1:15" x14ac:dyDescent="0.2">
      <c r="A182" s="24">
        <f t="shared" si="2"/>
        <v>180</v>
      </c>
      <c r="B182" s="40" t="s">
        <v>438</v>
      </c>
      <c r="C182" s="40" t="s">
        <v>439</v>
      </c>
      <c r="D182" s="40" t="s">
        <v>438</v>
      </c>
      <c r="E182" s="40" t="s">
        <v>34</v>
      </c>
      <c r="F182" s="40" t="s">
        <v>440</v>
      </c>
      <c r="G182" s="41" t="s">
        <v>18</v>
      </c>
      <c r="H182" s="40" t="s">
        <v>28</v>
      </c>
      <c r="I182" s="40" t="s">
        <v>441</v>
      </c>
      <c r="J182" s="40" t="s">
        <v>38</v>
      </c>
      <c r="K182" s="40" t="s">
        <v>442</v>
      </c>
      <c r="L182" s="40" t="s">
        <v>37</v>
      </c>
      <c r="M182" s="40">
        <v>4.092657</v>
      </c>
      <c r="N182" s="40">
        <v>9.3193400000000004</v>
      </c>
      <c r="O182" s="40" t="s">
        <v>23</v>
      </c>
    </row>
    <row r="183" spans="1:15" x14ac:dyDescent="0.2">
      <c r="A183" s="24">
        <f t="shared" si="2"/>
        <v>181</v>
      </c>
      <c r="B183" s="40" t="s">
        <v>443</v>
      </c>
      <c r="C183" s="40" t="s">
        <v>444</v>
      </c>
      <c r="D183" s="40" t="s">
        <v>443</v>
      </c>
      <c r="E183" s="40" t="s">
        <v>34</v>
      </c>
      <c r="F183" s="40" t="s">
        <v>445</v>
      </c>
      <c r="G183" s="41" t="s">
        <v>18</v>
      </c>
      <c r="H183" s="40" t="s">
        <v>28</v>
      </c>
      <c r="I183" s="40" t="s">
        <v>441</v>
      </c>
      <c r="J183" s="40" t="s">
        <v>38</v>
      </c>
      <c r="K183" s="40" t="s">
        <v>442</v>
      </c>
      <c r="L183" s="40" t="s">
        <v>37</v>
      </c>
      <c r="M183" s="40">
        <v>4.0897220000000001</v>
      </c>
      <c r="N183" s="40">
        <v>9.3243329999999993</v>
      </c>
      <c r="O183" s="40" t="s">
        <v>23</v>
      </c>
    </row>
    <row r="184" spans="1:15" x14ac:dyDescent="0.2">
      <c r="A184" s="24">
        <f t="shared" si="2"/>
        <v>182</v>
      </c>
      <c r="B184" s="40" t="s">
        <v>446</v>
      </c>
      <c r="C184" s="40" t="s">
        <v>447</v>
      </c>
      <c r="D184" s="40" t="s">
        <v>446</v>
      </c>
      <c r="E184" s="40" t="s">
        <v>34</v>
      </c>
      <c r="F184" s="40" t="s">
        <v>448</v>
      </c>
      <c r="G184" s="41" t="s">
        <v>18</v>
      </c>
      <c r="H184" s="40" t="s">
        <v>28</v>
      </c>
      <c r="I184" s="40" t="s">
        <v>441</v>
      </c>
      <c r="J184" s="40" t="s">
        <v>38</v>
      </c>
      <c r="K184" s="40" t="s">
        <v>442</v>
      </c>
      <c r="L184" s="40" t="s">
        <v>37</v>
      </c>
      <c r="M184" s="40">
        <v>4.0782100000000003</v>
      </c>
      <c r="N184" s="40">
        <v>9.2765079999999998</v>
      </c>
      <c r="O184" s="40" t="s">
        <v>23</v>
      </c>
    </row>
    <row r="185" spans="1:15" x14ac:dyDescent="0.2">
      <c r="A185" s="24">
        <f t="shared" si="2"/>
        <v>183</v>
      </c>
      <c r="B185" s="40" t="s">
        <v>449</v>
      </c>
      <c r="C185" s="40" t="s">
        <v>450</v>
      </c>
      <c r="D185" s="40" t="s">
        <v>449</v>
      </c>
      <c r="E185" s="40" t="s">
        <v>34</v>
      </c>
      <c r="F185" s="40" t="s">
        <v>451</v>
      </c>
      <c r="G185" s="41" t="s">
        <v>18</v>
      </c>
      <c r="H185" s="40" t="s">
        <v>28</v>
      </c>
      <c r="I185" s="40" t="s">
        <v>37</v>
      </c>
      <c r="J185" s="40" t="s">
        <v>38</v>
      </c>
      <c r="K185" s="40" t="s">
        <v>39</v>
      </c>
      <c r="L185" s="40" t="s">
        <v>37</v>
      </c>
      <c r="M185" s="40">
        <v>4.4045833329999997</v>
      </c>
      <c r="N185" s="40">
        <v>9.1268055560000008</v>
      </c>
      <c r="O185" s="40" t="s">
        <v>23</v>
      </c>
    </row>
    <row r="186" spans="1:15" x14ac:dyDescent="0.2">
      <c r="A186" s="24">
        <f t="shared" si="2"/>
        <v>184</v>
      </c>
      <c r="B186" s="40" t="s">
        <v>452</v>
      </c>
      <c r="C186" s="40" t="s">
        <v>453</v>
      </c>
      <c r="D186" s="40" t="s">
        <v>452</v>
      </c>
      <c r="E186" s="40" t="s">
        <v>34</v>
      </c>
      <c r="F186" s="40" t="s">
        <v>454</v>
      </c>
      <c r="G186" s="41" t="s">
        <v>18</v>
      </c>
      <c r="H186" s="40" t="s">
        <v>28</v>
      </c>
      <c r="I186" s="40" t="s">
        <v>37</v>
      </c>
      <c r="J186" s="40" t="s">
        <v>38</v>
      </c>
      <c r="K186" s="40" t="s">
        <v>39</v>
      </c>
      <c r="L186" s="40" t="s">
        <v>37</v>
      </c>
      <c r="M186" s="40">
        <v>4.3542019999999999</v>
      </c>
      <c r="N186" s="40">
        <v>9.3152460000000001</v>
      </c>
      <c r="O186" s="40" t="s">
        <v>23</v>
      </c>
    </row>
    <row r="187" spans="1:15" x14ac:dyDescent="0.2">
      <c r="A187" s="24">
        <f t="shared" si="2"/>
        <v>185</v>
      </c>
      <c r="B187" s="40" t="s">
        <v>494</v>
      </c>
      <c r="C187" s="40" t="s">
        <v>495</v>
      </c>
      <c r="D187" s="40" t="s">
        <v>494</v>
      </c>
      <c r="E187" s="40" t="s">
        <v>34</v>
      </c>
      <c r="F187" s="40" t="s">
        <v>496</v>
      </c>
      <c r="G187" s="41" t="s">
        <v>18</v>
      </c>
      <c r="H187" s="40" t="s">
        <v>28</v>
      </c>
      <c r="I187" s="40" t="s">
        <v>37</v>
      </c>
      <c r="J187" s="40" t="s">
        <v>38</v>
      </c>
      <c r="K187" s="40" t="s">
        <v>497</v>
      </c>
      <c r="L187" s="40" t="s">
        <v>37</v>
      </c>
      <c r="M187" s="40">
        <v>4.1396439999999997</v>
      </c>
      <c r="N187" s="40">
        <v>9.3027750000000005</v>
      </c>
      <c r="O187" s="40" t="s">
        <v>23</v>
      </c>
    </row>
    <row r="188" spans="1:15" x14ac:dyDescent="0.2">
      <c r="A188" s="24">
        <f t="shared" si="2"/>
        <v>186</v>
      </c>
      <c r="B188" s="40" t="s">
        <v>832</v>
      </c>
      <c r="C188" s="40" t="s">
        <v>833</v>
      </c>
      <c r="D188" s="40" t="s">
        <v>832</v>
      </c>
      <c r="E188" s="40" t="s">
        <v>34</v>
      </c>
      <c r="F188" s="40" t="s">
        <v>834</v>
      </c>
      <c r="G188" s="41" t="s">
        <v>18</v>
      </c>
      <c r="H188" s="40" t="s">
        <v>28</v>
      </c>
      <c r="I188" s="40" t="s">
        <v>37</v>
      </c>
      <c r="J188" s="40" t="s">
        <v>38</v>
      </c>
      <c r="K188" s="40" t="s">
        <v>39</v>
      </c>
      <c r="L188" s="40" t="s">
        <v>37</v>
      </c>
      <c r="M188" s="40">
        <v>4.328786</v>
      </c>
      <c r="N188" s="40">
        <v>9.3554340000000007</v>
      </c>
      <c r="O188" s="40" t="s">
        <v>23</v>
      </c>
    </row>
    <row r="189" spans="1:15" x14ac:dyDescent="0.2">
      <c r="A189" s="24">
        <f t="shared" si="2"/>
        <v>187</v>
      </c>
      <c r="B189" s="40" t="s">
        <v>917</v>
      </c>
      <c r="C189" s="40" t="s">
        <v>918</v>
      </c>
      <c r="D189" s="40" t="s">
        <v>917</v>
      </c>
      <c r="E189" s="40" t="s">
        <v>34</v>
      </c>
      <c r="F189" s="40" t="s">
        <v>919</v>
      </c>
      <c r="G189" s="41" t="s">
        <v>18</v>
      </c>
      <c r="H189" s="40" t="s">
        <v>28</v>
      </c>
      <c r="I189" s="40" t="s">
        <v>37</v>
      </c>
      <c r="J189" s="40" t="s">
        <v>38</v>
      </c>
      <c r="K189" s="40" t="s">
        <v>37</v>
      </c>
      <c r="L189" s="40" t="s">
        <v>37</v>
      </c>
      <c r="M189" s="40">
        <v>4.1497539999999997</v>
      </c>
      <c r="N189" s="40">
        <v>9.2372060000000005</v>
      </c>
      <c r="O189" s="40" t="s">
        <v>23</v>
      </c>
    </row>
    <row r="190" spans="1:15" x14ac:dyDescent="0.2">
      <c r="A190" s="24">
        <f t="shared" si="2"/>
        <v>188</v>
      </c>
      <c r="B190" s="40" t="s">
        <v>920</v>
      </c>
      <c r="C190" s="40" t="s">
        <v>921</v>
      </c>
      <c r="D190" s="40" t="s">
        <v>920</v>
      </c>
      <c r="E190" s="40" t="s">
        <v>34</v>
      </c>
      <c r="F190" s="40" t="s">
        <v>922</v>
      </c>
      <c r="G190" s="41" t="s">
        <v>18</v>
      </c>
      <c r="H190" s="40" t="s">
        <v>28</v>
      </c>
      <c r="I190" s="40" t="s">
        <v>37</v>
      </c>
      <c r="J190" s="40" t="s">
        <v>38</v>
      </c>
      <c r="K190" s="40" t="s">
        <v>37</v>
      </c>
      <c r="L190" s="40" t="s">
        <v>37</v>
      </c>
      <c r="M190" s="40">
        <v>4.1886099999999997</v>
      </c>
      <c r="N190" s="40">
        <v>9.2621680000000008</v>
      </c>
      <c r="O190" s="40" t="s">
        <v>23</v>
      </c>
    </row>
    <row r="191" spans="1:15" x14ac:dyDescent="0.2">
      <c r="A191" s="24">
        <f t="shared" si="2"/>
        <v>189</v>
      </c>
      <c r="B191" s="40" t="s">
        <v>923</v>
      </c>
      <c r="C191" s="40" t="s">
        <v>924</v>
      </c>
      <c r="D191" s="40" t="s">
        <v>923</v>
      </c>
      <c r="E191" s="40" t="s">
        <v>34</v>
      </c>
      <c r="F191" s="40" t="s">
        <v>925</v>
      </c>
      <c r="G191" s="41" t="s">
        <v>18</v>
      </c>
      <c r="H191" s="40" t="s">
        <v>28</v>
      </c>
      <c r="I191" s="40" t="s">
        <v>37</v>
      </c>
      <c r="J191" s="40" t="s">
        <v>38</v>
      </c>
      <c r="K191" s="40" t="s">
        <v>39</v>
      </c>
      <c r="L191" s="40" t="s">
        <v>37</v>
      </c>
      <c r="M191" s="40">
        <v>4.4303055599999999</v>
      </c>
      <c r="N191" s="40">
        <v>9.2111111099999992</v>
      </c>
      <c r="O191" s="40" t="s">
        <v>23</v>
      </c>
    </row>
    <row r="192" spans="1:15" x14ac:dyDescent="0.2">
      <c r="A192" s="24">
        <f t="shared" si="2"/>
        <v>190</v>
      </c>
      <c r="B192" s="40" t="s">
        <v>954</v>
      </c>
      <c r="C192" s="40" t="s">
        <v>955</v>
      </c>
      <c r="D192" s="40" t="s">
        <v>954</v>
      </c>
      <c r="E192" s="40" t="s">
        <v>34</v>
      </c>
      <c r="F192" s="40" t="s">
        <v>956</v>
      </c>
      <c r="G192" s="41" t="s">
        <v>18</v>
      </c>
      <c r="H192" s="40" t="s">
        <v>28</v>
      </c>
      <c r="I192" s="40" t="s">
        <v>37</v>
      </c>
      <c r="J192" s="40" t="s">
        <v>38</v>
      </c>
      <c r="K192" s="40" t="s">
        <v>37</v>
      </c>
      <c r="L192" s="40" t="s">
        <v>37</v>
      </c>
      <c r="M192" s="40">
        <v>4.2024020000000002</v>
      </c>
      <c r="N192" s="40">
        <v>9.2718579999999999</v>
      </c>
      <c r="O192" s="40" t="s">
        <v>23</v>
      </c>
    </row>
    <row r="193" spans="1:15" x14ac:dyDescent="0.2">
      <c r="A193" s="24">
        <f t="shared" si="2"/>
        <v>191</v>
      </c>
      <c r="B193" s="40" t="s">
        <v>1123</v>
      </c>
      <c r="C193" s="40" t="s">
        <v>1124</v>
      </c>
      <c r="D193" s="40" t="s">
        <v>1123</v>
      </c>
      <c r="E193" s="40" t="s">
        <v>34</v>
      </c>
      <c r="F193" s="40" t="s">
        <v>1125</v>
      </c>
      <c r="G193" s="41" t="s">
        <v>18</v>
      </c>
      <c r="H193" s="40" t="s">
        <v>28</v>
      </c>
      <c r="I193" s="40" t="s">
        <v>458</v>
      </c>
      <c r="J193" s="40" t="s">
        <v>38</v>
      </c>
      <c r="K193" s="40" t="s">
        <v>190</v>
      </c>
      <c r="L193" s="40" t="s">
        <v>37</v>
      </c>
      <c r="M193" s="40">
        <v>4.4568830000000004</v>
      </c>
      <c r="N193" s="40">
        <v>9.1439869999999992</v>
      </c>
      <c r="O193" s="40" t="s">
        <v>23</v>
      </c>
    </row>
    <row r="194" spans="1:15" x14ac:dyDescent="0.2">
      <c r="A194" s="24">
        <f t="shared" si="2"/>
        <v>192</v>
      </c>
      <c r="B194" s="40" t="s">
        <v>1330</v>
      </c>
      <c r="C194" s="40" t="s">
        <v>1331</v>
      </c>
      <c r="D194" s="40" t="s">
        <v>1330</v>
      </c>
      <c r="E194" s="40" t="s">
        <v>34</v>
      </c>
      <c r="F194" s="40" t="s">
        <v>1332</v>
      </c>
      <c r="G194" s="41" t="s">
        <v>36</v>
      </c>
      <c r="H194" s="40" t="s">
        <v>28</v>
      </c>
      <c r="I194" s="40" t="s">
        <v>37</v>
      </c>
      <c r="J194" s="40"/>
      <c r="K194" s="40" t="s">
        <v>1333</v>
      </c>
      <c r="L194" s="40" t="s">
        <v>37</v>
      </c>
      <c r="M194" s="40">
        <v>4.2299439999999997</v>
      </c>
      <c r="N194" s="40">
        <v>9.3305279999999993</v>
      </c>
      <c r="O194" s="40" t="s">
        <v>613</v>
      </c>
    </row>
    <row r="195" spans="1:15" x14ac:dyDescent="0.2">
      <c r="A195" s="24">
        <f t="shared" si="2"/>
        <v>193</v>
      </c>
      <c r="B195" s="40" t="s">
        <v>1345</v>
      </c>
      <c r="C195" s="40" t="s">
        <v>1346</v>
      </c>
      <c r="D195" s="40" t="s">
        <v>1345</v>
      </c>
      <c r="E195" s="40" t="s">
        <v>34</v>
      </c>
      <c r="F195" s="40" t="s">
        <v>1347</v>
      </c>
      <c r="G195" s="41" t="s">
        <v>18</v>
      </c>
      <c r="H195" s="40" t="s">
        <v>28</v>
      </c>
      <c r="I195" s="40" t="s">
        <v>37</v>
      </c>
      <c r="J195" s="40" t="s">
        <v>38</v>
      </c>
      <c r="K195" s="40" t="s">
        <v>497</v>
      </c>
      <c r="L195" s="40" t="s">
        <v>37</v>
      </c>
      <c r="M195" s="40">
        <v>4.1398060000000001</v>
      </c>
      <c r="N195" s="40">
        <v>9.3119169999999993</v>
      </c>
      <c r="O195" s="40" t="s">
        <v>23</v>
      </c>
    </row>
    <row r="196" spans="1:15" x14ac:dyDescent="0.2">
      <c r="A196" s="24">
        <f t="shared" si="2"/>
        <v>194</v>
      </c>
      <c r="B196" s="40" t="s">
        <v>1482</v>
      </c>
      <c r="C196" s="40" t="s">
        <v>1483</v>
      </c>
      <c r="D196" s="40" t="s">
        <v>1482</v>
      </c>
      <c r="E196" s="40" t="s">
        <v>34</v>
      </c>
      <c r="F196" s="40" t="s">
        <v>1484</v>
      </c>
      <c r="G196" s="41" t="s">
        <v>18</v>
      </c>
      <c r="H196" s="40" t="s">
        <v>28</v>
      </c>
      <c r="I196" s="40" t="s">
        <v>37</v>
      </c>
      <c r="J196" s="40" t="s">
        <v>38</v>
      </c>
      <c r="K196" s="40" t="s">
        <v>39</v>
      </c>
      <c r="L196" s="40" t="s">
        <v>37</v>
      </c>
      <c r="M196" s="40">
        <v>4.3433060000000001</v>
      </c>
      <c r="N196" s="40">
        <v>9.4309440000000002</v>
      </c>
      <c r="O196" s="40" t="s">
        <v>23</v>
      </c>
    </row>
    <row r="197" spans="1:15" x14ac:dyDescent="0.2">
      <c r="A197" s="24">
        <f t="shared" ref="A197:A260" si="3">1+A196</f>
        <v>195</v>
      </c>
      <c r="B197" s="40" t="s">
        <v>1656</v>
      </c>
      <c r="C197" s="40" t="s">
        <v>1657</v>
      </c>
      <c r="D197" s="40" t="s">
        <v>1656</v>
      </c>
      <c r="E197" s="40" t="s">
        <v>34</v>
      </c>
      <c r="F197" s="40" t="s">
        <v>1658</v>
      </c>
      <c r="G197" s="41" t="s">
        <v>18</v>
      </c>
      <c r="H197" s="40" t="s">
        <v>19</v>
      </c>
      <c r="I197" s="40" t="s">
        <v>37</v>
      </c>
      <c r="J197" s="40" t="s">
        <v>38</v>
      </c>
      <c r="K197" s="40" t="s">
        <v>37</v>
      </c>
      <c r="L197" s="40" t="s">
        <v>37</v>
      </c>
      <c r="M197" s="40">
        <v>4.1518350000000002</v>
      </c>
      <c r="N197" s="40">
        <v>9.2998419999999999</v>
      </c>
      <c r="O197" s="40" t="s">
        <v>23</v>
      </c>
    </row>
    <row r="198" spans="1:15" x14ac:dyDescent="0.2">
      <c r="A198" s="24">
        <f t="shared" si="3"/>
        <v>196</v>
      </c>
      <c r="B198" s="40" t="s">
        <v>1725</v>
      </c>
      <c r="C198" s="40" t="s">
        <v>1726</v>
      </c>
      <c r="D198" s="40" t="s">
        <v>1725</v>
      </c>
      <c r="E198" s="40" t="s">
        <v>34</v>
      </c>
      <c r="F198" s="40" t="s">
        <v>1727</v>
      </c>
      <c r="G198" s="41" t="s">
        <v>18</v>
      </c>
      <c r="H198" s="40" t="s">
        <v>19</v>
      </c>
      <c r="I198" s="40" t="s">
        <v>37</v>
      </c>
      <c r="J198" s="40" t="s">
        <v>38</v>
      </c>
      <c r="K198" s="40" t="s">
        <v>37</v>
      </c>
      <c r="L198" s="40" t="s">
        <v>37</v>
      </c>
      <c r="M198" s="40">
        <v>4.1581320000000002</v>
      </c>
      <c r="N198" s="40">
        <v>9.2700840000000007</v>
      </c>
      <c r="O198" s="40" t="s">
        <v>613</v>
      </c>
    </row>
    <row r="199" spans="1:15" x14ac:dyDescent="0.2">
      <c r="A199" s="24">
        <f t="shared" si="3"/>
        <v>197</v>
      </c>
      <c r="B199" s="40" t="s">
        <v>1767</v>
      </c>
      <c r="C199" s="40" t="s">
        <v>1768</v>
      </c>
      <c r="D199" s="40" t="s">
        <v>1767</v>
      </c>
      <c r="E199" s="40" t="s">
        <v>34</v>
      </c>
      <c r="F199" s="40" t="s">
        <v>1333</v>
      </c>
      <c r="G199" s="41" t="s">
        <v>18</v>
      </c>
      <c r="H199" s="40" t="s">
        <v>28</v>
      </c>
      <c r="I199" s="40" t="s">
        <v>37</v>
      </c>
      <c r="J199" s="40" t="s">
        <v>38</v>
      </c>
      <c r="K199" s="40" t="s">
        <v>1333</v>
      </c>
      <c r="L199" s="40" t="s">
        <v>37</v>
      </c>
      <c r="M199" s="40">
        <v>4.2267900000000003</v>
      </c>
      <c r="N199" s="40">
        <v>9.3391400000000004</v>
      </c>
      <c r="O199" s="40" t="s">
        <v>23</v>
      </c>
    </row>
    <row r="200" spans="1:15" x14ac:dyDescent="0.2">
      <c r="A200" s="24">
        <f t="shared" si="3"/>
        <v>198</v>
      </c>
      <c r="B200" s="40" t="s">
        <v>2069</v>
      </c>
      <c r="C200" s="40" t="s">
        <v>2070</v>
      </c>
      <c r="D200" s="40" t="s">
        <v>2069</v>
      </c>
      <c r="E200" s="40" t="s">
        <v>34</v>
      </c>
      <c r="F200" s="40" t="s">
        <v>2071</v>
      </c>
      <c r="G200" s="41" t="s">
        <v>18</v>
      </c>
      <c r="H200" s="40" t="s">
        <v>28</v>
      </c>
      <c r="I200" s="40" t="s">
        <v>37</v>
      </c>
      <c r="J200" s="40" t="s">
        <v>38</v>
      </c>
      <c r="K200" s="40" t="s">
        <v>37</v>
      </c>
      <c r="L200" s="40" t="s">
        <v>37</v>
      </c>
      <c r="M200" s="40">
        <v>4.1232090000000001</v>
      </c>
      <c r="N200" s="40">
        <v>9.3093489999999992</v>
      </c>
      <c r="O200" s="40" t="s">
        <v>23</v>
      </c>
    </row>
    <row r="201" spans="1:15" x14ac:dyDescent="0.2">
      <c r="A201" s="24">
        <f t="shared" si="3"/>
        <v>199</v>
      </c>
      <c r="B201" s="40" t="s">
        <v>2269</v>
      </c>
      <c r="C201" s="40" t="s">
        <v>2270</v>
      </c>
      <c r="D201" s="40" t="s">
        <v>2269</v>
      </c>
      <c r="E201" s="40" t="s">
        <v>34</v>
      </c>
      <c r="F201" s="40" t="s">
        <v>2271</v>
      </c>
      <c r="G201" s="41" t="s">
        <v>18</v>
      </c>
      <c r="H201" s="40" t="s">
        <v>19</v>
      </c>
      <c r="I201" s="40" t="s">
        <v>441</v>
      </c>
      <c r="J201" s="40" t="s">
        <v>38</v>
      </c>
      <c r="K201" s="40" t="s">
        <v>442</v>
      </c>
      <c r="L201" s="40" t="s">
        <v>37</v>
      </c>
      <c r="M201" s="40">
        <v>4.0751869999999997</v>
      </c>
      <c r="N201" s="40">
        <v>9.3678310000000007</v>
      </c>
      <c r="O201" s="40" t="s">
        <v>23</v>
      </c>
    </row>
    <row r="202" spans="1:15" x14ac:dyDescent="0.2">
      <c r="A202" s="24">
        <f t="shared" si="3"/>
        <v>200</v>
      </c>
      <c r="B202" s="40" t="s">
        <v>2331</v>
      </c>
      <c r="C202" s="40" t="s">
        <v>2332</v>
      </c>
      <c r="D202" s="40" t="s">
        <v>2331</v>
      </c>
      <c r="E202" s="40" t="s">
        <v>34</v>
      </c>
      <c r="F202" s="40" t="s">
        <v>2333</v>
      </c>
      <c r="G202" s="41" t="s">
        <v>18</v>
      </c>
      <c r="H202" s="40" t="s">
        <v>28</v>
      </c>
      <c r="I202" s="40" t="s">
        <v>37</v>
      </c>
      <c r="J202" s="40" t="s">
        <v>38</v>
      </c>
      <c r="K202" s="40" t="s">
        <v>37</v>
      </c>
      <c r="L202" s="40" t="s">
        <v>37</v>
      </c>
      <c r="M202" s="40">
        <v>4.1372150000000003</v>
      </c>
      <c r="N202" s="40">
        <v>9.2298880000000008</v>
      </c>
      <c r="O202" s="40" t="s">
        <v>23</v>
      </c>
    </row>
    <row r="203" spans="1:15" x14ac:dyDescent="0.2">
      <c r="A203" s="24">
        <f t="shared" si="3"/>
        <v>201</v>
      </c>
      <c r="B203" s="40" t="s">
        <v>2343</v>
      </c>
      <c r="C203" s="40" t="s">
        <v>2344</v>
      </c>
      <c r="D203" s="40" t="s">
        <v>2343</v>
      </c>
      <c r="E203" s="40" t="s">
        <v>34</v>
      </c>
      <c r="F203" s="40" t="s">
        <v>2345</v>
      </c>
      <c r="G203" s="41" t="s">
        <v>18</v>
      </c>
      <c r="H203" s="40" t="s">
        <v>19</v>
      </c>
      <c r="I203" s="40" t="s">
        <v>37</v>
      </c>
      <c r="J203" s="40" t="s">
        <v>38</v>
      </c>
      <c r="K203" s="40" t="s">
        <v>37</v>
      </c>
      <c r="L203" s="40" t="s">
        <v>37</v>
      </c>
      <c r="M203" s="40">
        <v>4.1579959999999998</v>
      </c>
      <c r="N203" s="40">
        <v>9.2541790000000006</v>
      </c>
      <c r="O203" s="40" t="s">
        <v>23</v>
      </c>
    </row>
    <row r="204" spans="1:15" x14ac:dyDescent="0.2">
      <c r="A204" s="24">
        <f t="shared" si="3"/>
        <v>202</v>
      </c>
      <c r="B204" s="40" t="s">
        <v>2358</v>
      </c>
      <c r="C204" s="40" t="s">
        <v>2359</v>
      </c>
      <c r="D204" s="40" t="s">
        <v>2358</v>
      </c>
      <c r="E204" s="40" t="s">
        <v>34</v>
      </c>
      <c r="F204" s="40" t="s">
        <v>2360</v>
      </c>
      <c r="G204" s="41" t="s">
        <v>18</v>
      </c>
      <c r="H204" s="40" t="s">
        <v>19</v>
      </c>
      <c r="I204" s="40" t="s">
        <v>37</v>
      </c>
      <c r="J204" s="40" t="s">
        <v>38</v>
      </c>
      <c r="K204" s="40" t="s">
        <v>37</v>
      </c>
      <c r="L204" s="40" t="s">
        <v>37</v>
      </c>
      <c r="M204" s="40">
        <v>4.1595610000000001</v>
      </c>
      <c r="N204" s="40">
        <v>9.2694109999999998</v>
      </c>
      <c r="O204" s="40" t="s">
        <v>23</v>
      </c>
    </row>
    <row r="205" spans="1:15" x14ac:dyDescent="0.2">
      <c r="A205" s="24">
        <f t="shared" si="3"/>
        <v>203</v>
      </c>
      <c r="B205" s="40" t="s">
        <v>2542</v>
      </c>
      <c r="C205" s="40" t="s">
        <v>2543</v>
      </c>
      <c r="D205" s="40" t="s">
        <v>2542</v>
      </c>
      <c r="E205" s="40" t="s">
        <v>34</v>
      </c>
      <c r="F205" s="40" t="s">
        <v>2544</v>
      </c>
      <c r="G205" s="41" t="s">
        <v>18</v>
      </c>
      <c r="H205" s="40" t="s">
        <v>28</v>
      </c>
      <c r="I205" s="40" t="s">
        <v>37</v>
      </c>
      <c r="J205" s="40" t="s">
        <v>38</v>
      </c>
      <c r="K205" s="40" t="s">
        <v>37</v>
      </c>
      <c r="L205" s="40" t="s">
        <v>37</v>
      </c>
      <c r="M205" s="40">
        <v>4.1676390000000003</v>
      </c>
      <c r="N205" s="40">
        <v>9.3018330000000002</v>
      </c>
      <c r="O205" s="40" t="s">
        <v>613</v>
      </c>
    </row>
    <row r="206" spans="1:15" x14ac:dyDescent="0.2">
      <c r="A206" s="24">
        <f t="shared" si="3"/>
        <v>204</v>
      </c>
      <c r="B206" s="40" t="s">
        <v>2548</v>
      </c>
      <c r="C206" s="40" t="s">
        <v>2549</v>
      </c>
      <c r="D206" s="40" t="s">
        <v>2548</v>
      </c>
      <c r="E206" s="40" t="s">
        <v>34</v>
      </c>
      <c r="F206" s="40" t="s">
        <v>2550</v>
      </c>
      <c r="G206" s="41" t="s">
        <v>18</v>
      </c>
      <c r="H206" s="40" t="s">
        <v>28</v>
      </c>
      <c r="I206" s="40" t="s">
        <v>37</v>
      </c>
      <c r="J206" s="40" t="s">
        <v>38</v>
      </c>
      <c r="K206" s="40" t="s">
        <v>37</v>
      </c>
      <c r="L206" s="40" t="s">
        <v>37</v>
      </c>
      <c r="M206" s="40">
        <v>4.1551669999999996</v>
      </c>
      <c r="N206" s="40">
        <v>9.2875829999999997</v>
      </c>
      <c r="O206" s="40" t="s">
        <v>23</v>
      </c>
    </row>
    <row r="207" spans="1:15" x14ac:dyDescent="0.2">
      <c r="A207" s="24">
        <f t="shared" si="3"/>
        <v>205</v>
      </c>
      <c r="B207" s="40" t="s">
        <v>2554</v>
      </c>
      <c r="C207" s="40" t="s">
        <v>2555</v>
      </c>
      <c r="D207" s="40" t="s">
        <v>2554</v>
      </c>
      <c r="E207" s="40" t="s">
        <v>34</v>
      </c>
      <c r="F207" s="40" t="s">
        <v>2556</v>
      </c>
      <c r="G207" s="41" t="s">
        <v>18</v>
      </c>
      <c r="H207" s="40" t="s">
        <v>28</v>
      </c>
      <c r="I207" s="40" t="s">
        <v>37</v>
      </c>
      <c r="J207" s="40" t="s">
        <v>38</v>
      </c>
      <c r="K207" s="40" t="s">
        <v>37</v>
      </c>
      <c r="L207" s="40" t="s">
        <v>37</v>
      </c>
      <c r="M207" s="40">
        <v>4.1539440000000001</v>
      </c>
      <c r="N207" s="40">
        <v>9.2433610000000002</v>
      </c>
      <c r="O207" s="40" t="s">
        <v>23</v>
      </c>
    </row>
    <row r="208" spans="1:15" x14ac:dyDescent="0.2">
      <c r="A208" s="24">
        <f t="shared" si="3"/>
        <v>206</v>
      </c>
      <c r="B208" s="40" t="s">
        <v>2570</v>
      </c>
      <c r="C208" s="40" t="s">
        <v>2571</v>
      </c>
      <c r="D208" s="40" t="s">
        <v>2570</v>
      </c>
      <c r="E208" s="40" t="s">
        <v>34</v>
      </c>
      <c r="F208" s="40" t="s">
        <v>2572</v>
      </c>
      <c r="G208" s="41" t="s">
        <v>18</v>
      </c>
      <c r="H208" s="40" t="s">
        <v>28</v>
      </c>
      <c r="I208" s="40" t="s">
        <v>37</v>
      </c>
      <c r="J208" s="40" t="s">
        <v>38</v>
      </c>
      <c r="K208" s="40" t="s">
        <v>37</v>
      </c>
      <c r="L208" s="40" t="s">
        <v>37</v>
      </c>
      <c r="M208" s="40">
        <v>4.1509169999999997</v>
      </c>
      <c r="N208" s="40">
        <v>9.2831670000000006</v>
      </c>
      <c r="O208" s="40" t="s">
        <v>23</v>
      </c>
    </row>
    <row r="209" spans="1:15" x14ac:dyDescent="0.2">
      <c r="A209" s="24">
        <f t="shared" si="3"/>
        <v>207</v>
      </c>
      <c r="B209" s="40" t="s">
        <v>2705</v>
      </c>
      <c r="C209" s="40" t="s">
        <v>2706</v>
      </c>
      <c r="D209" s="40" t="s">
        <v>2705</v>
      </c>
      <c r="E209" s="40" t="s">
        <v>34</v>
      </c>
      <c r="F209" s="40" t="s">
        <v>39</v>
      </c>
      <c r="G209" s="41" t="s">
        <v>18</v>
      </c>
      <c r="H209" s="40" t="s">
        <v>28</v>
      </c>
      <c r="I209" s="40" t="s">
        <v>37</v>
      </c>
      <c r="J209" s="40" t="s">
        <v>38</v>
      </c>
      <c r="K209" s="40" t="s">
        <v>39</v>
      </c>
      <c r="L209" s="40" t="s">
        <v>37</v>
      </c>
      <c r="M209" s="40">
        <v>4.2823609999999999</v>
      </c>
      <c r="N209" s="40">
        <v>9.3962219999999999</v>
      </c>
      <c r="O209" s="40" t="s">
        <v>23</v>
      </c>
    </row>
    <row r="210" spans="1:15" x14ac:dyDescent="0.2">
      <c r="A210" s="24">
        <f t="shared" si="3"/>
        <v>208</v>
      </c>
      <c r="B210" s="40" t="s">
        <v>2754</v>
      </c>
      <c r="C210" s="40" t="s">
        <v>2755</v>
      </c>
      <c r="D210" s="40" t="s">
        <v>2754</v>
      </c>
      <c r="E210" s="40" t="s">
        <v>34</v>
      </c>
      <c r="F210" s="40" t="s">
        <v>2756</v>
      </c>
      <c r="G210" s="41" t="s">
        <v>18</v>
      </c>
      <c r="H210" s="40" t="s">
        <v>28</v>
      </c>
      <c r="I210" s="40" t="s">
        <v>37</v>
      </c>
      <c r="J210" s="40" t="s">
        <v>38</v>
      </c>
      <c r="K210" s="40" t="s">
        <v>37</v>
      </c>
      <c r="L210" s="40" t="s">
        <v>37</v>
      </c>
      <c r="M210" s="40">
        <v>4.1685910000000002</v>
      </c>
      <c r="N210" s="40">
        <v>9.2498249999999995</v>
      </c>
      <c r="O210" s="40" t="s">
        <v>23</v>
      </c>
    </row>
    <row r="211" spans="1:15" x14ac:dyDescent="0.2">
      <c r="A211" s="24">
        <f t="shared" si="3"/>
        <v>209</v>
      </c>
      <c r="B211" s="40" t="s">
        <v>2874</v>
      </c>
      <c r="C211" s="40" t="s">
        <v>2875</v>
      </c>
      <c r="D211" s="40" t="s">
        <v>2874</v>
      </c>
      <c r="E211" s="40" t="s">
        <v>34</v>
      </c>
      <c r="F211" s="40" t="s">
        <v>2876</v>
      </c>
      <c r="G211" s="41" t="s">
        <v>18</v>
      </c>
      <c r="H211" s="40" t="s">
        <v>19</v>
      </c>
      <c r="I211" s="40" t="s">
        <v>441</v>
      </c>
      <c r="J211" s="40" t="s">
        <v>38</v>
      </c>
      <c r="K211" s="40" t="s">
        <v>442</v>
      </c>
      <c r="L211" s="40" t="s">
        <v>37</v>
      </c>
      <c r="M211" s="40">
        <v>4.0697799999999997</v>
      </c>
      <c r="N211" s="40">
        <v>9.3678159999999995</v>
      </c>
      <c r="O211" s="40" t="s">
        <v>23</v>
      </c>
    </row>
    <row r="212" spans="1:15" x14ac:dyDescent="0.2">
      <c r="A212" s="24">
        <f t="shared" si="3"/>
        <v>210</v>
      </c>
      <c r="B212" s="40" t="s">
        <v>2932</v>
      </c>
      <c r="C212" s="40" t="s">
        <v>2933</v>
      </c>
      <c r="D212" s="40" t="s">
        <v>2932</v>
      </c>
      <c r="E212" s="40" t="s">
        <v>34</v>
      </c>
      <c r="F212" s="40" t="s">
        <v>2934</v>
      </c>
      <c r="G212" s="41" t="s">
        <v>18</v>
      </c>
      <c r="H212" s="40" t="s">
        <v>28</v>
      </c>
      <c r="I212" s="40" t="s">
        <v>441</v>
      </c>
      <c r="J212" s="40" t="s">
        <v>38</v>
      </c>
      <c r="K212" s="40" t="s">
        <v>442</v>
      </c>
      <c r="L212" s="40" t="s">
        <v>37</v>
      </c>
      <c r="M212" s="40">
        <v>4.0749750000000002</v>
      </c>
      <c r="N212" s="40">
        <v>9.3614099999999993</v>
      </c>
      <c r="O212" s="40" t="s">
        <v>23</v>
      </c>
    </row>
    <row r="213" spans="1:15" x14ac:dyDescent="0.2">
      <c r="A213" s="24">
        <f t="shared" si="3"/>
        <v>211</v>
      </c>
      <c r="B213" s="40" t="s">
        <v>2990</v>
      </c>
      <c r="C213" s="40" t="s">
        <v>2991</v>
      </c>
      <c r="D213" s="40" t="s">
        <v>2990</v>
      </c>
      <c r="E213" s="40" t="s">
        <v>34</v>
      </c>
      <c r="F213" s="40" t="s">
        <v>2992</v>
      </c>
      <c r="G213" s="41" t="s">
        <v>18</v>
      </c>
      <c r="H213" s="40" t="s">
        <v>28</v>
      </c>
      <c r="I213" s="40" t="s">
        <v>37</v>
      </c>
      <c r="J213" s="40" t="s">
        <v>38</v>
      </c>
      <c r="K213" s="40" t="s">
        <v>37</v>
      </c>
      <c r="L213" s="40" t="s">
        <v>37</v>
      </c>
      <c r="M213" s="40">
        <v>4.1577989999999998</v>
      </c>
      <c r="N213" s="40">
        <v>9.2640589999999996</v>
      </c>
      <c r="O213" s="40" t="s">
        <v>613</v>
      </c>
    </row>
    <row r="214" spans="1:15" x14ac:dyDescent="0.2">
      <c r="A214" s="24">
        <f t="shared" si="3"/>
        <v>212</v>
      </c>
      <c r="B214" s="40" t="s">
        <v>3019</v>
      </c>
      <c r="C214" s="40" t="s">
        <v>3020</v>
      </c>
      <c r="D214" s="40" t="s">
        <v>3019</v>
      </c>
      <c r="E214" s="40" t="s">
        <v>34</v>
      </c>
      <c r="F214" s="40" t="s">
        <v>3021</v>
      </c>
      <c r="G214" s="41" t="s">
        <v>18</v>
      </c>
      <c r="H214" s="40" t="s">
        <v>28</v>
      </c>
      <c r="I214" s="40" t="s">
        <v>37</v>
      </c>
      <c r="J214" s="40" t="s">
        <v>38</v>
      </c>
      <c r="K214" s="40" t="s">
        <v>37</v>
      </c>
      <c r="L214" s="40" t="s">
        <v>37</v>
      </c>
      <c r="M214" s="40">
        <v>4.1584000000000003</v>
      </c>
      <c r="N214" s="40">
        <v>9.2934599999999996</v>
      </c>
      <c r="O214" s="40" t="s">
        <v>23</v>
      </c>
    </row>
    <row r="215" spans="1:15" x14ac:dyDescent="0.2">
      <c r="A215" s="24">
        <f t="shared" si="3"/>
        <v>213</v>
      </c>
      <c r="B215" s="40" t="s">
        <v>3138</v>
      </c>
      <c r="C215" s="40" t="s">
        <v>3139</v>
      </c>
      <c r="D215" s="40" t="s">
        <v>3138</v>
      </c>
      <c r="E215" s="40" t="s">
        <v>34</v>
      </c>
      <c r="F215" s="40" t="s">
        <v>3140</v>
      </c>
      <c r="G215" s="41" t="s">
        <v>18</v>
      </c>
      <c r="H215" s="40" t="s">
        <v>28</v>
      </c>
      <c r="I215" s="40" t="s">
        <v>37</v>
      </c>
      <c r="J215" s="40" t="s">
        <v>38</v>
      </c>
      <c r="K215" s="40" t="s">
        <v>37</v>
      </c>
      <c r="L215" s="40" t="s">
        <v>37</v>
      </c>
      <c r="M215" s="40">
        <v>4.1705560000000004</v>
      </c>
      <c r="N215" s="40">
        <v>9.2731110000000001</v>
      </c>
      <c r="O215" s="40" t="s">
        <v>23</v>
      </c>
    </row>
    <row r="216" spans="1:15" x14ac:dyDescent="0.2">
      <c r="A216" s="24">
        <f t="shared" si="3"/>
        <v>214</v>
      </c>
      <c r="B216" s="40" t="s">
        <v>3141</v>
      </c>
      <c r="C216" s="40" t="s">
        <v>3142</v>
      </c>
      <c r="D216" s="40" t="s">
        <v>3141</v>
      </c>
      <c r="E216" s="40" t="s">
        <v>34</v>
      </c>
      <c r="F216" s="40" t="s">
        <v>3143</v>
      </c>
      <c r="G216" s="41" t="s">
        <v>18</v>
      </c>
      <c r="H216" s="40" t="s">
        <v>28</v>
      </c>
      <c r="I216" s="40" t="s">
        <v>37</v>
      </c>
      <c r="J216" s="40" t="s">
        <v>38</v>
      </c>
      <c r="K216" s="40" t="s">
        <v>37</v>
      </c>
      <c r="L216" s="40" t="s">
        <v>37</v>
      </c>
      <c r="M216" s="40">
        <v>4.1496389999999996</v>
      </c>
      <c r="N216" s="40">
        <v>9.2246389999999998</v>
      </c>
      <c r="O216" s="40" t="s">
        <v>23</v>
      </c>
    </row>
    <row r="217" spans="1:15" x14ac:dyDescent="0.2">
      <c r="A217" s="24">
        <f t="shared" si="3"/>
        <v>215</v>
      </c>
      <c r="B217" s="40" t="s">
        <v>3191</v>
      </c>
      <c r="C217" s="40" t="s">
        <v>3192</v>
      </c>
      <c r="D217" s="40" t="s">
        <v>3191</v>
      </c>
      <c r="E217" s="40" t="s">
        <v>34</v>
      </c>
      <c r="F217" s="40" t="s">
        <v>3193</v>
      </c>
      <c r="G217" s="41" t="s">
        <v>18</v>
      </c>
      <c r="H217" s="40" t="s">
        <v>28</v>
      </c>
      <c r="I217" s="40" t="s">
        <v>356</v>
      </c>
      <c r="J217" s="40" t="s">
        <v>152</v>
      </c>
      <c r="K217" s="40" t="s">
        <v>2475</v>
      </c>
      <c r="L217" s="40" t="s">
        <v>37</v>
      </c>
      <c r="M217" s="40">
        <v>4.2704370000000003</v>
      </c>
      <c r="N217" s="40">
        <v>9.4467580000000009</v>
      </c>
      <c r="O217" s="40" t="s">
        <v>23</v>
      </c>
    </row>
    <row r="218" spans="1:15" x14ac:dyDescent="0.2">
      <c r="A218" s="24">
        <f t="shared" si="3"/>
        <v>216</v>
      </c>
      <c r="B218" s="40" t="s">
        <v>3353</v>
      </c>
      <c r="C218" s="40" t="s">
        <v>3354</v>
      </c>
      <c r="D218" s="40" t="s">
        <v>3353</v>
      </c>
      <c r="E218" s="40" t="s">
        <v>34</v>
      </c>
      <c r="F218" s="40" t="s">
        <v>3355</v>
      </c>
      <c r="G218" s="41" t="s">
        <v>18</v>
      </c>
      <c r="H218" s="40" t="s">
        <v>28</v>
      </c>
      <c r="I218" s="40" t="s">
        <v>441</v>
      </c>
      <c r="J218" s="40" t="s">
        <v>38</v>
      </c>
      <c r="K218" s="40" t="s">
        <v>442</v>
      </c>
      <c r="L218" s="40" t="s">
        <v>37</v>
      </c>
      <c r="M218" s="40">
        <v>4.0908300000000004</v>
      </c>
      <c r="N218" s="40">
        <v>9.3461499999999997</v>
      </c>
      <c r="O218" s="40" t="s">
        <v>23</v>
      </c>
    </row>
    <row r="219" spans="1:15" x14ac:dyDescent="0.2">
      <c r="A219" s="24">
        <f t="shared" si="3"/>
        <v>217</v>
      </c>
      <c r="B219" s="40" t="s">
        <v>3433</v>
      </c>
      <c r="C219" s="40" t="s">
        <v>3434</v>
      </c>
      <c r="D219" s="40" t="s">
        <v>3433</v>
      </c>
      <c r="E219" s="40" t="s">
        <v>34</v>
      </c>
      <c r="F219" s="40" t="s">
        <v>3435</v>
      </c>
      <c r="G219" s="41" t="s">
        <v>18</v>
      </c>
      <c r="H219" s="40" t="s">
        <v>28</v>
      </c>
      <c r="I219" s="40" t="s">
        <v>441</v>
      </c>
      <c r="J219" s="40" t="s">
        <v>38</v>
      </c>
      <c r="K219" s="40" t="s">
        <v>442</v>
      </c>
      <c r="L219" s="40" t="s">
        <v>37</v>
      </c>
      <c r="M219" s="40">
        <v>4.0935740000000003</v>
      </c>
      <c r="N219" s="40">
        <v>9.3141990000000003</v>
      </c>
      <c r="O219" s="40" t="s">
        <v>23</v>
      </c>
    </row>
    <row r="220" spans="1:15" x14ac:dyDescent="0.2">
      <c r="A220" s="24">
        <f t="shared" si="3"/>
        <v>218</v>
      </c>
      <c r="B220" s="40" t="s">
        <v>3447</v>
      </c>
      <c r="C220" s="40" t="s">
        <v>3448</v>
      </c>
      <c r="D220" s="40" t="s">
        <v>3447</v>
      </c>
      <c r="E220" s="40" t="s">
        <v>34</v>
      </c>
      <c r="F220" s="40" t="s">
        <v>3449</v>
      </c>
      <c r="G220" s="41" t="s">
        <v>18</v>
      </c>
      <c r="H220" s="40" t="s">
        <v>28</v>
      </c>
      <c r="I220" s="40" t="s">
        <v>37</v>
      </c>
      <c r="J220" s="40" t="s">
        <v>38</v>
      </c>
      <c r="K220" s="40" t="s">
        <v>37</v>
      </c>
      <c r="L220" s="40" t="s">
        <v>37</v>
      </c>
      <c r="M220" s="40">
        <v>4.1586970000000001</v>
      </c>
      <c r="N220" s="40">
        <v>9.2819149999999997</v>
      </c>
      <c r="O220" s="40" t="s">
        <v>613</v>
      </c>
    </row>
    <row r="221" spans="1:15" x14ac:dyDescent="0.2">
      <c r="A221" s="24">
        <f t="shared" si="3"/>
        <v>219</v>
      </c>
      <c r="B221" s="40" t="s">
        <v>3482</v>
      </c>
      <c r="C221" s="40" t="s">
        <v>3483</v>
      </c>
      <c r="D221" s="40" t="s">
        <v>3482</v>
      </c>
      <c r="E221" s="40" t="s">
        <v>34</v>
      </c>
      <c r="F221" s="40" t="s">
        <v>3484</v>
      </c>
      <c r="G221" s="41" t="s">
        <v>18</v>
      </c>
      <c r="H221" s="40" t="s">
        <v>28</v>
      </c>
      <c r="I221" s="40" t="s">
        <v>37</v>
      </c>
      <c r="J221" s="40" t="s">
        <v>38</v>
      </c>
      <c r="K221" s="40" t="s">
        <v>37</v>
      </c>
      <c r="L221" s="40" t="s">
        <v>37</v>
      </c>
      <c r="M221" s="40">
        <v>4.192361</v>
      </c>
      <c r="N221" s="40">
        <v>9.2783890000000007</v>
      </c>
      <c r="O221" s="40" t="s">
        <v>23</v>
      </c>
    </row>
    <row r="222" spans="1:15" x14ac:dyDescent="0.2">
      <c r="A222" s="24">
        <f t="shared" si="3"/>
        <v>220</v>
      </c>
      <c r="B222" s="40" t="s">
        <v>3515</v>
      </c>
      <c r="C222" s="40" t="s">
        <v>3516</v>
      </c>
      <c r="D222" s="40" t="s">
        <v>3515</v>
      </c>
      <c r="E222" s="40" t="s">
        <v>34</v>
      </c>
      <c r="F222" s="40" t="s">
        <v>2133</v>
      </c>
      <c r="G222" s="41" t="s">
        <v>18</v>
      </c>
      <c r="H222" s="40" t="s">
        <v>28</v>
      </c>
      <c r="I222" s="40" t="s">
        <v>37</v>
      </c>
      <c r="J222" s="40" t="s">
        <v>38</v>
      </c>
      <c r="K222" s="40" t="s">
        <v>37</v>
      </c>
      <c r="L222" s="40" t="s">
        <v>37</v>
      </c>
      <c r="M222" s="40">
        <v>4.1538069999999996</v>
      </c>
      <c r="N222" s="40">
        <v>9.3040870000000009</v>
      </c>
      <c r="O222" s="40" t="s">
        <v>23</v>
      </c>
    </row>
    <row r="223" spans="1:15" x14ac:dyDescent="0.2">
      <c r="A223" s="24">
        <f t="shared" si="3"/>
        <v>221</v>
      </c>
      <c r="B223" s="40" t="s">
        <v>3529</v>
      </c>
      <c r="C223" s="40" t="s">
        <v>3530</v>
      </c>
      <c r="D223" s="40" t="s">
        <v>3529</v>
      </c>
      <c r="E223" s="40" t="s">
        <v>34</v>
      </c>
      <c r="F223" s="40" t="s">
        <v>3531</v>
      </c>
      <c r="G223" s="41" t="s">
        <v>18</v>
      </c>
      <c r="H223" s="40" t="s">
        <v>28</v>
      </c>
      <c r="I223" s="40" t="s">
        <v>37</v>
      </c>
      <c r="J223" s="40" t="s">
        <v>38</v>
      </c>
      <c r="K223" s="40" t="s">
        <v>37</v>
      </c>
      <c r="L223" s="40" t="s">
        <v>37</v>
      </c>
      <c r="M223" s="40">
        <v>4.1537319999999998</v>
      </c>
      <c r="N223" s="40">
        <v>9.2917400000000008</v>
      </c>
      <c r="O223" s="40" t="s">
        <v>23</v>
      </c>
    </row>
    <row r="224" spans="1:15" x14ac:dyDescent="0.2">
      <c r="A224" s="24">
        <f t="shared" si="3"/>
        <v>222</v>
      </c>
      <c r="B224" s="40" t="s">
        <v>3535</v>
      </c>
      <c r="C224" s="40" t="s">
        <v>3536</v>
      </c>
      <c r="D224" s="40" t="s">
        <v>3535</v>
      </c>
      <c r="E224" s="40" t="s">
        <v>34</v>
      </c>
      <c r="F224" s="40" t="s">
        <v>3537</v>
      </c>
      <c r="G224" s="41" t="s">
        <v>18</v>
      </c>
      <c r="H224" s="40" t="s">
        <v>28</v>
      </c>
      <c r="I224" s="40" t="s">
        <v>37</v>
      </c>
      <c r="J224" s="40" t="s">
        <v>38</v>
      </c>
      <c r="K224" s="40" t="s">
        <v>37</v>
      </c>
      <c r="L224" s="40" t="s">
        <v>37</v>
      </c>
      <c r="M224" s="40">
        <v>4.1604789999999996</v>
      </c>
      <c r="N224" s="40">
        <v>9.237641</v>
      </c>
      <c r="O224" s="40" t="s">
        <v>23</v>
      </c>
    </row>
    <row r="225" spans="1:15" x14ac:dyDescent="0.2">
      <c r="A225" s="24">
        <f t="shared" si="3"/>
        <v>223</v>
      </c>
      <c r="B225" s="40" t="s">
        <v>3611</v>
      </c>
      <c r="C225" s="40" t="s">
        <v>3612</v>
      </c>
      <c r="D225" s="40" t="s">
        <v>3611</v>
      </c>
      <c r="E225" s="40" t="s">
        <v>34</v>
      </c>
      <c r="F225" s="40" t="s">
        <v>3613</v>
      </c>
      <c r="G225" s="41" t="s">
        <v>18</v>
      </c>
      <c r="H225" s="40" t="s">
        <v>28</v>
      </c>
      <c r="I225" s="40" t="s">
        <v>441</v>
      </c>
      <c r="J225" s="40" t="s">
        <v>38</v>
      </c>
      <c r="K225" s="40" t="s">
        <v>442</v>
      </c>
      <c r="L225" s="40" t="s">
        <v>37</v>
      </c>
      <c r="M225" s="40">
        <v>4.0841390000000004</v>
      </c>
      <c r="N225" s="40">
        <v>9.3573330000000006</v>
      </c>
      <c r="O225" s="40" t="s">
        <v>23</v>
      </c>
    </row>
    <row r="226" spans="1:15" x14ac:dyDescent="0.2">
      <c r="A226" s="24">
        <f t="shared" si="3"/>
        <v>224</v>
      </c>
      <c r="B226" s="40" t="s">
        <v>3624</v>
      </c>
      <c r="C226" s="40" t="s">
        <v>3625</v>
      </c>
      <c r="D226" s="40" t="s">
        <v>3624</v>
      </c>
      <c r="E226" s="40" t="s">
        <v>34</v>
      </c>
      <c r="F226" s="40" t="s">
        <v>3626</v>
      </c>
      <c r="G226" s="41" t="s">
        <v>18</v>
      </c>
      <c r="H226" s="40" t="s">
        <v>28</v>
      </c>
      <c r="I226" s="40" t="s">
        <v>37</v>
      </c>
      <c r="J226" s="40" t="s">
        <v>38</v>
      </c>
      <c r="K226" s="40" t="s">
        <v>39</v>
      </c>
      <c r="L226" s="40" t="s">
        <v>37</v>
      </c>
      <c r="M226" s="40">
        <v>4.2892780000000004</v>
      </c>
      <c r="N226" s="40">
        <v>9.4137219999999999</v>
      </c>
      <c r="O226" s="40" t="s">
        <v>23</v>
      </c>
    </row>
    <row r="227" spans="1:15" x14ac:dyDescent="0.2">
      <c r="A227" s="24">
        <f t="shared" si="3"/>
        <v>225</v>
      </c>
      <c r="B227" s="40" t="s">
        <v>3645</v>
      </c>
      <c r="C227" s="40" t="s">
        <v>3646</v>
      </c>
      <c r="D227" s="40" t="s">
        <v>3645</v>
      </c>
      <c r="E227" s="40" t="s">
        <v>34</v>
      </c>
      <c r="F227" s="40" t="s">
        <v>3647</v>
      </c>
      <c r="G227" s="41" t="s">
        <v>18</v>
      </c>
      <c r="H227" s="40" t="s">
        <v>28</v>
      </c>
      <c r="I227" s="40" t="s">
        <v>37</v>
      </c>
      <c r="J227" s="40" t="s">
        <v>38</v>
      </c>
      <c r="K227" s="40" t="s">
        <v>37</v>
      </c>
      <c r="L227" s="40" t="s">
        <v>37</v>
      </c>
      <c r="M227" s="40">
        <v>4.1488339999999999</v>
      </c>
      <c r="N227" s="40">
        <v>9.2602679999999999</v>
      </c>
      <c r="O227" s="40" t="s">
        <v>23</v>
      </c>
    </row>
    <row r="228" spans="1:15" x14ac:dyDescent="0.2">
      <c r="A228" s="24">
        <f t="shared" si="3"/>
        <v>226</v>
      </c>
      <c r="B228" s="40" t="s">
        <v>3651</v>
      </c>
      <c r="C228" s="40" t="s">
        <v>3652</v>
      </c>
      <c r="D228" s="40" t="s">
        <v>3651</v>
      </c>
      <c r="E228" s="40" t="s">
        <v>34</v>
      </c>
      <c r="F228" s="40" t="s">
        <v>3653</v>
      </c>
      <c r="G228" s="41" t="s">
        <v>18</v>
      </c>
      <c r="H228" s="40" t="s">
        <v>28</v>
      </c>
      <c r="I228" s="40" t="s">
        <v>441</v>
      </c>
      <c r="J228" s="40" t="s">
        <v>38</v>
      </c>
      <c r="K228" s="40" t="s">
        <v>442</v>
      </c>
      <c r="L228" s="40" t="s">
        <v>37</v>
      </c>
      <c r="M228" s="40">
        <v>4.0655089999999996</v>
      </c>
      <c r="N228" s="40">
        <v>9.3717740000000003</v>
      </c>
      <c r="O228" s="40" t="s">
        <v>23</v>
      </c>
    </row>
    <row r="229" spans="1:15" x14ac:dyDescent="0.2">
      <c r="A229" s="24">
        <f t="shared" si="3"/>
        <v>227</v>
      </c>
      <c r="B229" s="40" t="s">
        <v>3695</v>
      </c>
      <c r="C229" s="40" t="s">
        <v>3696</v>
      </c>
      <c r="D229" s="40" t="s">
        <v>3695</v>
      </c>
      <c r="E229" s="40" t="s">
        <v>34</v>
      </c>
      <c r="F229" s="40" t="s">
        <v>3697</v>
      </c>
      <c r="G229" s="41" t="s">
        <v>36</v>
      </c>
      <c r="H229" s="40" t="s">
        <v>28</v>
      </c>
      <c r="I229" s="40" t="s">
        <v>37</v>
      </c>
      <c r="J229" s="40" t="s">
        <v>38</v>
      </c>
      <c r="K229" s="40" t="s">
        <v>39</v>
      </c>
      <c r="L229" s="40" t="s">
        <v>37</v>
      </c>
      <c r="M229" s="40">
        <v>4.3024170000000002</v>
      </c>
      <c r="N229" s="40">
        <v>9.4290000000000003</v>
      </c>
      <c r="O229" s="40" t="s">
        <v>23</v>
      </c>
    </row>
    <row r="230" spans="1:15" x14ac:dyDescent="0.2">
      <c r="A230" s="24">
        <f t="shared" si="3"/>
        <v>228</v>
      </c>
      <c r="B230" s="40" t="s">
        <v>3722</v>
      </c>
      <c r="C230" s="40" t="s">
        <v>3723</v>
      </c>
      <c r="D230" s="40" t="s">
        <v>3722</v>
      </c>
      <c r="E230" s="40" t="s">
        <v>34</v>
      </c>
      <c r="F230" s="40" t="s">
        <v>441</v>
      </c>
      <c r="G230" s="41" t="s">
        <v>18</v>
      </c>
      <c r="H230" s="40" t="s">
        <v>19</v>
      </c>
      <c r="I230" s="40" t="s">
        <v>441</v>
      </c>
      <c r="J230" s="40" t="s">
        <v>38</v>
      </c>
      <c r="K230" s="40" t="s">
        <v>442</v>
      </c>
      <c r="L230" s="40" t="s">
        <v>37</v>
      </c>
      <c r="M230" s="40">
        <v>4.0899039999999998</v>
      </c>
      <c r="N230" s="40">
        <v>9.3190059999999999</v>
      </c>
      <c r="O230" s="40" t="s">
        <v>23</v>
      </c>
    </row>
    <row r="231" spans="1:15" x14ac:dyDescent="0.2">
      <c r="A231" s="24">
        <f t="shared" si="3"/>
        <v>229</v>
      </c>
      <c r="B231" s="40" t="s">
        <v>3754</v>
      </c>
      <c r="C231" s="40" t="s">
        <v>3755</v>
      </c>
      <c r="D231" s="40" t="s">
        <v>3754</v>
      </c>
      <c r="E231" s="40" t="s">
        <v>34</v>
      </c>
      <c r="F231" s="40" t="s">
        <v>3756</v>
      </c>
      <c r="G231" s="41" t="s">
        <v>18</v>
      </c>
      <c r="H231" s="40" t="s">
        <v>28</v>
      </c>
      <c r="I231" s="40" t="s">
        <v>37</v>
      </c>
      <c r="J231" s="40" t="s">
        <v>38</v>
      </c>
      <c r="K231" s="40" t="s">
        <v>37</v>
      </c>
      <c r="L231" s="40" t="s">
        <v>37</v>
      </c>
      <c r="M231" s="40">
        <v>4.134639</v>
      </c>
      <c r="N231" s="40">
        <v>9.2190560000000001</v>
      </c>
      <c r="O231" s="40" t="s">
        <v>23</v>
      </c>
    </row>
    <row r="232" spans="1:15" x14ac:dyDescent="0.2">
      <c r="A232" s="24">
        <f t="shared" si="3"/>
        <v>230</v>
      </c>
      <c r="B232" s="40" t="s">
        <v>3826</v>
      </c>
      <c r="C232" s="40" t="s">
        <v>3827</v>
      </c>
      <c r="D232" s="40" t="s">
        <v>3826</v>
      </c>
      <c r="E232" s="40" t="s">
        <v>34</v>
      </c>
      <c r="F232" s="40" t="s">
        <v>3828</v>
      </c>
      <c r="G232" s="41" t="s">
        <v>18</v>
      </c>
      <c r="H232" s="40" t="s">
        <v>28</v>
      </c>
      <c r="I232" s="40" t="s">
        <v>37</v>
      </c>
      <c r="J232" s="40" t="s">
        <v>38</v>
      </c>
      <c r="K232" s="40" t="s">
        <v>37</v>
      </c>
      <c r="L232" s="40" t="s">
        <v>37</v>
      </c>
      <c r="M232" s="40">
        <v>4.1433330000000002</v>
      </c>
      <c r="N232" s="40">
        <v>9.2432499999999997</v>
      </c>
      <c r="O232" s="40" t="s">
        <v>23</v>
      </c>
    </row>
    <row r="233" spans="1:15" x14ac:dyDescent="0.2">
      <c r="A233" s="24">
        <f t="shared" si="3"/>
        <v>231</v>
      </c>
      <c r="B233" s="40" t="s">
        <v>4029</v>
      </c>
      <c r="C233" s="40" t="s">
        <v>4030</v>
      </c>
      <c r="D233" s="40" t="s">
        <v>4029</v>
      </c>
      <c r="E233" s="40" t="s">
        <v>34</v>
      </c>
      <c r="F233" s="40" t="s">
        <v>4031</v>
      </c>
      <c r="G233" s="41" t="s">
        <v>18</v>
      </c>
      <c r="H233" s="40" t="s">
        <v>19</v>
      </c>
      <c r="I233" s="40" t="s">
        <v>65</v>
      </c>
      <c r="J233" s="40" t="s">
        <v>38</v>
      </c>
      <c r="K233" s="40" t="s">
        <v>649</v>
      </c>
      <c r="L233" s="40" t="s">
        <v>37</v>
      </c>
      <c r="M233" s="40">
        <v>4.211652</v>
      </c>
      <c r="N233" s="40">
        <v>8.9892730000000007</v>
      </c>
      <c r="O233" s="40" t="s">
        <v>23</v>
      </c>
    </row>
    <row r="234" spans="1:15" x14ac:dyDescent="0.2">
      <c r="A234" s="24">
        <f t="shared" si="3"/>
        <v>232</v>
      </c>
      <c r="B234" s="40" t="s">
        <v>4046</v>
      </c>
      <c r="C234" s="40" t="s">
        <v>4047</v>
      </c>
      <c r="D234" s="40" t="s">
        <v>4046</v>
      </c>
      <c r="E234" s="40" t="s">
        <v>34</v>
      </c>
      <c r="F234" s="40" t="s">
        <v>4048</v>
      </c>
      <c r="G234" s="41" t="s">
        <v>18</v>
      </c>
      <c r="H234" s="40" t="s">
        <v>28</v>
      </c>
      <c r="I234" s="40" t="s">
        <v>37</v>
      </c>
      <c r="J234" s="40" t="s">
        <v>38</v>
      </c>
      <c r="K234" s="40" t="s">
        <v>37</v>
      </c>
      <c r="L234" s="40" t="s">
        <v>37</v>
      </c>
      <c r="M234" s="40">
        <v>4.1704679999999996</v>
      </c>
      <c r="N234" s="40">
        <v>9.3013899999999996</v>
      </c>
      <c r="O234" s="40" t="s">
        <v>613</v>
      </c>
    </row>
    <row r="235" spans="1:15" x14ac:dyDescent="0.2">
      <c r="A235" s="24">
        <f t="shared" si="3"/>
        <v>233</v>
      </c>
      <c r="B235" s="40" t="s">
        <v>4115</v>
      </c>
      <c r="C235" s="40" t="s">
        <v>4116</v>
      </c>
      <c r="D235" s="40" t="s">
        <v>4115</v>
      </c>
      <c r="E235" s="40" t="s">
        <v>34</v>
      </c>
      <c r="F235" s="40" t="s">
        <v>4117</v>
      </c>
      <c r="G235" s="41" t="s">
        <v>18</v>
      </c>
      <c r="H235" s="40" t="s">
        <v>28</v>
      </c>
      <c r="I235" s="40" t="s">
        <v>441</v>
      </c>
      <c r="J235" s="40" t="s">
        <v>38</v>
      </c>
      <c r="K235" s="40" t="s">
        <v>442</v>
      </c>
      <c r="L235" s="40" t="s">
        <v>37</v>
      </c>
      <c r="M235" s="40">
        <v>4.1880480000000002</v>
      </c>
      <c r="N235" s="40">
        <v>9.4106070000000006</v>
      </c>
      <c r="O235" s="40" t="s">
        <v>23</v>
      </c>
    </row>
    <row r="236" spans="1:15" x14ac:dyDescent="0.2">
      <c r="A236" s="24">
        <f t="shared" si="3"/>
        <v>234</v>
      </c>
      <c r="B236" s="40" t="s">
        <v>4118</v>
      </c>
      <c r="C236" s="40" t="s">
        <v>4119</v>
      </c>
      <c r="D236" s="40" t="s">
        <v>4118</v>
      </c>
      <c r="E236" s="40" t="s">
        <v>34</v>
      </c>
      <c r="F236" s="40" t="s">
        <v>4120</v>
      </c>
      <c r="G236" s="41" t="s">
        <v>18</v>
      </c>
      <c r="H236" s="40" t="s">
        <v>28</v>
      </c>
      <c r="I236" s="40" t="s">
        <v>441</v>
      </c>
      <c r="J236" s="40" t="s">
        <v>38</v>
      </c>
      <c r="K236" s="40" t="s">
        <v>442</v>
      </c>
      <c r="L236" s="40" t="s">
        <v>37</v>
      </c>
      <c r="M236" s="40">
        <v>4.1328060000000004</v>
      </c>
      <c r="N236" s="40">
        <v>9.4430829999999997</v>
      </c>
      <c r="O236" s="40" t="s">
        <v>23</v>
      </c>
    </row>
    <row r="237" spans="1:15" x14ac:dyDescent="0.2">
      <c r="A237" s="24">
        <f t="shared" si="3"/>
        <v>235</v>
      </c>
      <c r="B237" s="40" t="s">
        <v>4135</v>
      </c>
      <c r="C237" s="40" t="s">
        <v>4136</v>
      </c>
      <c r="D237" s="40" t="s">
        <v>4135</v>
      </c>
      <c r="E237" s="40" t="s">
        <v>34</v>
      </c>
      <c r="F237" s="40" t="s">
        <v>4048</v>
      </c>
      <c r="G237" s="41" t="s">
        <v>18</v>
      </c>
      <c r="H237" s="40" t="s">
        <v>28</v>
      </c>
      <c r="I237" s="40" t="s">
        <v>37</v>
      </c>
      <c r="J237" s="40" t="s">
        <v>38</v>
      </c>
      <c r="K237" s="40" t="s">
        <v>37</v>
      </c>
      <c r="L237" s="40" t="s">
        <v>37</v>
      </c>
      <c r="M237" s="40">
        <v>4.1790250000000002</v>
      </c>
      <c r="N237" s="40">
        <v>9.3054659999999991</v>
      </c>
      <c r="O237" s="40" t="s">
        <v>23</v>
      </c>
    </row>
    <row r="238" spans="1:15" x14ac:dyDescent="0.2">
      <c r="A238" s="24">
        <f t="shared" si="3"/>
        <v>236</v>
      </c>
      <c r="B238" s="40" t="s">
        <v>4137</v>
      </c>
      <c r="C238" s="40" t="s">
        <v>4138</v>
      </c>
      <c r="D238" s="40" t="s">
        <v>4137</v>
      </c>
      <c r="E238" s="40" t="s">
        <v>34</v>
      </c>
      <c r="F238" s="40" t="s">
        <v>4139</v>
      </c>
      <c r="G238" s="41" t="s">
        <v>18</v>
      </c>
      <c r="H238" s="40" t="s">
        <v>19</v>
      </c>
      <c r="I238" s="40" t="s">
        <v>37</v>
      </c>
      <c r="J238" s="40" t="s">
        <v>38</v>
      </c>
      <c r="K238" s="40" t="s">
        <v>39</v>
      </c>
      <c r="L238" s="40" t="s">
        <v>37</v>
      </c>
      <c r="M238" s="40">
        <v>4.2992780000000002</v>
      </c>
      <c r="N238" s="40">
        <v>9.4153889999999993</v>
      </c>
      <c r="O238" s="40" t="s">
        <v>23</v>
      </c>
    </row>
    <row r="239" spans="1:15" x14ac:dyDescent="0.2">
      <c r="A239" s="24">
        <f t="shared" si="3"/>
        <v>237</v>
      </c>
      <c r="B239" s="40" t="s">
        <v>4168</v>
      </c>
      <c r="C239" s="40" t="s">
        <v>4169</v>
      </c>
      <c r="D239" s="40" t="s">
        <v>4168</v>
      </c>
      <c r="E239" s="40" t="s">
        <v>34</v>
      </c>
      <c r="F239" s="40" t="s">
        <v>4170</v>
      </c>
      <c r="G239" s="41" t="s">
        <v>18</v>
      </c>
      <c r="H239" s="40" t="s">
        <v>28</v>
      </c>
      <c r="I239" s="40" t="s">
        <v>37</v>
      </c>
      <c r="J239" s="40" t="s">
        <v>38</v>
      </c>
      <c r="K239" s="40" t="s">
        <v>37</v>
      </c>
      <c r="L239" s="40" t="s">
        <v>37</v>
      </c>
      <c r="M239" s="40">
        <v>4.1587180000000004</v>
      </c>
      <c r="N239" s="40">
        <v>9.3043560000000003</v>
      </c>
      <c r="O239" s="40" t="s">
        <v>23</v>
      </c>
    </row>
    <row r="240" spans="1:15" x14ac:dyDescent="0.2">
      <c r="A240" s="24">
        <f t="shared" si="3"/>
        <v>238</v>
      </c>
      <c r="B240" s="40" t="s">
        <v>4235</v>
      </c>
      <c r="C240" s="40" t="s">
        <v>4236</v>
      </c>
      <c r="D240" s="40" t="s">
        <v>4235</v>
      </c>
      <c r="E240" s="40" t="s">
        <v>34</v>
      </c>
      <c r="F240" s="40" t="s">
        <v>4237</v>
      </c>
      <c r="G240" s="41" t="s">
        <v>18</v>
      </c>
      <c r="H240" s="40" t="s">
        <v>28</v>
      </c>
      <c r="I240" s="40" t="s">
        <v>37</v>
      </c>
      <c r="J240" s="40" t="s">
        <v>38</v>
      </c>
      <c r="K240" s="40" t="s">
        <v>37</v>
      </c>
      <c r="L240" s="40" t="s">
        <v>37</v>
      </c>
      <c r="M240" s="40">
        <v>4.1523890000000003</v>
      </c>
      <c r="N240" s="40">
        <v>9.3001310000000004</v>
      </c>
      <c r="O240" s="40" t="s">
        <v>23</v>
      </c>
    </row>
    <row r="241" spans="1:15" x14ac:dyDescent="0.2">
      <c r="A241" s="24">
        <f t="shared" si="3"/>
        <v>239</v>
      </c>
      <c r="B241" s="40" t="s">
        <v>4400</v>
      </c>
      <c r="C241" s="40" t="s">
        <v>4401</v>
      </c>
      <c r="D241" s="40" t="s">
        <v>4400</v>
      </c>
      <c r="E241" s="40" t="s">
        <v>34</v>
      </c>
      <c r="F241" s="40" t="s">
        <v>4402</v>
      </c>
      <c r="G241" s="41" t="s">
        <v>18</v>
      </c>
      <c r="H241" s="40" t="s">
        <v>19</v>
      </c>
      <c r="I241" s="40" t="s">
        <v>441</v>
      </c>
      <c r="J241" s="40" t="s">
        <v>38</v>
      </c>
      <c r="K241" s="40" t="s">
        <v>442</v>
      </c>
      <c r="L241" s="40" t="s">
        <v>37</v>
      </c>
      <c r="M241" s="40">
        <v>4.0906190000000002</v>
      </c>
      <c r="N241" s="40">
        <v>9.3171689999999998</v>
      </c>
      <c r="O241" s="40" t="s">
        <v>23</v>
      </c>
    </row>
    <row r="242" spans="1:15" x14ac:dyDescent="0.2">
      <c r="A242" s="24">
        <f t="shared" si="3"/>
        <v>240</v>
      </c>
      <c r="B242" s="40" t="s">
        <v>5496</v>
      </c>
      <c r="C242" s="40" t="s">
        <v>5497</v>
      </c>
      <c r="D242" s="40" t="s">
        <v>5496</v>
      </c>
      <c r="E242" s="40" t="s">
        <v>34</v>
      </c>
      <c r="F242" s="40" t="s">
        <v>5498</v>
      </c>
      <c r="G242" s="41" t="s">
        <v>18</v>
      </c>
      <c r="H242" s="40" t="s">
        <v>28</v>
      </c>
      <c r="I242" s="40" t="s">
        <v>441</v>
      </c>
      <c r="J242" s="40" t="s">
        <v>38</v>
      </c>
      <c r="K242" s="40" t="s">
        <v>442</v>
      </c>
      <c r="L242" s="40" t="s">
        <v>37</v>
      </c>
      <c r="M242" s="40">
        <v>4.0880429999999999</v>
      </c>
      <c r="N242" s="40">
        <v>9.3507379999999998</v>
      </c>
      <c r="O242" s="40" t="s">
        <v>613</v>
      </c>
    </row>
    <row r="243" spans="1:15" x14ac:dyDescent="0.2">
      <c r="A243" s="24">
        <f t="shared" si="3"/>
        <v>241</v>
      </c>
      <c r="B243" s="40" t="s">
        <v>5924</v>
      </c>
      <c r="C243" s="40" t="s">
        <v>5925</v>
      </c>
      <c r="D243" s="40" t="s">
        <v>5924</v>
      </c>
      <c r="E243" s="40" t="s">
        <v>34</v>
      </c>
      <c r="F243" s="40" t="s">
        <v>5926</v>
      </c>
      <c r="G243" s="41" t="s">
        <v>18</v>
      </c>
      <c r="H243" s="40" t="s">
        <v>28</v>
      </c>
      <c r="I243" s="40" t="s">
        <v>37</v>
      </c>
      <c r="J243" s="40" t="s">
        <v>38</v>
      </c>
      <c r="K243" s="40" t="s">
        <v>39</v>
      </c>
      <c r="L243" s="40" t="s">
        <v>37</v>
      </c>
      <c r="M243" s="40">
        <v>4.4011500000000003</v>
      </c>
      <c r="N243" s="40">
        <v>9.2701700000000002</v>
      </c>
      <c r="O243" s="40" t="s">
        <v>23</v>
      </c>
    </row>
    <row r="244" spans="1:15" x14ac:dyDescent="0.2">
      <c r="A244" s="24">
        <f t="shared" si="3"/>
        <v>242</v>
      </c>
      <c r="B244" s="40" t="s">
        <v>6003</v>
      </c>
      <c r="C244" s="40" t="s">
        <v>6004</v>
      </c>
      <c r="D244" s="40" t="s">
        <v>6003</v>
      </c>
      <c r="E244" s="40" t="s">
        <v>34</v>
      </c>
      <c r="F244" s="40" t="s">
        <v>6005</v>
      </c>
      <c r="G244" s="41" t="s">
        <v>18</v>
      </c>
      <c r="H244" s="40" t="s">
        <v>28</v>
      </c>
      <c r="I244" s="40" t="s">
        <v>441</v>
      </c>
      <c r="J244" s="40" t="s">
        <v>38</v>
      </c>
      <c r="K244" s="40" t="s">
        <v>442</v>
      </c>
      <c r="L244" s="40" t="s">
        <v>37</v>
      </c>
      <c r="M244" s="40">
        <v>4.1330200000000001</v>
      </c>
      <c r="N244" s="40">
        <v>9.4644879999999993</v>
      </c>
      <c r="O244" s="40" t="s">
        <v>23</v>
      </c>
    </row>
    <row r="245" spans="1:15" x14ac:dyDescent="0.2">
      <c r="A245" s="24">
        <f t="shared" si="3"/>
        <v>243</v>
      </c>
      <c r="B245" s="40" t="s">
        <v>6006</v>
      </c>
      <c r="C245" s="40" t="s">
        <v>6007</v>
      </c>
      <c r="D245" s="40" t="s">
        <v>6006</v>
      </c>
      <c r="E245" s="40" t="s">
        <v>34</v>
      </c>
      <c r="F245" s="40" t="s">
        <v>6008</v>
      </c>
      <c r="G245" s="41" t="s">
        <v>18</v>
      </c>
      <c r="H245" s="40" t="s">
        <v>28</v>
      </c>
      <c r="I245" s="40" t="s">
        <v>458</v>
      </c>
      <c r="J245" s="40" t="s">
        <v>459</v>
      </c>
      <c r="K245" s="40" t="s">
        <v>190</v>
      </c>
      <c r="L245" s="40" t="s">
        <v>37</v>
      </c>
      <c r="M245" s="40">
        <v>4.5040833300000003</v>
      </c>
      <c r="N245" s="40">
        <v>9.0225277800000008</v>
      </c>
      <c r="O245" s="40" t="s">
        <v>23</v>
      </c>
    </row>
    <row r="246" spans="1:15" x14ac:dyDescent="0.2">
      <c r="A246" s="24">
        <f t="shared" si="3"/>
        <v>244</v>
      </c>
      <c r="B246" s="40" t="s">
        <v>6037</v>
      </c>
      <c r="C246" s="40" t="s">
        <v>6038</v>
      </c>
      <c r="D246" s="40" t="s">
        <v>6037</v>
      </c>
      <c r="E246" s="40" t="s">
        <v>34</v>
      </c>
      <c r="F246" s="40" t="s">
        <v>6039</v>
      </c>
      <c r="G246" s="41" t="s">
        <v>18</v>
      </c>
      <c r="H246" s="40" t="s">
        <v>28</v>
      </c>
      <c r="I246" s="40" t="s">
        <v>441</v>
      </c>
      <c r="J246" s="40" t="s">
        <v>38</v>
      </c>
      <c r="K246" s="40" t="s">
        <v>442</v>
      </c>
      <c r="L246" s="40" t="s">
        <v>37</v>
      </c>
      <c r="M246" s="40">
        <v>4.1253859999999998</v>
      </c>
      <c r="N246" s="40">
        <v>9.4067679999999996</v>
      </c>
      <c r="O246" s="40" t="s">
        <v>23</v>
      </c>
    </row>
    <row r="247" spans="1:15" x14ac:dyDescent="0.2">
      <c r="A247" s="24">
        <f t="shared" si="3"/>
        <v>245</v>
      </c>
      <c r="B247" s="40" t="s">
        <v>6043</v>
      </c>
      <c r="C247" s="40" t="s">
        <v>6044</v>
      </c>
      <c r="D247" s="40" t="s">
        <v>6043</v>
      </c>
      <c r="E247" s="40" t="s">
        <v>34</v>
      </c>
      <c r="F247" s="40" t="s">
        <v>6045</v>
      </c>
      <c r="G247" s="41" t="s">
        <v>18</v>
      </c>
      <c r="H247" s="40" t="s">
        <v>28</v>
      </c>
      <c r="I247" s="40" t="s">
        <v>65</v>
      </c>
      <c r="J247" s="40" t="s">
        <v>38</v>
      </c>
      <c r="K247" s="40" t="s">
        <v>649</v>
      </c>
      <c r="L247" s="40" t="s">
        <v>37</v>
      </c>
      <c r="M247" s="40">
        <v>4.3010555559999997</v>
      </c>
      <c r="N247" s="40">
        <v>9.0648888890000006</v>
      </c>
      <c r="O247" s="40" t="s">
        <v>23</v>
      </c>
    </row>
    <row r="248" spans="1:15" x14ac:dyDescent="0.2">
      <c r="A248" s="24">
        <f t="shared" si="3"/>
        <v>246</v>
      </c>
      <c r="B248" s="40" t="s">
        <v>6529</v>
      </c>
      <c r="C248" s="40" t="s">
        <v>6530</v>
      </c>
      <c r="D248" s="40" t="s">
        <v>6529</v>
      </c>
      <c r="E248" s="40" t="s">
        <v>34</v>
      </c>
      <c r="F248" s="40" t="s">
        <v>6531</v>
      </c>
      <c r="G248" s="41" t="s">
        <v>18</v>
      </c>
      <c r="H248" s="40" t="s">
        <v>28</v>
      </c>
      <c r="I248" s="40" t="s">
        <v>458</v>
      </c>
      <c r="J248" s="40" t="s">
        <v>459</v>
      </c>
      <c r="K248" s="40" t="s">
        <v>190</v>
      </c>
      <c r="L248" s="40" t="s">
        <v>37</v>
      </c>
      <c r="M248" s="40">
        <v>4.438722222</v>
      </c>
      <c r="N248" s="40">
        <v>8.9601944440000008</v>
      </c>
      <c r="O248" s="40" t="s">
        <v>23</v>
      </c>
    </row>
    <row r="249" spans="1:15" x14ac:dyDescent="0.2">
      <c r="A249" s="24">
        <f t="shared" si="3"/>
        <v>247</v>
      </c>
      <c r="B249" s="40" t="s">
        <v>6631</v>
      </c>
      <c r="C249" s="40" t="s">
        <v>6632</v>
      </c>
      <c r="D249" s="40" t="s">
        <v>6631</v>
      </c>
      <c r="E249" s="40" t="s">
        <v>34</v>
      </c>
      <c r="F249" s="40" t="s">
        <v>6633</v>
      </c>
      <c r="G249" s="41" t="s">
        <v>18</v>
      </c>
      <c r="H249" s="40" t="s">
        <v>28</v>
      </c>
      <c r="I249" s="40" t="s">
        <v>37</v>
      </c>
      <c r="J249" s="40" t="s">
        <v>38</v>
      </c>
      <c r="K249" s="40" t="s">
        <v>1333</v>
      </c>
      <c r="L249" s="40" t="s">
        <v>37</v>
      </c>
      <c r="M249" s="40">
        <v>4.2237609999999997</v>
      </c>
      <c r="N249" s="40">
        <v>9.3354060000000008</v>
      </c>
      <c r="O249" s="40" t="s">
        <v>23</v>
      </c>
    </row>
    <row r="250" spans="1:15" x14ac:dyDescent="0.2">
      <c r="A250" s="24">
        <f t="shared" si="3"/>
        <v>248</v>
      </c>
      <c r="B250" s="40" t="s">
        <v>6643</v>
      </c>
      <c r="C250" s="40" t="s">
        <v>6644</v>
      </c>
      <c r="D250" s="40" t="s">
        <v>6643</v>
      </c>
      <c r="E250" s="40" t="s">
        <v>34</v>
      </c>
      <c r="F250" s="40" t="s">
        <v>6645</v>
      </c>
      <c r="G250" s="41" t="s">
        <v>18</v>
      </c>
      <c r="H250" s="40" t="s">
        <v>28</v>
      </c>
      <c r="I250" s="40" t="s">
        <v>37</v>
      </c>
      <c r="J250" s="40" t="s">
        <v>38</v>
      </c>
      <c r="K250" s="40" t="s">
        <v>37</v>
      </c>
      <c r="L250" s="40" t="s">
        <v>37</v>
      </c>
      <c r="M250" s="40">
        <v>4.1500500000000002</v>
      </c>
      <c r="N250" s="40">
        <v>9.2297600000000006</v>
      </c>
      <c r="O250" s="40" t="s">
        <v>613</v>
      </c>
    </row>
    <row r="251" spans="1:15" x14ac:dyDescent="0.2">
      <c r="A251" s="24">
        <f t="shared" si="3"/>
        <v>249</v>
      </c>
      <c r="B251" s="40" t="s">
        <v>6702</v>
      </c>
      <c r="C251" s="40" t="s">
        <v>6703</v>
      </c>
      <c r="D251" s="40" t="s">
        <v>6702</v>
      </c>
      <c r="E251" s="40" t="s">
        <v>34</v>
      </c>
      <c r="F251" s="40" t="s">
        <v>6704</v>
      </c>
      <c r="G251" s="41" t="s">
        <v>18</v>
      </c>
      <c r="H251" s="40" t="s">
        <v>28</v>
      </c>
      <c r="I251" s="40" t="s">
        <v>37</v>
      </c>
      <c r="J251" s="40" t="s">
        <v>38</v>
      </c>
      <c r="K251" s="40" t="s">
        <v>37</v>
      </c>
      <c r="L251" s="40" t="s">
        <v>37</v>
      </c>
      <c r="M251" s="40">
        <v>4.1595599999999999</v>
      </c>
      <c r="N251" s="40">
        <v>9.2867219999999993</v>
      </c>
      <c r="O251" s="40" t="s">
        <v>23</v>
      </c>
    </row>
    <row r="252" spans="1:15" x14ac:dyDescent="0.2">
      <c r="A252" s="24">
        <f t="shared" si="3"/>
        <v>250</v>
      </c>
      <c r="B252" s="40" t="s">
        <v>6755</v>
      </c>
      <c r="C252" s="40" t="s">
        <v>6756</v>
      </c>
      <c r="D252" s="40" t="s">
        <v>6755</v>
      </c>
      <c r="E252" s="40" t="s">
        <v>34</v>
      </c>
      <c r="F252" s="40" t="s">
        <v>6757</v>
      </c>
      <c r="G252" s="41" t="s">
        <v>18</v>
      </c>
      <c r="H252" s="40" t="s">
        <v>28</v>
      </c>
      <c r="I252" s="40" t="s">
        <v>37</v>
      </c>
      <c r="J252" s="40" t="s">
        <v>38</v>
      </c>
      <c r="K252" s="40" t="s">
        <v>37</v>
      </c>
      <c r="L252" s="40" t="s">
        <v>37</v>
      </c>
      <c r="M252" s="40">
        <v>4.1471099999999996</v>
      </c>
      <c r="N252" s="40">
        <v>9.2881800000000005</v>
      </c>
      <c r="O252" s="40" t="s">
        <v>23</v>
      </c>
    </row>
    <row r="253" spans="1:15" x14ac:dyDescent="0.2">
      <c r="A253" s="24">
        <f t="shared" si="3"/>
        <v>251</v>
      </c>
      <c r="B253" s="40" t="s">
        <v>6764</v>
      </c>
      <c r="C253" s="40" t="s">
        <v>6765</v>
      </c>
      <c r="D253" s="40" t="s">
        <v>6764</v>
      </c>
      <c r="E253" s="40" t="s">
        <v>34</v>
      </c>
      <c r="F253" s="40" t="s">
        <v>6766</v>
      </c>
      <c r="G253" s="41" t="s">
        <v>18</v>
      </c>
      <c r="H253" s="40" t="s">
        <v>28</v>
      </c>
      <c r="I253" s="40" t="s">
        <v>37</v>
      </c>
      <c r="J253" s="40" t="s">
        <v>38</v>
      </c>
      <c r="K253" s="40" t="s">
        <v>37</v>
      </c>
      <c r="L253" s="40" t="s">
        <v>37</v>
      </c>
      <c r="M253" s="40">
        <v>4.154083</v>
      </c>
      <c r="N253" s="40">
        <v>9.2770279999999996</v>
      </c>
      <c r="O253" s="40" t="s">
        <v>613</v>
      </c>
    </row>
    <row r="254" spans="1:15" x14ac:dyDescent="0.2">
      <c r="A254" s="24">
        <f t="shared" si="3"/>
        <v>252</v>
      </c>
      <c r="B254" s="40" t="s">
        <v>7133</v>
      </c>
      <c r="C254" s="40" t="s">
        <v>7134</v>
      </c>
      <c r="D254" s="40" t="s">
        <v>7133</v>
      </c>
      <c r="E254" s="40" t="s">
        <v>34</v>
      </c>
      <c r="F254" s="40" t="s">
        <v>7135</v>
      </c>
      <c r="G254" s="41" t="s">
        <v>18</v>
      </c>
      <c r="H254" s="40" t="s">
        <v>28</v>
      </c>
      <c r="I254" s="40" t="s">
        <v>37</v>
      </c>
      <c r="J254" s="40" t="s">
        <v>7063</v>
      </c>
      <c r="K254" s="40" t="s">
        <v>37</v>
      </c>
      <c r="L254" s="40" t="s">
        <v>37</v>
      </c>
      <c r="M254" s="40">
        <v>4.1482700000000001</v>
      </c>
      <c r="N254" s="40">
        <v>9.2940699999999996</v>
      </c>
      <c r="O254" s="40" t="s">
        <v>613</v>
      </c>
    </row>
    <row r="255" spans="1:15" x14ac:dyDescent="0.2">
      <c r="A255" s="24">
        <f t="shared" si="3"/>
        <v>253</v>
      </c>
      <c r="B255" s="40" t="s">
        <v>7165</v>
      </c>
      <c r="C255" s="40" t="s">
        <v>7166</v>
      </c>
      <c r="D255" s="40" t="s">
        <v>7165</v>
      </c>
      <c r="E255" s="40" t="s">
        <v>34</v>
      </c>
      <c r="F255" s="40" t="s">
        <v>7167</v>
      </c>
      <c r="G255" s="41" t="s">
        <v>18</v>
      </c>
      <c r="H255" s="40" t="s">
        <v>28</v>
      </c>
      <c r="I255" s="40" t="s">
        <v>37</v>
      </c>
      <c r="J255" s="40" t="s">
        <v>7063</v>
      </c>
      <c r="K255" s="40" t="s">
        <v>37</v>
      </c>
      <c r="L255" s="40" t="s">
        <v>37</v>
      </c>
      <c r="M255" s="40">
        <v>4.1570549999999997</v>
      </c>
      <c r="N255" s="40">
        <v>9.2855469999999993</v>
      </c>
      <c r="O255" s="40" t="s">
        <v>613</v>
      </c>
    </row>
    <row r="256" spans="1:15" x14ac:dyDescent="0.2">
      <c r="A256" s="24">
        <f t="shared" si="3"/>
        <v>254</v>
      </c>
      <c r="B256" s="40" t="s">
        <v>7339</v>
      </c>
      <c r="C256" s="40" t="s">
        <v>7340</v>
      </c>
      <c r="D256" s="40" t="s">
        <v>7339</v>
      </c>
      <c r="E256" s="40" t="s">
        <v>34</v>
      </c>
      <c r="F256" s="40" t="s">
        <v>7341</v>
      </c>
      <c r="G256" s="41" t="s">
        <v>18</v>
      </c>
      <c r="H256" s="40" t="s">
        <v>28</v>
      </c>
      <c r="I256" s="40" t="s">
        <v>441</v>
      </c>
      <c r="J256" s="40" t="s">
        <v>7063</v>
      </c>
      <c r="K256" s="40" t="s">
        <v>2271</v>
      </c>
      <c r="L256" s="40" t="s">
        <v>37</v>
      </c>
      <c r="M256" s="40">
        <v>4.1849400000000001</v>
      </c>
      <c r="N256" s="40">
        <v>9.4735899999999997</v>
      </c>
      <c r="O256" s="40" t="s">
        <v>23</v>
      </c>
    </row>
    <row r="257" spans="1:15" x14ac:dyDescent="0.2">
      <c r="A257" s="24">
        <f t="shared" si="3"/>
        <v>255</v>
      </c>
      <c r="B257" s="40" t="s">
        <v>951</v>
      </c>
      <c r="C257" s="40" t="s">
        <v>952</v>
      </c>
      <c r="D257" s="40" t="s">
        <v>951</v>
      </c>
      <c r="E257" s="40" t="s">
        <v>34</v>
      </c>
      <c r="F257" s="40" t="s">
        <v>953</v>
      </c>
      <c r="G257" s="41" t="s">
        <v>18</v>
      </c>
      <c r="H257" s="40" t="s">
        <v>28</v>
      </c>
      <c r="I257" s="40" t="s">
        <v>441</v>
      </c>
      <c r="J257" s="40" t="s">
        <v>38</v>
      </c>
      <c r="K257" s="40" t="s">
        <v>442</v>
      </c>
      <c r="L257" s="40" t="s">
        <v>55</v>
      </c>
      <c r="M257" s="40">
        <v>4.1451529999999996</v>
      </c>
      <c r="N257" s="40">
        <v>9.5065469999999994</v>
      </c>
      <c r="O257" s="40" t="s">
        <v>23</v>
      </c>
    </row>
    <row r="258" spans="1:15" x14ac:dyDescent="0.2">
      <c r="A258" s="24">
        <f t="shared" si="3"/>
        <v>256</v>
      </c>
      <c r="B258" s="40" t="s">
        <v>3710</v>
      </c>
      <c r="C258" s="40" t="s">
        <v>3711</v>
      </c>
      <c r="D258" s="40" t="s">
        <v>3710</v>
      </c>
      <c r="E258" s="40" t="s">
        <v>34</v>
      </c>
      <c r="F258" s="40" t="s">
        <v>3712</v>
      </c>
      <c r="G258" s="41" t="s">
        <v>18</v>
      </c>
      <c r="H258" s="40" t="s">
        <v>28</v>
      </c>
      <c r="I258" s="40" t="s">
        <v>356</v>
      </c>
      <c r="J258" s="40" t="s">
        <v>152</v>
      </c>
      <c r="K258" s="40" t="s">
        <v>424</v>
      </c>
      <c r="L258" s="40" t="s">
        <v>55</v>
      </c>
      <c r="M258" s="40">
        <v>4.2341449999999998</v>
      </c>
      <c r="N258" s="40">
        <v>9.6163720000000001</v>
      </c>
      <c r="O258" s="40" t="s">
        <v>23</v>
      </c>
    </row>
    <row r="259" spans="1:15" x14ac:dyDescent="0.2">
      <c r="A259" s="24">
        <f t="shared" si="3"/>
        <v>257</v>
      </c>
      <c r="B259" s="40" t="s">
        <v>4658</v>
      </c>
      <c r="C259" s="40" t="s">
        <v>4659</v>
      </c>
      <c r="D259" s="40" t="s">
        <v>4658</v>
      </c>
      <c r="E259" s="40" t="s">
        <v>34</v>
      </c>
      <c r="F259" s="40" t="s">
        <v>4660</v>
      </c>
      <c r="G259" s="41" t="s">
        <v>18</v>
      </c>
      <c r="H259" s="40" t="s">
        <v>19</v>
      </c>
      <c r="I259" s="40" t="s">
        <v>356</v>
      </c>
      <c r="J259" s="40" t="s">
        <v>152</v>
      </c>
      <c r="K259" s="40" t="s">
        <v>4661</v>
      </c>
      <c r="L259" s="40" t="s">
        <v>55</v>
      </c>
      <c r="M259" s="40">
        <v>4.2418649999999998</v>
      </c>
      <c r="N259" s="40">
        <v>9.6093740000000007</v>
      </c>
      <c r="O259" s="40" t="s">
        <v>23</v>
      </c>
    </row>
    <row r="260" spans="1:15" x14ac:dyDescent="0.2">
      <c r="A260" s="24">
        <f t="shared" si="3"/>
        <v>258</v>
      </c>
      <c r="B260" s="40" t="s">
        <v>4778</v>
      </c>
      <c r="C260" s="40" t="s">
        <v>4779</v>
      </c>
      <c r="D260" s="40" t="s">
        <v>4778</v>
      </c>
      <c r="E260" s="40" t="s">
        <v>34</v>
      </c>
      <c r="F260" s="40" t="s">
        <v>4780</v>
      </c>
      <c r="G260" s="41" t="s">
        <v>18</v>
      </c>
      <c r="H260" s="40" t="s">
        <v>28</v>
      </c>
      <c r="I260" s="40" t="s">
        <v>356</v>
      </c>
      <c r="J260" s="40" t="s">
        <v>152</v>
      </c>
      <c r="K260" s="40" t="s">
        <v>4661</v>
      </c>
      <c r="L260" s="40" t="s">
        <v>55</v>
      </c>
      <c r="M260" s="40">
        <v>4.3582799999999997</v>
      </c>
      <c r="N260" s="40">
        <v>9.7448999999999995</v>
      </c>
      <c r="O260" s="40" t="s">
        <v>23</v>
      </c>
    </row>
    <row r="261" spans="1:15" x14ac:dyDescent="0.2">
      <c r="A261" s="24">
        <f t="shared" ref="A261:A324" si="4">1+A260</f>
        <v>259</v>
      </c>
      <c r="B261" s="40" t="s">
        <v>6863</v>
      </c>
      <c r="C261" s="40" t="s">
        <v>6864</v>
      </c>
      <c r="D261" s="40" t="s">
        <v>6863</v>
      </c>
      <c r="E261" s="40" t="s">
        <v>34</v>
      </c>
      <c r="F261" s="40" t="s">
        <v>6865</v>
      </c>
      <c r="G261" s="41" t="s">
        <v>18</v>
      </c>
      <c r="H261" s="40" t="s">
        <v>28</v>
      </c>
      <c r="I261" s="40" t="s">
        <v>441</v>
      </c>
      <c r="J261" s="40" t="s">
        <v>38</v>
      </c>
      <c r="K261" s="40" t="s">
        <v>442</v>
      </c>
      <c r="L261" s="40" t="s">
        <v>55</v>
      </c>
      <c r="M261" s="40">
        <v>4.1619000000000002</v>
      </c>
      <c r="N261" s="40">
        <v>9.5037690000000001</v>
      </c>
      <c r="O261" s="40" t="s">
        <v>23</v>
      </c>
    </row>
    <row r="262" spans="1:15" x14ac:dyDescent="0.2">
      <c r="A262" s="24">
        <f t="shared" si="4"/>
        <v>260</v>
      </c>
      <c r="B262" s="40" t="s">
        <v>519</v>
      </c>
      <c r="C262" s="40" t="s">
        <v>520</v>
      </c>
      <c r="D262" s="40" t="s">
        <v>519</v>
      </c>
      <c r="E262" s="40" t="s">
        <v>131</v>
      </c>
      <c r="F262" s="40" t="s">
        <v>521</v>
      </c>
      <c r="G262" s="41" t="s">
        <v>18</v>
      </c>
      <c r="H262" s="40" t="s">
        <v>19</v>
      </c>
      <c r="I262" s="40" t="s">
        <v>522</v>
      </c>
      <c r="J262" s="40" t="s">
        <v>246</v>
      </c>
      <c r="K262" s="40" t="s">
        <v>523</v>
      </c>
      <c r="L262" s="40" t="s">
        <v>7744</v>
      </c>
      <c r="M262" s="40">
        <v>5.4597499999999997</v>
      </c>
      <c r="N262" s="40">
        <v>9.9453055559999992</v>
      </c>
      <c r="O262" s="40" t="s">
        <v>23</v>
      </c>
    </row>
    <row r="263" spans="1:15" x14ac:dyDescent="0.2">
      <c r="A263" s="24">
        <f t="shared" si="4"/>
        <v>261</v>
      </c>
      <c r="B263" s="40" t="s">
        <v>789</v>
      </c>
      <c r="C263" s="40" t="s">
        <v>790</v>
      </c>
      <c r="D263" s="40" t="s">
        <v>789</v>
      </c>
      <c r="E263" s="40" t="s">
        <v>131</v>
      </c>
      <c r="F263" s="40" t="s">
        <v>791</v>
      </c>
      <c r="G263" s="41" t="s">
        <v>18</v>
      </c>
      <c r="H263" s="40" t="s">
        <v>28</v>
      </c>
      <c r="I263" s="40" t="s">
        <v>522</v>
      </c>
      <c r="J263" s="40" t="s">
        <v>792</v>
      </c>
      <c r="K263" s="40" t="s">
        <v>793</v>
      </c>
      <c r="L263" s="40" t="s">
        <v>7744</v>
      </c>
      <c r="M263" s="40">
        <v>5.4916972222222222</v>
      </c>
      <c r="N263" s="40">
        <v>9.8496083333333342</v>
      </c>
      <c r="O263" s="40" t="s">
        <v>23</v>
      </c>
    </row>
    <row r="264" spans="1:15" x14ac:dyDescent="0.2">
      <c r="A264" s="24">
        <f t="shared" si="4"/>
        <v>262</v>
      </c>
      <c r="B264" s="40" t="s">
        <v>1044</v>
      </c>
      <c r="C264" s="40" t="s">
        <v>1045</v>
      </c>
      <c r="D264" s="40" t="s">
        <v>1044</v>
      </c>
      <c r="E264" s="40" t="s">
        <v>26</v>
      </c>
      <c r="F264" s="40" t="s">
        <v>1046</v>
      </c>
      <c r="G264" s="41" t="s">
        <v>36</v>
      </c>
      <c r="H264" s="40" t="s">
        <v>28</v>
      </c>
      <c r="I264" s="40" t="s">
        <v>241</v>
      </c>
      <c r="J264" s="40" t="s">
        <v>365</v>
      </c>
      <c r="K264" s="40" t="s">
        <v>1047</v>
      </c>
      <c r="L264" s="40" t="s">
        <v>7744</v>
      </c>
      <c r="M264" s="40">
        <v>5.7041111109999996</v>
      </c>
      <c r="N264" s="40">
        <v>9.9773333330000007</v>
      </c>
      <c r="O264" s="40" t="s">
        <v>23</v>
      </c>
    </row>
    <row r="265" spans="1:15" x14ac:dyDescent="0.2">
      <c r="A265" s="24">
        <f t="shared" si="4"/>
        <v>263</v>
      </c>
      <c r="B265" s="40" t="s">
        <v>1115</v>
      </c>
      <c r="C265" s="40" t="s">
        <v>1116</v>
      </c>
      <c r="D265" s="40" t="s">
        <v>1115</v>
      </c>
      <c r="E265" s="40" t="s">
        <v>131</v>
      </c>
      <c r="F265" s="40" t="s">
        <v>1117</v>
      </c>
      <c r="G265" s="41" t="s">
        <v>18</v>
      </c>
      <c r="H265" s="40" t="s">
        <v>28</v>
      </c>
      <c r="I265" s="40" t="s">
        <v>245</v>
      </c>
      <c r="J265" s="40" t="s">
        <v>761</v>
      </c>
      <c r="K265" s="40" t="s">
        <v>1118</v>
      </c>
      <c r="L265" s="40" t="s">
        <v>7744</v>
      </c>
      <c r="M265" s="40">
        <v>5.6288320000000001</v>
      </c>
      <c r="N265" s="40">
        <v>10.200196999999999</v>
      </c>
      <c r="O265" s="40" t="s">
        <v>23</v>
      </c>
    </row>
    <row r="266" spans="1:15" x14ac:dyDescent="0.2">
      <c r="A266" s="24">
        <f t="shared" si="4"/>
        <v>264</v>
      </c>
      <c r="B266" s="40" t="s">
        <v>2465</v>
      </c>
      <c r="C266" s="40" t="s">
        <v>2466</v>
      </c>
      <c r="D266" s="40" t="s">
        <v>2465</v>
      </c>
      <c r="E266" s="40" t="s">
        <v>131</v>
      </c>
      <c r="F266" s="40" t="s">
        <v>2467</v>
      </c>
      <c r="G266" s="41" t="s">
        <v>18</v>
      </c>
      <c r="H266" s="40" t="s">
        <v>19</v>
      </c>
      <c r="I266" s="40" t="s">
        <v>522</v>
      </c>
      <c r="J266" s="40" t="s">
        <v>792</v>
      </c>
      <c r="K266" s="40" t="s">
        <v>2468</v>
      </c>
      <c r="L266" s="40" t="s">
        <v>7744</v>
      </c>
      <c r="M266" s="40">
        <v>5.5274679999999998</v>
      </c>
      <c r="N266" s="40">
        <v>9.9452499999999997</v>
      </c>
      <c r="O266" s="40" t="s">
        <v>23</v>
      </c>
    </row>
    <row r="267" spans="1:15" x14ac:dyDescent="0.2">
      <c r="A267" s="24">
        <f t="shared" si="4"/>
        <v>265</v>
      </c>
      <c r="B267" s="40" t="s">
        <v>2469</v>
      </c>
      <c r="C267" s="40" t="s">
        <v>2470</v>
      </c>
      <c r="D267" s="40" t="s">
        <v>2469</v>
      </c>
      <c r="E267" s="40" t="s">
        <v>131</v>
      </c>
      <c r="F267" s="40" t="s">
        <v>2471</v>
      </c>
      <c r="G267" s="41" t="s">
        <v>18</v>
      </c>
      <c r="H267" s="40" t="s">
        <v>19</v>
      </c>
      <c r="I267" s="40" t="s">
        <v>522</v>
      </c>
      <c r="J267" s="40" t="s">
        <v>792</v>
      </c>
      <c r="K267" s="40" t="s">
        <v>793</v>
      </c>
      <c r="L267" s="40" t="s">
        <v>7744</v>
      </c>
      <c r="M267" s="40">
        <v>5.4878900000000002</v>
      </c>
      <c r="N267" s="40">
        <v>9.8759499999999996</v>
      </c>
      <c r="O267" s="40" t="s">
        <v>23</v>
      </c>
    </row>
    <row r="268" spans="1:15" x14ac:dyDescent="0.2">
      <c r="A268" s="24">
        <f t="shared" si="4"/>
        <v>266</v>
      </c>
      <c r="B268" s="40" t="s">
        <v>2699</v>
      </c>
      <c r="C268" s="40" t="s">
        <v>2700</v>
      </c>
      <c r="D268" s="40" t="s">
        <v>2699</v>
      </c>
      <c r="E268" s="40" t="s">
        <v>131</v>
      </c>
      <c r="F268" s="40" t="s">
        <v>2701</v>
      </c>
      <c r="G268" s="41" t="s">
        <v>18</v>
      </c>
      <c r="H268" s="40" t="s">
        <v>19</v>
      </c>
      <c r="I268" s="40" t="s">
        <v>522</v>
      </c>
      <c r="J268" s="40" t="s">
        <v>246</v>
      </c>
      <c r="K268" s="40" t="s">
        <v>2702</v>
      </c>
      <c r="L268" s="40" t="s">
        <v>7744</v>
      </c>
      <c r="M268" s="40">
        <v>5.51159</v>
      </c>
      <c r="N268" s="40">
        <v>9.9698600000000006</v>
      </c>
      <c r="O268" s="40" t="s">
        <v>23</v>
      </c>
    </row>
    <row r="269" spans="1:15" x14ac:dyDescent="0.2">
      <c r="A269" s="24">
        <f t="shared" si="4"/>
        <v>267</v>
      </c>
      <c r="B269" s="40" t="s">
        <v>2703</v>
      </c>
      <c r="C269" s="40" t="s">
        <v>2704</v>
      </c>
      <c r="D269" s="40" t="s">
        <v>2703</v>
      </c>
      <c r="E269" s="40" t="s">
        <v>131</v>
      </c>
      <c r="F269" s="40" t="s">
        <v>2471</v>
      </c>
      <c r="G269" s="41" t="s">
        <v>18</v>
      </c>
      <c r="H269" s="40" t="s">
        <v>19</v>
      </c>
      <c r="I269" s="40" t="s">
        <v>522</v>
      </c>
      <c r="J269" s="40" t="s">
        <v>792</v>
      </c>
      <c r="K269" s="40" t="s">
        <v>793</v>
      </c>
      <c r="L269" s="40" t="s">
        <v>7744</v>
      </c>
      <c r="M269" s="40">
        <v>5.4909166669999996</v>
      </c>
      <c r="N269" s="40">
        <v>9.8782499999999995</v>
      </c>
      <c r="O269" s="40" t="s">
        <v>23</v>
      </c>
    </row>
    <row r="270" spans="1:15" x14ac:dyDescent="0.2">
      <c r="A270" s="24">
        <f t="shared" si="4"/>
        <v>268</v>
      </c>
      <c r="B270" s="40" t="s">
        <v>6065</v>
      </c>
      <c r="C270" s="40" t="s">
        <v>6066</v>
      </c>
      <c r="D270" s="40" t="s">
        <v>6065</v>
      </c>
      <c r="E270" s="40" t="s">
        <v>131</v>
      </c>
      <c r="F270" s="40" t="s">
        <v>6067</v>
      </c>
      <c r="G270" s="41" t="s">
        <v>36</v>
      </c>
      <c r="H270" s="40" t="s">
        <v>28</v>
      </c>
      <c r="I270" s="40" t="s">
        <v>522</v>
      </c>
      <c r="J270" s="40" t="s">
        <v>792</v>
      </c>
      <c r="K270" s="40" t="s">
        <v>6068</v>
      </c>
      <c r="L270" s="40" t="s">
        <v>7744</v>
      </c>
      <c r="M270" s="40">
        <v>5.6308360000000004</v>
      </c>
      <c r="N270" s="40">
        <v>10.056381999999999</v>
      </c>
      <c r="O270" s="40" t="s">
        <v>23</v>
      </c>
    </row>
    <row r="271" spans="1:15" x14ac:dyDescent="0.2">
      <c r="A271" s="24">
        <f t="shared" si="4"/>
        <v>269</v>
      </c>
      <c r="B271" s="40" t="s">
        <v>14</v>
      </c>
      <c r="C271" s="40" t="s">
        <v>15</v>
      </c>
      <c r="D271" s="40" t="s">
        <v>14</v>
      </c>
      <c r="E271" s="40" t="s">
        <v>16</v>
      </c>
      <c r="F271" s="40" t="s">
        <v>17</v>
      </c>
      <c r="G271" s="41" t="s">
        <v>18</v>
      </c>
      <c r="H271" s="40" t="s">
        <v>19</v>
      </c>
      <c r="I271" s="40" t="s">
        <v>20</v>
      </c>
      <c r="J271" s="40" t="s">
        <v>21</v>
      </c>
      <c r="K271" s="40" t="s">
        <v>22</v>
      </c>
      <c r="L271" s="40" t="s">
        <v>20</v>
      </c>
      <c r="M271" s="40">
        <v>11.678844</v>
      </c>
      <c r="N271" s="40">
        <v>14.647365000000001</v>
      </c>
      <c r="O271" s="40" t="s">
        <v>23</v>
      </c>
    </row>
    <row r="272" spans="1:15" x14ac:dyDescent="0.2">
      <c r="A272" s="24">
        <f t="shared" si="4"/>
        <v>270</v>
      </c>
      <c r="B272" s="40" t="s">
        <v>93</v>
      </c>
      <c r="C272" s="40" t="s">
        <v>94</v>
      </c>
      <c r="D272" s="40" t="s">
        <v>93</v>
      </c>
      <c r="E272" s="40" t="s">
        <v>16</v>
      </c>
      <c r="F272" s="40" t="s">
        <v>95</v>
      </c>
      <c r="G272" s="41" t="s">
        <v>18</v>
      </c>
      <c r="H272" s="40" t="s">
        <v>96</v>
      </c>
      <c r="I272" s="40" t="s">
        <v>20</v>
      </c>
      <c r="J272" s="40" t="s">
        <v>21</v>
      </c>
      <c r="K272" s="40" t="s">
        <v>97</v>
      </c>
      <c r="L272" s="40" t="s">
        <v>20</v>
      </c>
      <c r="M272" s="40">
        <v>12.782965000000001</v>
      </c>
      <c r="N272" s="40">
        <v>14.275828000000001</v>
      </c>
      <c r="O272" s="40" t="s">
        <v>96</v>
      </c>
    </row>
    <row r="273" spans="1:15" x14ac:dyDescent="0.2">
      <c r="A273" s="24">
        <f t="shared" si="4"/>
        <v>271</v>
      </c>
      <c r="B273" s="40" t="s">
        <v>122</v>
      </c>
      <c r="C273" s="40" t="s">
        <v>123</v>
      </c>
      <c r="D273" s="40" t="s">
        <v>122</v>
      </c>
      <c r="E273" s="40" t="s">
        <v>16</v>
      </c>
      <c r="F273" s="40" t="s">
        <v>124</v>
      </c>
      <c r="G273" s="41" t="s">
        <v>18</v>
      </c>
      <c r="H273" s="40" t="s">
        <v>28</v>
      </c>
      <c r="I273" s="40" t="s">
        <v>20</v>
      </c>
      <c r="J273" s="40" t="s">
        <v>21</v>
      </c>
      <c r="K273" s="40" t="s">
        <v>125</v>
      </c>
      <c r="L273" s="40" t="s">
        <v>20</v>
      </c>
      <c r="M273" s="40">
        <v>12.523403999999999</v>
      </c>
      <c r="N273" s="40">
        <v>14.76322</v>
      </c>
      <c r="O273" s="40" t="s">
        <v>23</v>
      </c>
    </row>
    <row r="274" spans="1:15" x14ac:dyDescent="0.2">
      <c r="A274" s="24">
        <f t="shared" si="4"/>
        <v>272</v>
      </c>
      <c r="B274" s="40" t="s">
        <v>601</v>
      </c>
      <c r="C274" s="40" t="s">
        <v>602</v>
      </c>
      <c r="D274" s="40" t="s">
        <v>601</v>
      </c>
      <c r="E274" s="40" t="s">
        <v>16</v>
      </c>
      <c r="F274" s="40" t="s">
        <v>603</v>
      </c>
      <c r="G274" s="41" t="s">
        <v>18</v>
      </c>
      <c r="H274" s="40" t="s">
        <v>19</v>
      </c>
      <c r="I274" s="40" t="s">
        <v>20</v>
      </c>
      <c r="J274" s="40" t="s">
        <v>21</v>
      </c>
      <c r="K274" s="40" t="s">
        <v>604</v>
      </c>
      <c r="L274" s="40" t="s">
        <v>20</v>
      </c>
      <c r="M274" s="40">
        <v>12.179713</v>
      </c>
      <c r="N274" s="40">
        <v>14.819786000000001</v>
      </c>
      <c r="O274" s="40" t="s">
        <v>23</v>
      </c>
    </row>
    <row r="275" spans="1:15" x14ac:dyDescent="0.2">
      <c r="A275" s="24">
        <f t="shared" si="4"/>
        <v>273</v>
      </c>
      <c r="B275" s="40" t="s">
        <v>621</v>
      </c>
      <c r="C275" s="40" t="s">
        <v>622</v>
      </c>
      <c r="D275" s="40" t="s">
        <v>621</v>
      </c>
      <c r="E275" s="40" t="s">
        <v>16</v>
      </c>
      <c r="F275" s="40" t="s">
        <v>623</v>
      </c>
      <c r="G275" s="41" t="s">
        <v>18</v>
      </c>
      <c r="H275" s="40" t="s">
        <v>28</v>
      </c>
      <c r="I275" s="40" t="s">
        <v>20</v>
      </c>
      <c r="J275" s="40" t="s">
        <v>21</v>
      </c>
      <c r="K275" s="40" t="s">
        <v>604</v>
      </c>
      <c r="L275" s="40" t="s">
        <v>20</v>
      </c>
      <c r="M275" s="40">
        <v>12.63542</v>
      </c>
      <c r="N275" s="40">
        <v>14.472476</v>
      </c>
      <c r="O275" s="40" t="s">
        <v>23</v>
      </c>
    </row>
    <row r="276" spans="1:15" x14ac:dyDescent="0.2">
      <c r="A276" s="24">
        <f t="shared" si="4"/>
        <v>274</v>
      </c>
      <c r="B276" s="40" t="s">
        <v>727</v>
      </c>
      <c r="C276" s="40" t="s">
        <v>728</v>
      </c>
      <c r="D276" s="40" t="s">
        <v>727</v>
      </c>
      <c r="E276" s="40" t="s">
        <v>16</v>
      </c>
      <c r="F276" s="40" t="s">
        <v>97</v>
      </c>
      <c r="G276" s="41" t="s">
        <v>18</v>
      </c>
      <c r="H276" s="40" t="s">
        <v>28</v>
      </c>
      <c r="I276" s="40" t="s">
        <v>20</v>
      </c>
      <c r="J276" s="40" t="s">
        <v>21</v>
      </c>
      <c r="K276" s="40" t="s">
        <v>97</v>
      </c>
      <c r="L276" s="40" t="s">
        <v>20</v>
      </c>
      <c r="M276" s="40">
        <v>12.692538000000001</v>
      </c>
      <c r="N276" s="40">
        <v>14.313914</v>
      </c>
      <c r="O276" s="40" t="s">
        <v>23</v>
      </c>
    </row>
    <row r="277" spans="1:15" x14ac:dyDescent="0.2">
      <c r="A277" s="24">
        <f t="shared" si="4"/>
        <v>275</v>
      </c>
      <c r="B277" s="40" t="s">
        <v>785</v>
      </c>
      <c r="C277" s="40" t="s">
        <v>786</v>
      </c>
      <c r="D277" s="40" t="s">
        <v>785</v>
      </c>
      <c r="E277" s="40" t="s">
        <v>16</v>
      </c>
      <c r="F277" s="40" t="s">
        <v>787</v>
      </c>
      <c r="G277" s="41" t="s">
        <v>18</v>
      </c>
      <c r="H277" s="40" t="s">
        <v>28</v>
      </c>
      <c r="I277" s="40" t="s">
        <v>20</v>
      </c>
      <c r="J277" s="40" t="s">
        <v>21</v>
      </c>
      <c r="K277" s="40" t="s">
        <v>788</v>
      </c>
      <c r="L277" s="40" t="s">
        <v>20</v>
      </c>
      <c r="M277" s="40">
        <v>12.376275</v>
      </c>
      <c r="N277" s="40">
        <v>14.224633000000001</v>
      </c>
      <c r="O277" s="40" t="s">
        <v>23</v>
      </c>
    </row>
    <row r="278" spans="1:15" x14ac:dyDescent="0.2">
      <c r="A278" s="24">
        <f t="shared" si="4"/>
        <v>276</v>
      </c>
      <c r="B278" s="40" t="s">
        <v>906</v>
      </c>
      <c r="C278" s="40" t="s">
        <v>907</v>
      </c>
      <c r="D278" s="40" t="s">
        <v>906</v>
      </c>
      <c r="E278" s="40" t="s">
        <v>16</v>
      </c>
      <c r="F278" s="40" t="s">
        <v>908</v>
      </c>
      <c r="G278" s="41" t="s">
        <v>18</v>
      </c>
      <c r="H278" s="40" t="s">
        <v>28</v>
      </c>
      <c r="I278" s="40" t="s">
        <v>20</v>
      </c>
      <c r="J278" s="40" t="s">
        <v>21</v>
      </c>
      <c r="K278" s="40" t="s">
        <v>909</v>
      </c>
      <c r="L278" s="40" t="s">
        <v>20</v>
      </c>
      <c r="M278" s="40">
        <v>12.879638890000001</v>
      </c>
      <c r="N278" s="40">
        <v>14.29552778</v>
      </c>
      <c r="O278" s="40" t="s">
        <v>23</v>
      </c>
    </row>
    <row r="279" spans="1:15" x14ac:dyDescent="0.2">
      <c r="A279" s="24">
        <f t="shared" si="4"/>
        <v>277</v>
      </c>
      <c r="B279" s="40" t="s">
        <v>913</v>
      </c>
      <c r="C279" s="40" t="s">
        <v>914</v>
      </c>
      <c r="D279" s="40" t="s">
        <v>913</v>
      </c>
      <c r="E279" s="40" t="s">
        <v>16</v>
      </c>
      <c r="F279" s="40" t="s">
        <v>915</v>
      </c>
      <c r="G279" s="41" t="s">
        <v>18</v>
      </c>
      <c r="H279" s="40" t="s">
        <v>19</v>
      </c>
      <c r="I279" s="40" t="s">
        <v>20</v>
      </c>
      <c r="J279" s="40" t="s">
        <v>21</v>
      </c>
      <c r="K279" s="40" t="s">
        <v>916</v>
      </c>
      <c r="L279" s="40" t="s">
        <v>20</v>
      </c>
      <c r="M279" s="40">
        <v>11.919233</v>
      </c>
      <c r="N279" s="40">
        <v>14.645765000000001</v>
      </c>
      <c r="O279" s="40" t="s">
        <v>23</v>
      </c>
    </row>
    <row r="280" spans="1:15" x14ac:dyDescent="0.2">
      <c r="A280" s="24">
        <f t="shared" si="4"/>
        <v>278</v>
      </c>
      <c r="B280" s="40" t="s">
        <v>1036</v>
      </c>
      <c r="C280" s="40" t="s">
        <v>1037</v>
      </c>
      <c r="D280" s="40" t="s">
        <v>1036</v>
      </c>
      <c r="E280" s="40" t="s">
        <v>16</v>
      </c>
      <c r="F280" s="40" t="s">
        <v>1038</v>
      </c>
      <c r="G280" s="41" t="s">
        <v>18</v>
      </c>
      <c r="H280" s="40" t="s">
        <v>96</v>
      </c>
      <c r="I280" s="40" t="s">
        <v>20</v>
      </c>
      <c r="J280" s="40" t="s">
        <v>21</v>
      </c>
      <c r="K280" s="40" t="s">
        <v>97</v>
      </c>
      <c r="L280" s="40" t="s">
        <v>20</v>
      </c>
      <c r="M280" s="40">
        <v>12.703429</v>
      </c>
      <c r="N280" s="40">
        <v>14.218502000000001</v>
      </c>
      <c r="O280" s="40" t="s">
        <v>96</v>
      </c>
    </row>
    <row r="281" spans="1:15" x14ac:dyDescent="0.2">
      <c r="A281" s="24">
        <f t="shared" si="4"/>
        <v>279</v>
      </c>
      <c r="B281" s="40" t="s">
        <v>2014</v>
      </c>
      <c r="C281" s="40" t="s">
        <v>2015</v>
      </c>
      <c r="D281" s="40" t="s">
        <v>2014</v>
      </c>
      <c r="E281" s="40" t="s">
        <v>16</v>
      </c>
      <c r="F281" s="40" t="s">
        <v>2016</v>
      </c>
      <c r="G281" s="41" t="s">
        <v>18</v>
      </c>
      <c r="H281" s="40" t="s">
        <v>19</v>
      </c>
      <c r="I281" s="40" t="s">
        <v>20</v>
      </c>
      <c r="J281" s="40" t="s">
        <v>21</v>
      </c>
      <c r="K281" s="40" t="s">
        <v>22</v>
      </c>
      <c r="L281" s="40" t="s">
        <v>20</v>
      </c>
      <c r="M281" s="40">
        <v>11.400370000000001</v>
      </c>
      <c r="N281" s="40">
        <v>14.56962</v>
      </c>
      <c r="O281" s="40" t="s">
        <v>23</v>
      </c>
    </row>
    <row r="282" spans="1:15" x14ac:dyDescent="0.2">
      <c r="A282" s="24">
        <f t="shared" si="4"/>
        <v>280</v>
      </c>
      <c r="B282" s="40" t="s">
        <v>2208</v>
      </c>
      <c r="C282" s="40" t="s">
        <v>2209</v>
      </c>
      <c r="D282" s="40" t="s">
        <v>2208</v>
      </c>
      <c r="E282" s="40" t="s">
        <v>16</v>
      </c>
      <c r="F282" s="40" t="s">
        <v>2016</v>
      </c>
      <c r="G282" s="41" t="s">
        <v>18</v>
      </c>
      <c r="H282" s="40" t="s">
        <v>19</v>
      </c>
      <c r="I282" s="40" t="s">
        <v>20</v>
      </c>
      <c r="J282" s="40" t="s">
        <v>21</v>
      </c>
      <c r="K282" s="40" t="s">
        <v>22</v>
      </c>
      <c r="L282" s="40" t="s">
        <v>20</v>
      </c>
      <c r="M282" s="40">
        <v>11.395167000000001</v>
      </c>
      <c r="N282" s="40">
        <v>14.564722</v>
      </c>
      <c r="O282" s="40" t="s">
        <v>23</v>
      </c>
    </row>
    <row r="283" spans="1:15" x14ac:dyDescent="0.2">
      <c r="A283" s="24">
        <f t="shared" si="4"/>
        <v>281</v>
      </c>
      <c r="B283" s="40" t="s">
        <v>6167</v>
      </c>
      <c r="C283" s="40" t="s">
        <v>6168</v>
      </c>
      <c r="D283" s="40" t="s">
        <v>6167</v>
      </c>
      <c r="E283" s="40" t="s">
        <v>16</v>
      </c>
      <c r="F283" s="40" t="s">
        <v>17</v>
      </c>
      <c r="G283" s="41" t="s">
        <v>18</v>
      </c>
      <c r="H283" s="40" t="s">
        <v>19</v>
      </c>
      <c r="I283" s="40" t="s">
        <v>20</v>
      </c>
      <c r="J283" s="40" t="s">
        <v>21</v>
      </c>
      <c r="K283" s="40" t="s">
        <v>22</v>
      </c>
      <c r="L283" s="40" t="s">
        <v>20</v>
      </c>
      <c r="M283" s="40">
        <v>11.680718000000001</v>
      </c>
      <c r="N283" s="40">
        <v>14.645967000000001</v>
      </c>
      <c r="O283" s="40" t="s">
        <v>23</v>
      </c>
    </row>
    <row r="284" spans="1:15" x14ac:dyDescent="0.2">
      <c r="A284" s="24">
        <f t="shared" si="4"/>
        <v>282</v>
      </c>
      <c r="B284" s="40" t="s">
        <v>6347</v>
      </c>
      <c r="C284" s="40" t="s">
        <v>6348</v>
      </c>
      <c r="D284" s="40" t="s">
        <v>6347</v>
      </c>
      <c r="E284" s="40" t="s">
        <v>16</v>
      </c>
      <c r="F284" s="40" t="s">
        <v>603</v>
      </c>
      <c r="G284" s="41" t="s">
        <v>18</v>
      </c>
      <c r="H284" s="40" t="s">
        <v>19</v>
      </c>
      <c r="I284" s="40" t="s">
        <v>20</v>
      </c>
      <c r="J284" s="40" t="s">
        <v>21</v>
      </c>
      <c r="K284" s="40" t="s">
        <v>604</v>
      </c>
      <c r="L284" s="40" t="s">
        <v>20</v>
      </c>
      <c r="M284" s="40">
        <v>12.175777</v>
      </c>
      <c r="N284" s="40">
        <v>14.821313999999999</v>
      </c>
      <c r="O284" s="40" t="s">
        <v>23</v>
      </c>
    </row>
    <row r="285" spans="1:15" x14ac:dyDescent="0.2">
      <c r="A285" s="24">
        <f t="shared" si="4"/>
        <v>283</v>
      </c>
      <c r="B285" s="40" t="s">
        <v>6349</v>
      </c>
      <c r="C285" s="40" t="s">
        <v>6350</v>
      </c>
      <c r="D285" s="40" t="s">
        <v>6349</v>
      </c>
      <c r="E285" s="40" t="s">
        <v>16</v>
      </c>
      <c r="F285" s="40" t="s">
        <v>6351</v>
      </c>
      <c r="G285" s="41" t="s">
        <v>18</v>
      </c>
      <c r="H285" s="40" t="s">
        <v>19</v>
      </c>
      <c r="I285" s="40" t="s">
        <v>20</v>
      </c>
      <c r="J285" s="40" t="s">
        <v>21</v>
      </c>
      <c r="K285" s="40" t="s">
        <v>604</v>
      </c>
      <c r="L285" s="40" t="s">
        <v>20</v>
      </c>
      <c r="M285" s="40">
        <v>12.569039999999999</v>
      </c>
      <c r="N285" s="40">
        <v>14.455928</v>
      </c>
      <c r="O285" s="40" t="s">
        <v>23</v>
      </c>
    </row>
    <row r="286" spans="1:15" x14ac:dyDescent="0.2">
      <c r="A286" s="24">
        <f t="shared" si="4"/>
        <v>284</v>
      </c>
      <c r="B286" s="40" t="s">
        <v>6352</v>
      </c>
      <c r="C286" s="40" t="s">
        <v>6353</v>
      </c>
      <c r="D286" s="40" t="s">
        <v>6352</v>
      </c>
      <c r="E286" s="40" t="s">
        <v>16</v>
      </c>
      <c r="F286" s="40" t="s">
        <v>6354</v>
      </c>
      <c r="G286" s="41" t="s">
        <v>18</v>
      </c>
      <c r="H286" s="40" t="s">
        <v>28</v>
      </c>
      <c r="I286" s="40" t="s">
        <v>20</v>
      </c>
      <c r="J286" s="40" t="s">
        <v>21</v>
      </c>
      <c r="K286" s="40" t="s">
        <v>604</v>
      </c>
      <c r="L286" s="40" t="s">
        <v>20</v>
      </c>
      <c r="M286" s="40">
        <v>12.569879999999999</v>
      </c>
      <c r="N286" s="40">
        <v>14.4557</v>
      </c>
      <c r="O286" s="40" t="s">
        <v>23</v>
      </c>
    </row>
    <row r="287" spans="1:15" x14ac:dyDescent="0.2">
      <c r="A287" s="24">
        <f t="shared" si="4"/>
        <v>285</v>
      </c>
      <c r="B287" s="40" t="s">
        <v>6389</v>
      </c>
      <c r="C287" s="40" t="s">
        <v>6390</v>
      </c>
      <c r="D287" s="40" t="s">
        <v>6389</v>
      </c>
      <c r="E287" s="40" t="s">
        <v>16</v>
      </c>
      <c r="F287" s="40" t="s">
        <v>6391</v>
      </c>
      <c r="G287" s="41" t="s">
        <v>18</v>
      </c>
      <c r="H287" s="40" t="s">
        <v>28</v>
      </c>
      <c r="I287" s="40" t="s">
        <v>20</v>
      </c>
      <c r="J287" s="40" t="s">
        <v>21</v>
      </c>
      <c r="K287" s="40" t="s">
        <v>909</v>
      </c>
      <c r="L287" s="40" t="s">
        <v>20</v>
      </c>
      <c r="M287" s="40">
        <v>12.948046</v>
      </c>
      <c r="N287" s="40">
        <v>14.503704000000001</v>
      </c>
      <c r="O287" s="40" t="s">
        <v>23</v>
      </c>
    </row>
    <row r="288" spans="1:15" x14ac:dyDescent="0.2">
      <c r="A288" s="24">
        <f t="shared" si="4"/>
        <v>286</v>
      </c>
      <c r="B288" s="40" t="s">
        <v>6428</v>
      </c>
      <c r="C288" s="40" t="s">
        <v>6429</v>
      </c>
      <c r="D288" s="40" t="s">
        <v>6428</v>
      </c>
      <c r="E288" s="40" t="s">
        <v>16</v>
      </c>
      <c r="F288" s="40" t="s">
        <v>6430</v>
      </c>
      <c r="G288" s="41" t="s">
        <v>18</v>
      </c>
      <c r="H288" s="40" t="s">
        <v>19</v>
      </c>
      <c r="I288" s="40" t="s">
        <v>20</v>
      </c>
      <c r="J288" s="40" t="s">
        <v>21</v>
      </c>
      <c r="K288" s="40" t="s">
        <v>6431</v>
      </c>
      <c r="L288" s="40" t="s">
        <v>20</v>
      </c>
      <c r="M288" s="40">
        <v>12.377625</v>
      </c>
      <c r="N288" s="40">
        <v>14.902457999999999</v>
      </c>
      <c r="O288" s="40" t="s">
        <v>23</v>
      </c>
    </row>
    <row r="289" spans="1:15" x14ac:dyDescent="0.2">
      <c r="A289" s="24">
        <f t="shared" si="4"/>
        <v>287</v>
      </c>
      <c r="B289" s="40" t="s">
        <v>6454</v>
      </c>
      <c r="C289" s="40" t="s">
        <v>6455</v>
      </c>
      <c r="D289" s="40" t="s">
        <v>6454</v>
      </c>
      <c r="E289" s="40" t="s">
        <v>16</v>
      </c>
      <c r="F289" s="40" t="s">
        <v>6456</v>
      </c>
      <c r="G289" s="41" t="s">
        <v>18</v>
      </c>
      <c r="H289" s="40" t="s">
        <v>28</v>
      </c>
      <c r="I289" s="40" t="s">
        <v>20</v>
      </c>
      <c r="J289" s="40" t="s">
        <v>21</v>
      </c>
      <c r="K289" s="40" t="s">
        <v>788</v>
      </c>
      <c r="L289" s="40" t="s">
        <v>20</v>
      </c>
      <c r="M289" s="40">
        <v>12.383851999999999</v>
      </c>
      <c r="N289" s="40">
        <v>14.228597000000001</v>
      </c>
      <c r="O289" s="40" t="s">
        <v>23</v>
      </c>
    </row>
    <row r="290" spans="1:15" x14ac:dyDescent="0.2">
      <c r="A290" s="24">
        <f t="shared" si="4"/>
        <v>288</v>
      </c>
      <c r="B290" s="40" t="s">
        <v>6498</v>
      </c>
      <c r="C290" s="40" t="s">
        <v>6499</v>
      </c>
      <c r="D290" s="40" t="s">
        <v>6498</v>
      </c>
      <c r="E290" s="40" t="s">
        <v>16</v>
      </c>
      <c r="F290" s="40" t="s">
        <v>6500</v>
      </c>
      <c r="G290" s="41" t="s">
        <v>18</v>
      </c>
      <c r="H290" s="40" t="s">
        <v>28</v>
      </c>
      <c r="I290" s="40" t="s">
        <v>20</v>
      </c>
      <c r="J290" s="40" t="s">
        <v>21</v>
      </c>
      <c r="K290" s="40" t="s">
        <v>909</v>
      </c>
      <c r="L290" s="40" t="s">
        <v>20</v>
      </c>
      <c r="M290" s="40">
        <v>12.876939999999999</v>
      </c>
      <c r="N290" s="40">
        <v>14.29622</v>
      </c>
      <c r="O290" s="40" t="s">
        <v>23</v>
      </c>
    </row>
    <row r="291" spans="1:15" x14ac:dyDescent="0.2">
      <c r="A291" s="24">
        <f t="shared" si="4"/>
        <v>289</v>
      </c>
      <c r="B291" s="40" t="s">
        <v>6504</v>
      </c>
      <c r="C291" s="40" t="s">
        <v>6505</v>
      </c>
      <c r="D291" s="40" t="s">
        <v>6504</v>
      </c>
      <c r="E291" s="40" t="s">
        <v>16</v>
      </c>
      <c r="F291" s="40" t="s">
        <v>915</v>
      </c>
      <c r="G291" s="41" t="s">
        <v>18</v>
      </c>
      <c r="H291" s="40" t="s">
        <v>19</v>
      </c>
      <c r="I291" s="40" t="s">
        <v>20</v>
      </c>
      <c r="J291" s="40" t="s">
        <v>21</v>
      </c>
      <c r="K291" s="40" t="s">
        <v>6506</v>
      </c>
      <c r="L291" s="40" t="s">
        <v>20</v>
      </c>
      <c r="M291" s="40">
        <v>11.918305999999999</v>
      </c>
      <c r="N291" s="40">
        <v>14.646833000000001</v>
      </c>
      <c r="O291" s="40" t="s">
        <v>23</v>
      </c>
    </row>
    <row r="292" spans="1:15" x14ac:dyDescent="0.2">
      <c r="A292" s="24">
        <f t="shared" si="4"/>
        <v>290</v>
      </c>
      <c r="B292" s="40" t="s">
        <v>6532</v>
      </c>
      <c r="C292" s="40" t="s">
        <v>6533</v>
      </c>
      <c r="D292" s="40" t="s">
        <v>6532</v>
      </c>
      <c r="E292" s="40" t="s">
        <v>16</v>
      </c>
      <c r="F292" s="40" t="s">
        <v>6534</v>
      </c>
      <c r="G292" s="41" t="s">
        <v>18</v>
      </c>
      <c r="H292" s="40" t="s">
        <v>28</v>
      </c>
      <c r="I292" s="40" t="s">
        <v>20</v>
      </c>
      <c r="J292" s="40" t="s">
        <v>21</v>
      </c>
      <c r="K292" s="40" t="s">
        <v>6535</v>
      </c>
      <c r="L292" s="40" t="s">
        <v>20</v>
      </c>
      <c r="M292" s="40">
        <v>12.772729999999999</v>
      </c>
      <c r="N292" s="40">
        <v>14.550547999999999</v>
      </c>
      <c r="O292" s="40" t="s">
        <v>23</v>
      </c>
    </row>
    <row r="293" spans="1:15" x14ac:dyDescent="0.2">
      <c r="A293" s="24">
        <f t="shared" si="4"/>
        <v>291</v>
      </c>
      <c r="B293" s="40" t="s">
        <v>6595</v>
      </c>
      <c r="C293" s="40" t="s">
        <v>6596</v>
      </c>
      <c r="D293" s="40" t="s">
        <v>6595</v>
      </c>
      <c r="E293" s="40" t="s">
        <v>16</v>
      </c>
      <c r="F293" s="40" t="s">
        <v>6597</v>
      </c>
      <c r="G293" s="41" t="s">
        <v>18</v>
      </c>
      <c r="H293" s="40" t="s">
        <v>28</v>
      </c>
      <c r="I293" s="40" t="s">
        <v>20</v>
      </c>
      <c r="J293" s="40" t="s">
        <v>21</v>
      </c>
      <c r="K293" s="40" t="s">
        <v>604</v>
      </c>
      <c r="L293" s="40" t="s">
        <v>20</v>
      </c>
      <c r="M293" s="40">
        <v>12.328417</v>
      </c>
      <c r="N293" s="40">
        <v>14.558916999999999</v>
      </c>
      <c r="O293" s="40" t="s">
        <v>23</v>
      </c>
    </row>
    <row r="294" spans="1:15" x14ac:dyDescent="0.2">
      <c r="A294" s="24">
        <f t="shared" si="4"/>
        <v>292</v>
      </c>
      <c r="B294" s="40" t="s">
        <v>7041</v>
      </c>
      <c r="C294" s="40" t="s">
        <v>7042</v>
      </c>
      <c r="D294" s="40" t="s">
        <v>7041</v>
      </c>
      <c r="E294" s="40" t="s">
        <v>16</v>
      </c>
      <c r="F294" s="40" t="s">
        <v>7043</v>
      </c>
      <c r="G294" s="41" t="s">
        <v>18</v>
      </c>
      <c r="H294" s="40" t="s">
        <v>28</v>
      </c>
      <c r="I294" s="40" t="s">
        <v>20</v>
      </c>
      <c r="J294" s="40" t="s">
        <v>21</v>
      </c>
      <c r="K294" s="40" t="s">
        <v>788</v>
      </c>
      <c r="L294" s="40" t="s">
        <v>20</v>
      </c>
      <c r="M294" s="40">
        <v>12.376993000000001</v>
      </c>
      <c r="N294" s="40">
        <v>14.225045</v>
      </c>
      <c r="O294" s="40" t="s">
        <v>23</v>
      </c>
    </row>
    <row r="295" spans="1:15" x14ac:dyDescent="0.2">
      <c r="A295" s="24">
        <f t="shared" si="4"/>
        <v>293</v>
      </c>
      <c r="B295" s="40" t="s">
        <v>7120</v>
      </c>
      <c r="C295" s="40" t="s">
        <v>7121</v>
      </c>
      <c r="D295" s="40" t="s">
        <v>7120</v>
      </c>
      <c r="E295" s="40" t="s">
        <v>7122</v>
      </c>
      <c r="F295" s="40" t="s">
        <v>7123</v>
      </c>
      <c r="G295" s="41" t="s">
        <v>18</v>
      </c>
      <c r="H295" s="40" t="s">
        <v>28</v>
      </c>
      <c r="I295" s="40" t="s">
        <v>20</v>
      </c>
      <c r="J295" s="40" t="s">
        <v>21</v>
      </c>
      <c r="K295" s="40" t="s">
        <v>6534</v>
      </c>
      <c r="L295" s="40" t="s">
        <v>20</v>
      </c>
      <c r="M295" s="40">
        <v>12.77101</v>
      </c>
      <c r="N295" s="40">
        <v>14.556908</v>
      </c>
      <c r="O295" s="40" t="s">
        <v>23</v>
      </c>
    </row>
    <row r="296" spans="1:15" x14ac:dyDescent="0.2">
      <c r="A296" s="24">
        <f t="shared" si="4"/>
        <v>294</v>
      </c>
      <c r="B296" s="40" t="s">
        <v>7174</v>
      </c>
      <c r="C296" s="40" t="s">
        <v>7175</v>
      </c>
      <c r="D296" s="40" t="s">
        <v>7174</v>
      </c>
      <c r="E296" s="40" t="s">
        <v>16</v>
      </c>
      <c r="F296" s="40" t="s">
        <v>7176</v>
      </c>
      <c r="G296" s="41" t="s">
        <v>18</v>
      </c>
      <c r="H296" s="40" t="s">
        <v>28</v>
      </c>
      <c r="I296" s="40" t="s">
        <v>20</v>
      </c>
      <c r="J296" s="40" t="s">
        <v>21</v>
      </c>
      <c r="K296" s="40" t="s">
        <v>6354</v>
      </c>
      <c r="L296" s="40" t="s">
        <v>20</v>
      </c>
      <c r="M296" s="40">
        <v>12.108675</v>
      </c>
      <c r="N296" s="40">
        <v>14.713543</v>
      </c>
      <c r="O296" s="40" t="s">
        <v>23</v>
      </c>
    </row>
    <row r="297" spans="1:15" x14ac:dyDescent="0.2">
      <c r="A297" s="24">
        <f t="shared" si="4"/>
        <v>295</v>
      </c>
      <c r="B297" s="40" t="s">
        <v>7304</v>
      </c>
      <c r="C297" s="40" t="s">
        <v>7305</v>
      </c>
      <c r="D297" s="40" t="s">
        <v>7304</v>
      </c>
      <c r="E297" s="40" t="s">
        <v>16</v>
      </c>
      <c r="F297" s="40" t="s">
        <v>7306</v>
      </c>
      <c r="G297" s="41" t="s">
        <v>18</v>
      </c>
      <c r="H297" s="40" t="s">
        <v>28</v>
      </c>
      <c r="I297" s="40" t="s">
        <v>20</v>
      </c>
      <c r="J297" s="40" t="s">
        <v>21</v>
      </c>
      <c r="K297" s="40" t="s">
        <v>604</v>
      </c>
      <c r="L297" s="40" t="s">
        <v>20</v>
      </c>
      <c r="M297" s="40">
        <v>12.092575</v>
      </c>
      <c r="N297" s="40">
        <v>14.839464</v>
      </c>
      <c r="O297" s="40" t="s">
        <v>23</v>
      </c>
    </row>
    <row r="298" spans="1:15" x14ac:dyDescent="0.2">
      <c r="A298" s="24">
        <f t="shared" si="4"/>
        <v>296</v>
      </c>
      <c r="B298" s="40" t="s">
        <v>7310</v>
      </c>
      <c r="C298" s="40" t="s">
        <v>7311</v>
      </c>
      <c r="D298" s="40" t="s">
        <v>7310</v>
      </c>
      <c r="E298" s="40" t="s">
        <v>16</v>
      </c>
      <c r="F298" s="40" t="s">
        <v>7312</v>
      </c>
      <c r="G298" s="41" t="s">
        <v>18</v>
      </c>
      <c r="H298" s="40" t="s">
        <v>28</v>
      </c>
      <c r="I298" s="40" t="s">
        <v>20</v>
      </c>
      <c r="J298" s="40" t="s">
        <v>21</v>
      </c>
      <c r="K298" s="40" t="s">
        <v>916</v>
      </c>
      <c r="L298" s="40" t="s">
        <v>20</v>
      </c>
      <c r="M298" s="40">
        <v>11.901233</v>
      </c>
      <c r="N298" s="40">
        <v>15.034781000000001</v>
      </c>
      <c r="O298" s="40" t="s">
        <v>23</v>
      </c>
    </row>
    <row r="299" spans="1:15" x14ac:dyDescent="0.2">
      <c r="A299" s="24">
        <f t="shared" si="4"/>
        <v>297</v>
      </c>
      <c r="B299" s="40" t="s">
        <v>105</v>
      </c>
      <c r="C299" s="40" t="s">
        <v>106</v>
      </c>
      <c r="D299" s="40" t="s">
        <v>105</v>
      </c>
      <c r="E299" s="40" t="s">
        <v>34</v>
      </c>
      <c r="F299" s="40" t="s">
        <v>107</v>
      </c>
      <c r="G299" s="41" t="s">
        <v>18</v>
      </c>
      <c r="H299" s="40" t="s">
        <v>28</v>
      </c>
      <c r="I299" s="40" t="s">
        <v>108</v>
      </c>
      <c r="J299" s="40" t="s">
        <v>109</v>
      </c>
      <c r="K299" s="40" t="s">
        <v>110</v>
      </c>
      <c r="L299" s="40" t="s">
        <v>108</v>
      </c>
      <c r="M299" s="40">
        <v>4.68642</v>
      </c>
      <c r="N299" s="40">
        <v>9.5138999999999996</v>
      </c>
      <c r="O299" s="40" t="s">
        <v>23</v>
      </c>
    </row>
    <row r="300" spans="1:15" x14ac:dyDescent="0.2">
      <c r="A300" s="24">
        <f t="shared" si="4"/>
        <v>298</v>
      </c>
      <c r="B300" s="40" t="s">
        <v>187</v>
      </c>
      <c r="C300" s="40" t="s">
        <v>188</v>
      </c>
      <c r="D300" s="40" t="s">
        <v>187</v>
      </c>
      <c r="E300" s="40" t="s">
        <v>34</v>
      </c>
      <c r="F300" s="40" t="s">
        <v>189</v>
      </c>
      <c r="G300" s="41" t="s">
        <v>18</v>
      </c>
      <c r="H300" s="40" t="s">
        <v>28</v>
      </c>
      <c r="I300" s="40" t="s">
        <v>108</v>
      </c>
      <c r="J300" s="40" t="s">
        <v>109</v>
      </c>
      <c r="K300" s="40" t="s">
        <v>190</v>
      </c>
      <c r="L300" s="40" t="s">
        <v>108</v>
      </c>
      <c r="M300" s="40">
        <v>4.6074999999999999</v>
      </c>
      <c r="N300" s="40">
        <v>9.3800000000000008</v>
      </c>
      <c r="O300" s="40" t="s">
        <v>23</v>
      </c>
    </row>
    <row r="301" spans="1:15" x14ac:dyDescent="0.2">
      <c r="A301" s="24">
        <f t="shared" si="4"/>
        <v>299</v>
      </c>
      <c r="B301" s="40" t="s">
        <v>353</v>
      </c>
      <c r="C301" s="40" t="s">
        <v>354</v>
      </c>
      <c r="D301" s="40" t="s">
        <v>353</v>
      </c>
      <c r="E301" s="40" t="s">
        <v>34</v>
      </c>
      <c r="F301" s="40" t="s">
        <v>355</v>
      </c>
      <c r="G301" s="41" t="s">
        <v>18</v>
      </c>
      <c r="H301" s="40" t="s">
        <v>19</v>
      </c>
      <c r="I301" s="40" t="s">
        <v>356</v>
      </c>
      <c r="J301" s="40" t="s">
        <v>152</v>
      </c>
      <c r="K301" s="40" t="s">
        <v>357</v>
      </c>
      <c r="L301" s="40" t="s">
        <v>108</v>
      </c>
      <c r="M301" s="40">
        <v>4.6091199999999999</v>
      </c>
      <c r="N301" s="40">
        <v>9.643122</v>
      </c>
      <c r="O301" s="40" t="s">
        <v>23</v>
      </c>
    </row>
    <row r="302" spans="1:15" x14ac:dyDescent="0.2">
      <c r="A302" s="24">
        <f t="shared" si="4"/>
        <v>300</v>
      </c>
      <c r="B302" s="40" t="s">
        <v>358</v>
      </c>
      <c r="C302" s="40" t="s">
        <v>359</v>
      </c>
      <c r="D302" s="40" t="s">
        <v>358</v>
      </c>
      <c r="E302" s="40" t="s">
        <v>34</v>
      </c>
      <c r="F302" s="40" t="s">
        <v>360</v>
      </c>
      <c r="G302" s="41" t="s">
        <v>18</v>
      </c>
      <c r="H302" s="40" t="s">
        <v>28</v>
      </c>
      <c r="I302" s="40" t="s">
        <v>356</v>
      </c>
      <c r="J302" s="40" t="s">
        <v>152</v>
      </c>
      <c r="K302" s="40" t="s">
        <v>361</v>
      </c>
      <c r="L302" s="40" t="s">
        <v>108</v>
      </c>
      <c r="M302" s="40">
        <v>4.5862600000000002</v>
      </c>
      <c r="N302" s="40">
        <v>9.6535299999999999</v>
      </c>
      <c r="O302" s="40" t="s">
        <v>23</v>
      </c>
    </row>
    <row r="303" spans="1:15" x14ac:dyDescent="0.2">
      <c r="A303" s="24">
        <f t="shared" si="4"/>
        <v>301</v>
      </c>
      <c r="B303" s="40" t="s">
        <v>455</v>
      </c>
      <c r="C303" s="40" t="s">
        <v>456</v>
      </c>
      <c r="D303" s="40" t="s">
        <v>455</v>
      </c>
      <c r="E303" s="40" t="s">
        <v>34</v>
      </c>
      <c r="F303" s="40" t="s">
        <v>457</v>
      </c>
      <c r="G303" s="41" t="s">
        <v>18</v>
      </c>
      <c r="H303" s="40" t="s">
        <v>28</v>
      </c>
      <c r="I303" s="40" t="s">
        <v>458</v>
      </c>
      <c r="J303" s="40" t="s">
        <v>459</v>
      </c>
      <c r="K303" s="40" t="s">
        <v>457</v>
      </c>
      <c r="L303" s="40" t="s">
        <v>108</v>
      </c>
      <c r="M303" s="40">
        <v>4.9620277780000004</v>
      </c>
      <c r="N303" s="40">
        <v>8.8939722220000004</v>
      </c>
      <c r="O303" s="40" t="s">
        <v>23</v>
      </c>
    </row>
    <row r="304" spans="1:15" x14ac:dyDescent="0.2">
      <c r="A304" s="24">
        <f t="shared" si="4"/>
        <v>302</v>
      </c>
      <c r="B304" s="40" t="s">
        <v>532</v>
      </c>
      <c r="C304" s="40" t="s">
        <v>533</v>
      </c>
      <c r="D304" s="40" t="s">
        <v>532</v>
      </c>
      <c r="E304" s="40" t="s">
        <v>34</v>
      </c>
      <c r="F304" s="40" t="s">
        <v>190</v>
      </c>
      <c r="G304" s="41" t="s">
        <v>18</v>
      </c>
      <c r="H304" s="40" t="s">
        <v>28</v>
      </c>
      <c r="I304" s="40" t="s">
        <v>458</v>
      </c>
      <c r="J304" s="40" t="s">
        <v>459</v>
      </c>
      <c r="K304" s="40" t="s">
        <v>190</v>
      </c>
      <c r="L304" s="40" t="s">
        <v>108</v>
      </c>
      <c r="M304" s="40">
        <v>4.5538949999999998</v>
      </c>
      <c r="N304" s="40">
        <v>9.0729439999999997</v>
      </c>
      <c r="O304" s="40" t="s">
        <v>23</v>
      </c>
    </row>
    <row r="305" spans="1:15" x14ac:dyDescent="0.2">
      <c r="A305" s="24">
        <f t="shared" si="4"/>
        <v>303</v>
      </c>
      <c r="B305" s="40" t="s">
        <v>667</v>
      </c>
      <c r="C305" s="40" t="s">
        <v>668</v>
      </c>
      <c r="D305" s="40" t="s">
        <v>667</v>
      </c>
      <c r="E305" s="40" t="s">
        <v>34</v>
      </c>
      <c r="F305" s="40" t="s">
        <v>669</v>
      </c>
      <c r="G305" s="41" t="s">
        <v>18</v>
      </c>
      <c r="H305" s="40" t="s">
        <v>28</v>
      </c>
      <c r="I305" s="40" t="s">
        <v>108</v>
      </c>
      <c r="J305" s="40" t="s">
        <v>670</v>
      </c>
      <c r="K305" s="40" t="s">
        <v>110</v>
      </c>
      <c r="L305" s="40" t="s">
        <v>108</v>
      </c>
      <c r="M305" s="40">
        <v>4.595421</v>
      </c>
      <c r="N305" s="40">
        <v>9.4671450000000004</v>
      </c>
      <c r="O305" s="40" t="s">
        <v>23</v>
      </c>
    </row>
    <row r="306" spans="1:15" x14ac:dyDescent="0.2">
      <c r="A306" s="24">
        <f t="shared" si="4"/>
        <v>304</v>
      </c>
      <c r="B306" s="40" t="s">
        <v>696</v>
      </c>
      <c r="C306" s="40" t="s">
        <v>697</v>
      </c>
      <c r="D306" s="40" t="s">
        <v>696</v>
      </c>
      <c r="E306" s="40" t="s">
        <v>34</v>
      </c>
      <c r="F306" s="40" t="s">
        <v>698</v>
      </c>
      <c r="G306" s="41" t="s">
        <v>18</v>
      </c>
      <c r="H306" s="40" t="s">
        <v>28</v>
      </c>
      <c r="I306" s="40" t="s">
        <v>108</v>
      </c>
      <c r="J306" s="40" t="s">
        <v>109</v>
      </c>
      <c r="K306" s="40" t="s">
        <v>698</v>
      </c>
      <c r="L306" s="40" t="s">
        <v>108</v>
      </c>
      <c r="M306" s="40">
        <v>4.9344440000000001</v>
      </c>
      <c r="N306" s="40">
        <v>9.4775559999999999</v>
      </c>
      <c r="O306" s="40" t="s">
        <v>23</v>
      </c>
    </row>
    <row r="307" spans="1:15" x14ac:dyDescent="0.2">
      <c r="A307" s="24">
        <f t="shared" si="4"/>
        <v>305</v>
      </c>
      <c r="B307" s="40" t="s">
        <v>723</v>
      </c>
      <c r="C307" s="40" t="s">
        <v>724</v>
      </c>
      <c r="D307" s="40" t="s">
        <v>723</v>
      </c>
      <c r="E307" s="40" t="s">
        <v>34</v>
      </c>
      <c r="F307" s="40" t="s">
        <v>725</v>
      </c>
      <c r="G307" s="41" t="s">
        <v>18</v>
      </c>
      <c r="H307" s="40" t="s">
        <v>28</v>
      </c>
      <c r="I307" s="40" t="s">
        <v>458</v>
      </c>
      <c r="J307" s="40" t="s">
        <v>459</v>
      </c>
      <c r="K307" s="40" t="s">
        <v>726</v>
      </c>
      <c r="L307" s="40" t="s">
        <v>108</v>
      </c>
      <c r="M307" s="40">
        <v>4.8194166669999996</v>
      </c>
      <c r="N307" s="40">
        <v>8.9054722220000002</v>
      </c>
      <c r="O307" s="40" t="s">
        <v>23</v>
      </c>
    </row>
    <row r="308" spans="1:15" x14ac:dyDescent="0.2">
      <c r="A308" s="24">
        <f t="shared" si="4"/>
        <v>306</v>
      </c>
      <c r="B308" s="40" t="s">
        <v>752</v>
      </c>
      <c r="C308" s="40" t="s">
        <v>753</v>
      </c>
      <c r="D308" s="40" t="s">
        <v>752</v>
      </c>
      <c r="E308" s="40" t="s">
        <v>34</v>
      </c>
      <c r="F308" s="40" t="s">
        <v>754</v>
      </c>
      <c r="G308" s="41" t="s">
        <v>36</v>
      </c>
      <c r="H308" s="40" t="s">
        <v>28</v>
      </c>
      <c r="I308" s="40" t="s">
        <v>108</v>
      </c>
      <c r="J308" s="40" t="s">
        <v>109</v>
      </c>
      <c r="K308" s="40" t="s">
        <v>190</v>
      </c>
      <c r="L308" s="40" t="s">
        <v>108</v>
      </c>
      <c r="M308" s="40">
        <v>4.5503609999999997</v>
      </c>
      <c r="N308" s="40">
        <v>9.2853060000000003</v>
      </c>
      <c r="O308" s="40" t="s">
        <v>23</v>
      </c>
    </row>
    <row r="309" spans="1:15" x14ac:dyDescent="0.2">
      <c r="A309" s="24">
        <f t="shared" si="4"/>
        <v>307</v>
      </c>
      <c r="B309" s="40" t="s">
        <v>893</v>
      </c>
      <c r="C309" s="40" t="s">
        <v>894</v>
      </c>
      <c r="D309" s="40" t="s">
        <v>893</v>
      </c>
      <c r="E309" s="40" t="s">
        <v>34</v>
      </c>
      <c r="F309" s="40" t="s">
        <v>895</v>
      </c>
      <c r="G309" s="41" t="s">
        <v>896</v>
      </c>
      <c r="H309" s="40" t="s">
        <v>28</v>
      </c>
      <c r="I309" s="40" t="s">
        <v>108</v>
      </c>
      <c r="J309" s="40" t="s">
        <v>109</v>
      </c>
      <c r="K309" s="40" t="s">
        <v>897</v>
      </c>
      <c r="L309" s="40" t="s">
        <v>108</v>
      </c>
      <c r="M309" s="40">
        <v>4.8994444440000002</v>
      </c>
      <c r="N309" s="40">
        <v>9.2570833330000006</v>
      </c>
      <c r="O309" s="40" t="s">
        <v>23</v>
      </c>
    </row>
    <row r="310" spans="1:15" x14ac:dyDescent="0.2">
      <c r="A310" s="24">
        <f t="shared" si="4"/>
        <v>308</v>
      </c>
      <c r="B310" s="40" t="s">
        <v>977</v>
      </c>
      <c r="C310" s="40" t="s">
        <v>978</v>
      </c>
      <c r="D310" s="40" t="s">
        <v>977</v>
      </c>
      <c r="E310" s="40" t="s">
        <v>34</v>
      </c>
      <c r="F310" s="40" t="s">
        <v>979</v>
      </c>
      <c r="G310" s="41" t="s">
        <v>18</v>
      </c>
      <c r="H310" s="40" t="s">
        <v>28</v>
      </c>
      <c r="I310" s="40" t="s">
        <v>108</v>
      </c>
      <c r="J310" s="40" t="s">
        <v>109</v>
      </c>
      <c r="K310" s="40" t="s">
        <v>897</v>
      </c>
      <c r="L310" s="40" t="s">
        <v>108</v>
      </c>
      <c r="M310" s="40">
        <v>4.7874444440000001</v>
      </c>
      <c r="N310" s="40">
        <v>9.2336388889999998</v>
      </c>
      <c r="O310" s="40" t="s">
        <v>23</v>
      </c>
    </row>
    <row r="311" spans="1:15" x14ac:dyDescent="0.2">
      <c r="A311" s="24">
        <f t="shared" si="4"/>
        <v>309</v>
      </c>
      <c r="B311" s="40" t="s">
        <v>1386</v>
      </c>
      <c r="C311" s="40" t="s">
        <v>1387</v>
      </c>
      <c r="D311" s="40" t="s">
        <v>1386</v>
      </c>
      <c r="E311" s="40" t="s">
        <v>34</v>
      </c>
      <c r="F311" s="40" t="s">
        <v>1388</v>
      </c>
      <c r="G311" s="41" t="s">
        <v>18</v>
      </c>
      <c r="H311" s="40" t="s">
        <v>28</v>
      </c>
      <c r="I311" s="40" t="s">
        <v>108</v>
      </c>
      <c r="J311" s="40" t="s">
        <v>670</v>
      </c>
      <c r="K311" s="40" t="s">
        <v>1389</v>
      </c>
      <c r="L311" s="40" t="s">
        <v>108</v>
      </c>
      <c r="M311" s="40">
        <v>4.6207289999999999</v>
      </c>
      <c r="N311" s="40">
        <v>9.4361519999999999</v>
      </c>
      <c r="O311" s="40" t="s">
        <v>23</v>
      </c>
    </row>
    <row r="312" spans="1:15" x14ac:dyDescent="0.2">
      <c r="A312" s="24">
        <f t="shared" si="4"/>
        <v>310</v>
      </c>
      <c r="B312" s="40" t="s">
        <v>1479</v>
      </c>
      <c r="C312" s="40" t="s">
        <v>1480</v>
      </c>
      <c r="D312" s="40" t="s">
        <v>1479</v>
      </c>
      <c r="E312" s="40" t="s">
        <v>34</v>
      </c>
      <c r="F312" s="40" t="s">
        <v>1481</v>
      </c>
      <c r="G312" s="41" t="s">
        <v>18</v>
      </c>
      <c r="H312" s="40" t="s">
        <v>28</v>
      </c>
      <c r="I312" s="40" t="s">
        <v>108</v>
      </c>
      <c r="J312" s="40" t="s">
        <v>670</v>
      </c>
      <c r="K312" s="40" t="s">
        <v>1389</v>
      </c>
      <c r="L312" s="40" t="s">
        <v>108</v>
      </c>
      <c r="M312" s="40">
        <v>4.6276780000000004</v>
      </c>
      <c r="N312" s="40">
        <v>9.4312529999999999</v>
      </c>
      <c r="O312" s="40" t="s">
        <v>23</v>
      </c>
    </row>
    <row r="313" spans="1:15" x14ac:dyDescent="0.2">
      <c r="A313" s="24">
        <f t="shared" si="4"/>
        <v>311</v>
      </c>
      <c r="B313" s="40" t="s">
        <v>1491</v>
      </c>
      <c r="C313" s="40" t="s">
        <v>1492</v>
      </c>
      <c r="D313" s="40" t="s">
        <v>1491</v>
      </c>
      <c r="E313" s="40" t="s">
        <v>34</v>
      </c>
      <c r="F313" s="40" t="s">
        <v>1493</v>
      </c>
      <c r="G313" s="41" t="s">
        <v>18</v>
      </c>
      <c r="H313" s="40" t="s">
        <v>28</v>
      </c>
      <c r="I313" s="40" t="s">
        <v>458</v>
      </c>
      <c r="J313" s="40" t="s">
        <v>670</v>
      </c>
      <c r="K313" s="40" t="s">
        <v>190</v>
      </c>
      <c r="L313" s="40" t="s">
        <v>108</v>
      </c>
      <c r="M313" s="40">
        <v>4.569</v>
      </c>
      <c r="N313" s="40">
        <v>9.1219000000000001</v>
      </c>
      <c r="O313" s="40" t="s">
        <v>23</v>
      </c>
    </row>
    <row r="314" spans="1:15" x14ac:dyDescent="0.2">
      <c r="A314" s="24">
        <f t="shared" si="4"/>
        <v>312</v>
      </c>
      <c r="B314" s="40" t="s">
        <v>1503</v>
      </c>
      <c r="C314" s="40" t="s">
        <v>1504</v>
      </c>
      <c r="D314" s="40" t="s">
        <v>1503</v>
      </c>
      <c r="E314" s="40" t="s">
        <v>34</v>
      </c>
      <c r="F314" s="40" t="s">
        <v>1505</v>
      </c>
      <c r="G314" s="41" t="s">
        <v>18</v>
      </c>
      <c r="H314" s="40" t="s">
        <v>28</v>
      </c>
      <c r="I314" s="40" t="s">
        <v>458</v>
      </c>
      <c r="J314" s="40" t="s">
        <v>459</v>
      </c>
      <c r="K314" s="40" t="s">
        <v>1506</v>
      </c>
      <c r="L314" s="40" t="s">
        <v>108</v>
      </c>
      <c r="M314" s="40">
        <v>4.6097099999999998</v>
      </c>
      <c r="N314" s="40">
        <v>9.0896519999999992</v>
      </c>
      <c r="O314" s="40" t="s">
        <v>23</v>
      </c>
    </row>
    <row r="315" spans="1:15" x14ac:dyDescent="0.2">
      <c r="A315" s="24">
        <f t="shared" si="4"/>
        <v>313</v>
      </c>
      <c r="B315" s="40" t="s">
        <v>1908</v>
      </c>
      <c r="C315" s="40" t="s">
        <v>1909</v>
      </c>
      <c r="D315" s="40" t="s">
        <v>1908</v>
      </c>
      <c r="E315" s="40" t="s">
        <v>34</v>
      </c>
      <c r="F315" s="40" t="s">
        <v>1910</v>
      </c>
      <c r="G315" s="41" t="s">
        <v>18</v>
      </c>
      <c r="H315" s="40" t="s">
        <v>28</v>
      </c>
      <c r="I315" s="40" t="s">
        <v>108</v>
      </c>
      <c r="J315" s="40" t="s">
        <v>670</v>
      </c>
      <c r="K315" s="40" t="s">
        <v>110</v>
      </c>
      <c r="L315" s="40" t="s">
        <v>108</v>
      </c>
      <c r="M315" s="40">
        <v>4.6325940000000001</v>
      </c>
      <c r="N315" s="40">
        <v>9.4642440000000008</v>
      </c>
      <c r="O315" s="40" t="s">
        <v>23</v>
      </c>
    </row>
    <row r="316" spans="1:15" x14ac:dyDescent="0.2">
      <c r="A316" s="24">
        <f t="shared" si="4"/>
        <v>314</v>
      </c>
      <c r="B316" s="40" t="s">
        <v>2037</v>
      </c>
      <c r="C316" s="40" t="s">
        <v>2038</v>
      </c>
      <c r="D316" s="40" t="s">
        <v>2037</v>
      </c>
      <c r="E316" s="40" t="s">
        <v>34</v>
      </c>
      <c r="F316" s="40" t="s">
        <v>2039</v>
      </c>
      <c r="G316" s="41" t="s">
        <v>18</v>
      </c>
      <c r="H316" s="40" t="s">
        <v>19</v>
      </c>
      <c r="I316" s="40" t="s">
        <v>151</v>
      </c>
      <c r="J316" s="40" t="s">
        <v>152</v>
      </c>
      <c r="K316" s="40" t="s">
        <v>2040</v>
      </c>
      <c r="L316" s="40" t="s">
        <v>108</v>
      </c>
      <c r="M316" s="40">
        <v>4.6954900000000004</v>
      </c>
      <c r="N316" s="40">
        <v>9.7060099999999991</v>
      </c>
      <c r="O316" s="40" t="s">
        <v>23</v>
      </c>
    </row>
    <row r="317" spans="1:15" x14ac:dyDescent="0.2">
      <c r="A317" s="24">
        <f t="shared" si="4"/>
        <v>315</v>
      </c>
      <c r="B317" s="40" t="s">
        <v>2472</v>
      </c>
      <c r="C317" s="40" t="s">
        <v>2473</v>
      </c>
      <c r="D317" s="40" t="s">
        <v>2472</v>
      </c>
      <c r="E317" s="40" t="s">
        <v>34</v>
      </c>
      <c r="F317" s="40" t="s">
        <v>2474</v>
      </c>
      <c r="G317" s="41" t="s">
        <v>18</v>
      </c>
      <c r="H317" s="40" t="s">
        <v>19</v>
      </c>
      <c r="I317" s="40" t="s">
        <v>356</v>
      </c>
      <c r="J317" s="40" t="s">
        <v>152</v>
      </c>
      <c r="K317" s="40" t="s">
        <v>2475</v>
      </c>
      <c r="L317" s="40" t="s">
        <v>108</v>
      </c>
      <c r="M317" s="40">
        <v>4.3782120000000004</v>
      </c>
      <c r="N317" s="40">
        <v>9.5685979999999997</v>
      </c>
      <c r="O317" s="40" t="s">
        <v>23</v>
      </c>
    </row>
    <row r="318" spans="1:15" x14ac:dyDescent="0.2">
      <c r="A318" s="24">
        <f t="shared" si="4"/>
        <v>316</v>
      </c>
      <c r="B318" s="40" t="s">
        <v>2687</v>
      </c>
      <c r="C318" s="40" t="s">
        <v>2688</v>
      </c>
      <c r="D318" s="40" t="s">
        <v>2687</v>
      </c>
      <c r="E318" s="40" t="s">
        <v>34</v>
      </c>
      <c r="F318" s="40" t="s">
        <v>2689</v>
      </c>
      <c r="G318" s="41" t="s">
        <v>18</v>
      </c>
      <c r="H318" s="40" t="s">
        <v>28</v>
      </c>
      <c r="I318" s="40" t="s">
        <v>108</v>
      </c>
      <c r="J318" s="40" t="s">
        <v>38</v>
      </c>
      <c r="K318" s="40" t="s">
        <v>190</v>
      </c>
      <c r="L318" s="40" t="s">
        <v>108</v>
      </c>
      <c r="M318" s="40">
        <v>4.5609500000000001</v>
      </c>
      <c r="N318" s="40">
        <v>9.4647900000000007</v>
      </c>
      <c r="O318" s="40" t="s">
        <v>23</v>
      </c>
    </row>
    <row r="319" spans="1:15" x14ac:dyDescent="0.2">
      <c r="A319" s="24">
        <f t="shared" si="4"/>
        <v>317</v>
      </c>
      <c r="B319" s="40" t="s">
        <v>2693</v>
      </c>
      <c r="C319" s="40" t="s">
        <v>2694</v>
      </c>
      <c r="D319" s="40" t="s">
        <v>2693</v>
      </c>
      <c r="E319" s="40" t="s">
        <v>34</v>
      </c>
      <c r="F319" s="40" t="s">
        <v>2695</v>
      </c>
      <c r="G319" s="41" t="s">
        <v>18</v>
      </c>
      <c r="H319" s="40" t="s">
        <v>28</v>
      </c>
      <c r="I319" s="40" t="s">
        <v>108</v>
      </c>
      <c r="J319" s="40" t="s">
        <v>109</v>
      </c>
      <c r="K319" s="40" t="s">
        <v>190</v>
      </c>
      <c r="L319" s="40" t="s">
        <v>108</v>
      </c>
      <c r="M319" s="40">
        <v>4.5936300000000001</v>
      </c>
      <c r="N319" s="40">
        <v>9.3452800000000007</v>
      </c>
      <c r="O319" s="40" t="s">
        <v>23</v>
      </c>
    </row>
    <row r="320" spans="1:15" x14ac:dyDescent="0.2">
      <c r="A320" s="24">
        <f t="shared" si="4"/>
        <v>318</v>
      </c>
      <c r="B320" s="40" t="s">
        <v>3188</v>
      </c>
      <c r="C320" s="40" t="s">
        <v>3189</v>
      </c>
      <c r="D320" s="40" t="s">
        <v>3188</v>
      </c>
      <c r="E320" s="40" t="s">
        <v>34</v>
      </c>
      <c r="F320" s="40" t="s">
        <v>3190</v>
      </c>
      <c r="G320" s="41" t="s">
        <v>18</v>
      </c>
      <c r="H320" s="40" t="s">
        <v>28</v>
      </c>
      <c r="I320" s="40" t="s">
        <v>356</v>
      </c>
      <c r="J320" s="40" t="s">
        <v>152</v>
      </c>
      <c r="K320" s="40" t="s">
        <v>2475</v>
      </c>
      <c r="L320" s="40" t="s">
        <v>108</v>
      </c>
      <c r="M320" s="40">
        <v>4.5064019999999996</v>
      </c>
      <c r="N320" s="40">
        <v>9.5696890000000003</v>
      </c>
      <c r="O320" s="40" t="s">
        <v>23</v>
      </c>
    </row>
    <row r="321" spans="1:15" x14ac:dyDescent="0.2">
      <c r="A321" s="24">
        <f t="shared" si="4"/>
        <v>319</v>
      </c>
      <c r="B321" s="40" t="s">
        <v>3321</v>
      </c>
      <c r="C321" s="40" t="s">
        <v>3322</v>
      </c>
      <c r="D321" s="40" t="s">
        <v>3321</v>
      </c>
      <c r="E321" s="40" t="s">
        <v>34</v>
      </c>
      <c r="F321" s="40" t="s">
        <v>3323</v>
      </c>
      <c r="G321" s="41" t="s">
        <v>18</v>
      </c>
      <c r="H321" s="40" t="s">
        <v>28</v>
      </c>
      <c r="I321" s="40" t="s">
        <v>108</v>
      </c>
      <c r="J321" s="40" t="s">
        <v>670</v>
      </c>
      <c r="K321" s="40" t="s">
        <v>1389</v>
      </c>
      <c r="L321" s="40" t="s">
        <v>108</v>
      </c>
      <c r="M321" s="40">
        <v>4.631094</v>
      </c>
      <c r="N321" s="40">
        <v>9.4460610000000003</v>
      </c>
      <c r="O321" s="40" t="s">
        <v>23</v>
      </c>
    </row>
    <row r="322" spans="1:15" x14ac:dyDescent="0.2">
      <c r="A322" s="24">
        <f t="shared" si="4"/>
        <v>320</v>
      </c>
      <c r="B322" s="40" t="s">
        <v>3350</v>
      </c>
      <c r="C322" s="40" t="s">
        <v>3351</v>
      </c>
      <c r="D322" s="40" t="s">
        <v>3350</v>
      </c>
      <c r="E322" s="40" t="s">
        <v>34</v>
      </c>
      <c r="F322" s="40" t="s">
        <v>3352</v>
      </c>
      <c r="G322" s="41" t="s">
        <v>18</v>
      </c>
      <c r="H322" s="40" t="s">
        <v>28</v>
      </c>
      <c r="I322" s="40" t="s">
        <v>356</v>
      </c>
      <c r="J322" s="40" t="s">
        <v>152</v>
      </c>
      <c r="K322" s="40" t="s">
        <v>2475</v>
      </c>
      <c r="L322" s="40" t="s">
        <v>108</v>
      </c>
      <c r="M322" s="40">
        <v>4.4841379999999997</v>
      </c>
      <c r="N322" s="40">
        <v>9.5671169999999996</v>
      </c>
      <c r="O322" s="40" t="s">
        <v>23</v>
      </c>
    </row>
    <row r="323" spans="1:15" x14ac:dyDescent="0.2">
      <c r="A323" s="24">
        <f t="shared" si="4"/>
        <v>321</v>
      </c>
      <c r="B323" s="40" t="s">
        <v>3421</v>
      </c>
      <c r="C323" s="40" t="s">
        <v>3422</v>
      </c>
      <c r="D323" s="40" t="s">
        <v>3421</v>
      </c>
      <c r="E323" s="40" t="s">
        <v>34</v>
      </c>
      <c r="F323" s="40" t="s">
        <v>3423</v>
      </c>
      <c r="G323" s="41" t="s">
        <v>18</v>
      </c>
      <c r="H323" s="40" t="s">
        <v>28</v>
      </c>
      <c r="I323" s="40" t="s">
        <v>108</v>
      </c>
      <c r="J323" s="40" t="s">
        <v>670</v>
      </c>
      <c r="K323" s="40" t="s">
        <v>108</v>
      </c>
      <c r="L323" s="40" t="s">
        <v>108</v>
      </c>
      <c r="M323" s="40">
        <v>4.6380280000000003</v>
      </c>
      <c r="N323" s="40">
        <v>9.4588330000000003</v>
      </c>
      <c r="O323" s="40" t="s">
        <v>23</v>
      </c>
    </row>
    <row r="324" spans="1:15" x14ac:dyDescent="0.2">
      <c r="A324" s="24">
        <f t="shared" si="4"/>
        <v>322</v>
      </c>
      <c r="B324" s="40" t="s">
        <v>3532</v>
      </c>
      <c r="C324" s="40" t="s">
        <v>3533</v>
      </c>
      <c r="D324" s="40" t="s">
        <v>3532</v>
      </c>
      <c r="E324" s="40" t="s">
        <v>34</v>
      </c>
      <c r="F324" s="40" t="s">
        <v>3534</v>
      </c>
      <c r="G324" s="41" t="s">
        <v>18</v>
      </c>
      <c r="H324" s="40" t="s">
        <v>28</v>
      </c>
      <c r="I324" s="40" t="s">
        <v>108</v>
      </c>
      <c r="J324" s="40" t="s">
        <v>109</v>
      </c>
      <c r="K324" s="40" t="s">
        <v>190</v>
      </c>
      <c r="L324" s="40" t="s">
        <v>108</v>
      </c>
      <c r="M324" s="40">
        <v>4.56974488</v>
      </c>
      <c r="N324" s="40">
        <v>9.2583120900000004</v>
      </c>
      <c r="O324" s="40" t="s">
        <v>23</v>
      </c>
    </row>
    <row r="325" spans="1:15" x14ac:dyDescent="0.2">
      <c r="A325" s="24">
        <f t="shared" ref="A325:A388" si="5">1+A324</f>
        <v>323</v>
      </c>
      <c r="B325" s="40" t="s">
        <v>3614</v>
      </c>
      <c r="C325" s="40" t="s">
        <v>3615</v>
      </c>
      <c r="D325" s="40" t="s">
        <v>3614</v>
      </c>
      <c r="E325" s="40" t="s">
        <v>34</v>
      </c>
      <c r="F325" s="40" t="s">
        <v>3616</v>
      </c>
      <c r="G325" s="41" t="s">
        <v>18</v>
      </c>
      <c r="H325" s="40" t="s">
        <v>28</v>
      </c>
      <c r="I325" s="40" t="s">
        <v>108</v>
      </c>
      <c r="J325" s="40" t="s">
        <v>670</v>
      </c>
      <c r="K325" s="40" t="s">
        <v>3617</v>
      </c>
      <c r="L325" s="40" t="s">
        <v>108</v>
      </c>
      <c r="M325" s="40">
        <v>4.6487220000000002</v>
      </c>
      <c r="N325" s="40">
        <v>9.4389280000000007</v>
      </c>
      <c r="O325" s="40" t="s">
        <v>23</v>
      </c>
    </row>
    <row r="326" spans="1:15" x14ac:dyDescent="0.2">
      <c r="A326" s="24">
        <f t="shared" si="5"/>
        <v>324</v>
      </c>
      <c r="B326" s="40" t="s">
        <v>3618</v>
      </c>
      <c r="C326" s="40" t="s">
        <v>3619</v>
      </c>
      <c r="D326" s="40" t="s">
        <v>3618</v>
      </c>
      <c r="E326" s="40" t="s">
        <v>34</v>
      </c>
      <c r="F326" s="40" t="s">
        <v>3620</v>
      </c>
      <c r="G326" s="41" t="s">
        <v>18</v>
      </c>
      <c r="H326" s="40" t="s">
        <v>19</v>
      </c>
      <c r="I326" s="40" t="s">
        <v>108</v>
      </c>
      <c r="J326" s="40" t="s">
        <v>670</v>
      </c>
      <c r="K326" s="40" t="s">
        <v>1389</v>
      </c>
      <c r="L326" s="40" t="s">
        <v>108</v>
      </c>
      <c r="M326" s="40">
        <v>4.6354240000000004</v>
      </c>
      <c r="N326" s="40">
        <v>9.4363010000000003</v>
      </c>
      <c r="O326" s="40" t="s">
        <v>613</v>
      </c>
    </row>
    <row r="327" spans="1:15" x14ac:dyDescent="0.2">
      <c r="A327" s="24">
        <f t="shared" si="5"/>
        <v>325</v>
      </c>
      <c r="B327" s="40" t="s">
        <v>3621</v>
      </c>
      <c r="C327" s="40" t="s">
        <v>3622</v>
      </c>
      <c r="D327" s="40" t="s">
        <v>3621</v>
      </c>
      <c r="E327" s="40" t="s">
        <v>34</v>
      </c>
      <c r="F327" s="40" t="s">
        <v>3623</v>
      </c>
      <c r="G327" s="41" t="s">
        <v>18</v>
      </c>
      <c r="H327" s="40" t="s">
        <v>28</v>
      </c>
      <c r="I327" s="40" t="s">
        <v>108</v>
      </c>
      <c r="J327" s="40" t="s">
        <v>670</v>
      </c>
      <c r="K327" s="40" t="s">
        <v>1389</v>
      </c>
      <c r="L327" s="40" t="s">
        <v>108</v>
      </c>
      <c r="M327" s="40">
        <v>4.6245279999999998</v>
      </c>
      <c r="N327" s="40">
        <v>9.4233060000000002</v>
      </c>
      <c r="O327" s="40" t="s">
        <v>23</v>
      </c>
    </row>
    <row r="328" spans="1:15" x14ac:dyDescent="0.2">
      <c r="A328" s="24">
        <f t="shared" si="5"/>
        <v>326</v>
      </c>
      <c r="B328" s="40" t="s">
        <v>3627</v>
      </c>
      <c r="C328" s="40" t="s">
        <v>3628</v>
      </c>
      <c r="D328" s="40" t="s">
        <v>3627</v>
      </c>
      <c r="E328" s="40" t="s">
        <v>34</v>
      </c>
      <c r="F328" s="40" t="s">
        <v>3629</v>
      </c>
      <c r="G328" s="41" t="s">
        <v>18</v>
      </c>
      <c r="H328" s="40" t="s">
        <v>28</v>
      </c>
      <c r="I328" s="40" t="s">
        <v>108</v>
      </c>
      <c r="J328" s="40" t="s">
        <v>670</v>
      </c>
      <c r="K328" s="40" t="s">
        <v>108</v>
      </c>
      <c r="L328" s="40" t="s">
        <v>108</v>
      </c>
      <c r="M328" s="40">
        <v>4.644647</v>
      </c>
      <c r="N328" s="40">
        <v>9.4243050000000004</v>
      </c>
      <c r="O328" s="40" t="s">
        <v>23</v>
      </c>
    </row>
    <row r="329" spans="1:15" x14ac:dyDescent="0.2">
      <c r="A329" s="24">
        <f t="shared" si="5"/>
        <v>327</v>
      </c>
      <c r="B329" s="40" t="s">
        <v>3630</v>
      </c>
      <c r="C329" s="40" t="s">
        <v>3631</v>
      </c>
      <c r="D329" s="40" t="s">
        <v>3630</v>
      </c>
      <c r="E329" s="40" t="s">
        <v>34</v>
      </c>
      <c r="F329" s="40" t="s">
        <v>3632</v>
      </c>
      <c r="G329" s="41" t="s">
        <v>18</v>
      </c>
      <c r="H329" s="40" t="s">
        <v>28</v>
      </c>
      <c r="I329" s="40" t="s">
        <v>108</v>
      </c>
      <c r="J329" s="40" t="s">
        <v>670</v>
      </c>
      <c r="K329" s="40" t="s">
        <v>110</v>
      </c>
      <c r="L329" s="40" t="s">
        <v>108</v>
      </c>
      <c r="M329" s="40">
        <v>4.6161000000000003</v>
      </c>
      <c r="N329" s="40">
        <v>9.4560700000000004</v>
      </c>
      <c r="O329" s="40" t="s">
        <v>23</v>
      </c>
    </row>
    <row r="330" spans="1:15" x14ac:dyDescent="0.2">
      <c r="A330" s="24">
        <f t="shared" si="5"/>
        <v>328</v>
      </c>
      <c r="B330" s="40" t="s">
        <v>3633</v>
      </c>
      <c r="C330" s="40" t="s">
        <v>3634</v>
      </c>
      <c r="D330" s="40" t="s">
        <v>3633</v>
      </c>
      <c r="E330" s="40" t="s">
        <v>34</v>
      </c>
      <c r="F330" s="40" t="s">
        <v>3635</v>
      </c>
      <c r="G330" s="41" t="s">
        <v>18</v>
      </c>
      <c r="H330" s="40" t="s">
        <v>28</v>
      </c>
      <c r="I330" s="40" t="s">
        <v>108</v>
      </c>
      <c r="J330" s="40" t="s">
        <v>670</v>
      </c>
      <c r="K330" s="40" t="s">
        <v>3617</v>
      </c>
      <c r="L330" s="40" t="s">
        <v>108</v>
      </c>
      <c r="M330" s="40">
        <v>4.6539869999999999</v>
      </c>
      <c r="N330" s="40">
        <v>9.4498800000000003</v>
      </c>
      <c r="O330" s="40" t="s">
        <v>23</v>
      </c>
    </row>
    <row r="331" spans="1:15" x14ac:dyDescent="0.2">
      <c r="A331" s="24">
        <f t="shared" si="5"/>
        <v>329</v>
      </c>
      <c r="B331" s="40" t="s">
        <v>3636</v>
      </c>
      <c r="C331" s="40" t="s">
        <v>3637</v>
      </c>
      <c r="D331" s="40" t="s">
        <v>3636</v>
      </c>
      <c r="E331" s="40" t="s">
        <v>34</v>
      </c>
      <c r="F331" s="40" t="s">
        <v>3638</v>
      </c>
      <c r="G331" s="41" t="s">
        <v>18</v>
      </c>
      <c r="H331" s="40" t="s">
        <v>28</v>
      </c>
      <c r="I331" s="40" t="s">
        <v>108</v>
      </c>
      <c r="J331" s="40" t="s">
        <v>670</v>
      </c>
      <c r="K331" s="40" t="s">
        <v>3617</v>
      </c>
      <c r="L331" s="40" t="s">
        <v>108</v>
      </c>
      <c r="M331" s="40">
        <v>4.6439440000000003</v>
      </c>
      <c r="N331" s="40">
        <v>9.4515560000000001</v>
      </c>
      <c r="O331" s="40" t="s">
        <v>23</v>
      </c>
    </row>
    <row r="332" spans="1:15" x14ac:dyDescent="0.2">
      <c r="A332" s="24">
        <f t="shared" si="5"/>
        <v>330</v>
      </c>
      <c r="B332" s="40" t="s">
        <v>3639</v>
      </c>
      <c r="C332" s="40" t="s">
        <v>3640</v>
      </c>
      <c r="D332" s="40" t="s">
        <v>3639</v>
      </c>
      <c r="E332" s="40" t="s">
        <v>34</v>
      </c>
      <c r="F332" s="40" t="s">
        <v>3641</v>
      </c>
      <c r="G332" s="41" t="s">
        <v>18</v>
      </c>
      <c r="H332" s="40" t="s">
        <v>28</v>
      </c>
      <c r="I332" s="40" t="s">
        <v>108</v>
      </c>
      <c r="J332" s="40" t="s">
        <v>670</v>
      </c>
      <c r="K332" s="40" t="s">
        <v>3617</v>
      </c>
      <c r="L332" s="40" t="s">
        <v>108</v>
      </c>
      <c r="M332" s="40">
        <v>4.6374529999999998</v>
      </c>
      <c r="N332" s="40">
        <v>9.4540019999999991</v>
      </c>
      <c r="O332" s="40" t="s">
        <v>23</v>
      </c>
    </row>
    <row r="333" spans="1:15" x14ac:dyDescent="0.2">
      <c r="A333" s="24">
        <f t="shared" si="5"/>
        <v>331</v>
      </c>
      <c r="B333" s="40" t="s">
        <v>3642</v>
      </c>
      <c r="C333" s="40" t="s">
        <v>3643</v>
      </c>
      <c r="D333" s="40" t="s">
        <v>3642</v>
      </c>
      <c r="E333" s="40" t="s">
        <v>34</v>
      </c>
      <c r="F333" s="40" t="s">
        <v>3644</v>
      </c>
      <c r="G333" s="41" t="s">
        <v>18</v>
      </c>
      <c r="H333" s="40" t="s">
        <v>28</v>
      </c>
      <c r="I333" s="40" t="s">
        <v>108</v>
      </c>
      <c r="J333" s="40" t="s">
        <v>670</v>
      </c>
      <c r="K333" s="40" t="s">
        <v>110</v>
      </c>
      <c r="L333" s="40" t="s">
        <v>108</v>
      </c>
      <c r="M333" s="40">
        <v>4.6388680000000004</v>
      </c>
      <c r="N333" s="40">
        <v>9.4691329999999994</v>
      </c>
      <c r="O333" s="40" t="s">
        <v>23</v>
      </c>
    </row>
    <row r="334" spans="1:15" x14ac:dyDescent="0.2">
      <c r="A334" s="24">
        <f t="shared" si="5"/>
        <v>332</v>
      </c>
      <c r="B334" s="40" t="s">
        <v>3692</v>
      </c>
      <c r="C334" s="40" t="s">
        <v>3693</v>
      </c>
      <c r="D334" s="40" t="s">
        <v>3692</v>
      </c>
      <c r="E334" s="40" t="s">
        <v>34</v>
      </c>
      <c r="F334" s="40" t="s">
        <v>3694</v>
      </c>
      <c r="G334" s="41" t="s">
        <v>18</v>
      </c>
      <c r="H334" s="40" t="s">
        <v>28</v>
      </c>
      <c r="I334" s="40" t="s">
        <v>108</v>
      </c>
      <c r="J334" s="40" t="s">
        <v>109</v>
      </c>
      <c r="K334" s="40" t="s">
        <v>698</v>
      </c>
      <c r="L334" s="40" t="s">
        <v>108</v>
      </c>
      <c r="M334" s="40">
        <v>4.7261600000000001</v>
      </c>
      <c r="N334" s="40">
        <v>9.4880600000000008</v>
      </c>
      <c r="O334" s="40" t="s">
        <v>23</v>
      </c>
    </row>
    <row r="335" spans="1:15" x14ac:dyDescent="0.2">
      <c r="A335" s="24">
        <f t="shared" si="5"/>
        <v>333</v>
      </c>
      <c r="B335" s="40" t="s">
        <v>3698</v>
      </c>
      <c r="C335" s="40" t="s">
        <v>3699</v>
      </c>
      <c r="D335" s="40" t="s">
        <v>3698</v>
      </c>
      <c r="E335" s="40" t="s">
        <v>34</v>
      </c>
      <c r="F335" s="40" t="s">
        <v>3700</v>
      </c>
      <c r="G335" s="41" t="s">
        <v>18</v>
      </c>
      <c r="H335" s="40" t="s">
        <v>28</v>
      </c>
      <c r="I335" s="40" t="s">
        <v>108</v>
      </c>
      <c r="J335" s="40" t="s">
        <v>670</v>
      </c>
      <c r="K335" s="40" t="s">
        <v>108</v>
      </c>
      <c r="L335" s="40" t="s">
        <v>108</v>
      </c>
      <c r="M335" s="40">
        <v>4.6379669999999997</v>
      </c>
      <c r="N335" s="40">
        <v>9.4623179999999998</v>
      </c>
      <c r="O335" s="40" t="s">
        <v>23</v>
      </c>
    </row>
    <row r="336" spans="1:15" x14ac:dyDescent="0.2">
      <c r="A336" s="24">
        <f t="shared" si="5"/>
        <v>334</v>
      </c>
      <c r="B336" s="40" t="s">
        <v>3701</v>
      </c>
      <c r="C336" s="40" t="s">
        <v>3702</v>
      </c>
      <c r="D336" s="40" t="s">
        <v>3701</v>
      </c>
      <c r="E336" s="40" t="s">
        <v>34</v>
      </c>
      <c r="F336" s="40" t="s">
        <v>3703</v>
      </c>
      <c r="G336" s="41" t="s">
        <v>18</v>
      </c>
      <c r="H336" s="40" t="s">
        <v>28</v>
      </c>
      <c r="I336" s="40" t="s">
        <v>458</v>
      </c>
      <c r="J336" s="40" t="s">
        <v>459</v>
      </c>
      <c r="K336" s="40" t="s">
        <v>726</v>
      </c>
      <c r="L336" s="40" t="s">
        <v>108</v>
      </c>
      <c r="M336" s="40">
        <v>4.6033999000000003</v>
      </c>
      <c r="N336" s="40">
        <v>9.0386401000000003</v>
      </c>
      <c r="O336" s="40" t="s">
        <v>23</v>
      </c>
    </row>
    <row r="337" spans="1:15" x14ac:dyDescent="0.2">
      <c r="A337" s="24">
        <f t="shared" si="5"/>
        <v>335</v>
      </c>
      <c r="B337" s="40" t="s">
        <v>3704</v>
      </c>
      <c r="C337" s="40" t="s">
        <v>3705</v>
      </c>
      <c r="D337" s="40" t="s">
        <v>3704</v>
      </c>
      <c r="E337" s="40" t="s">
        <v>34</v>
      </c>
      <c r="F337" s="40" t="s">
        <v>3706</v>
      </c>
      <c r="G337" s="41" t="s">
        <v>18</v>
      </c>
      <c r="H337" s="40" t="s">
        <v>28</v>
      </c>
      <c r="I337" s="40" t="s">
        <v>108</v>
      </c>
      <c r="J337" s="40" t="s">
        <v>109</v>
      </c>
      <c r="K337" s="40" t="s">
        <v>110</v>
      </c>
      <c r="L337" s="40" t="s">
        <v>108</v>
      </c>
      <c r="M337" s="40">
        <v>4.6010799999999996</v>
      </c>
      <c r="N337" s="40">
        <v>9.4586199999999998</v>
      </c>
      <c r="O337" s="40" t="s">
        <v>23</v>
      </c>
    </row>
    <row r="338" spans="1:15" x14ac:dyDescent="0.2">
      <c r="A338" s="24">
        <f t="shared" si="5"/>
        <v>336</v>
      </c>
      <c r="B338" s="40" t="s">
        <v>3707</v>
      </c>
      <c r="C338" s="40" t="s">
        <v>3708</v>
      </c>
      <c r="D338" s="40" t="s">
        <v>3707</v>
      </c>
      <c r="E338" s="40" t="s">
        <v>34</v>
      </c>
      <c r="F338" s="40" t="s">
        <v>3709</v>
      </c>
      <c r="G338" s="41" t="s">
        <v>18</v>
      </c>
      <c r="H338" s="40" t="s">
        <v>28</v>
      </c>
      <c r="I338" s="40" t="s">
        <v>108</v>
      </c>
      <c r="J338" s="40" t="s">
        <v>670</v>
      </c>
      <c r="K338" s="40" t="s">
        <v>1389</v>
      </c>
      <c r="L338" s="40" t="s">
        <v>108</v>
      </c>
      <c r="M338" s="40">
        <v>4.6295000000000002</v>
      </c>
      <c r="N338" s="40">
        <v>9.4384999999999994</v>
      </c>
      <c r="O338" s="40" t="s">
        <v>613</v>
      </c>
    </row>
    <row r="339" spans="1:15" x14ac:dyDescent="0.2">
      <c r="A339" s="24">
        <f t="shared" si="5"/>
        <v>337</v>
      </c>
      <c r="B339" s="40" t="s">
        <v>3743</v>
      </c>
      <c r="C339" s="40" t="s">
        <v>3744</v>
      </c>
      <c r="D339" s="40" t="s">
        <v>3743</v>
      </c>
      <c r="E339" s="40" t="s">
        <v>34</v>
      </c>
      <c r="F339" s="40" t="s">
        <v>457</v>
      </c>
      <c r="G339" s="41" t="s">
        <v>18</v>
      </c>
      <c r="H339" s="40" t="s">
        <v>19</v>
      </c>
      <c r="I339" s="40" t="s">
        <v>458</v>
      </c>
      <c r="J339" s="40" t="s">
        <v>459</v>
      </c>
      <c r="K339" s="40" t="s">
        <v>457</v>
      </c>
      <c r="L339" s="40" t="s">
        <v>108</v>
      </c>
      <c r="M339" s="40">
        <v>4.9745100000000004</v>
      </c>
      <c r="N339" s="40">
        <v>8.9053199999999997</v>
      </c>
      <c r="O339" s="40" t="s">
        <v>23</v>
      </c>
    </row>
    <row r="340" spans="1:15" x14ac:dyDescent="0.2">
      <c r="A340" s="24">
        <f t="shared" si="5"/>
        <v>338</v>
      </c>
      <c r="B340" s="40" t="s">
        <v>4010</v>
      </c>
      <c r="C340" s="40" t="s">
        <v>4011</v>
      </c>
      <c r="D340" s="40" t="s">
        <v>4010</v>
      </c>
      <c r="E340" s="40" t="s">
        <v>34</v>
      </c>
      <c r="F340" s="40" t="s">
        <v>4012</v>
      </c>
      <c r="G340" s="41" t="s">
        <v>18</v>
      </c>
      <c r="H340" s="40" t="s">
        <v>19</v>
      </c>
      <c r="I340" s="40" t="s">
        <v>458</v>
      </c>
      <c r="J340" s="40" t="s">
        <v>459</v>
      </c>
      <c r="K340" s="40" t="s">
        <v>190</v>
      </c>
      <c r="L340" s="40" t="s">
        <v>108</v>
      </c>
      <c r="M340" s="40">
        <v>4.5743019</v>
      </c>
      <c r="N340" s="40">
        <v>9.0861750000000008</v>
      </c>
      <c r="O340" s="40" t="s">
        <v>23</v>
      </c>
    </row>
    <row r="341" spans="1:15" x14ac:dyDescent="0.2">
      <c r="A341" s="24">
        <f t="shared" si="5"/>
        <v>339</v>
      </c>
      <c r="B341" s="40" t="s">
        <v>4133</v>
      </c>
      <c r="C341" s="40" t="s">
        <v>4134</v>
      </c>
      <c r="D341" s="40" t="s">
        <v>4133</v>
      </c>
      <c r="E341" s="40" t="s">
        <v>34</v>
      </c>
      <c r="F341" s="40" t="s">
        <v>108</v>
      </c>
      <c r="G341" s="41" t="s">
        <v>18</v>
      </c>
      <c r="H341" s="40" t="s">
        <v>19</v>
      </c>
      <c r="I341" s="40" t="s">
        <v>108</v>
      </c>
      <c r="J341" s="40" t="s">
        <v>670</v>
      </c>
      <c r="K341" s="40" t="s">
        <v>3617</v>
      </c>
      <c r="L341" s="40" t="s">
        <v>108</v>
      </c>
      <c r="M341" s="40">
        <v>4.6399220000000003</v>
      </c>
      <c r="N341" s="40">
        <v>9.4431349999999998</v>
      </c>
      <c r="O341" s="40" t="s">
        <v>23</v>
      </c>
    </row>
    <row r="342" spans="1:15" x14ac:dyDescent="0.2">
      <c r="A342" s="24">
        <f t="shared" si="5"/>
        <v>340</v>
      </c>
      <c r="B342" s="40" t="s">
        <v>4152</v>
      </c>
      <c r="C342" s="40" t="s">
        <v>4153</v>
      </c>
      <c r="D342" s="40" t="s">
        <v>4152</v>
      </c>
      <c r="E342" s="40" t="s">
        <v>34</v>
      </c>
      <c r="F342" s="40" t="s">
        <v>4154</v>
      </c>
      <c r="G342" s="41" t="s">
        <v>18</v>
      </c>
      <c r="H342" s="40" t="s">
        <v>28</v>
      </c>
      <c r="I342" s="40" t="s">
        <v>108</v>
      </c>
      <c r="J342" s="40" t="s">
        <v>670</v>
      </c>
      <c r="K342" s="40" t="s">
        <v>110</v>
      </c>
      <c r="L342" s="40" t="s">
        <v>108</v>
      </c>
      <c r="M342" s="40">
        <v>4.6400350000000001</v>
      </c>
      <c r="N342" s="40">
        <v>9.4847479999999997</v>
      </c>
      <c r="O342" s="40" t="s">
        <v>23</v>
      </c>
    </row>
    <row r="343" spans="1:15" x14ac:dyDescent="0.2">
      <c r="A343" s="24">
        <f t="shared" si="5"/>
        <v>341</v>
      </c>
      <c r="B343" s="40" t="s">
        <v>4447</v>
      </c>
      <c r="C343" s="40" t="s">
        <v>4448</v>
      </c>
      <c r="D343" s="40" t="s">
        <v>4447</v>
      </c>
      <c r="E343" s="40" t="s">
        <v>34</v>
      </c>
      <c r="F343" s="40" t="s">
        <v>4449</v>
      </c>
      <c r="G343" s="41" t="s">
        <v>18</v>
      </c>
      <c r="H343" s="40" t="s">
        <v>28</v>
      </c>
      <c r="I343" s="40" t="s">
        <v>356</v>
      </c>
      <c r="J343" s="40" t="s">
        <v>152</v>
      </c>
      <c r="K343" s="40" t="s">
        <v>361</v>
      </c>
      <c r="L343" s="40" t="s">
        <v>108</v>
      </c>
      <c r="M343" s="40">
        <v>4.6420880000000002</v>
      </c>
      <c r="N343" s="40">
        <v>9.6936319999999991</v>
      </c>
      <c r="O343" s="40" t="s">
        <v>23</v>
      </c>
    </row>
    <row r="344" spans="1:15" x14ac:dyDescent="0.2">
      <c r="A344" s="24">
        <f t="shared" si="5"/>
        <v>342</v>
      </c>
      <c r="B344" s="40" t="s">
        <v>4572</v>
      </c>
      <c r="C344" s="40" t="s">
        <v>4573</v>
      </c>
      <c r="D344" s="40" t="s">
        <v>4572</v>
      </c>
      <c r="E344" s="40" t="s">
        <v>34</v>
      </c>
      <c r="F344" s="40" t="s">
        <v>151</v>
      </c>
      <c r="G344" s="41" t="s">
        <v>18</v>
      </c>
      <c r="H344" s="40" t="s">
        <v>28</v>
      </c>
      <c r="I344" s="40" t="s">
        <v>151</v>
      </c>
      <c r="J344" s="40" t="s">
        <v>152</v>
      </c>
      <c r="K344" s="40" t="s">
        <v>2040</v>
      </c>
      <c r="L344" s="40" t="s">
        <v>108</v>
      </c>
      <c r="M344" s="40">
        <v>4.6955169999999997</v>
      </c>
      <c r="N344" s="40">
        <v>9.7118120000000001</v>
      </c>
      <c r="O344" s="40" t="s">
        <v>23</v>
      </c>
    </row>
    <row r="345" spans="1:15" x14ac:dyDescent="0.2">
      <c r="A345" s="24">
        <f t="shared" si="5"/>
        <v>343</v>
      </c>
      <c r="B345" s="40" t="s">
        <v>4574</v>
      </c>
      <c r="C345" s="40" t="s">
        <v>4575</v>
      </c>
      <c r="D345" s="40" t="s">
        <v>4574</v>
      </c>
      <c r="E345" s="40" t="s">
        <v>34</v>
      </c>
      <c r="F345" s="40" t="s">
        <v>370</v>
      </c>
      <c r="G345" s="41" t="s">
        <v>18</v>
      </c>
      <c r="H345" s="40" t="s">
        <v>19</v>
      </c>
      <c r="I345" s="40" t="s">
        <v>151</v>
      </c>
      <c r="J345" s="40" t="s">
        <v>152</v>
      </c>
      <c r="K345" s="40" t="s">
        <v>4576</v>
      </c>
      <c r="L345" s="40" t="s">
        <v>108</v>
      </c>
      <c r="M345" s="40">
        <v>4.7472500000000002</v>
      </c>
      <c r="N345" s="40">
        <v>9.6676669999999998</v>
      </c>
      <c r="O345" s="40" t="s">
        <v>23</v>
      </c>
    </row>
    <row r="346" spans="1:15" x14ac:dyDescent="0.2">
      <c r="A346" s="24">
        <f t="shared" si="5"/>
        <v>344</v>
      </c>
      <c r="B346" s="40" t="s">
        <v>4784</v>
      </c>
      <c r="C346" s="40" t="s">
        <v>4785</v>
      </c>
      <c r="D346" s="40" t="s">
        <v>4784</v>
      </c>
      <c r="E346" s="40" t="s">
        <v>34</v>
      </c>
      <c r="F346" s="40" t="s">
        <v>4786</v>
      </c>
      <c r="G346" s="41" t="s">
        <v>18</v>
      </c>
      <c r="H346" s="40" t="s">
        <v>28</v>
      </c>
      <c r="I346" s="40" t="s">
        <v>151</v>
      </c>
      <c r="J346" s="40" t="s">
        <v>1314</v>
      </c>
      <c r="K346" s="40" t="s">
        <v>4576</v>
      </c>
      <c r="L346" s="40" t="s">
        <v>108</v>
      </c>
      <c r="M346" s="40">
        <v>4.7203200000000001</v>
      </c>
      <c r="N346" s="40">
        <v>9.6269799999999996</v>
      </c>
      <c r="O346" s="40" t="s">
        <v>23</v>
      </c>
    </row>
    <row r="347" spans="1:15" x14ac:dyDescent="0.2">
      <c r="A347" s="24">
        <f t="shared" si="5"/>
        <v>345</v>
      </c>
      <c r="B347" s="40" t="s">
        <v>5011</v>
      </c>
      <c r="C347" s="40" t="s">
        <v>5012</v>
      </c>
      <c r="D347" s="40" t="s">
        <v>5011</v>
      </c>
      <c r="E347" s="40" t="s">
        <v>34</v>
      </c>
      <c r="F347" s="40" t="s">
        <v>5013</v>
      </c>
      <c r="G347" s="41" t="s">
        <v>18</v>
      </c>
      <c r="H347" s="40" t="s">
        <v>28</v>
      </c>
      <c r="I347" s="40" t="s">
        <v>108</v>
      </c>
      <c r="J347" s="40" t="s">
        <v>109</v>
      </c>
      <c r="K347" s="40" t="s">
        <v>190</v>
      </c>
      <c r="L347" s="40" t="s">
        <v>108</v>
      </c>
      <c r="M347" s="40">
        <v>4.44224</v>
      </c>
      <c r="N347" s="40">
        <v>9.4537399999999998</v>
      </c>
      <c r="O347" s="40" t="s">
        <v>23</v>
      </c>
    </row>
    <row r="348" spans="1:15" x14ac:dyDescent="0.2">
      <c r="A348" s="24">
        <f t="shared" si="5"/>
        <v>346</v>
      </c>
      <c r="B348" s="40" t="s">
        <v>5911</v>
      </c>
      <c r="C348" s="40" t="s">
        <v>5912</v>
      </c>
      <c r="D348" s="40" t="s">
        <v>5911</v>
      </c>
      <c r="E348" s="40" t="s">
        <v>34</v>
      </c>
      <c r="F348" s="40" t="s">
        <v>5913</v>
      </c>
      <c r="G348" s="41" t="s">
        <v>18</v>
      </c>
      <c r="H348" s="40" t="s">
        <v>28</v>
      </c>
      <c r="I348" s="40" t="s">
        <v>458</v>
      </c>
      <c r="J348" s="40" t="s">
        <v>287</v>
      </c>
      <c r="K348" s="40" t="s">
        <v>190</v>
      </c>
      <c r="L348" s="40" t="s">
        <v>108</v>
      </c>
      <c r="M348" s="40">
        <v>4.5484999999999998</v>
      </c>
      <c r="N348" s="40">
        <v>9.2416640000000001</v>
      </c>
      <c r="O348" s="40" t="s">
        <v>23</v>
      </c>
    </row>
    <row r="349" spans="1:15" x14ac:dyDescent="0.2">
      <c r="A349" s="24">
        <f t="shared" si="5"/>
        <v>347</v>
      </c>
      <c r="B349" s="40" t="s">
        <v>5927</v>
      </c>
      <c r="C349" s="40" t="s">
        <v>5928</v>
      </c>
      <c r="D349" s="40" t="s">
        <v>5927</v>
      </c>
      <c r="E349" s="40" t="s">
        <v>34</v>
      </c>
      <c r="F349" s="40" t="s">
        <v>5929</v>
      </c>
      <c r="G349" s="41" t="s">
        <v>18</v>
      </c>
      <c r="H349" s="40" t="s">
        <v>28</v>
      </c>
      <c r="I349" s="40" t="s">
        <v>37</v>
      </c>
      <c r="J349" s="40" t="s">
        <v>38</v>
      </c>
      <c r="K349" s="40" t="s">
        <v>39</v>
      </c>
      <c r="L349" s="40" t="s">
        <v>108</v>
      </c>
      <c r="M349" s="40">
        <v>4.4177489999999997</v>
      </c>
      <c r="N349" s="40">
        <v>9.3207839999999997</v>
      </c>
      <c r="O349" s="40" t="s">
        <v>23</v>
      </c>
    </row>
    <row r="350" spans="1:15" x14ac:dyDescent="0.2">
      <c r="A350" s="24">
        <f t="shared" si="5"/>
        <v>348</v>
      </c>
      <c r="B350" s="40" t="s">
        <v>5930</v>
      </c>
      <c r="C350" s="40" t="s">
        <v>5931</v>
      </c>
      <c r="D350" s="40" t="s">
        <v>5930</v>
      </c>
      <c r="E350" s="40" t="s">
        <v>34</v>
      </c>
      <c r="F350" s="40" t="s">
        <v>5932</v>
      </c>
      <c r="G350" s="41" t="s">
        <v>18</v>
      </c>
      <c r="H350" s="40" t="s">
        <v>28</v>
      </c>
      <c r="I350" s="40" t="s">
        <v>458</v>
      </c>
      <c r="J350" s="40" t="s">
        <v>459</v>
      </c>
      <c r="K350" s="40" t="s">
        <v>457</v>
      </c>
      <c r="L350" s="40" t="s">
        <v>108</v>
      </c>
      <c r="M350" s="40">
        <v>4.9458000000000002</v>
      </c>
      <c r="N350" s="40">
        <v>8.8725500000000004</v>
      </c>
      <c r="O350" s="40" t="s">
        <v>23</v>
      </c>
    </row>
    <row r="351" spans="1:15" x14ac:dyDescent="0.2">
      <c r="A351" s="24">
        <f t="shared" si="5"/>
        <v>349</v>
      </c>
      <c r="B351" s="40" t="s">
        <v>5964</v>
      </c>
      <c r="C351" s="40" t="s">
        <v>5965</v>
      </c>
      <c r="D351" s="40" t="s">
        <v>5964</v>
      </c>
      <c r="E351" s="40" t="s">
        <v>34</v>
      </c>
      <c r="F351" s="40" t="s">
        <v>5966</v>
      </c>
      <c r="G351" s="41" t="s">
        <v>18</v>
      </c>
      <c r="H351" s="40" t="s">
        <v>28</v>
      </c>
      <c r="I351" s="40" t="s">
        <v>458</v>
      </c>
      <c r="J351" s="40" t="s">
        <v>459</v>
      </c>
      <c r="K351" s="40" t="s">
        <v>726</v>
      </c>
      <c r="L351" s="40" t="s">
        <v>108</v>
      </c>
      <c r="M351" s="40">
        <v>4.6418759999999999</v>
      </c>
      <c r="N351" s="40">
        <v>8.9977450000000001</v>
      </c>
      <c r="O351" s="40" t="s">
        <v>23</v>
      </c>
    </row>
    <row r="352" spans="1:15" x14ac:dyDescent="0.2">
      <c r="A352" s="24">
        <f t="shared" si="5"/>
        <v>350</v>
      </c>
      <c r="B352" s="40" t="s">
        <v>5985</v>
      </c>
      <c r="C352" s="40" t="s">
        <v>5986</v>
      </c>
      <c r="D352" s="40" t="s">
        <v>5985</v>
      </c>
      <c r="E352" s="40" t="s">
        <v>34</v>
      </c>
      <c r="F352" s="40" t="s">
        <v>5987</v>
      </c>
      <c r="G352" s="41" t="s">
        <v>18</v>
      </c>
      <c r="H352" s="40" t="s">
        <v>28</v>
      </c>
      <c r="I352" s="40" t="s">
        <v>458</v>
      </c>
      <c r="J352" s="40" t="s">
        <v>459</v>
      </c>
      <c r="K352" s="40" t="s">
        <v>726</v>
      </c>
      <c r="L352" s="40" t="s">
        <v>108</v>
      </c>
      <c r="M352" s="40">
        <v>4.7160555559999997</v>
      </c>
      <c r="N352" s="40">
        <v>8.9362499999999994</v>
      </c>
      <c r="O352" s="40" t="s">
        <v>23</v>
      </c>
    </row>
    <row r="353" spans="1:15" x14ac:dyDescent="0.2">
      <c r="A353" s="24">
        <f t="shared" si="5"/>
        <v>351</v>
      </c>
      <c r="B353" s="40" t="s">
        <v>5988</v>
      </c>
      <c r="C353" s="40" t="s">
        <v>5989</v>
      </c>
      <c r="D353" s="40" t="s">
        <v>5988</v>
      </c>
      <c r="E353" s="40" t="s">
        <v>34</v>
      </c>
      <c r="F353" s="40" t="s">
        <v>5990</v>
      </c>
      <c r="G353" s="41" t="s">
        <v>36</v>
      </c>
      <c r="H353" s="40" t="s">
        <v>28</v>
      </c>
      <c r="I353" s="40" t="s">
        <v>108</v>
      </c>
      <c r="J353" s="40" t="s">
        <v>109</v>
      </c>
      <c r="K353" s="40" t="s">
        <v>5991</v>
      </c>
      <c r="L353" s="40" t="s">
        <v>108</v>
      </c>
      <c r="M353" s="40">
        <v>5.0364300000000002</v>
      </c>
      <c r="N353" s="40">
        <v>9.4148999999999994</v>
      </c>
      <c r="O353" s="40" t="s">
        <v>23</v>
      </c>
    </row>
    <row r="354" spans="1:15" x14ac:dyDescent="0.2">
      <c r="A354" s="24">
        <f t="shared" si="5"/>
        <v>352</v>
      </c>
      <c r="B354" s="40" t="s">
        <v>5992</v>
      </c>
      <c r="C354" s="40" t="s">
        <v>5993</v>
      </c>
      <c r="D354" s="40" t="s">
        <v>5992</v>
      </c>
      <c r="E354" s="40" t="s">
        <v>34</v>
      </c>
      <c r="F354" s="40" t="s">
        <v>698</v>
      </c>
      <c r="G354" s="41" t="s">
        <v>18</v>
      </c>
      <c r="H354" s="40" t="s">
        <v>28</v>
      </c>
      <c r="I354" s="40" t="s">
        <v>108</v>
      </c>
      <c r="J354" s="40" t="s">
        <v>109</v>
      </c>
      <c r="K354" s="40" t="s">
        <v>5991</v>
      </c>
      <c r="L354" s="40" t="s">
        <v>108</v>
      </c>
      <c r="M354" s="40">
        <v>4.9455400000000003</v>
      </c>
      <c r="N354" s="40">
        <v>9.4819300000000002</v>
      </c>
      <c r="O354" s="40" t="s">
        <v>23</v>
      </c>
    </row>
    <row r="355" spans="1:15" x14ac:dyDescent="0.2">
      <c r="A355" s="24">
        <f t="shared" si="5"/>
        <v>353</v>
      </c>
      <c r="B355" s="40" t="s">
        <v>5994</v>
      </c>
      <c r="C355" s="40" t="s">
        <v>5995</v>
      </c>
      <c r="D355" s="40" t="s">
        <v>5994</v>
      </c>
      <c r="E355" s="40" t="s">
        <v>34</v>
      </c>
      <c r="F355" s="40" t="s">
        <v>5996</v>
      </c>
      <c r="G355" s="41" t="s">
        <v>18</v>
      </c>
      <c r="H355" s="40" t="s">
        <v>28</v>
      </c>
      <c r="I355" s="40" t="s">
        <v>108</v>
      </c>
      <c r="J355" s="40" t="s">
        <v>109</v>
      </c>
      <c r="K355" s="40" t="s">
        <v>5991</v>
      </c>
      <c r="L355" s="40" t="s">
        <v>108</v>
      </c>
      <c r="M355" s="40">
        <v>4.9851299999999998</v>
      </c>
      <c r="N355" s="40">
        <v>9.4319799999999994</v>
      </c>
      <c r="O355" s="40" t="s">
        <v>23</v>
      </c>
    </row>
    <row r="356" spans="1:15" x14ac:dyDescent="0.2">
      <c r="A356" s="24">
        <f t="shared" si="5"/>
        <v>354</v>
      </c>
      <c r="B356" s="40" t="s">
        <v>6040</v>
      </c>
      <c r="C356" s="40" t="s">
        <v>6041</v>
      </c>
      <c r="D356" s="40" t="s">
        <v>6040</v>
      </c>
      <c r="E356" s="40" t="s">
        <v>34</v>
      </c>
      <c r="F356" s="40" t="s">
        <v>6042</v>
      </c>
      <c r="G356" s="41" t="s">
        <v>18</v>
      </c>
      <c r="H356" s="40" t="s">
        <v>28</v>
      </c>
      <c r="I356" s="40" t="s">
        <v>108</v>
      </c>
      <c r="J356" s="40" t="s">
        <v>109</v>
      </c>
      <c r="K356" s="40" t="s">
        <v>190</v>
      </c>
      <c r="L356" s="40" t="s">
        <v>108</v>
      </c>
      <c r="M356" s="40">
        <v>4.6371111100000002</v>
      </c>
      <c r="N356" s="40">
        <v>9.2695277800000007</v>
      </c>
      <c r="O356" s="40" t="s">
        <v>23</v>
      </c>
    </row>
    <row r="357" spans="1:15" x14ac:dyDescent="0.2">
      <c r="A357" s="24">
        <f t="shared" si="5"/>
        <v>355</v>
      </c>
      <c r="B357" s="40" t="s">
        <v>6056</v>
      </c>
      <c r="C357" s="40" t="s">
        <v>6057</v>
      </c>
      <c r="D357" s="40" t="s">
        <v>6056</v>
      </c>
      <c r="E357" s="40" t="s">
        <v>34</v>
      </c>
      <c r="F357" s="40" t="s">
        <v>6058</v>
      </c>
      <c r="G357" s="41" t="s">
        <v>18</v>
      </c>
      <c r="H357" s="40" t="s">
        <v>28</v>
      </c>
      <c r="I357" s="40" t="s">
        <v>458</v>
      </c>
      <c r="J357" s="40" t="s">
        <v>459</v>
      </c>
      <c r="K357" s="40" t="s">
        <v>457</v>
      </c>
      <c r="L357" s="40" t="s">
        <v>108</v>
      </c>
      <c r="M357" s="40">
        <v>4.892182</v>
      </c>
      <c r="N357" s="40">
        <v>8.9050989999999999</v>
      </c>
      <c r="O357" s="40" t="s">
        <v>23</v>
      </c>
    </row>
    <row r="358" spans="1:15" x14ac:dyDescent="0.2">
      <c r="A358" s="24">
        <f t="shared" si="5"/>
        <v>356</v>
      </c>
      <c r="B358" s="40" t="s">
        <v>6059</v>
      </c>
      <c r="C358" s="40" t="s">
        <v>6060</v>
      </c>
      <c r="D358" s="40" t="s">
        <v>6059</v>
      </c>
      <c r="E358" s="40" t="s">
        <v>34</v>
      </c>
      <c r="F358" s="40" t="s">
        <v>6061</v>
      </c>
      <c r="G358" s="41" t="s">
        <v>36</v>
      </c>
      <c r="H358" s="40" t="s">
        <v>28</v>
      </c>
      <c r="I358" s="40" t="s">
        <v>108</v>
      </c>
      <c r="J358" s="40" t="s">
        <v>109</v>
      </c>
      <c r="K358" s="40" t="s">
        <v>190</v>
      </c>
      <c r="L358" s="40" t="s">
        <v>108</v>
      </c>
      <c r="M358" s="40">
        <v>4.6730499999999999</v>
      </c>
      <c r="N358" s="40">
        <v>9.3119599999999991</v>
      </c>
      <c r="O358" s="40" t="s">
        <v>23</v>
      </c>
    </row>
    <row r="359" spans="1:15" x14ac:dyDescent="0.2">
      <c r="A359" s="24">
        <f t="shared" si="5"/>
        <v>357</v>
      </c>
      <c r="B359" s="40" t="s">
        <v>6075</v>
      </c>
      <c r="C359" s="40" t="s">
        <v>6076</v>
      </c>
      <c r="D359" s="40" t="s">
        <v>6075</v>
      </c>
      <c r="E359" s="40" t="s">
        <v>34</v>
      </c>
      <c r="F359" s="40" t="s">
        <v>6077</v>
      </c>
      <c r="G359" s="41" t="s">
        <v>18</v>
      </c>
      <c r="H359" s="40" t="s">
        <v>28</v>
      </c>
      <c r="I359" s="40" t="s">
        <v>108</v>
      </c>
      <c r="J359" s="40" t="s">
        <v>109</v>
      </c>
      <c r="K359" s="40" t="s">
        <v>190</v>
      </c>
      <c r="L359" s="40" t="s">
        <v>108</v>
      </c>
      <c r="M359" s="40">
        <v>4.5171749999999999</v>
      </c>
      <c r="N359" s="40">
        <v>9.2942719999999994</v>
      </c>
      <c r="O359" s="40" t="s">
        <v>23</v>
      </c>
    </row>
    <row r="360" spans="1:15" x14ac:dyDescent="0.2">
      <c r="A360" s="24">
        <f t="shared" si="5"/>
        <v>358</v>
      </c>
      <c r="B360" s="40" t="s">
        <v>6081</v>
      </c>
      <c r="C360" s="40" t="s">
        <v>6082</v>
      </c>
      <c r="D360" s="40" t="s">
        <v>6081</v>
      </c>
      <c r="E360" s="40" t="s">
        <v>34</v>
      </c>
      <c r="F360" s="40" t="s">
        <v>6083</v>
      </c>
      <c r="G360" s="41" t="s">
        <v>18</v>
      </c>
      <c r="H360" s="40" t="s">
        <v>28</v>
      </c>
      <c r="I360" s="40" t="s">
        <v>108</v>
      </c>
      <c r="J360" s="40" t="s">
        <v>91</v>
      </c>
      <c r="K360" s="40" t="s">
        <v>5880</v>
      </c>
      <c r="L360" s="40" t="s">
        <v>108</v>
      </c>
      <c r="M360" s="40">
        <v>5.1152699999999998</v>
      </c>
      <c r="N360" s="40">
        <v>9.4071700000000007</v>
      </c>
      <c r="O360" s="40" t="s">
        <v>23</v>
      </c>
    </row>
    <row r="361" spans="1:15" x14ac:dyDescent="0.2">
      <c r="A361" s="24">
        <f t="shared" si="5"/>
        <v>359</v>
      </c>
      <c r="B361" s="40" t="s">
        <v>6569</v>
      </c>
      <c r="C361" s="40" t="s">
        <v>6570</v>
      </c>
      <c r="D361" s="40" t="s">
        <v>6569</v>
      </c>
      <c r="E361" s="40" t="s">
        <v>34</v>
      </c>
      <c r="F361" s="40" t="s">
        <v>6571</v>
      </c>
      <c r="G361" s="41" t="s">
        <v>36</v>
      </c>
      <c r="H361" s="40" t="s">
        <v>28</v>
      </c>
      <c r="I361" s="40" t="s">
        <v>458</v>
      </c>
      <c r="J361" s="40" t="s">
        <v>459</v>
      </c>
      <c r="K361" s="40" t="s">
        <v>6572</v>
      </c>
      <c r="L361" s="40" t="s">
        <v>108</v>
      </c>
      <c r="M361" s="40">
        <v>4.7783055560000003</v>
      </c>
      <c r="N361" s="40">
        <v>8.6785833330000006</v>
      </c>
      <c r="O361" s="40" t="s">
        <v>23</v>
      </c>
    </row>
    <row r="362" spans="1:15" x14ac:dyDescent="0.2">
      <c r="A362" s="24">
        <f t="shared" si="5"/>
        <v>360</v>
      </c>
      <c r="B362" s="40" t="s">
        <v>6622</v>
      </c>
      <c r="C362" s="40" t="s">
        <v>6623</v>
      </c>
      <c r="D362" s="40" t="s">
        <v>6622</v>
      </c>
      <c r="E362" s="40" t="s">
        <v>34</v>
      </c>
      <c r="F362" s="40" t="s">
        <v>6624</v>
      </c>
      <c r="G362" s="41" t="s">
        <v>18</v>
      </c>
      <c r="H362" s="40" t="s">
        <v>28</v>
      </c>
      <c r="I362" s="40" t="s">
        <v>108</v>
      </c>
      <c r="J362" s="40" t="s">
        <v>670</v>
      </c>
      <c r="K362" s="40" t="s">
        <v>1389</v>
      </c>
      <c r="L362" s="40" t="s">
        <v>108</v>
      </c>
      <c r="M362" s="40">
        <v>4.6208400000000003</v>
      </c>
      <c r="N362" s="40">
        <v>9.4453899999999997</v>
      </c>
      <c r="O362" s="40" t="s">
        <v>23</v>
      </c>
    </row>
    <row r="363" spans="1:15" x14ac:dyDescent="0.2">
      <c r="A363" s="24">
        <f t="shared" si="5"/>
        <v>361</v>
      </c>
      <c r="B363" s="40" t="s">
        <v>6625</v>
      </c>
      <c r="C363" s="40" t="s">
        <v>6626</v>
      </c>
      <c r="D363" s="40" t="s">
        <v>6625</v>
      </c>
      <c r="E363" s="40" t="s">
        <v>34</v>
      </c>
      <c r="F363" s="40" t="s">
        <v>6627</v>
      </c>
      <c r="G363" s="41" t="s">
        <v>18</v>
      </c>
      <c r="H363" s="40" t="s">
        <v>28</v>
      </c>
      <c r="I363" s="40" t="s">
        <v>108</v>
      </c>
      <c r="J363" s="40" t="s">
        <v>670</v>
      </c>
      <c r="K363" s="40" t="s">
        <v>1389</v>
      </c>
      <c r="L363" s="40" t="s">
        <v>108</v>
      </c>
      <c r="M363" s="40">
        <v>4.6258270000000001</v>
      </c>
      <c r="N363" s="40">
        <v>9.4450299999999991</v>
      </c>
      <c r="O363" s="40" t="s">
        <v>23</v>
      </c>
    </row>
    <row r="364" spans="1:15" x14ac:dyDescent="0.2">
      <c r="A364" s="24">
        <f t="shared" si="5"/>
        <v>362</v>
      </c>
      <c r="B364" s="40" t="s">
        <v>6671</v>
      </c>
      <c r="C364" s="40" t="s">
        <v>6672</v>
      </c>
      <c r="D364" s="40" t="s">
        <v>6671</v>
      </c>
      <c r="E364" s="40" t="s">
        <v>34</v>
      </c>
      <c r="F364" s="40" t="s">
        <v>6673</v>
      </c>
      <c r="G364" s="41" t="s">
        <v>18</v>
      </c>
      <c r="H364" s="40" t="s">
        <v>28</v>
      </c>
      <c r="I364" s="40" t="s">
        <v>108</v>
      </c>
      <c r="J364" s="40" t="s">
        <v>109</v>
      </c>
      <c r="K364" s="40" t="s">
        <v>190</v>
      </c>
      <c r="L364" s="40" t="s">
        <v>108</v>
      </c>
      <c r="M364" s="40">
        <v>4.4029439999999997</v>
      </c>
      <c r="N364" s="40">
        <v>9.4396109999999993</v>
      </c>
      <c r="O364" s="40" t="s">
        <v>23</v>
      </c>
    </row>
    <row r="365" spans="1:15" x14ac:dyDescent="0.2">
      <c r="A365" s="24">
        <f t="shared" si="5"/>
        <v>363</v>
      </c>
      <c r="B365" s="40" t="s">
        <v>6717</v>
      </c>
      <c r="C365" s="40" t="s">
        <v>6718</v>
      </c>
      <c r="D365" s="40" t="s">
        <v>6717</v>
      </c>
      <c r="E365" s="40" t="s">
        <v>34</v>
      </c>
      <c r="F365" s="40" t="s">
        <v>6719</v>
      </c>
      <c r="G365" s="41" t="s">
        <v>18</v>
      </c>
      <c r="H365" s="40" t="s">
        <v>28</v>
      </c>
      <c r="I365" s="40" t="s">
        <v>108</v>
      </c>
      <c r="J365" s="40" t="s">
        <v>670</v>
      </c>
      <c r="K365" s="40" t="s">
        <v>1389</v>
      </c>
      <c r="L365" s="40" t="s">
        <v>108</v>
      </c>
      <c r="M365" s="40">
        <v>4.6376920000000004</v>
      </c>
      <c r="N365" s="40">
        <v>9.4283389999999994</v>
      </c>
      <c r="O365" s="40" t="s">
        <v>23</v>
      </c>
    </row>
    <row r="366" spans="1:15" x14ac:dyDescent="0.2">
      <c r="A366" s="24">
        <f t="shared" si="5"/>
        <v>364</v>
      </c>
      <c r="B366" s="40" t="s">
        <v>6770</v>
      </c>
      <c r="C366" s="40" t="s">
        <v>6771</v>
      </c>
      <c r="D366" s="40" t="s">
        <v>6770</v>
      </c>
      <c r="E366" s="40" t="s">
        <v>34</v>
      </c>
      <c r="F366" s="40" t="s">
        <v>6772</v>
      </c>
      <c r="G366" s="41" t="s">
        <v>18</v>
      </c>
      <c r="H366" s="40" t="s">
        <v>28</v>
      </c>
      <c r="I366" s="40" t="s">
        <v>108</v>
      </c>
      <c r="J366" s="40" t="s">
        <v>670</v>
      </c>
      <c r="K366" s="40" t="s">
        <v>1389</v>
      </c>
      <c r="L366" s="40" t="s">
        <v>108</v>
      </c>
      <c r="M366" s="40">
        <v>4.6272760000000002</v>
      </c>
      <c r="N366" s="40">
        <v>9.4533930000000002</v>
      </c>
      <c r="O366" s="40" t="s">
        <v>23</v>
      </c>
    </row>
    <row r="367" spans="1:15" x14ac:dyDescent="0.2">
      <c r="A367" s="24">
        <f t="shared" si="5"/>
        <v>365</v>
      </c>
      <c r="B367" s="40" t="s">
        <v>7389</v>
      </c>
      <c r="C367" s="40" t="s">
        <v>7390</v>
      </c>
      <c r="D367" s="40" t="s">
        <v>7389</v>
      </c>
      <c r="E367" s="40" t="s">
        <v>34</v>
      </c>
      <c r="F367" s="40" t="s">
        <v>7391</v>
      </c>
      <c r="G367" s="41" t="s">
        <v>18</v>
      </c>
      <c r="H367" s="40" t="s">
        <v>28</v>
      </c>
      <c r="I367" s="40" t="s">
        <v>108</v>
      </c>
      <c r="J367" s="40" t="s">
        <v>670</v>
      </c>
      <c r="K367" s="40" t="s">
        <v>7392</v>
      </c>
      <c r="L367" s="40" t="s">
        <v>108</v>
      </c>
      <c r="M367" s="40">
        <v>4.6124229999999997</v>
      </c>
      <c r="N367" s="40">
        <v>9.4488690000000002</v>
      </c>
      <c r="O367" s="40" t="s">
        <v>613</v>
      </c>
    </row>
    <row r="368" spans="1:15" x14ac:dyDescent="0.2">
      <c r="A368" s="24">
        <f t="shared" si="5"/>
        <v>366</v>
      </c>
      <c r="B368" s="40" t="s">
        <v>7464</v>
      </c>
      <c r="C368" s="40" t="s">
        <v>7465</v>
      </c>
      <c r="D368" s="40" t="s">
        <v>7464</v>
      </c>
      <c r="E368" s="40" t="s">
        <v>34</v>
      </c>
      <c r="F368" s="40" t="s">
        <v>7466</v>
      </c>
      <c r="G368" s="41" t="s">
        <v>18</v>
      </c>
      <c r="H368" s="40" t="s">
        <v>28</v>
      </c>
      <c r="I368" s="40" t="s">
        <v>108</v>
      </c>
      <c r="J368" s="40" t="s">
        <v>670</v>
      </c>
      <c r="K368" s="40" t="s">
        <v>3617</v>
      </c>
      <c r="L368" s="40" t="s">
        <v>108</v>
      </c>
      <c r="M368" s="40">
        <v>4.6453319999999998</v>
      </c>
      <c r="N368" s="40">
        <v>9.4595680000000009</v>
      </c>
      <c r="O368" s="40" t="s">
        <v>23</v>
      </c>
    </row>
    <row r="369" spans="1:15" x14ac:dyDescent="0.2">
      <c r="A369" s="24">
        <f t="shared" si="5"/>
        <v>367</v>
      </c>
      <c r="B369" s="40" t="s">
        <v>62</v>
      </c>
      <c r="C369" s="40" t="s">
        <v>63</v>
      </c>
      <c r="D369" s="40" t="s">
        <v>62</v>
      </c>
      <c r="E369" s="40" t="s">
        <v>34</v>
      </c>
      <c r="F369" s="40" t="s">
        <v>64</v>
      </c>
      <c r="G369" s="41" t="s">
        <v>18</v>
      </c>
      <c r="H369" s="40" t="s">
        <v>28</v>
      </c>
      <c r="I369" s="40" t="s">
        <v>65</v>
      </c>
      <c r="J369" s="40" t="s">
        <v>38</v>
      </c>
      <c r="K369" s="40" t="s">
        <v>66</v>
      </c>
      <c r="L369" s="40" t="s">
        <v>65</v>
      </c>
      <c r="M369" s="40">
        <v>4.0115629999999998</v>
      </c>
      <c r="N369" s="40">
        <v>9.2248479999999997</v>
      </c>
      <c r="O369" s="40" t="s">
        <v>23</v>
      </c>
    </row>
    <row r="370" spans="1:15" x14ac:dyDescent="0.2">
      <c r="A370" s="24">
        <f t="shared" si="5"/>
        <v>368</v>
      </c>
      <c r="B370" s="40" t="s">
        <v>490</v>
      </c>
      <c r="C370" s="40" t="s">
        <v>491</v>
      </c>
      <c r="D370" s="40" t="s">
        <v>490</v>
      </c>
      <c r="E370" s="40" t="s">
        <v>34</v>
      </c>
      <c r="F370" s="40" t="s">
        <v>492</v>
      </c>
      <c r="G370" s="41" t="s">
        <v>18</v>
      </c>
      <c r="H370" s="40" t="s">
        <v>28</v>
      </c>
      <c r="I370" s="40" t="s">
        <v>441</v>
      </c>
      <c r="J370" s="40" t="s">
        <v>38</v>
      </c>
      <c r="K370" s="40" t="s">
        <v>493</v>
      </c>
      <c r="L370" s="40" t="s">
        <v>65</v>
      </c>
      <c r="M370" s="40">
        <v>4.058408</v>
      </c>
      <c r="N370" s="40">
        <v>9.2276769999999999</v>
      </c>
      <c r="O370" s="40" t="s">
        <v>23</v>
      </c>
    </row>
    <row r="371" spans="1:15" x14ac:dyDescent="0.2">
      <c r="A371" s="24">
        <f t="shared" si="5"/>
        <v>369</v>
      </c>
      <c r="B371" s="40" t="s">
        <v>646</v>
      </c>
      <c r="C371" s="40" t="s">
        <v>647</v>
      </c>
      <c r="D371" s="40" t="s">
        <v>646</v>
      </c>
      <c r="E371" s="40" t="s">
        <v>34</v>
      </c>
      <c r="F371" s="40" t="s">
        <v>648</v>
      </c>
      <c r="G371" s="41" t="s">
        <v>18</v>
      </c>
      <c r="H371" s="40" t="s">
        <v>28</v>
      </c>
      <c r="I371" s="40" t="s">
        <v>65</v>
      </c>
      <c r="J371" s="40" t="s">
        <v>38</v>
      </c>
      <c r="K371" s="40" t="s">
        <v>649</v>
      </c>
      <c r="L371" s="40" t="s">
        <v>65</v>
      </c>
      <c r="M371" s="40">
        <v>4.0344049999999996</v>
      </c>
      <c r="N371" s="40">
        <v>9.205152</v>
      </c>
      <c r="O371" s="40" t="s">
        <v>23</v>
      </c>
    </row>
    <row r="372" spans="1:15" x14ac:dyDescent="0.2">
      <c r="A372" s="24">
        <f t="shared" si="5"/>
        <v>370</v>
      </c>
      <c r="B372" s="40" t="s">
        <v>948</v>
      </c>
      <c r="C372" s="40" t="s">
        <v>949</v>
      </c>
      <c r="D372" s="40" t="s">
        <v>948</v>
      </c>
      <c r="E372" s="40" t="s">
        <v>34</v>
      </c>
      <c r="F372" s="40" t="s">
        <v>950</v>
      </c>
      <c r="G372" s="41" t="s">
        <v>18</v>
      </c>
      <c r="H372" s="40" t="s">
        <v>28</v>
      </c>
      <c r="I372" s="40" t="s">
        <v>65</v>
      </c>
      <c r="J372" s="40" t="s">
        <v>38</v>
      </c>
      <c r="K372" s="40" t="s">
        <v>649</v>
      </c>
      <c r="L372" s="40" t="s">
        <v>65</v>
      </c>
      <c r="M372" s="40">
        <v>4.0648229999999996</v>
      </c>
      <c r="N372" s="40">
        <v>9.178445</v>
      </c>
      <c r="O372" s="40" t="s">
        <v>23</v>
      </c>
    </row>
    <row r="373" spans="1:15" x14ac:dyDescent="0.2">
      <c r="A373" s="24">
        <f t="shared" si="5"/>
        <v>371</v>
      </c>
      <c r="B373" s="40" t="s">
        <v>1360</v>
      </c>
      <c r="C373" s="40" t="s">
        <v>1361</v>
      </c>
      <c r="D373" s="40" t="s">
        <v>1360</v>
      </c>
      <c r="E373" s="40" t="s">
        <v>34</v>
      </c>
      <c r="F373" s="40" t="s">
        <v>1362</v>
      </c>
      <c r="G373" s="41" t="s">
        <v>18</v>
      </c>
      <c r="H373" s="40" t="s">
        <v>28</v>
      </c>
      <c r="I373" s="40" t="s">
        <v>65</v>
      </c>
      <c r="J373" s="40" t="s">
        <v>38</v>
      </c>
      <c r="K373" s="40" t="s">
        <v>649</v>
      </c>
      <c r="L373" s="40" t="s">
        <v>65</v>
      </c>
      <c r="M373" s="40">
        <v>4.0175450000000001</v>
      </c>
      <c r="N373" s="40">
        <v>9.1474899999999995</v>
      </c>
      <c r="O373" s="40" t="s">
        <v>23</v>
      </c>
    </row>
    <row r="374" spans="1:15" x14ac:dyDescent="0.2">
      <c r="A374" s="24">
        <f t="shared" si="5"/>
        <v>372</v>
      </c>
      <c r="B374" s="40" t="s">
        <v>1376</v>
      </c>
      <c r="C374" s="40" t="s">
        <v>1377</v>
      </c>
      <c r="D374" s="40" t="s">
        <v>1376</v>
      </c>
      <c r="E374" s="40" t="s">
        <v>34</v>
      </c>
      <c r="F374" s="40" t="s">
        <v>1378</v>
      </c>
      <c r="G374" s="41" t="s">
        <v>18</v>
      </c>
      <c r="H374" s="40" t="s">
        <v>28</v>
      </c>
      <c r="I374" s="40" t="s">
        <v>65</v>
      </c>
      <c r="J374" s="40" t="s">
        <v>38</v>
      </c>
      <c r="K374" s="40" t="s">
        <v>493</v>
      </c>
      <c r="L374" s="40" t="s">
        <v>65</v>
      </c>
      <c r="M374" s="40">
        <v>3.9947520000000001</v>
      </c>
      <c r="N374" s="40">
        <v>9.2170480000000001</v>
      </c>
      <c r="O374" s="40" t="s">
        <v>23</v>
      </c>
    </row>
    <row r="375" spans="1:15" x14ac:dyDescent="0.2">
      <c r="A375" s="24">
        <f t="shared" si="5"/>
        <v>373</v>
      </c>
      <c r="B375" s="40" t="s">
        <v>1531</v>
      </c>
      <c r="C375" s="40" t="s">
        <v>1532</v>
      </c>
      <c r="D375" s="40" t="s">
        <v>1531</v>
      </c>
      <c r="E375" s="40" t="s">
        <v>34</v>
      </c>
      <c r="F375" s="40" t="s">
        <v>1533</v>
      </c>
      <c r="G375" s="41" t="s">
        <v>18</v>
      </c>
      <c r="H375" s="40" t="s">
        <v>28</v>
      </c>
      <c r="I375" s="40" t="s">
        <v>65</v>
      </c>
      <c r="J375" s="40" t="s">
        <v>38</v>
      </c>
      <c r="K375" s="40" t="s">
        <v>493</v>
      </c>
      <c r="L375" s="40" t="s">
        <v>65</v>
      </c>
      <c r="M375" s="40">
        <v>4.0169879999999996</v>
      </c>
      <c r="N375" s="40">
        <v>9.1443460000000005</v>
      </c>
      <c r="O375" s="40" t="s">
        <v>23</v>
      </c>
    </row>
    <row r="376" spans="1:15" x14ac:dyDescent="0.2">
      <c r="A376" s="24">
        <f t="shared" si="5"/>
        <v>374</v>
      </c>
      <c r="B376" s="40" t="s">
        <v>2539</v>
      </c>
      <c r="C376" s="40" t="s">
        <v>2540</v>
      </c>
      <c r="D376" s="40" t="s">
        <v>2539</v>
      </c>
      <c r="E376" s="40" t="s">
        <v>34</v>
      </c>
      <c r="F376" s="40" t="s">
        <v>2541</v>
      </c>
      <c r="G376" s="41" t="s">
        <v>18</v>
      </c>
      <c r="H376" s="40" t="s">
        <v>28</v>
      </c>
      <c r="I376" s="40" t="s">
        <v>65</v>
      </c>
      <c r="J376" s="40" t="s">
        <v>38</v>
      </c>
      <c r="K376" s="40" t="s">
        <v>66</v>
      </c>
      <c r="L376" s="40" t="s">
        <v>65</v>
      </c>
      <c r="M376" s="40">
        <v>4.0171780000000004</v>
      </c>
      <c r="N376" s="40">
        <v>9.1959850000000003</v>
      </c>
      <c r="O376" s="40" t="s">
        <v>23</v>
      </c>
    </row>
    <row r="377" spans="1:15" x14ac:dyDescent="0.2">
      <c r="A377" s="24">
        <f t="shared" si="5"/>
        <v>375</v>
      </c>
      <c r="B377" s="40" t="s">
        <v>2751</v>
      </c>
      <c r="C377" s="40" t="s">
        <v>2752</v>
      </c>
      <c r="D377" s="40" t="s">
        <v>2751</v>
      </c>
      <c r="E377" s="40" t="s">
        <v>34</v>
      </c>
      <c r="F377" s="40" t="s">
        <v>2753</v>
      </c>
      <c r="G377" s="41" t="s">
        <v>18</v>
      </c>
      <c r="H377" s="40" t="s">
        <v>19</v>
      </c>
      <c r="I377" s="40" t="s">
        <v>65</v>
      </c>
      <c r="J377" s="40" t="s">
        <v>38</v>
      </c>
      <c r="K377" s="40" t="s">
        <v>649</v>
      </c>
      <c r="L377" s="40" t="s">
        <v>65</v>
      </c>
      <c r="M377" s="40">
        <v>4.1024919999999998</v>
      </c>
      <c r="N377" s="40">
        <v>8.9886309999999998</v>
      </c>
      <c r="O377" s="40" t="s">
        <v>23</v>
      </c>
    </row>
    <row r="378" spans="1:15" x14ac:dyDescent="0.2">
      <c r="A378" s="24">
        <f t="shared" si="5"/>
        <v>376</v>
      </c>
      <c r="B378" s="40" t="s">
        <v>3011</v>
      </c>
      <c r="C378" s="40" t="s">
        <v>3012</v>
      </c>
      <c r="D378" s="40" t="s">
        <v>3011</v>
      </c>
      <c r="E378" s="40" t="s">
        <v>34</v>
      </c>
      <c r="F378" s="40" t="s">
        <v>3013</v>
      </c>
      <c r="G378" s="41" t="s">
        <v>18</v>
      </c>
      <c r="H378" s="40" t="s">
        <v>28</v>
      </c>
      <c r="I378" s="40" t="s">
        <v>65</v>
      </c>
      <c r="J378" s="40" t="s">
        <v>38</v>
      </c>
      <c r="K378" s="40" t="s">
        <v>493</v>
      </c>
      <c r="L378" s="40" t="s">
        <v>65</v>
      </c>
      <c r="M378" s="40">
        <v>4.029255</v>
      </c>
      <c r="N378" s="40">
        <v>9.1942129999999995</v>
      </c>
      <c r="O378" s="40" t="s">
        <v>613</v>
      </c>
    </row>
    <row r="379" spans="1:15" x14ac:dyDescent="0.2">
      <c r="A379" s="24">
        <f t="shared" si="5"/>
        <v>377</v>
      </c>
      <c r="B379" s="40" t="s">
        <v>3154</v>
      </c>
      <c r="C379" s="40" t="s">
        <v>3155</v>
      </c>
      <c r="D379" s="40" t="s">
        <v>3154</v>
      </c>
      <c r="E379" s="40" t="s">
        <v>34</v>
      </c>
      <c r="F379" s="40" t="s">
        <v>3156</v>
      </c>
      <c r="G379" s="41" t="s">
        <v>18</v>
      </c>
      <c r="H379" s="40" t="s">
        <v>28</v>
      </c>
      <c r="I379" s="40" t="s">
        <v>65</v>
      </c>
      <c r="J379" s="40" t="s">
        <v>38</v>
      </c>
      <c r="K379" s="40" t="s">
        <v>493</v>
      </c>
      <c r="L379" s="40" t="s">
        <v>65</v>
      </c>
      <c r="M379" s="40">
        <v>4.0171239999999999</v>
      </c>
      <c r="N379" s="40">
        <v>9.1909329999999994</v>
      </c>
      <c r="O379" s="40" t="s">
        <v>23</v>
      </c>
    </row>
    <row r="380" spans="1:15" x14ac:dyDescent="0.2">
      <c r="A380" s="24">
        <f t="shared" si="5"/>
        <v>378</v>
      </c>
      <c r="B380" s="40" t="s">
        <v>3279</v>
      </c>
      <c r="C380" s="40" t="s">
        <v>3280</v>
      </c>
      <c r="D380" s="40" t="s">
        <v>3279</v>
      </c>
      <c r="E380" s="40" t="s">
        <v>34</v>
      </c>
      <c r="F380" s="40" t="s">
        <v>3281</v>
      </c>
      <c r="G380" s="41" t="s">
        <v>18</v>
      </c>
      <c r="H380" s="40" t="s">
        <v>19</v>
      </c>
      <c r="I380" s="40" t="s">
        <v>65</v>
      </c>
      <c r="J380" s="40" t="s">
        <v>38</v>
      </c>
      <c r="K380" s="40" t="s">
        <v>493</v>
      </c>
      <c r="L380" s="40" t="s">
        <v>65</v>
      </c>
      <c r="M380" s="40">
        <v>4.0078930000000001</v>
      </c>
      <c r="N380" s="40">
        <v>9.2114229999999999</v>
      </c>
      <c r="O380" s="40" t="s">
        <v>613</v>
      </c>
    </row>
    <row r="381" spans="1:15" x14ac:dyDescent="0.2">
      <c r="A381" s="24">
        <f t="shared" si="5"/>
        <v>379</v>
      </c>
      <c r="B381" s="40" t="s">
        <v>3494</v>
      </c>
      <c r="C381" s="40" t="s">
        <v>3495</v>
      </c>
      <c r="D381" s="40" t="s">
        <v>3494</v>
      </c>
      <c r="E381" s="40" t="s">
        <v>34</v>
      </c>
      <c r="F381" s="40" t="s">
        <v>3496</v>
      </c>
      <c r="G381" s="41" t="s">
        <v>18</v>
      </c>
      <c r="H381" s="40" t="s">
        <v>28</v>
      </c>
      <c r="I381" s="40" t="s">
        <v>65</v>
      </c>
      <c r="J381" s="40" t="s">
        <v>38</v>
      </c>
      <c r="K381" s="40" t="s">
        <v>493</v>
      </c>
      <c r="L381" s="40" t="s">
        <v>65</v>
      </c>
      <c r="M381" s="40">
        <v>4.0266089999999997</v>
      </c>
      <c r="N381" s="40">
        <v>9.2175949999999993</v>
      </c>
      <c r="O381" s="40" t="s">
        <v>23</v>
      </c>
    </row>
    <row r="382" spans="1:15" x14ac:dyDescent="0.2">
      <c r="A382" s="24">
        <f t="shared" si="5"/>
        <v>380</v>
      </c>
      <c r="B382" s="40" t="s">
        <v>3526</v>
      </c>
      <c r="C382" s="40" t="s">
        <v>3527</v>
      </c>
      <c r="D382" s="40" t="s">
        <v>3526</v>
      </c>
      <c r="E382" s="40" t="s">
        <v>34</v>
      </c>
      <c r="F382" s="40" t="s">
        <v>3528</v>
      </c>
      <c r="G382" s="41" t="s">
        <v>18</v>
      </c>
      <c r="H382" s="40" t="s">
        <v>28</v>
      </c>
      <c r="I382" s="40" t="s">
        <v>65</v>
      </c>
      <c r="J382" s="40" t="s">
        <v>38</v>
      </c>
      <c r="K382" s="40" t="s">
        <v>649</v>
      </c>
      <c r="L382" s="40" t="s">
        <v>65</v>
      </c>
      <c r="M382" s="40">
        <v>4.012753</v>
      </c>
      <c r="N382" s="40">
        <v>9.1692479999999996</v>
      </c>
      <c r="O382" s="40" t="s">
        <v>23</v>
      </c>
    </row>
    <row r="383" spans="1:15" x14ac:dyDescent="0.2">
      <c r="A383" s="24">
        <f t="shared" si="5"/>
        <v>381</v>
      </c>
      <c r="B383" s="40" t="s">
        <v>3602</v>
      </c>
      <c r="C383" s="40" t="s">
        <v>3603</v>
      </c>
      <c r="D383" s="40" t="s">
        <v>3602</v>
      </c>
      <c r="E383" s="40" t="s">
        <v>34</v>
      </c>
      <c r="F383" s="40" t="s">
        <v>3604</v>
      </c>
      <c r="G383" s="41" t="s">
        <v>18</v>
      </c>
      <c r="H383" s="40" t="s">
        <v>28</v>
      </c>
      <c r="I383" s="40" t="s">
        <v>65</v>
      </c>
      <c r="J383" s="40" t="s">
        <v>38</v>
      </c>
      <c r="K383" s="40" t="s">
        <v>493</v>
      </c>
      <c r="L383" s="40" t="s">
        <v>65</v>
      </c>
      <c r="M383" s="40">
        <v>4.0210179999999998</v>
      </c>
      <c r="N383" s="40">
        <v>9.2117690000000003</v>
      </c>
      <c r="O383" s="40" t="s">
        <v>23</v>
      </c>
    </row>
    <row r="384" spans="1:15" x14ac:dyDescent="0.2">
      <c r="A384" s="24">
        <f t="shared" si="5"/>
        <v>382</v>
      </c>
      <c r="B384" s="40" t="s">
        <v>3679</v>
      </c>
      <c r="C384" s="40" t="s">
        <v>3680</v>
      </c>
      <c r="D384" s="40" t="s">
        <v>3679</v>
      </c>
      <c r="E384" s="40" t="s">
        <v>34</v>
      </c>
      <c r="F384" s="40" t="s">
        <v>3681</v>
      </c>
      <c r="G384" s="41" t="s">
        <v>18</v>
      </c>
      <c r="H384" s="40" t="s">
        <v>28</v>
      </c>
      <c r="I384" s="40" t="s">
        <v>65</v>
      </c>
      <c r="J384" s="40" t="s">
        <v>38</v>
      </c>
      <c r="K384" s="40" t="s">
        <v>3682</v>
      </c>
      <c r="L384" s="40" t="s">
        <v>65</v>
      </c>
      <c r="M384" s="40">
        <v>4.0212079999999997</v>
      </c>
      <c r="N384" s="40">
        <v>9.1684750000000008</v>
      </c>
      <c r="O384" s="40" t="s">
        <v>23</v>
      </c>
    </row>
    <row r="385" spans="1:15" x14ac:dyDescent="0.2">
      <c r="A385" s="24">
        <f t="shared" si="5"/>
        <v>383</v>
      </c>
      <c r="B385" s="40" t="s">
        <v>3730</v>
      </c>
      <c r="C385" s="40" t="s">
        <v>3731</v>
      </c>
      <c r="D385" s="40" t="s">
        <v>3730</v>
      </c>
      <c r="E385" s="40" t="s">
        <v>34</v>
      </c>
      <c r="F385" s="40" t="s">
        <v>3732</v>
      </c>
      <c r="G385" s="41" t="s">
        <v>18</v>
      </c>
      <c r="H385" s="40" t="s">
        <v>28</v>
      </c>
      <c r="I385" s="40" t="s">
        <v>441</v>
      </c>
      <c r="J385" s="40" t="s">
        <v>38</v>
      </c>
      <c r="K385" s="40" t="s">
        <v>493</v>
      </c>
      <c r="L385" s="40" t="s">
        <v>65</v>
      </c>
      <c r="M385" s="40">
        <v>4.0628609999999998</v>
      </c>
      <c r="N385" s="40">
        <v>9.2251390000000004</v>
      </c>
      <c r="O385" s="40" t="s">
        <v>23</v>
      </c>
    </row>
    <row r="386" spans="1:15" x14ac:dyDescent="0.2">
      <c r="A386" s="24">
        <f t="shared" si="5"/>
        <v>384</v>
      </c>
      <c r="B386" s="40" t="s">
        <v>3982</v>
      </c>
      <c r="C386" s="40" t="s">
        <v>3983</v>
      </c>
      <c r="D386" s="40" t="s">
        <v>3982</v>
      </c>
      <c r="E386" s="40" t="s">
        <v>34</v>
      </c>
      <c r="F386" s="40" t="s">
        <v>3984</v>
      </c>
      <c r="G386" s="41" t="s">
        <v>18</v>
      </c>
      <c r="H386" s="40" t="s">
        <v>19</v>
      </c>
      <c r="I386" s="40" t="s">
        <v>65</v>
      </c>
      <c r="J386" s="40" t="s">
        <v>38</v>
      </c>
      <c r="K386" s="40" t="s">
        <v>493</v>
      </c>
      <c r="L386" s="40" t="s">
        <v>65</v>
      </c>
      <c r="M386" s="40">
        <v>4.0114280000000004</v>
      </c>
      <c r="N386" s="40">
        <v>9.2159379999999995</v>
      </c>
      <c r="O386" s="40" t="s">
        <v>613</v>
      </c>
    </row>
    <row r="387" spans="1:15" x14ac:dyDescent="0.2">
      <c r="A387" s="24">
        <f t="shared" si="5"/>
        <v>385</v>
      </c>
      <c r="B387" s="40" t="s">
        <v>4007</v>
      </c>
      <c r="C387" s="40" t="s">
        <v>4008</v>
      </c>
      <c r="D387" s="40" t="s">
        <v>4007</v>
      </c>
      <c r="E387" s="40" t="s">
        <v>34</v>
      </c>
      <c r="F387" s="40" t="s">
        <v>4009</v>
      </c>
      <c r="G387" s="41" t="s">
        <v>18</v>
      </c>
      <c r="H387" s="40" t="s">
        <v>19</v>
      </c>
      <c r="I387" s="40" t="s">
        <v>65</v>
      </c>
      <c r="J387" s="40" t="s">
        <v>38</v>
      </c>
      <c r="K387" s="40" t="s">
        <v>66</v>
      </c>
      <c r="L387" s="40" t="s">
        <v>65</v>
      </c>
      <c r="M387" s="40">
        <v>4.0206499999999998</v>
      </c>
      <c r="N387" s="40">
        <v>9.2035269999999993</v>
      </c>
      <c r="O387" s="40" t="s">
        <v>23</v>
      </c>
    </row>
    <row r="388" spans="1:15" x14ac:dyDescent="0.2">
      <c r="A388" s="24">
        <f t="shared" si="5"/>
        <v>386</v>
      </c>
      <c r="B388" s="40" t="s">
        <v>4070</v>
      </c>
      <c r="C388" s="40" t="s">
        <v>4071</v>
      </c>
      <c r="D388" s="40" t="s">
        <v>4070</v>
      </c>
      <c r="E388" s="40" t="s">
        <v>34</v>
      </c>
      <c r="F388" s="40" t="s">
        <v>4072</v>
      </c>
      <c r="G388" s="41" t="s">
        <v>18</v>
      </c>
      <c r="H388" s="40" t="s">
        <v>19</v>
      </c>
      <c r="I388" s="40" t="s">
        <v>441</v>
      </c>
      <c r="J388" s="40" t="s">
        <v>38</v>
      </c>
      <c r="K388" s="40" t="s">
        <v>493</v>
      </c>
      <c r="L388" s="40" t="s">
        <v>65</v>
      </c>
      <c r="M388" s="40">
        <v>4.0564720000000003</v>
      </c>
      <c r="N388" s="40">
        <v>9.2473340000000004</v>
      </c>
      <c r="O388" s="40" t="s">
        <v>23</v>
      </c>
    </row>
    <row r="389" spans="1:15" x14ac:dyDescent="0.2">
      <c r="A389" s="24">
        <f t="shared" ref="A389:A446" si="6">1+A388</f>
        <v>387</v>
      </c>
      <c r="B389" s="40" t="s">
        <v>4085</v>
      </c>
      <c r="C389" s="40" t="s">
        <v>4086</v>
      </c>
      <c r="D389" s="40" t="s">
        <v>4085</v>
      </c>
      <c r="E389" s="40" t="s">
        <v>34</v>
      </c>
      <c r="F389" s="40" t="s">
        <v>4087</v>
      </c>
      <c r="G389" s="41" t="s">
        <v>18</v>
      </c>
      <c r="H389" s="40" t="s">
        <v>19</v>
      </c>
      <c r="I389" s="40" t="s">
        <v>65</v>
      </c>
      <c r="J389" s="40" t="s">
        <v>38</v>
      </c>
      <c r="K389" s="40" t="s">
        <v>493</v>
      </c>
      <c r="L389" s="40" t="s">
        <v>65</v>
      </c>
      <c r="M389" s="40">
        <v>4.0162610000000001</v>
      </c>
      <c r="N389" s="40">
        <v>9.1790389999999995</v>
      </c>
      <c r="O389" s="40" t="s">
        <v>23</v>
      </c>
    </row>
    <row r="390" spans="1:15" x14ac:dyDescent="0.2">
      <c r="A390" s="24">
        <f t="shared" si="6"/>
        <v>388</v>
      </c>
      <c r="B390" s="40" t="s">
        <v>4103</v>
      </c>
      <c r="C390" s="40" t="s">
        <v>4104</v>
      </c>
      <c r="D390" s="40" t="s">
        <v>4103</v>
      </c>
      <c r="E390" s="40" t="s">
        <v>34</v>
      </c>
      <c r="F390" s="40" t="s">
        <v>4105</v>
      </c>
      <c r="G390" s="41" t="s">
        <v>18</v>
      </c>
      <c r="H390" s="40" t="s">
        <v>19</v>
      </c>
      <c r="I390" s="40" t="s">
        <v>441</v>
      </c>
      <c r="J390" s="40" t="s">
        <v>38</v>
      </c>
      <c r="K390" s="40" t="s">
        <v>66</v>
      </c>
      <c r="L390" s="40" t="s">
        <v>65</v>
      </c>
      <c r="M390" s="40">
        <v>4.0566700000000004</v>
      </c>
      <c r="N390" s="40">
        <v>9.2473550000000007</v>
      </c>
      <c r="O390" s="40" t="s">
        <v>23</v>
      </c>
    </row>
    <row r="391" spans="1:15" x14ac:dyDescent="0.2">
      <c r="A391" s="24">
        <f t="shared" si="6"/>
        <v>389</v>
      </c>
      <c r="B391" s="40" t="s">
        <v>4121</v>
      </c>
      <c r="C391" s="40" t="s">
        <v>4122</v>
      </c>
      <c r="D391" s="40" t="s">
        <v>4121</v>
      </c>
      <c r="E391" s="40" t="s">
        <v>34</v>
      </c>
      <c r="F391" s="40" t="s">
        <v>4123</v>
      </c>
      <c r="G391" s="41" t="s">
        <v>18</v>
      </c>
      <c r="H391" s="40" t="s">
        <v>19</v>
      </c>
      <c r="I391" s="40" t="s">
        <v>65</v>
      </c>
      <c r="J391" s="40" t="s">
        <v>38</v>
      </c>
      <c r="K391" s="40" t="s">
        <v>649</v>
      </c>
      <c r="L391" s="40" t="s">
        <v>65</v>
      </c>
      <c r="M391" s="40">
        <v>4.0215420000000002</v>
      </c>
      <c r="N391" s="40">
        <v>9.1110609999999994</v>
      </c>
      <c r="O391" s="40" t="s">
        <v>23</v>
      </c>
    </row>
    <row r="392" spans="1:15" x14ac:dyDescent="0.2">
      <c r="A392" s="24">
        <f t="shared" si="6"/>
        <v>390</v>
      </c>
      <c r="B392" s="40" t="s">
        <v>4336</v>
      </c>
      <c r="C392" s="40" t="s">
        <v>4337</v>
      </c>
      <c r="D392" s="40" t="s">
        <v>4336</v>
      </c>
      <c r="E392" s="40" t="s">
        <v>34</v>
      </c>
      <c r="F392" s="40" t="s">
        <v>4338</v>
      </c>
      <c r="G392" s="41" t="s">
        <v>18</v>
      </c>
      <c r="H392" s="40" t="s">
        <v>28</v>
      </c>
      <c r="I392" s="40" t="s">
        <v>65</v>
      </c>
      <c r="J392" s="40" t="s">
        <v>38</v>
      </c>
      <c r="K392" s="40" t="s">
        <v>649</v>
      </c>
      <c r="L392" s="40" t="s">
        <v>65</v>
      </c>
      <c r="M392" s="40">
        <v>4.0273199999999996</v>
      </c>
      <c r="N392" s="40">
        <v>9.1265719999999995</v>
      </c>
      <c r="O392" s="40" t="s">
        <v>23</v>
      </c>
    </row>
    <row r="393" spans="1:15" x14ac:dyDescent="0.2">
      <c r="A393" s="24">
        <f t="shared" si="6"/>
        <v>391</v>
      </c>
      <c r="B393" s="40" t="s">
        <v>4339</v>
      </c>
      <c r="C393" s="40" t="s">
        <v>4340</v>
      </c>
      <c r="D393" s="40" t="s">
        <v>4339</v>
      </c>
      <c r="E393" s="40" t="s">
        <v>34</v>
      </c>
      <c r="F393" s="40" t="s">
        <v>4341</v>
      </c>
      <c r="G393" s="41" t="s">
        <v>18</v>
      </c>
      <c r="H393" s="40" t="s">
        <v>28</v>
      </c>
      <c r="I393" s="40" t="s">
        <v>65</v>
      </c>
      <c r="J393" s="40" t="s">
        <v>38</v>
      </c>
      <c r="K393" s="40" t="s">
        <v>649</v>
      </c>
      <c r="L393" s="40" t="s">
        <v>65</v>
      </c>
      <c r="M393" s="40">
        <v>4.0619350000000001</v>
      </c>
      <c r="N393" s="40">
        <v>9.0419619999999998</v>
      </c>
      <c r="O393" s="40" t="s">
        <v>23</v>
      </c>
    </row>
    <row r="394" spans="1:15" x14ac:dyDescent="0.2">
      <c r="A394" s="24">
        <f t="shared" si="6"/>
        <v>392</v>
      </c>
      <c r="B394" s="40" t="s">
        <v>4345</v>
      </c>
      <c r="C394" s="40" t="s">
        <v>4346</v>
      </c>
      <c r="D394" s="40" t="s">
        <v>4345</v>
      </c>
      <c r="E394" s="40" t="s">
        <v>34</v>
      </c>
      <c r="F394" s="40" t="s">
        <v>4347</v>
      </c>
      <c r="G394" s="41" t="s">
        <v>18</v>
      </c>
      <c r="H394" s="40" t="s">
        <v>19</v>
      </c>
      <c r="I394" s="40" t="s">
        <v>65</v>
      </c>
      <c r="J394" s="40" t="s">
        <v>38</v>
      </c>
      <c r="K394" s="40" t="s">
        <v>493</v>
      </c>
      <c r="L394" s="40" t="s">
        <v>65</v>
      </c>
      <c r="M394" s="40">
        <v>4.016286</v>
      </c>
      <c r="N394" s="40">
        <v>9.1786399999999997</v>
      </c>
      <c r="O394" s="40" t="s">
        <v>23</v>
      </c>
    </row>
    <row r="395" spans="1:15" x14ac:dyDescent="0.2">
      <c r="A395" s="24">
        <f t="shared" si="6"/>
        <v>393</v>
      </c>
      <c r="B395" s="40" t="s">
        <v>5554</v>
      </c>
      <c r="C395" s="40" t="s">
        <v>5555</v>
      </c>
      <c r="D395" s="40" t="s">
        <v>5554</v>
      </c>
      <c r="E395" s="40" t="s">
        <v>34</v>
      </c>
      <c r="F395" s="40" t="s">
        <v>5556</v>
      </c>
      <c r="G395" s="41" t="s">
        <v>18</v>
      </c>
      <c r="H395" s="40" t="s">
        <v>28</v>
      </c>
      <c r="I395" s="40" t="s">
        <v>65</v>
      </c>
      <c r="J395" s="40" t="s">
        <v>38</v>
      </c>
      <c r="K395" s="40" t="s">
        <v>66</v>
      </c>
      <c r="L395" s="40" t="s">
        <v>65</v>
      </c>
      <c r="M395" s="40">
        <v>4.0123030000000002</v>
      </c>
      <c r="N395" s="40">
        <v>9.2076879999999992</v>
      </c>
      <c r="O395" s="40" t="s">
        <v>613</v>
      </c>
    </row>
    <row r="396" spans="1:15" x14ac:dyDescent="0.2">
      <c r="A396" s="24">
        <f t="shared" si="6"/>
        <v>394</v>
      </c>
      <c r="B396" s="40" t="s">
        <v>5781</v>
      </c>
      <c r="C396" s="40" t="s">
        <v>5782</v>
      </c>
      <c r="D396" s="40" t="s">
        <v>5781</v>
      </c>
      <c r="E396" s="40" t="s">
        <v>34</v>
      </c>
      <c r="F396" s="40" t="s">
        <v>5783</v>
      </c>
      <c r="G396" s="41" t="s">
        <v>18</v>
      </c>
      <c r="H396" s="40" t="s">
        <v>28</v>
      </c>
      <c r="I396" s="40" t="s">
        <v>65</v>
      </c>
      <c r="J396" s="40" t="s">
        <v>38</v>
      </c>
      <c r="K396" s="40" t="s">
        <v>493</v>
      </c>
      <c r="L396" s="40" t="s">
        <v>65</v>
      </c>
      <c r="M396" s="40">
        <v>4.0152489999999998</v>
      </c>
      <c r="N396" s="40">
        <v>9.2103680000000008</v>
      </c>
      <c r="O396" s="40" t="s">
        <v>613</v>
      </c>
    </row>
    <row r="397" spans="1:15" x14ac:dyDescent="0.2">
      <c r="A397" s="24">
        <f t="shared" si="6"/>
        <v>395</v>
      </c>
      <c r="B397" s="40" t="s">
        <v>5845</v>
      </c>
      <c r="C397" s="40" t="s">
        <v>5846</v>
      </c>
      <c r="D397" s="40" t="s">
        <v>5845</v>
      </c>
      <c r="E397" s="40" t="s">
        <v>34</v>
      </c>
      <c r="F397" s="40" t="s">
        <v>5847</v>
      </c>
      <c r="G397" s="41" t="s">
        <v>18</v>
      </c>
      <c r="H397" s="40" t="s">
        <v>28</v>
      </c>
      <c r="I397" s="40" t="s">
        <v>441</v>
      </c>
      <c r="J397" s="40" t="s">
        <v>38</v>
      </c>
      <c r="K397" s="40" t="s">
        <v>442</v>
      </c>
      <c r="L397" s="40" t="s">
        <v>65</v>
      </c>
      <c r="M397" s="40">
        <v>4.08108</v>
      </c>
      <c r="N397" s="40">
        <v>9.2052200000000006</v>
      </c>
      <c r="O397" s="40" t="s">
        <v>23</v>
      </c>
    </row>
    <row r="398" spans="1:15" x14ac:dyDescent="0.2">
      <c r="A398" s="24">
        <f t="shared" si="6"/>
        <v>396</v>
      </c>
      <c r="B398" s="40" t="s">
        <v>5978</v>
      </c>
      <c r="C398" s="40" t="s">
        <v>5979</v>
      </c>
      <c r="D398" s="40" t="s">
        <v>5978</v>
      </c>
      <c r="E398" s="40" t="s">
        <v>34</v>
      </c>
      <c r="F398" s="40" t="s">
        <v>5980</v>
      </c>
      <c r="G398" s="41" t="s">
        <v>18</v>
      </c>
      <c r="H398" s="40" t="s">
        <v>28</v>
      </c>
      <c r="I398" s="40" t="s">
        <v>65</v>
      </c>
      <c r="J398" s="40" t="s">
        <v>38</v>
      </c>
      <c r="K398" s="40" t="s">
        <v>5981</v>
      </c>
      <c r="L398" s="40" t="s">
        <v>65</v>
      </c>
      <c r="M398" s="40">
        <v>3.992639</v>
      </c>
      <c r="N398" s="40">
        <v>9.2848609999999994</v>
      </c>
      <c r="O398" s="40" t="s">
        <v>23</v>
      </c>
    </row>
    <row r="399" spans="1:15" x14ac:dyDescent="0.2">
      <c r="A399" s="24">
        <f t="shared" si="6"/>
        <v>397</v>
      </c>
      <c r="B399" s="40" t="s">
        <v>6628</v>
      </c>
      <c r="C399" s="40" t="s">
        <v>6629</v>
      </c>
      <c r="D399" s="40" t="s">
        <v>6628</v>
      </c>
      <c r="E399" s="40" t="s">
        <v>34</v>
      </c>
      <c r="F399" s="40" t="s">
        <v>6630</v>
      </c>
      <c r="G399" s="41" t="s">
        <v>18</v>
      </c>
      <c r="H399" s="40" t="s">
        <v>28</v>
      </c>
      <c r="I399" s="40" t="s">
        <v>65</v>
      </c>
      <c r="J399" s="40" t="s">
        <v>38</v>
      </c>
      <c r="K399" s="40" t="s">
        <v>649</v>
      </c>
      <c r="L399" s="40" t="s">
        <v>65</v>
      </c>
      <c r="M399" s="40">
        <v>4.0295719999999999</v>
      </c>
      <c r="N399" s="40">
        <v>9.1599889999999995</v>
      </c>
      <c r="O399" s="40" t="s">
        <v>23</v>
      </c>
    </row>
    <row r="400" spans="1:15" x14ac:dyDescent="0.2">
      <c r="A400" s="24">
        <f t="shared" si="6"/>
        <v>398</v>
      </c>
      <c r="B400" s="40" t="s">
        <v>7060</v>
      </c>
      <c r="C400" s="40" t="s">
        <v>7061</v>
      </c>
      <c r="D400" s="40" t="s">
        <v>7060</v>
      </c>
      <c r="E400" s="40" t="s">
        <v>34</v>
      </c>
      <c r="F400" s="40" t="s">
        <v>7062</v>
      </c>
      <c r="G400" s="41" t="s">
        <v>18</v>
      </c>
      <c r="H400" s="40" t="s">
        <v>28</v>
      </c>
      <c r="I400" s="40" t="s">
        <v>65</v>
      </c>
      <c r="J400" s="40" t="s">
        <v>7063</v>
      </c>
      <c r="K400" s="40" t="s">
        <v>7064</v>
      </c>
      <c r="L400" s="40" t="s">
        <v>65</v>
      </c>
      <c r="M400" s="40">
        <v>4.0261110000000002</v>
      </c>
      <c r="N400" s="40">
        <v>9.2055559999999996</v>
      </c>
      <c r="O400" s="40" t="s">
        <v>23</v>
      </c>
    </row>
    <row r="401" spans="1:15" x14ac:dyDescent="0.2">
      <c r="A401" s="24">
        <f t="shared" si="6"/>
        <v>399</v>
      </c>
      <c r="B401" s="40" t="s">
        <v>7100</v>
      </c>
      <c r="C401" s="40" t="s">
        <v>7101</v>
      </c>
      <c r="D401" s="40" t="s">
        <v>7100</v>
      </c>
      <c r="E401" s="40" t="s">
        <v>34</v>
      </c>
      <c r="F401" s="40" t="s">
        <v>7102</v>
      </c>
      <c r="G401" s="41" t="s">
        <v>18</v>
      </c>
      <c r="H401" s="40" t="s">
        <v>28</v>
      </c>
      <c r="I401" s="40" t="s">
        <v>65</v>
      </c>
      <c r="J401" s="40" t="s">
        <v>7063</v>
      </c>
      <c r="K401" s="40" t="s">
        <v>7103</v>
      </c>
      <c r="L401" s="40" t="s">
        <v>65</v>
      </c>
      <c r="M401" s="40">
        <v>4.0470129999999997</v>
      </c>
      <c r="N401" s="40">
        <v>9.2143099999999993</v>
      </c>
      <c r="O401" s="40" t="s">
        <v>23</v>
      </c>
    </row>
    <row r="402" spans="1:15" x14ac:dyDescent="0.2">
      <c r="A402" s="24">
        <f t="shared" si="6"/>
        <v>400</v>
      </c>
      <c r="B402" s="40" t="s">
        <v>86</v>
      </c>
      <c r="C402" s="40" t="s">
        <v>87</v>
      </c>
      <c r="D402" s="40" t="s">
        <v>86</v>
      </c>
      <c r="E402" s="40" t="s">
        <v>26</v>
      </c>
      <c r="F402" s="40" t="s">
        <v>88</v>
      </c>
      <c r="G402" s="41" t="s">
        <v>89</v>
      </c>
      <c r="H402" s="40" t="s">
        <v>28</v>
      </c>
      <c r="I402" s="40" t="s">
        <v>90</v>
      </c>
      <c r="J402" s="40" t="s">
        <v>91</v>
      </c>
      <c r="K402" s="40" t="s">
        <v>88</v>
      </c>
      <c r="L402" s="40" t="s">
        <v>92</v>
      </c>
      <c r="M402" s="40">
        <v>5.521083333</v>
      </c>
      <c r="N402" s="40">
        <v>9.5806944440000006</v>
      </c>
      <c r="O402" s="40" t="s">
        <v>23</v>
      </c>
    </row>
    <row r="403" spans="1:15" x14ac:dyDescent="0.2">
      <c r="A403" s="24">
        <f t="shared" si="6"/>
        <v>401</v>
      </c>
      <c r="B403" s="40" t="s">
        <v>126</v>
      </c>
      <c r="C403" s="40" t="s">
        <v>127</v>
      </c>
      <c r="D403" s="40" t="s">
        <v>126</v>
      </c>
      <c r="E403" s="40" t="s">
        <v>26</v>
      </c>
      <c r="F403" s="40" t="s">
        <v>128</v>
      </c>
      <c r="G403" s="41" t="s">
        <v>36</v>
      </c>
      <c r="H403" s="40" t="s">
        <v>28</v>
      </c>
      <c r="I403" s="40" t="s">
        <v>92</v>
      </c>
      <c r="J403" s="40" t="s">
        <v>91</v>
      </c>
      <c r="K403" s="40" t="s">
        <v>88</v>
      </c>
      <c r="L403" s="40" t="s">
        <v>92</v>
      </c>
      <c r="M403" s="40">
        <v>5.5816666670000004</v>
      </c>
      <c r="N403" s="40">
        <v>9.6670555559999993</v>
      </c>
      <c r="O403" s="40" t="s">
        <v>23</v>
      </c>
    </row>
    <row r="404" spans="1:15" x14ac:dyDescent="0.2">
      <c r="A404" s="24">
        <f t="shared" si="6"/>
        <v>402</v>
      </c>
      <c r="B404" s="40" t="s">
        <v>278</v>
      </c>
      <c r="C404" s="40" t="s">
        <v>279</v>
      </c>
      <c r="D404" s="40" t="s">
        <v>278</v>
      </c>
      <c r="E404" s="40" t="s">
        <v>26</v>
      </c>
      <c r="F404" s="40" t="s">
        <v>280</v>
      </c>
      <c r="G404" s="41" t="s">
        <v>36</v>
      </c>
      <c r="H404" s="40" t="s">
        <v>28</v>
      </c>
      <c r="I404" s="40" t="s">
        <v>92</v>
      </c>
      <c r="J404" s="40" t="s">
        <v>281</v>
      </c>
      <c r="K404" s="40" t="s">
        <v>282</v>
      </c>
      <c r="L404" s="40" t="s">
        <v>92</v>
      </c>
      <c r="M404" s="40">
        <v>5.4788333329999999</v>
      </c>
      <c r="N404" s="40">
        <v>9.2488611110000001</v>
      </c>
      <c r="O404" s="40" t="s">
        <v>23</v>
      </c>
    </row>
    <row r="405" spans="1:15" x14ac:dyDescent="0.2">
      <c r="A405" s="24">
        <f t="shared" si="6"/>
        <v>403</v>
      </c>
      <c r="B405" s="40" t="s">
        <v>994</v>
      </c>
      <c r="C405" s="40" t="s">
        <v>995</v>
      </c>
      <c r="D405" s="40" t="s">
        <v>994</v>
      </c>
      <c r="E405" s="40" t="s">
        <v>26</v>
      </c>
      <c r="F405" s="40" t="s">
        <v>996</v>
      </c>
      <c r="G405" s="41" t="s">
        <v>18</v>
      </c>
      <c r="H405" s="40" t="s">
        <v>28</v>
      </c>
      <c r="I405" s="40" t="s">
        <v>92</v>
      </c>
      <c r="J405" s="40" t="s">
        <v>281</v>
      </c>
      <c r="K405" s="40" t="s">
        <v>282</v>
      </c>
      <c r="L405" s="40" t="s">
        <v>92</v>
      </c>
      <c r="M405" s="40">
        <v>5.700861111</v>
      </c>
      <c r="N405" s="40">
        <v>9.2851388890000006</v>
      </c>
      <c r="O405" s="40" t="s">
        <v>23</v>
      </c>
    </row>
    <row r="406" spans="1:15" x14ac:dyDescent="0.2">
      <c r="A406" s="24">
        <f t="shared" si="6"/>
        <v>404</v>
      </c>
      <c r="B406" s="40" t="s">
        <v>997</v>
      </c>
      <c r="C406" s="40" t="s">
        <v>998</v>
      </c>
      <c r="D406" s="40" t="s">
        <v>997</v>
      </c>
      <c r="E406" s="40" t="s">
        <v>26</v>
      </c>
      <c r="F406" s="40" t="s">
        <v>999</v>
      </c>
      <c r="G406" s="41" t="s">
        <v>36</v>
      </c>
      <c r="H406" s="40" t="s">
        <v>28</v>
      </c>
      <c r="I406" s="40" t="s">
        <v>92</v>
      </c>
      <c r="J406" s="40"/>
      <c r="K406" s="40" t="s">
        <v>92</v>
      </c>
      <c r="L406" s="40" t="s">
        <v>92</v>
      </c>
      <c r="M406" s="40">
        <v>5.7744999999999997</v>
      </c>
      <c r="N406" s="40">
        <v>9.3559999999999999</v>
      </c>
      <c r="O406" s="40" t="s">
        <v>23</v>
      </c>
    </row>
    <row r="407" spans="1:15" x14ac:dyDescent="0.2">
      <c r="A407" s="24">
        <f t="shared" si="6"/>
        <v>405</v>
      </c>
      <c r="B407" s="40" t="s">
        <v>1175</v>
      </c>
      <c r="C407" s="40" t="s">
        <v>1176</v>
      </c>
      <c r="D407" s="40" t="s">
        <v>1175</v>
      </c>
      <c r="E407" s="40" t="s">
        <v>26</v>
      </c>
      <c r="F407" s="40" t="s">
        <v>1177</v>
      </c>
      <c r="G407" s="41" t="s">
        <v>18</v>
      </c>
      <c r="H407" s="40" t="s">
        <v>96</v>
      </c>
      <c r="I407" s="40" t="s">
        <v>29</v>
      </c>
      <c r="J407" s="40" t="s">
        <v>281</v>
      </c>
      <c r="K407" s="40" t="s">
        <v>1178</v>
      </c>
      <c r="L407" s="40" t="s">
        <v>92</v>
      </c>
      <c r="M407" s="40">
        <v>6.378388889</v>
      </c>
      <c r="N407" s="40">
        <v>9.5110583329999994</v>
      </c>
      <c r="O407" s="40" t="s">
        <v>96</v>
      </c>
    </row>
    <row r="408" spans="1:15" x14ac:dyDescent="0.2">
      <c r="A408" s="24">
        <f t="shared" si="6"/>
        <v>406</v>
      </c>
      <c r="B408" s="40" t="s">
        <v>1394</v>
      </c>
      <c r="C408" s="40" t="s">
        <v>1395</v>
      </c>
      <c r="D408" s="40" t="s">
        <v>1394</v>
      </c>
      <c r="E408" s="40" t="s">
        <v>26</v>
      </c>
      <c r="F408" s="40" t="s">
        <v>1396</v>
      </c>
      <c r="G408" s="41" t="s">
        <v>18</v>
      </c>
      <c r="H408" s="40" t="s">
        <v>28</v>
      </c>
      <c r="I408" s="40" t="s">
        <v>92</v>
      </c>
      <c r="J408" s="40" t="s">
        <v>281</v>
      </c>
      <c r="K408" s="40" t="s">
        <v>88</v>
      </c>
      <c r="L408" s="40" t="s">
        <v>92</v>
      </c>
      <c r="M408" s="40">
        <v>5.5574722220000004</v>
      </c>
      <c r="N408" s="40">
        <v>9.5617222220000002</v>
      </c>
      <c r="O408" s="40" t="s">
        <v>23</v>
      </c>
    </row>
    <row r="409" spans="1:15" x14ac:dyDescent="0.2">
      <c r="A409" s="24">
        <f t="shared" si="6"/>
        <v>407</v>
      </c>
      <c r="B409" s="40" t="s">
        <v>2110</v>
      </c>
      <c r="C409" s="40" t="s">
        <v>2111</v>
      </c>
      <c r="D409" s="40" t="s">
        <v>2110</v>
      </c>
      <c r="E409" s="40" t="s">
        <v>26</v>
      </c>
      <c r="F409" s="40" t="s">
        <v>2112</v>
      </c>
      <c r="G409" s="41" t="s">
        <v>18</v>
      </c>
      <c r="H409" s="40" t="s">
        <v>19</v>
      </c>
      <c r="I409" s="40" t="s">
        <v>92</v>
      </c>
      <c r="J409" s="40" t="s">
        <v>281</v>
      </c>
      <c r="K409" s="40" t="s">
        <v>282</v>
      </c>
      <c r="L409" s="40" t="s">
        <v>92</v>
      </c>
      <c r="M409" s="40">
        <v>5.7660799999999997</v>
      </c>
      <c r="N409" s="40">
        <v>8.9847000000000001</v>
      </c>
      <c r="O409" s="40" t="s">
        <v>23</v>
      </c>
    </row>
    <row r="410" spans="1:15" x14ac:dyDescent="0.2">
      <c r="A410" s="24">
        <f t="shared" si="6"/>
        <v>408</v>
      </c>
      <c r="B410" s="40" t="s">
        <v>2579</v>
      </c>
      <c r="C410" s="40" t="s">
        <v>2580</v>
      </c>
      <c r="D410" s="40" t="s">
        <v>2579</v>
      </c>
      <c r="E410" s="40" t="s">
        <v>26</v>
      </c>
      <c r="F410" s="40" t="s">
        <v>2581</v>
      </c>
      <c r="G410" s="41" t="s">
        <v>18</v>
      </c>
      <c r="H410" s="40" t="s">
        <v>28</v>
      </c>
      <c r="I410" s="40" t="s">
        <v>92</v>
      </c>
      <c r="J410" s="40" t="s">
        <v>281</v>
      </c>
      <c r="K410" s="40" t="s">
        <v>92</v>
      </c>
      <c r="L410" s="40" t="s">
        <v>92</v>
      </c>
      <c r="M410" s="40">
        <v>5.7569444399999998</v>
      </c>
      <c r="N410" s="40">
        <v>9.3078611000000002</v>
      </c>
      <c r="O410" s="40" t="s">
        <v>23</v>
      </c>
    </row>
    <row r="411" spans="1:15" x14ac:dyDescent="0.2">
      <c r="A411" s="24">
        <f t="shared" si="6"/>
        <v>409</v>
      </c>
      <c r="B411" s="40" t="s">
        <v>2765</v>
      </c>
      <c r="C411" s="40" t="s">
        <v>2766</v>
      </c>
      <c r="D411" s="40" t="s">
        <v>2765</v>
      </c>
      <c r="E411" s="40" t="s">
        <v>26</v>
      </c>
      <c r="F411" s="40" t="s">
        <v>88</v>
      </c>
      <c r="G411" s="41" t="s">
        <v>18</v>
      </c>
      <c r="H411" s="40" t="s">
        <v>28</v>
      </c>
      <c r="I411" s="40" t="s">
        <v>92</v>
      </c>
      <c r="J411" s="40" t="s">
        <v>281</v>
      </c>
      <c r="K411" s="40" t="s">
        <v>88</v>
      </c>
      <c r="L411" s="40" t="s">
        <v>92</v>
      </c>
      <c r="M411" s="40">
        <v>5.5456200000000004</v>
      </c>
      <c r="N411" s="40">
        <v>9.5905900000000006</v>
      </c>
      <c r="O411" s="40" t="s">
        <v>23</v>
      </c>
    </row>
    <row r="412" spans="1:15" x14ac:dyDescent="0.2">
      <c r="A412" s="24">
        <f t="shared" si="6"/>
        <v>410</v>
      </c>
      <c r="B412" s="40" t="s">
        <v>2818</v>
      </c>
      <c r="C412" s="40" t="s">
        <v>2819</v>
      </c>
      <c r="D412" s="40" t="s">
        <v>2818</v>
      </c>
      <c r="E412" s="40" t="s">
        <v>26</v>
      </c>
      <c r="F412" s="40" t="s">
        <v>2820</v>
      </c>
      <c r="G412" s="41" t="s">
        <v>18</v>
      </c>
      <c r="H412" s="40" t="s">
        <v>19</v>
      </c>
      <c r="I412" s="40" t="s">
        <v>92</v>
      </c>
      <c r="J412" s="40" t="s">
        <v>281</v>
      </c>
      <c r="K412" s="40" t="s">
        <v>92</v>
      </c>
      <c r="L412" s="40" t="s">
        <v>92</v>
      </c>
      <c r="M412" s="40">
        <v>5.71469</v>
      </c>
      <c r="N412" s="40">
        <v>9.3915900000000008</v>
      </c>
      <c r="O412" s="40" t="s">
        <v>23</v>
      </c>
    </row>
    <row r="413" spans="1:15" x14ac:dyDescent="0.2">
      <c r="A413" s="24">
        <f t="shared" si="6"/>
        <v>411</v>
      </c>
      <c r="B413" s="40" t="s">
        <v>3163</v>
      </c>
      <c r="C413" s="40" t="s">
        <v>3164</v>
      </c>
      <c r="D413" s="40" t="s">
        <v>3163</v>
      </c>
      <c r="E413" s="40" t="s">
        <v>26</v>
      </c>
      <c r="F413" s="40" t="s">
        <v>3165</v>
      </c>
      <c r="G413" s="41" t="s">
        <v>18</v>
      </c>
      <c r="H413" s="40" t="s">
        <v>28</v>
      </c>
      <c r="I413" s="40" t="s">
        <v>90</v>
      </c>
      <c r="J413" s="40" t="s">
        <v>281</v>
      </c>
      <c r="K413" s="40" t="s">
        <v>92</v>
      </c>
      <c r="L413" s="40" t="s">
        <v>92</v>
      </c>
      <c r="M413" s="40">
        <v>5.7632500000000002</v>
      </c>
      <c r="N413" s="40">
        <v>9.3114166669999996</v>
      </c>
      <c r="O413" s="40" t="s">
        <v>23</v>
      </c>
    </row>
    <row r="414" spans="1:15" x14ac:dyDescent="0.2">
      <c r="A414" s="24">
        <f t="shared" si="6"/>
        <v>412</v>
      </c>
      <c r="B414" s="40" t="s">
        <v>3203</v>
      </c>
      <c r="C414" s="40" t="s">
        <v>3204</v>
      </c>
      <c r="D414" s="40" t="s">
        <v>3203</v>
      </c>
      <c r="E414" s="40" t="s">
        <v>26</v>
      </c>
      <c r="F414" s="40" t="s">
        <v>3205</v>
      </c>
      <c r="G414" s="41" t="s">
        <v>18</v>
      </c>
      <c r="H414" s="40" t="s">
        <v>19</v>
      </c>
      <c r="I414" s="40" t="s">
        <v>92</v>
      </c>
      <c r="J414" s="40" t="s">
        <v>281</v>
      </c>
      <c r="K414" s="40" t="s">
        <v>282</v>
      </c>
      <c r="L414" s="40" t="s">
        <v>92</v>
      </c>
      <c r="M414" s="40">
        <v>5.8100222219999997</v>
      </c>
      <c r="N414" s="40">
        <v>8.8572638890000004</v>
      </c>
      <c r="O414" s="40" t="s">
        <v>23</v>
      </c>
    </row>
    <row r="415" spans="1:15" x14ac:dyDescent="0.2">
      <c r="A415" s="24">
        <f t="shared" si="6"/>
        <v>413</v>
      </c>
      <c r="B415" s="40" t="s">
        <v>4181</v>
      </c>
      <c r="C415" s="40" t="s">
        <v>4182</v>
      </c>
      <c r="D415" s="40" t="s">
        <v>4181</v>
      </c>
      <c r="E415" s="40" t="s">
        <v>26</v>
      </c>
      <c r="F415" s="40" t="s">
        <v>4183</v>
      </c>
      <c r="G415" s="41" t="s">
        <v>18</v>
      </c>
      <c r="H415" s="40" t="s">
        <v>19</v>
      </c>
      <c r="I415" s="40" t="s">
        <v>92</v>
      </c>
      <c r="J415" s="40" t="s">
        <v>281</v>
      </c>
      <c r="K415" s="40" t="s">
        <v>92</v>
      </c>
      <c r="L415" s="40" t="s">
        <v>92</v>
      </c>
      <c r="M415" s="40">
        <v>5.714611111</v>
      </c>
      <c r="N415" s="40">
        <v>9.3907500000000006</v>
      </c>
      <c r="O415" s="40" t="s">
        <v>23</v>
      </c>
    </row>
    <row r="416" spans="1:15" x14ac:dyDescent="0.2">
      <c r="A416" s="24">
        <f t="shared" si="6"/>
        <v>414</v>
      </c>
      <c r="B416" s="40" t="s">
        <v>4330</v>
      </c>
      <c r="C416" s="40" t="s">
        <v>4331</v>
      </c>
      <c r="D416" s="40" t="s">
        <v>4330</v>
      </c>
      <c r="E416" s="40" t="s">
        <v>26</v>
      </c>
      <c r="F416" s="40" t="s">
        <v>4332</v>
      </c>
      <c r="G416" s="41" t="s">
        <v>18</v>
      </c>
      <c r="H416" s="40" t="s">
        <v>28</v>
      </c>
      <c r="I416" s="40" t="s">
        <v>92</v>
      </c>
      <c r="J416" s="40" t="s">
        <v>281</v>
      </c>
      <c r="K416" s="40" t="s">
        <v>282</v>
      </c>
      <c r="L416" s="40" t="s">
        <v>92</v>
      </c>
      <c r="M416" s="40">
        <v>5.6207500000000001</v>
      </c>
      <c r="N416" s="40">
        <v>9.2497100000000003</v>
      </c>
      <c r="O416" s="40" t="s">
        <v>23</v>
      </c>
    </row>
    <row r="417" spans="1:15" x14ac:dyDescent="0.2">
      <c r="A417" s="24">
        <f t="shared" si="6"/>
        <v>415</v>
      </c>
      <c r="B417" s="40" t="s">
        <v>5874</v>
      </c>
      <c r="C417" s="40" t="s">
        <v>5875</v>
      </c>
      <c r="D417" s="40" t="s">
        <v>5874</v>
      </c>
      <c r="E417" s="40" t="s">
        <v>26</v>
      </c>
      <c r="F417" s="40" t="s">
        <v>5876</v>
      </c>
      <c r="G417" s="41" t="s">
        <v>18</v>
      </c>
      <c r="H417" s="40" t="s">
        <v>28</v>
      </c>
      <c r="I417" s="40" t="s">
        <v>92</v>
      </c>
      <c r="J417" s="40" t="s">
        <v>281</v>
      </c>
      <c r="K417" s="40" t="s">
        <v>282</v>
      </c>
      <c r="L417" s="40" t="s">
        <v>92</v>
      </c>
      <c r="M417" s="40">
        <v>5.64025</v>
      </c>
      <c r="N417" s="40">
        <v>9.3138888889999993</v>
      </c>
      <c r="O417" s="40" t="s">
        <v>23</v>
      </c>
    </row>
    <row r="418" spans="1:15" x14ac:dyDescent="0.2">
      <c r="A418" s="24">
        <f t="shared" si="6"/>
        <v>416</v>
      </c>
      <c r="B418" s="40" t="s">
        <v>5877</v>
      </c>
      <c r="C418" s="40" t="s">
        <v>5878</v>
      </c>
      <c r="D418" s="40" t="s">
        <v>5877</v>
      </c>
      <c r="E418" s="40" t="s">
        <v>26</v>
      </c>
      <c r="F418" s="40" t="s">
        <v>5879</v>
      </c>
      <c r="G418" s="41" t="s">
        <v>18</v>
      </c>
      <c r="H418" s="40" t="s">
        <v>28</v>
      </c>
      <c r="I418" s="40" t="s">
        <v>108</v>
      </c>
      <c r="J418" s="40" t="s">
        <v>1314</v>
      </c>
      <c r="K418" s="40" t="s">
        <v>5880</v>
      </c>
      <c r="L418" s="40" t="s">
        <v>92</v>
      </c>
      <c r="M418" s="40">
        <v>5.2804500000000001</v>
      </c>
      <c r="N418" s="40">
        <v>9.41465</v>
      </c>
      <c r="O418" s="40" t="s">
        <v>23</v>
      </c>
    </row>
    <row r="419" spans="1:15" x14ac:dyDescent="0.2">
      <c r="A419" s="24">
        <f t="shared" si="6"/>
        <v>417</v>
      </c>
      <c r="B419" s="40" t="s">
        <v>5890</v>
      </c>
      <c r="C419" s="40" t="s">
        <v>5891</v>
      </c>
      <c r="D419" s="40" t="s">
        <v>5890</v>
      </c>
      <c r="E419" s="40" t="s">
        <v>26</v>
      </c>
      <c r="F419" s="40" t="s">
        <v>5892</v>
      </c>
      <c r="G419" s="41" t="s">
        <v>18</v>
      </c>
      <c r="H419" s="40" t="s">
        <v>28</v>
      </c>
      <c r="I419" s="40" t="s">
        <v>92</v>
      </c>
      <c r="J419" s="40" t="s">
        <v>365</v>
      </c>
      <c r="K419" s="40" t="s">
        <v>2147</v>
      </c>
      <c r="L419" s="40" t="s">
        <v>92</v>
      </c>
      <c r="M419" s="40">
        <v>5.83718</v>
      </c>
      <c r="N419" s="40">
        <v>9.7138500000000008</v>
      </c>
      <c r="O419" s="40" t="s">
        <v>23</v>
      </c>
    </row>
    <row r="420" spans="1:15" x14ac:dyDescent="0.2">
      <c r="A420" s="24">
        <f t="shared" si="6"/>
        <v>418</v>
      </c>
      <c r="B420" s="40" t="s">
        <v>5948</v>
      </c>
      <c r="C420" s="40" t="s">
        <v>5949</v>
      </c>
      <c r="D420" s="40" t="s">
        <v>5948</v>
      </c>
      <c r="E420" s="40" t="s">
        <v>26</v>
      </c>
      <c r="F420" s="40" t="s">
        <v>5950</v>
      </c>
      <c r="G420" s="41" t="s">
        <v>18</v>
      </c>
      <c r="H420" s="40" t="s">
        <v>28</v>
      </c>
      <c r="I420" s="40" t="s">
        <v>92</v>
      </c>
      <c r="J420" s="40" t="s">
        <v>281</v>
      </c>
      <c r="K420" s="40" t="s">
        <v>88</v>
      </c>
      <c r="L420" s="40" t="s">
        <v>92</v>
      </c>
      <c r="M420" s="40">
        <v>5.6146388890000001</v>
      </c>
      <c r="N420" s="40">
        <v>9.5173888889999994</v>
      </c>
      <c r="O420" s="40" t="s">
        <v>23</v>
      </c>
    </row>
    <row r="421" spans="1:15" x14ac:dyDescent="0.2">
      <c r="A421" s="24">
        <f t="shared" si="6"/>
        <v>419</v>
      </c>
      <c r="B421" s="40" t="s">
        <v>5970</v>
      </c>
      <c r="C421" s="40" t="s">
        <v>5971</v>
      </c>
      <c r="D421" s="40" t="s">
        <v>5970</v>
      </c>
      <c r="E421" s="40" t="s">
        <v>26</v>
      </c>
      <c r="F421" s="40" t="s">
        <v>5972</v>
      </c>
      <c r="G421" s="41" t="s">
        <v>18</v>
      </c>
      <c r="H421" s="40" t="s">
        <v>28</v>
      </c>
      <c r="I421" s="40" t="s">
        <v>92</v>
      </c>
      <c r="J421" s="40" t="s">
        <v>281</v>
      </c>
      <c r="K421" s="40" t="s">
        <v>92</v>
      </c>
      <c r="L421" s="40" t="s">
        <v>92</v>
      </c>
      <c r="M421" s="40">
        <v>5.7688800000000002</v>
      </c>
      <c r="N421" s="40">
        <v>9.3219899999999996</v>
      </c>
      <c r="O421" s="40" t="s">
        <v>23</v>
      </c>
    </row>
    <row r="422" spans="1:15" x14ac:dyDescent="0.2">
      <c r="A422" s="24">
        <f t="shared" si="6"/>
        <v>420</v>
      </c>
      <c r="B422" s="40" t="s">
        <v>6072</v>
      </c>
      <c r="C422" s="40" t="s">
        <v>6073</v>
      </c>
      <c r="D422" s="40" t="s">
        <v>6072</v>
      </c>
      <c r="E422" s="40" t="s">
        <v>26</v>
      </c>
      <c r="F422" s="40" t="s">
        <v>6074</v>
      </c>
      <c r="G422" s="41" t="s">
        <v>18</v>
      </c>
      <c r="H422" s="40" t="s">
        <v>28</v>
      </c>
      <c r="I422" s="40" t="s">
        <v>92</v>
      </c>
      <c r="J422" s="40" t="s">
        <v>281</v>
      </c>
      <c r="K422" s="40" t="s">
        <v>282</v>
      </c>
      <c r="L422" s="40" t="s">
        <v>92</v>
      </c>
      <c r="M422" s="40">
        <v>5.6990109999999996</v>
      </c>
      <c r="N422" s="40">
        <v>9.1825329999999994</v>
      </c>
      <c r="O422" s="40" t="s">
        <v>23</v>
      </c>
    </row>
    <row r="423" spans="1:15" x14ac:dyDescent="0.2">
      <c r="A423" s="24">
        <f t="shared" si="6"/>
        <v>421</v>
      </c>
      <c r="B423" s="40" t="s">
        <v>6084</v>
      </c>
      <c r="C423" s="40" t="s">
        <v>6085</v>
      </c>
      <c r="D423" s="40" t="s">
        <v>6084</v>
      </c>
      <c r="E423" s="40" t="s">
        <v>26</v>
      </c>
      <c r="F423" s="40" t="s">
        <v>6086</v>
      </c>
      <c r="G423" s="41" t="s">
        <v>18</v>
      </c>
      <c r="H423" s="40" t="s">
        <v>28</v>
      </c>
      <c r="I423" s="40" t="s">
        <v>92</v>
      </c>
      <c r="J423" s="40" t="s">
        <v>281</v>
      </c>
      <c r="K423" s="40" t="s">
        <v>88</v>
      </c>
      <c r="L423" s="40" t="s">
        <v>92</v>
      </c>
      <c r="M423" s="40">
        <v>5.4960699999999996</v>
      </c>
      <c r="N423" s="40">
        <v>9.5214599999999994</v>
      </c>
      <c r="O423" s="40" t="s">
        <v>23</v>
      </c>
    </row>
    <row r="424" spans="1:15" x14ac:dyDescent="0.2">
      <c r="A424" s="24">
        <f t="shared" si="6"/>
        <v>422</v>
      </c>
      <c r="B424" s="40" t="s">
        <v>6115</v>
      </c>
      <c r="C424" s="40" t="s">
        <v>6116</v>
      </c>
      <c r="D424" s="40" t="s">
        <v>6115</v>
      </c>
      <c r="E424" s="40" t="s">
        <v>26</v>
      </c>
      <c r="F424" s="40" t="s">
        <v>3205</v>
      </c>
      <c r="G424" s="41" t="s">
        <v>18</v>
      </c>
      <c r="H424" s="40" t="s">
        <v>19</v>
      </c>
      <c r="I424" s="40" t="s">
        <v>92</v>
      </c>
      <c r="J424" s="40" t="s">
        <v>281</v>
      </c>
      <c r="K424" s="40" t="s">
        <v>282</v>
      </c>
      <c r="L424" s="40" t="s">
        <v>92</v>
      </c>
      <c r="M424" s="40">
        <v>5.8151299999999999</v>
      </c>
      <c r="N424" s="40">
        <v>8.8577100000000009</v>
      </c>
      <c r="O424" s="40" t="s">
        <v>23</v>
      </c>
    </row>
    <row r="425" spans="1:15" x14ac:dyDescent="0.2">
      <c r="A425" s="24">
        <f t="shared" si="6"/>
        <v>423</v>
      </c>
      <c r="B425" s="40" t="s">
        <v>6287</v>
      </c>
      <c r="C425" s="40" t="s">
        <v>6288</v>
      </c>
      <c r="D425" s="40" t="s">
        <v>6287</v>
      </c>
      <c r="E425" s="40" t="s">
        <v>26</v>
      </c>
      <c r="F425" s="40" t="s">
        <v>6289</v>
      </c>
      <c r="G425" s="41" t="s">
        <v>36</v>
      </c>
      <c r="H425" s="40" t="s">
        <v>28</v>
      </c>
      <c r="I425" s="40" t="s">
        <v>92</v>
      </c>
      <c r="J425" s="40" t="s">
        <v>281</v>
      </c>
      <c r="K425" s="40" t="s">
        <v>92</v>
      </c>
      <c r="L425" s="40" t="s">
        <v>92</v>
      </c>
      <c r="M425" s="40">
        <v>5.70852</v>
      </c>
      <c r="N425" s="40">
        <v>9.6258999999999997</v>
      </c>
      <c r="O425" s="40" t="s">
        <v>23</v>
      </c>
    </row>
    <row r="426" spans="1:15" x14ac:dyDescent="0.2">
      <c r="A426" s="24">
        <f t="shared" si="6"/>
        <v>424</v>
      </c>
      <c r="B426" s="40" t="s">
        <v>6462</v>
      </c>
      <c r="C426" s="40" t="s">
        <v>6463</v>
      </c>
      <c r="D426" s="40" t="s">
        <v>6462</v>
      </c>
      <c r="E426" s="40" t="s">
        <v>26</v>
      </c>
      <c r="F426" s="40" t="s">
        <v>2112</v>
      </c>
      <c r="G426" s="41" t="s">
        <v>18</v>
      </c>
      <c r="H426" s="40" t="s">
        <v>19</v>
      </c>
      <c r="I426" s="40" t="s">
        <v>90</v>
      </c>
      <c r="J426" s="40" t="s">
        <v>281</v>
      </c>
      <c r="K426" s="40" t="s">
        <v>282</v>
      </c>
      <c r="L426" s="40" t="s">
        <v>92</v>
      </c>
      <c r="M426" s="40">
        <v>5.7736388889999999</v>
      </c>
      <c r="N426" s="40">
        <v>8.9948611110000005</v>
      </c>
      <c r="O426" s="40" t="s">
        <v>23</v>
      </c>
    </row>
    <row r="427" spans="1:15" x14ac:dyDescent="0.2">
      <c r="A427" s="24">
        <f t="shared" si="6"/>
        <v>425</v>
      </c>
      <c r="B427" s="40" t="s">
        <v>6674</v>
      </c>
      <c r="C427" s="40" t="s">
        <v>6675</v>
      </c>
      <c r="D427" s="40" t="s">
        <v>6674</v>
      </c>
      <c r="E427" s="40" t="s">
        <v>26</v>
      </c>
      <c r="F427" s="40" t="s">
        <v>6676</v>
      </c>
      <c r="G427" s="41" t="s">
        <v>18</v>
      </c>
      <c r="H427" s="40" t="s">
        <v>28</v>
      </c>
      <c r="I427" s="40" t="s">
        <v>92</v>
      </c>
      <c r="J427" s="40" t="s">
        <v>281</v>
      </c>
      <c r="K427" s="40" t="s">
        <v>88</v>
      </c>
      <c r="L427" s="40" t="s">
        <v>92</v>
      </c>
      <c r="M427" s="40">
        <v>5.4222169999999998</v>
      </c>
      <c r="N427" s="40">
        <v>9.4724330000000005</v>
      </c>
      <c r="O427" s="40" t="s">
        <v>23</v>
      </c>
    </row>
    <row r="428" spans="1:15" x14ac:dyDescent="0.2">
      <c r="A428" s="24">
        <f t="shared" si="6"/>
        <v>426</v>
      </c>
      <c r="B428" s="40" t="s">
        <v>6751</v>
      </c>
      <c r="C428" s="40" t="s">
        <v>6752</v>
      </c>
      <c r="D428" s="40" t="s">
        <v>6751</v>
      </c>
      <c r="E428" s="40" t="s">
        <v>26</v>
      </c>
      <c r="F428" s="40" t="s">
        <v>6753</v>
      </c>
      <c r="G428" s="41" t="s">
        <v>36</v>
      </c>
      <c r="H428" s="40" t="s">
        <v>28</v>
      </c>
      <c r="I428" s="40" t="s">
        <v>6754</v>
      </c>
      <c r="J428" s="40" t="s">
        <v>1314</v>
      </c>
      <c r="K428" s="40" t="s">
        <v>5880</v>
      </c>
      <c r="L428" s="40" t="s">
        <v>92</v>
      </c>
      <c r="M428" s="40">
        <v>5.214321</v>
      </c>
      <c r="N428" s="40">
        <v>9.3944919999999996</v>
      </c>
      <c r="O428" s="40" t="s">
        <v>23</v>
      </c>
    </row>
    <row r="429" spans="1:15" x14ac:dyDescent="0.2">
      <c r="A429" s="24">
        <f t="shared" si="6"/>
        <v>427</v>
      </c>
      <c r="B429" s="40" t="s">
        <v>7183</v>
      </c>
      <c r="C429" s="40" t="s">
        <v>7184</v>
      </c>
      <c r="D429" s="40" t="s">
        <v>7183</v>
      </c>
      <c r="E429" s="40" t="s">
        <v>7122</v>
      </c>
      <c r="F429" s="40" t="s">
        <v>7185</v>
      </c>
      <c r="G429" s="41" t="s">
        <v>18</v>
      </c>
      <c r="H429" s="40" t="s">
        <v>28</v>
      </c>
      <c r="I429" s="40" t="s">
        <v>20</v>
      </c>
      <c r="J429" s="40" t="s">
        <v>21</v>
      </c>
      <c r="K429" s="40" t="s">
        <v>22</v>
      </c>
      <c r="L429" s="40" t="s">
        <v>61</v>
      </c>
      <c r="M429" s="40">
        <v>11.327747199999999</v>
      </c>
      <c r="N429" s="40">
        <v>14.4548694</v>
      </c>
      <c r="O429" s="40" t="s">
        <v>23</v>
      </c>
    </row>
    <row r="430" spans="1:15" x14ac:dyDescent="0.2">
      <c r="A430" s="24">
        <f t="shared" si="6"/>
        <v>428</v>
      </c>
      <c r="B430" s="40" t="s">
        <v>7293</v>
      </c>
      <c r="C430" s="40" t="s">
        <v>7294</v>
      </c>
      <c r="D430" s="40" t="s">
        <v>7293</v>
      </c>
      <c r="E430" s="40" t="s">
        <v>16</v>
      </c>
      <c r="F430" s="40" t="s">
        <v>7295</v>
      </c>
      <c r="G430" s="41" t="s">
        <v>18</v>
      </c>
      <c r="H430" s="40" t="s">
        <v>28</v>
      </c>
      <c r="I430" s="40" t="s">
        <v>20</v>
      </c>
      <c r="J430" s="40" t="s">
        <v>21</v>
      </c>
      <c r="K430" s="40" t="s">
        <v>22</v>
      </c>
      <c r="L430" s="40" t="s">
        <v>61</v>
      </c>
      <c r="M430" s="40">
        <v>11.0436</v>
      </c>
      <c r="N430" s="40">
        <v>14.43723</v>
      </c>
      <c r="O430" s="40" t="s">
        <v>23</v>
      </c>
    </row>
    <row r="431" spans="1:15" x14ac:dyDescent="0.2">
      <c r="A431" s="24">
        <f t="shared" si="6"/>
        <v>429</v>
      </c>
      <c r="B431" s="40" t="s">
        <v>1285</v>
      </c>
      <c r="C431" s="40" t="s">
        <v>1286</v>
      </c>
      <c r="D431" s="40" t="s">
        <v>1285</v>
      </c>
      <c r="E431" s="40" t="s">
        <v>131</v>
      </c>
      <c r="F431" s="40" t="s">
        <v>1287</v>
      </c>
      <c r="G431" s="41" t="s">
        <v>18</v>
      </c>
      <c r="H431" s="40" t="s">
        <v>28</v>
      </c>
      <c r="I431" s="40" t="s">
        <v>194</v>
      </c>
      <c r="J431" s="40" t="s">
        <v>1054</v>
      </c>
      <c r="K431" s="40" t="s">
        <v>1152</v>
      </c>
      <c r="L431" s="40" t="s">
        <v>47</v>
      </c>
      <c r="M431" s="40">
        <v>5.8903999999999996</v>
      </c>
      <c r="N431" s="40">
        <v>13.52262</v>
      </c>
      <c r="O431" s="40" t="s">
        <v>23</v>
      </c>
    </row>
    <row r="432" spans="1:15" x14ac:dyDescent="0.2">
      <c r="A432" s="24">
        <f t="shared" si="6"/>
        <v>430</v>
      </c>
      <c r="B432" s="40" t="s">
        <v>367</v>
      </c>
      <c r="C432" s="40" t="s">
        <v>368</v>
      </c>
      <c r="D432" s="40" t="s">
        <v>367</v>
      </c>
      <c r="E432" s="40" t="s">
        <v>34</v>
      </c>
      <c r="F432" s="40" t="s">
        <v>369</v>
      </c>
      <c r="G432" s="41" t="s">
        <v>36</v>
      </c>
      <c r="H432" s="40" t="s">
        <v>28</v>
      </c>
      <c r="I432" s="40" t="s">
        <v>108</v>
      </c>
      <c r="J432" s="40" t="s">
        <v>109</v>
      </c>
      <c r="K432" s="40" t="s">
        <v>370</v>
      </c>
      <c r="L432" s="40" t="s">
        <v>7744</v>
      </c>
      <c r="M432" s="40">
        <v>4.8634170000000001</v>
      </c>
      <c r="N432" s="40">
        <v>9.6634720000000005</v>
      </c>
      <c r="O432" s="40" t="s">
        <v>23</v>
      </c>
    </row>
    <row r="433" spans="1:15" x14ac:dyDescent="0.2">
      <c r="A433" s="24">
        <f t="shared" si="6"/>
        <v>431</v>
      </c>
      <c r="B433" s="40" t="s">
        <v>632</v>
      </c>
      <c r="C433" s="40" t="s">
        <v>633</v>
      </c>
      <c r="D433" s="40" t="s">
        <v>632</v>
      </c>
      <c r="E433" s="40" t="s">
        <v>34</v>
      </c>
      <c r="F433" s="40" t="s">
        <v>634</v>
      </c>
      <c r="G433" s="41" t="s">
        <v>18</v>
      </c>
      <c r="H433" s="40" t="s">
        <v>28</v>
      </c>
      <c r="I433" s="40" t="s">
        <v>151</v>
      </c>
      <c r="J433" s="40" t="s">
        <v>152</v>
      </c>
      <c r="K433" s="40" t="s">
        <v>635</v>
      </c>
      <c r="L433" s="40" t="s">
        <v>7744</v>
      </c>
      <c r="M433" s="40">
        <v>4.7097920000000002</v>
      </c>
      <c r="N433" s="40">
        <v>9.7479770000000006</v>
      </c>
      <c r="O433" s="40" t="s">
        <v>23</v>
      </c>
    </row>
    <row r="434" spans="1:15" x14ac:dyDescent="0.2">
      <c r="A434" s="24">
        <f t="shared" si="6"/>
        <v>432</v>
      </c>
      <c r="B434" s="40" t="s">
        <v>1311</v>
      </c>
      <c r="C434" s="40" t="s">
        <v>1312</v>
      </c>
      <c r="D434" s="40" t="s">
        <v>1311</v>
      </c>
      <c r="E434" s="40" t="s">
        <v>131</v>
      </c>
      <c r="F434" s="40" t="s">
        <v>1313</v>
      </c>
      <c r="G434" s="41" t="s">
        <v>18</v>
      </c>
      <c r="H434" s="40" t="s">
        <v>28</v>
      </c>
      <c r="I434" s="40" t="s">
        <v>165</v>
      </c>
      <c r="J434" s="40" t="s">
        <v>1314</v>
      </c>
      <c r="K434" s="40" t="s">
        <v>1315</v>
      </c>
      <c r="L434" s="40" t="s">
        <v>7744</v>
      </c>
      <c r="M434" s="40">
        <v>5.0845039999999999</v>
      </c>
      <c r="N434" s="40">
        <v>9.769304</v>
      </c>
      <c r="O434" s="40" t="s">
        <v>23</v>
      </c>
    </row>
    <row r="435" spans="1:15" x14ac:dyDescent="0.2">
      <c r="A435" s="24">
        <f t="shared" si="6"/>
        <v>433</v>
      </c>
      <c r="B435" s="40" t="s">
        <v>1405</v>
      </c>
      <c r="C435" s="40" t="s">
        <v>1406</v>
      </c>
      <c r="D435" s="40" t="s">
        <v>1405</v>
      </c>
      <c r="E435" s="40" t="s">
        <v>34</v>
      </c>
      <c r="F435" s="40" t="s">
        <v>1407</v>
      </c>
      <c r="G435" s="41" t="s">
        <v>18</v>
      </c>
      <c r="H435" s="40" t="s">
        <v>28</v>
      </c>
      <c r="I435" s="40" t="s">
        <v>151</v>
      </c>
      <c r="J435" s="40" t="s">
        <v>152</v>
      </c>
      <c r="K435" s="40" t="s">
        <v>1408</v>
      </c>
      <c r="L435" s="40" t="s">
        <v>7744</v>
      </c>
      <c r="M435" s="40">
        <v>4.85304</v>
      </c>
      <c r="N435" s="40">
        <v>9.8334919999999997</v>
      </c>
      <c r="O435" s="40" t="s">
        <v>23</v>
      </c>
    </row>
    <row r="436" spans="1:15" x14ac:dyDescent="0.2">
      <c r="A436" s="24">
        <f t="shared" si="6"/>
        <v>434</v>
      </c>
      <c r="B436" s="40" t="s">
        <v>1714</v>
      </c>
      <c r="C436" s="40" t="s">
        <v>1715</v>
      </c>
      <c r="D436" s="40" t="s">
        <v>1714</v>
      </c>
      <c r="E436" s="40" t="s">
        <v>34</v>
      </c>
      <c r="F436" s="40" t="s">
        <v>1716</v>
      </c>
      <c r="G436" s="41" t="s">
        <v>18</v>
      </c>
      <c r="H436" s="40" t="s">
        <v>28</v>
      </c>
      <c r="I436" s="40" t="s">
        <v>151</v>
      </c>
      <c r="J436" s="40" t="s">
        <v>152</v>
      </c>
      <c r="K436" s="40" t="s">
        <v>1717</v>
      </c>
      <c r="L436" s="40" t="s">
        <v>7744</v>
      </c>
      <c r="M436" s="40">
        <v>4.936299</v>
      </c>
      <c r="N436" s="40">
        <v>9.9313350000000007</v>
      </c>
      <c r="O436" s="40" t="s">
        <v>613</v>
      </c>
    </row>
    <row r="437" spans="1:15" x14ac:dyDescent="0.2">
      <c r="A437" s="24">
        <f t="shared" si="6"/>
        <v>435</v>
      </c>
      <c r="B437" s="40" t="s">
        <v>2907</v>
      </c>
      <c r="C437" s="40" t="s">
        <v>2908</v>
      </c>
      <c r="D437" s="40" t="s">
        <v>2907</v>
      </c>
      <c r="E437" s="40" t="s">
        <v>34</v>
      </c>
      <c r="F437" s="40" t="s">
        <v>2909</v>
      </c>
      <c r="G437" s="41" t="s">
        <v>18</v>
      </c>
      <c r="H437" s="40" t="s">
        <v>19</v>
      </c>
      <c r="I437" s="40" t="s">
        <v>151</v>
      </c>
      <c r="J437" s="40" t="s">
        <v>152</v>
      </c>
      <c r="K437" s="40" t="s">
        <v>2910</v>
      </c>
      <c r="L437" s="40" t="s">
        <v>7744</v>
      </c>
      <c r="M437" s="40">
        <v>4.9714499999999999</v>
      </c>
      <c r="N437" s="40">
        <v>9.9169990000000006</v>
      </c>
      <c r="O437" s="40" t="s">
        <v>23</v>
      </c>
    </row>
    <row r="438" spans="1:15" x14ac:dyDescent="0.2">
      <c r="A438" s="24">
        <f t="shared" si="6"/>
        <v>436</v>
      </c>
      <c r="B438" s="40" t="s">
        <v>4376</v>
      </c>
      <c r="C438" s="40" t="s">
        <v>4377</v>
      </c>
      <c r="D438" s="40" t="s">
        <v>4376</v>
      </c>
      <c r="E438" s="40" t="s">
        <v>34</v>
      </c>
      <c r="F438" s="40" t="s">
        <v>3741</v>
      </c>
      <c r="G438" s="41" t="s">
        <v>18</v>
      </c>
      <c r="H438" s="40" t="s">
        <v>28</v>
      </c>
      <c r="I438" s="40" t="s">
        <v>151</v>
      </c>
      <c r="J438" s="40" t="s">
        <v>152</v>
      </c>
      <c r="K438" s="40" t="s">
        <v>3742</v>
      </c>
      <c r="L438" s="40" t="s">
        <v>7744</v>
      </c>
      <c r="M438" s="40">
        <v>4.9224240000000004</v>
      </c>
      <c r="N438" s="40">
        <v>9.893497</v>
      </c>
      <c r="O438" s="40" t="s">
        <v>23</v>
      </c>
    </row>
    <row r="439" spans="1:15" x14ac:dyDescent="0.2">
      <c r="A439" s="24">
        <f t="shared" si="6"/>
        <v>437</v>
      </c>
      <c r="B439" s="40" t="s">
        <v>4579</v>
      </c>
      <c r="C439" s="40" t="s">
        <v>4580</v>
      </c>
      <c r="D439" s="40" t="s">
        <v>4579</v>
      </c>
      <c r="E439" s="40" t="s">
        <v>34</v>
      </c>
      <c r="F439" s="40" t="s">
        <v>4581</v>
      </c>
      <c r="G439" s="41" t="s">
        <v>18</v>
      </c>
      <c r="H439" s="40" t="s">
        <v>19</v>
      </c>
      <c r="I439" s="40" t="s">
        <v>151</v>
      </c>
      <c r="J439" s="40" t="s">
        <v>152</v>
      </c>
      <c r="K439" s="40" t="s">
        <v>1408</v>
      </c>
      <c r="L439" s="40" t="s">
        <v>7744</v>
      </c>
      <c r="M439" s="40">
        <v>4.8483999999999998</v>
      </c>
      <c r="N439" s="40">
        <v>9.8259000000000007</v>
      </c>
      <c r="O439" s="40" t="s">
        <v>23</v>
      </c>
    </row>
    <row r="440" spans="1:15" x14ac:dyDescent="0.2">
      <c r="A440" s="24">
        <f t="shared" si="6"/>
        <v>438</v>
      </c>
      <c r="B440" s="40" t="s">
        <v>4668</v>
      </c>
      <c r="C440" s="40" t="s">
        <v>4669</v>
      </c>
      <c r="D440" s="40" t="s">
        <v>4668</v>
      </c>
      <c r="E440" s="40" t="s">
        <v>131</v>
      </c>
      <c r="F440" s="40" t="s">
        <v>1315</v>
      </c>
      <c r="G440" s="41" t="s">
        <v>18</v>
      </c>
      <c r="H440" s="40" t="s">
        <v>19</v>
      </c>
      <c r="I440" s="40" t="s">
        <v>165</v>
      </c>
      <c r="J440" s="40" t="s">
        <v>1314</v>
      </c>
      <c r="K440" s="40" t="s">
        <v>1315</v>
      </c>
      <c r="L440" s="40" t="s">
        <v>7744</v>
      </c>
      <c r="M440" s="40">
        <v>5.0767499999999997</v>
      </c>
      <c r="N440" s="40">
        <v>9.7753610000000002</v>
      </c>
      <c r="O440" s="40" t="s">
        <v>23</v>
      </c>
    </row>
    <row r="441" spans="1:15" x14ac:dyDescent="0.2">
      <c r="A441" s="24">
        <f t="shared" si="6"/>
        <v>439</v>
      </c>
      <c r="B441" s="40" t="s">
        <v>4670</v>
      </c>
      <c r="C441" s="40" t="s">
        <v>4671</v>
      </c>
      <c r="D441" s="40" t="s">
        <v>4670</v>
      </c>
      <c r="E441" s="40" t="s">
        <v>131</v>
      </c>
      <c r="F441" s="40" t="s">
        <v>1315</v>
      </c>
      <c r="G441" s="41" t="s">
        <v>18</v>
      </c>
      <c r="H441" s="40" t="s">
        <v>28</v>
      </c>
      <c r="I441" s="40" t="s">
        <v>165</v>
      </c>
      <c r="J441" s="40" t="s">
        <v>1314</v>
      </c>
      <c r="K441" s="40" t="s">
        <v>1315</v>
      </c>
      <c r="L441" s="40" t="s">
        <v>7744</v>
      </c>
      <c r="M441" s="40">
        <v>5.0737569999999996</v>
      </c>
      <c r="N441" s="40">
        <v>9.7635380000000005</v>
      </c>
      <c r="O441" s="40" t="s">
        <v>23</v>
      </c>
    </row>
    <row r="442" spans="1:15" x14ac:dyDescent="0.2">
      <c r="A442" s="24">
        <f t="shared" si="6"/>
        <v>440</v>
      </c>
      <c r="B442" s="40" t="s">
        <v>5017</v>
      </c>
      <c r="C442" s="40" t="s">
        <v>5018</v>
      </c>
      <c r="D442" s="40" t="s">
        <v>5017</v>
      </c>
      <c r="E442" s="40" t="s">
        <v>34</v>
      </c>
      <c r="F442" s="40" t="s">
        <v>5019</v>
      </c>
      <c r="G442" s="41" t="s">
        <v>18</v>
      </c>
      <c r="H442" s="40" t="s">
        <v>28</v>
      </c>
      <c r="I442" s="40" t="s">
        <v>151</v>
      </c>
      <c r="J442" s="40" t="s">
        <v>152</v>
      </c>
      <c r="K442" s="40" t="s">
        <v>4576</v>
      </c>
      <c r="L442" s="40" t="s">
        <v>7744</v>
      </c>
      <c r="M442" s="40">
        <v>4.82951</v>
      </c>
      <c r="N442" s="40">
        <v>9.6786399999999997</v>
      </c>
      <c r="O442" s="40" t="s">
        <v>23</v>
      </c>
    </row>
    <row r="443" spans="1:15" x14ac:dyDescent="0.2">
      <c r="A443" s="24">
        <f t="shared" si="6"/>
        <v>441</v>
      </c>
      <c r="B443" s="40" t="s">
        <v>6695</v>
      </c>
      <c r="C443" s="40" t="s">
        <v>6696</v>
      </c>
      <c r="D443" s="40" t="s">
        <v>6695</v>
      </c>
      <c r="E443" s="40" t="s">
        <v>34</v>
      </c>
      <c r="F443" s="40" t="s">
        <v>6697</v>
      </c>
      <c r="G443" s="41" t="s">
        <v>18</v>
      </c>
      <c r="H443" s="40" t="s">
        <v>28</v>
      </c>
      <c r="I443" s="40" t="s">
        <v>151</v>
      </c>
      <c r="J443" s="40" t="s">
        <v>152</v>
      </c>
      <c r="K443" s="40" t="s">
        <v>6698</v>
      </c>
      <c r="L443" s="40" t="s">
        <v>7744</v>
      </c>
      <c r="M443" s="40">
        <v>4.8058189999999996</v>
      </c>
      <c r="N443" s="40">
        <v>9.7655309999999993</v>
      </c>
      <c r="O443" s="40" t="s">
        <v>23</v>
      </c>
    </row>
    <row r="444" spans="1:15" x14ac:dyDescent="0.2">
      <c r="A444" s="24">
        <f t="shared" si="6"/>
        <v>442</v>
      </c>
      <c r="B444" s="40" t="s">
        <v>7275</v>
      </c>
      <c r="C444" s="40" t="s">
        <v>7276</v>
      </c>
      <c r="D444" s="40" t="s">
        <v>7275</v>
      </c>
      <c r="E444" s="40" t="s">
        <v>34</v>
      </c>
      <c r="F444" s="40" t="s">
        <v>7277</v>
      </c>
      <c r="G444" s="41" t="s">
        <v>18</v>
      </c>
      <c r="H444" s="40" t="s">
        <v>28</v>
      </c>
      <c r="I444" s="40" t="s">
        <v>165</v>
      </c>
      <c r="J444" s="40" t="s">
        <v>7063</v>
      </c>
      <c r="K444" s="40" t="s">
        <v>1389</v>
      </c>
      <c r="L444" s="40" t="s">
        <v>7744</v>
      </c>
      <c r="M444" s="40">
        <v>5.0864000000000003</v>
      </c>
      <c r="N444" s="40">
        <v>9.8047810000000002</v>
      </c>
      <c r="O444" s="40" t="s">
        <v>23</v>
      </c>
    </row>
    <row r="445" spans="1:15" x14ac:dyDescent="0.2">
      <c r="A445" s="24">
        <f t="shared" si="6"/>
        <v>443</v>
      </c>
      <c r="B445" s="40" t="s">
        <v>7364</v>
      </c>
      <c r="C445" s="40" t="s">
        <v>7365</v>
      </c>
      <c r="D445" s="40" t="s">
        <v>7364</v>
      </c>
      <c r="E445" s="40" t="s">
        <v>26</v>
      </c>
      <c r="F445" s="40" t="s">
        <v>7366</v>
      </c>
      <c r="G445" s="41" t="s">
        <v>18</v>
      </c>
      <c r="H445" s="40" t="s">
        <v>28</v>
      </c>
      <c r="I445" s="40" t="s">
        <v>1010</v>
      </c>
      <c r="J445" s="40" t="s">
        <v>195</v>
      </c>
      <c r="K445" s="40" t="s">
        <v>241</v>
      </c>
      <c r="L445" s="40" t="s">
        <v>7744</v>
      </c>
      <c r="M445" s="40">
        <v>4.7012999999999998</v>
      </c>
      <c r="N445" s="40">
        <v>10.233700000000001</v>
      </c>
      <c r="O445" s="40" t="s">
        <v>23</v>
      </c>
    </row>
    <row r="446" spans="1:15" x14ac:dyDescent="0.2">
      <c r="A446" s="24">
        <f t="shared" si="6"/>
        <v>444</v>
      </c>
      <c r="B446" s="40" t="s">
        <v>4687</v>
      </c>
      <c r="C446" s="40" t="s">
        <v>4688</v>
      </c>
      <c r="D446" s="40" t="s">
        <v>4687</v>
      </c>
      <c r="E446" s="40" t="s">
        <v>131</v>
      </c>
      <c r="F446" s="40" t="s">
        <v>2278</v>
      </c>
      <c r="G446" s="41" t="s">
        <v>18</v>
      </c>
      <c r="H446" s="40" t="s">
        <v>19</v>
      </c>
      <c r="I446" s="40" t="s">
        <v>1042</v>
      </c>
      <c r="J446" s="40" t="s">
        <v>159</v>
      </c>
      <c r="K446" s="40" t="s">
        <v>2278</v>
      </c>
      <c r="L446" s="40" t="s">
        <v>136</v>
      </c>
      <c r="M446" s="40">
        <v>4.3961550000000003</v>
      </c>
      <c r="N446" s="40">
        <v>10.825452</v>
      </c>
      <c r="O446" s="40" t="s">
        <v>23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BFC0-D775-A640-A37E-977039D5501B}">
  <dimension ref="A1:L21"/>
  <sheetViews>
    <sheetView showGridLines="0" workbookViewId="0">
      <pane ySplit="2" topLeftCell="A3" activePane="bottomLeft" state="frozen"/>
      <selection pane="bottomLeft" activeCell="I24" sqref="I24"/>
    </sheetView>
  </sheetViews>
  <sheetFormatPr baseColWidth="10" defaultColWidth="10.85546875" defaultRowHeight="14.25" x14ac:dyDescent="0.2"/>
  <cols>
    <col min="1" max="1" width="24.85546875" style="20" bestFit="1" customWidth="1"/>
    <col min="2" max="2" width="15.28515625" style="20" bestFit="1" customWidth="1"/>
    <col min="3" max="3" width="13.42578125" style="20" bestFit="1" customWidth="1"/>
    <col min="4" max="4" width="10.7109375" style="20" bestFit="1" customWidth="1"/>
    <col min="5" max="5" width="24.7109375" style="20" bestFit="1" customWidth="1"/>
    <col min="6" max="6" width="21.85546875" style="20" bestFit="1" customWidth="1"/>
    <col min="7" max="7" width="21.140625" style="20" bestFit="1" customWidth="1"/>
    <col min="8" max="8" width="19" style="20" bestFit="1" customWidth="1"/>
    <col min="9" max="9" width="30.140625" style="20" bestFit="1" customWidth="1"/>
    <col min="10" max="10" width="23.42578125" style="20" bestFit="1" customWidth="1"/>
    <col min="11" max="11" width="22.28515625" style="20" bestFit="1" customWidth="1"/>
    <col min="12" max="16384" width="10.85546875" style="20"/>
  </cols>
  <sheetData>
    <row r="1" spans="1:12" x14ac:dyDescent="0.2">
      <c r="A1" s="94" t="s">
        <v>7762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2" x14ac:dyDescent="0.2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2" ht="15" x14ac:dyDescent="0.25">
      <c r="A3" s="21" t="s">
        <v>7750</v>
      </c>
      <c r="B3" s="22" t="s">
        <v>23</v>
      </c>
      <c r="C3" s="22" t="s">
        <v>613</v>
      </c>
      <c r="D3" s="22" t="s">
        <v>7749</v>
      </c>
      <c r="E3" s="22" t="s">
        <v>7763</v>
      </c>
      <c r="F3" s="22" t="s">
        <v>7742</v>
      </c>
      <c r="G3" s="22" t="s">
        <v>7751</v>
      </c>
      <c r="H3" s="22" t="s">
        <v>7752</v>
      </c>
      <c r="I3" s="22" t="s">
        <v>7761</v>
      </c>
      <c r="J3" s="22" t="s">
        <v>7754</v>
      </c>
      <c r="K3" s="22" t="s">
        <v>7753</v>
      </c>
    </row>
    <row r="4" spans="1:12" x14ac:dyDescent="0.2">
      <c r="A4" s="23" t="s">
        <v>42</v>
      </c>
      <c r="B4" s="24">
        <v>133</v>
      </c>
      <c r="C4" s="24">
        <v>6</v>
      </c>
      <c r="D4" s="24">
        <v>139</v>
      </c>
      <c r="E4" s="24" t="s">
        <v>7767</v>
      </c>
      <c r="F4" s="24">
        <v>2</v>
      </c>
      <c r="G4" s="24">
        <v>2</v>
      </c>
      <c r="H4" s="24">
        <f>+F4*G4*6</f>
        <v>24</v>
      </c>
      <c r="I4" s="25">
        <f>+D4/H4</f>
        <v>5.791666666666667</v>
      </c>
      <c r="J4" s="26">
        <f>+J8+3</f>
        <v>46252</v>
      </c>
      <c r="K4" s="26">
        <v>46291</v>
      </c>
      <c r="L4" s="27"/>
    </row>
    <row r="5" spans="1:12" x14ac:dyDescent="0.2">
      <c r="A5" s="23" t="s">
        <v>182</v>
      </c>
      <c r="B5" s="24">
        <v>280</v>
      </c>
      <c r="C5" s="24">
        <v>237</v>
      </c>
      <c r="D5" s="24">
        <v>517</v>
      </c>
      <c r="E5" s="24" t="s">
        <v>7766</v>
      </c>
      <c r="F5" s="24">
        <v>3</v>
      </c>
      <c r="G5" s="24">
        <v>5</v>
      </c>
      <c r="H5" s="24">
        <f t="shared" ref="H5:H13" si="0">+F5*G5*6</f>
        <v>90</v>
      </c>
      <c r="I5" s="25">
        <f t="shared" ref="I5:I13" si="1">+D5/H5</f>
        <v>5.7444444444444445</v>
      </c>
      <c r="J5" s="26">
        <v>46249</v>
      </c>
      <c r="K5" s="26">
        <v>46289.211111111108</v>
      </c>
      <c r="L5" s="27"/>
    </row>
    <row r="6" spans="1:12" x14ac:dyDescent="0.2">
      <c r="A6" s="23" t="s">
        <v>74</v>
      </c>
      <c r="B6" s="24">
        <v>120</v>
      </c>
      <c r="C6" s="24">
        <v>2</v>
      </c>
      <c r="D6" s="24">
        <v>122</v>
      </c>
      <c r="E6" s="24" t="s">
        <v>7767</v>
      </c>
      <c r="F6" s="24">
        <v>2</v>
      </c>
      <c r="G6" s="24">
        <v>2</v>
      </c>
      <c r="H6" s="24">
        <f t="shared" si="0"/>
        <v>24</v>
      </c>
      <c r="I6" s="25">
        <f t="shared" si="1"/>
        <v>5.083333333333333</v>
      </c>
      <c r="J6" s="26">
        <f>+J8+2</f>
        <v>46251</v>
      </c>
      <c r="K6" s="26">
        <v>46286.583333333336</v>
      </c>
      <c r="L6" s="27"/>
    </row>
    <row r="7" spans="1:12" x14ac:dyDescent="0.2">
      <c r="A7" s="23" t="s">
        <v>16</v>
      </c>
      <c r="B7" s="24">
        <v>195</v>
      </c>
      <c r="C7" s="24">
        <v>7</v>
      </c>
      <c r="D7" s="24">
        <v>202</v>
      </c>
      <c r="E7" s="24" t="s">
        <v>7768</v>
      </c>
      <c r="F7" s="24">
        <v>1</v>
      </c>
      <c r="G7" s="24">
        <v>6</v>
      </c>
      <c r="H7" s="24">
        <f t="shared" si="0"/>
        <v>36</v>
      </c>
      <c r="I7" s="25">
        <f t="shared" si="1"/>
        <v>5.6111111111111107</v>
      </c>
      <c r="J7" s="26">
        <f>+J8+5</f>
        <v>46254</v>
      </c>
      <c r="K7" s="26">
        <v>46292</v>
      </c>
      <c r="L7" s="27"/>
    </row>
    <row r="8" spans="1:12" x14ac:dyDescent="0.2">
      <c r="A8" s="23" t="s">
        <v>50</v>
      </c>
      <c r="B8" s="24">
        <v>246</v>
      </c>
      <c r="C8" s="24">
        <v>261</v>
      </c>
      <c r="D8" s="24">
        <v>507</v>
      </c>
      <c r="E8" s="24" t="s">
        <v>7764</v>
      </c>
      <c r="F8" s="24">
        <v>3</v>
      </c>
      <c r="G8" s="24">
        <v>5</v>
      </c>
      <c r="H8" s="24">
        <f t="shared" si="0"/>
        <v>90</v>
      </c>
      <c r="I8" s="25">
        <f t="shared" si="1"/>
        <v>5.6333333333333337</v>
      </c>
      <c r="J8" s="29">
        <v>46249</v>
      </c>
      <c r="K8" s="26">
        <v>46289</v>
      </c>
      <c r="L8" s="27"/>
    </row>
    <row r="9" spans="1:12" x14ac:dyDescent="0.2">
      <c r="A9" s="23" t="s">
        <v>170</v>
      </c>
      <c r="B9" s="24">
        <v>131</v>
      </c>
      <c r="C9" s="24">
        <v>1</v>
      </c>
      <c r="D9" s="24">
        <v>132</v>
      </c>
      <c r="E9" s="24" t="s">
        <v>7768</v>
      </c>
      <c r="F9" s="24">
        <v>2</v>
      </c>
      <c r="G9" s="24">
        <v>2</v>
      </c>
      <c r="H9" s="24">
        <f t="shared" si="0"/>
        <v>24</v>
      </c>
      <c r="I9" s="25">
        <f t="shared" si="1"/>
        <v>5.5</v>
      </c>
      <c r="J9" s="26">
        <f>+J8+4</f>
        <v>46253</v>
      </c>
      <c r="K9" s="26">
        <v>46290</v>
      </c>
      <c r="L9" s="27"/>
    </row>
    <row r="10" spans="1:12" x14ac:dyDescent="0.2">
      <c r="A10" s="23" t="s">
        <v>26</v>
      </c>
      <c r="B10" s="24">
        <v>182</v>
      </c>
      <c r="C10" s="24">
        <v>10</v>
      </c>
      <c r="D10" s="24">
        <v>192</v>
      </c>
      <c r="E10" s="24" t="s">
        <v>7765</v>
      </c>
      <c r="F10" s="24">
        <v>1</v>
      </c>
      <c r="G10" s="24">
        <v>5</v>
      </c>
      <c r="H10" s="24">
        <f t="shared" si="0"/>
        <v>30</v>
      </c>
      <c r="I10" s="25">
        <f t="shared" si="1"/>
        <v>6.4</v>
      </c>
      <c r="J10" s="26">
        <f>+J8+2</f>
        <v>46251</v>
      </c>
      <c r="K10" s="28">
        <v>46294</v>
      </c>
      <c r="L10" s="27"/>
    </row>
    <row r="11" spans="1:12" x14ac:dyDescent="0.2">
      <c r="A11" s="23" t="s">
        <v>250</v>
      </c>
      <c r="B11" s="24">
        <v>109</v>
      </c>
      <c r="C11" s="24"/>
      <c r="D11" s="24">
        <v>109</v>
      </c>
      <c r="E11" s="24" t="s">
        <v>7768</v>
      </c>
      <c r="F11" s="24">
        <v>1</v>
      </c>
      <c r="G11" s="24">
        <v>4</v>
      </c>
      <c r="H11" s="24">
        <f t="shared" si="0"/>
        <v>24</v>
      </c>
      <c r="I11" s="25">
        <f t="shared" si="1"/>
        <v>4.541666666666667</v>
      </c>
      <c r="J11" s="26">
        <f>+J8+2</f>
        <v>46251</v>
      </c>
      <c r="K11" s="26">
        <f t="shared" ref="K11" si="2">+J11+I11*7</f>
        <v>46282.791666666664</v>
      </c>
      <c r="L11" s="27"/>
    </row>
    <row r="12" spans="1:12" x14ac:dyDescent="0.2">
      <c r="A12" s="23" t="s">
        <v>34</v>
      </c>
      <c r="B12" s="24">
        <v>211</v>
      </c>
      <c r="C12" s="24">
        <v>23</v>
      </c>
      <c r="D12" s="24">
        <v>234</v>
      </c>
      <c r="E12" s="24" t="s">
        <v>7765</v>
      </c>
      <c r="F12" s="24">
        <v>2</v>
      </c>
      <c r="G12" s="24">
        <v>5</v>
      </c>
      <c r="H12" s="24">
        <f t="shared" si="0"/>
        <v>60</v>
      </c>
      <c r="I12" s="25">
        <f t="shared" si="1"/>
        <v>3.9</v>
      </c>
      <c r="J12" s="26">
        <f>+J8+2</f>
        <v>46251</v>
      </c>
      <c r="K12" s="26">
        <v>46277</v>
      </c>
      <c r="L12" s="27"/>
    </row>
    <row r="13" spans="1:12" x14ac:dyDescent="0.2">
      <c r="A13" s="23" t="s">
        <v>131</v>
      </c>
      <c r="B13" s="24">
        <v>230</v>
      </c>
      <c r="C13" s="24">
        <v>32</v>
      </c>
      <c r="D13" s="24">
        <v>262</v>
      </c>
      <c r="E13" s="24" t="s">
        <v>7767</v>
      </c>
      <c r="F13" s="24">
        <v>2</v>
      </c>
      <c r="G13" s="24">
        <v>4</v>
      </c>
      <c r="H13" s="24">
        <f t="shared" si="0"/>
        <v>48</v>
      </c>
      <c r="I13" s="25">
        <f t="shared" si="1"/>
        <v>5.458333333333333</v>
      </c>
      <c r="J13" s="26">
        <f>+J8+2</f>
        <v>46251</v>
      </c>
      <c r="K13" s="26">
        <v>46288</v>
      </c>
      <c r="L13" s="27"/>
    </row>
    <row r="14" spans="1:12" ht="15" x14ac:dyDescent="0.25">
      <c r="A14" s="30" t="s">
        <v>7749</v>
      </c>
      <c r="B14" s="31">
        <f t="shared" ref="B14:D14" si="3">+SUBTOTAL(9,B4:B13)</f>
        <v>1837</v>
      </c>
      <c r="C14" s="31">
        <f t="shared" si="3"/>
        <v>579</v>
      </c>
      <c r="D14" s="31">
        <f t="shared" si="3"/>
        <v>2416</v>
      </c>
      <c r="E14" s="31"/>
      <c r="F14" s="43">
        <f>SUBTOTAL(101,F4:F13)</f>
        <v>1.9</v>
      </c>
      <c r="G14" s="31">
        <f>+SUBTOTAL(9,G4:G13)</f>
        <v>40</v>
      </c>
      <c r="H14" s="31">
        <f>+SUBTOTAL(9,H4:H13)</f>
        <v>450</v>
      </c>
      <c r="I14" s="32">
        <f>SUBTOTAL(101,I4:I13)</f>
        <v>5.3663888888888884</v>
      </c>
      <c r="J14" s="33"/>
      <c r="K14" s="33"/>
    </row>
    <row r="16" spans="1:12" ht="15" x14ac:dyDescent="0.25">
      <c r="A16" s="34" t="s">
        <v>7755</v>
      </c>
      <c r="B16" s="35">
        <f>+D14</f>
        <v>2416</v>
      </c>
    </row>
    <row r="17" spans="1:2" ht="15" x14ac:dyDescent="0.25">
      <c r="A17" s="34" t="s">
        <v>7756</v>
      </c>
      <c r="B17" s="35">
        <f>+G14</f>
        <v>40</v>
      </c>
    </row>
    <row r="18" spans="1:2" ht="15" x14ac:dyDescent="0.25">
      <c r="A18" s="34" t="s">
        <v>7757</v>
      </c>
      <c r="B18" s="44">
        <f>+F14</f>
        <v>1.9</v>
      </c>
    </row>
    <row r="19" spans="1:2" ht="15" x14ac:dyDescent="0.25">
      <c r="A19" s="34" t="s">
        <v>7758</v>
      </c>
      <c r="B19" s="35">
        <f>+H14</f>
        <v>450</v>
      </c>
    </row>
    <row r="20" spans="1:2" ht="15" x14ac:dyDescent="0.25">
      <c r="A20" s="34" t="s">
        <v>7760</v>
      </c>
      <c r="B20" s="29">
        <f>+J8</f>
        <v>46249</v>
      </c>
    </row>
    <row r="21" spans="1:2" ht="15" x14ac:dyDescent="0.25">
      <c r="A21" s="34" t="s">
        <v>7759</v>
      </c>
      <c r="B21" s="28">
        <f>+K10</f>
        <v>46294</v>
      </c>
    </row>
  </sheetData>
  <mergeCells count="1">
    <mergeCell ref="A1:K2"/>
  </mergeCells>
  <phoneticPr fontId="8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CCBF-54C8-9747-BC69-C5139B65B3F3}">
  <sheetPr filterMode="1"/>
  <dimension ref="A1:AZ23"/>
  <sheetViews>
    <sheetView showGridLines="0"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31" sqref="D31"/>
    </sheetView>
  </sheetViews>
  <sheetFormatPr baseColWidth="10" defaultRowHeight="15" x14ac:dyDescent="0.25"/>
  <cols>
    <col min="1" max="1" width="10.42578125" bestFit="1" customWidth="1"/>
    <col min="2" max="2" width="23.5703125" bestFit="1" customWidth="1"/>
    <col min="3" max="3" width="17" customWidth="1"/>
    <col min="4" max="4" width="14.28515625" customWidth="1"/>
    <col min="5" max="28" width="7.7109375" customWidth="1"/>
    <col min="29" max="51" width="7.7109375" bestFit="1" customWidth="1"/>
    <col min="52" max="52" width="7.5703125" bestFit="1" customWidth="1"/>
  </cols>
  <sheetData>
    <row r="1" spans="1:52" x14ac:dyDescent="0.25">
      <c r="A1" s="94" t="s">
        <v>7779</v>
      </c>
      <c r="B1" s="94"/>
      <c r="C1" s="94"/>
      <c r="D1" s="94"/>
    </row>
    <row r="2" spans="1:52" ht="15.75" thickBot="1" x14ac:dyDescent="0.3">
      <c r="A2" s="94"/>
      <c r="B2" s="94"/>
      <c r="C2" s="94"/>
      <c r="D2" s="94"/>
    </row>
    <row r="3" spans="1:52" x14ac:dyDescent="0.25">
      <c r="A3" s="103" t="s">
        <v>7750</v>
      </c>
      <c r="B3" s="103" t="s">
        <v>7770</v>
      </c>
      <c r="C3" s="104" t="s">
        <v>7763</v>
      </c>
      <c r="D3" s="105" t="s">
        <v>7778</v>
      </c>
      <c r="E3" s="95" t="s">
        <v>7769</v>
      </c>
      <c r="F3" s="96"/>
      <c r="G3" s="96"/>
      <c r="H3" s="96"/>
      <c r="I3" s="96"/>
      <c r="J3" s="97"/>
      <c r="K3" s="95" t="s">
        <v>7771</v>
      </c>
      <c r="L3" s="96"/>
      <c r="M3" s="96"/>
      <c r="N3" s="96"/>
      <c r="O3" s="96"/>
      <c r="P3" s="97"/>
      <c r="Q3" s="95" t="s">
        <v>7772</v>
      </c>
      <c r="R3" s="96"/>
      <c r="S3" s="96"/>
      <c r="T3" s="96"/>
      <c r="U3" s="96"/>
      <c r="V3" s="97"/>
      <c r="W3" s="95" t="s">
        <v>7773</v>
      </c>
      <c r="X3" s="96"/>
      <c r="Y3" s="96"/>
      <c r="Z3" s="96"/>
      <c r="AA3" s="96"/>
      <c r="AB3" s="97"/>
      <c r="AC3" s="95" t="s">
        <v>7774</v>
      </c>
      <c r="AD3" s="96"/>
      <c r="AE3" s="96"/>
      <c r="AF3" s="96"/>
      <c r="AG3" s="96"/>
      <c r="AH3" s="97"/>
      <c r="AI3" s="95" t="s">
        <v>7775</v>
      </c>
      <c r="AJ3" s="96"/>
      <c r="AK3" s="96"/>
      <c r="AL3" s="96"/>
      <c r="AM3" s="96"/>
      <c r="AN3" s="97"/>
      <c r="AO3" s="95" t="s">
        <v>7776</v>
      </c>
      <c r="AP3" s="96"/>
      <c r="AQ3" s="96"/>
      <c r="AR3" s="96"/>
      <c r="AS3" s="96"/>
      <c r="AT3" s="97"/>
      <c r="AU3" s="95" t="s">
        <v>7777</v>
      </c>
      <c r="AV3" s="96"/>
      <c r="AW3" s="96"/>
      <c r="AX3" s="96"/>
      <c r="AY3" s="96"/>
      <c r="AZ3" s="97"/>
    </row>
    <row r="4" spans="1:52" x14ac:dyDescent="0.25">
      <c r="A4" s="103"/>
      <c r="B4" s="103"/>
      <c r="C4" s="104"/>
      <c r="D4" s="106"/>
      <c r="E4" s="48">
        <v>46249</v>
      </c>
      <c r="F4" s="46">
        <v>46250</v>
      </c>
      <c r="G4" s="46">
        <v>46251</v>
      </c>
      <c r="H4" s="46">
        <v>46252</v>
      </c>
      <c r="I4" s="46">
        <v>46253</v>
      </c>
      <c r="J4" s="49">
        <v>46254</v>
      </c>
      <c r="K4" s="48">
        <v>46255</v>
      </c>
      <c r="L4" s="46">
        <v>46256</v>
      </c>
      <c r="M4" s="46">
        <v>46257</v>
      </c>
      <c r="N4" s="46">
        <v>46258</v>
      </c>
      <c r="O4" s="46">
        <v>46259</v>
      </c>
      <c r="P4" s="49">
        <v>46260</v>
      </c>
      <c r="Q4" s="48">
        <v>46261</v>
      </c>
      <c r="R4" s="46">
        <v>46262</v>
      </c>
      <c r="S4" s="46">
        <v>46263</v>
      </c>
      <c r="T4" s="46">
        <v>46264</v>
      </c>
      <c r="U4" s="46">
        <v>46265</v>
      </c>
      <c r="V4" s="49">
        <v>46266</v>
      </c>
      <c r="W4" s="48">
        <v>46267</v>
      </c>
      <c r="X4" s="46">
        <v>46268</v>
      </c>
      <c r="Y4" s="46">
        <v>46269</v>
      </c>
      <c r="Z4" s="46">
        <v>46270</v>
      </c>
      <c r="AA4" s="46">
        <v>46271</v>
      </c>
      <c r="AB4" s="49">
        <v>46272</v>
      </c>
      <c r="AC4" s="48">
        <v>46273</v>
      </c>
      <c r="AD4" s="46">
        <v>46274</v>
      </c>
      <c r="AE4" s="46">
        <v>46275</v>
      </c>
      <c r="AF4" s="46">
        <v>46276</v>
      </c>
      <c r="AG4" s="46">
        <v>46277</v>
      </c>
      <c r="AH4" s="49">
        <v>46278</v>
      </c>
      <c r="AI4" s="48">
        <v>46279</v>
      </c>
      <c r="AJ4" s="46">
        <v>46280</v>
      </c>
      <c r="AK4" s="46">
        <v>46281</v>
      </c>
      <c r="AL4" s="46">
        <v>46282</v>
      </c>
      <c r="AM4" s="46">
        <v>46283</v>
      </c>
      <c r="AN4" s="49">
        <v>46284</v>
      </c>
      <c r="AO4" s="48">
        <v>46285</v>
      </c>
      <c r="AP4" s="46">
        <v>46286</v>
      </c>
      <c r="AQ4" s="46">
        <v>46287</v>
      </c>
      <c r="AR4" s="46">
        <v>46288</v>
      </c>
      <c r="AS4" s="46">
        <v>46289</v>
      </c>
      <c r="AT4" s="49">
        <v>46290</v>
      </c>
      <c r="AU4" s="48">
        <v>46291</v>
      </c>
      <c r="AV4" s="46">
        <v>46292</v>
      </c>
      <c r="AW4" s="46">
        <v>46293</v>
      </c>
      <c r="AX4" s="46">
        <v>46294</v>
      </c>
      <c r="AY4" s="46">
        <v>46295</v>
      </c>
      <c r="AZ4" s="49">
        <v>46296</v>
      </c>
    </row>
    <row r="5" spans="1:52" x14ac:dyDescent="0.25">
      <c r="A5" s="110" t="s">
        <v>42</v>
      </c>
      <c r="B5" s="45">
        <f>+'Sites Audit Plan  '!D4</f>
        <v>139</v>
      </c>
      <c r="C5" s="47" t="str">
        <f>+'Sites Audit Plan  '!E4</f>
        <v>SBC1</v>
      </c>
      <c r="D5" s="89">
        <f>+'Sites Audit Plan  '!H4</f>
        <v>24</v>
      </c>
      <c r="E5" s="65"/>
      <c r="F5" s="54"/>
      <c r="G5" s="54"/>
      <c r="H5" s="55">
        <f>+'Sites Audit Plan  '!$F$4*'Sites Audit Plan  '!$G$4</f>
        <v>4</v>
      </c>
      <c r="I5" s="55">
        <f>+'Sites Audit Plan  '!$F$4*'Sites Audit Plan  '!$G$4</f>
        <v>4</v>
      </c>
      <c r="J5" s="56">
        <f>+'Sites Audit Plan  '!$F$4*'Sites Audit Plan  '!$G$4</f>
        <v>4</v>
      </c>
      <c r="K5" s="57">
        <f>+'Sites Audit Plan  '!$F$4*'Sites Audit Plan  '!$G$4</f>
        <v>4</v>
      </c>
      <c r="L5" s="55">
        <f>+'Sites Audit Plan  '!$F$4*'Sites Audit Plan  '!$G$4</f>
        <v>4</v>
      </c>
      <c r="M5" s="58"/>
      <c r="N5" s="55">
        <f>+'Sites Audit Plan  '!$F$4*'Sites Audit Plan  '!$G$4</f>
        <v>4</v>
      </c>
      <c r="O5" s="55">
        <f>+'Sites Audit Plan  '!$F$4*'Sites Audit Plan  '!$G$4</f>
        <v>4</v>
      </c>
      <c r="P5" s="56">
        <f>+'Sites Audit Plan  '!$F$4*'Sites Audit Plan  '!$G$4</f>
        <v>4</v>
      </c>
      <c r="Q5" s="57">
        <f>+'Sites Audit Plan  '!$F$4*'Sites Audit Plan  '!$G$4</f>
        <v>4</v>
      </c>
      <c r="R5" s="55">
        <f>+'Sites Audit Plan  '!$F$4*'Sites Audit Plan  '!$G$4</f>
        <v>4</v>
      </c>
      <c r="S5" s="55">
        <f>+'Sites Audit Plan  '!$F$4*'Sites Audit Plan  '!$G$4</f>
        <v>4</v>
      </c>
      <c r="T5" s="58"/>
      <c r="U5" s="55">
        <f>+'Sites Audit Plan  '!$F$4*'Sites Audit Plan  '!$G$4</f>
        <v>4</v>
      </c>
      <c r="V5" s="56">
        <f>+'Sites Audit Plan  '!$F$4*'Sites Audit Plan  '!$G$4</f>
        <v>4</v>
      </c>
      <c r="W5" s="57">
        <f>+'Sites Audit Plan  '!$F$4*'Sites Audit Plan  '!$G$4</f>
        <v>4</v>
      </c>
      <c r="X5" s="55">
        <f>+'Sites Audit Plan  '!$F$4*'Sites Audit Plan  '!$G$4</f>
        <v>4</v>
      </c>
      <c r="Y5" s="55">
        <f>+'Sites Audit Plan  '!$F$4*'Sites Audit Plan  '!$G$4</f>
        <v>4</v>
      </c>
      <c r="Z5" s="55">
        <f>+'Sites Audit Plan  '!$F$4*'Sites Audit Plan  '!$G$4</f>
        <v>4</v>
      </c>
      <c r="AA5" s="58"/>
      <c r="AB5" s="56">
        <f>+'Sites Audit Plan  '!$F$4*'Sites Audit Plan  '!$G$4</f>
        <v>4</v>
      </c>
      <c r="AC5" s="57">
        <f>+'Sites Audit Plan  '!$F$4*'Sites Audit Plan  '!$G$4</f>
        <v>4</v>
      </c>
      <c r="AD5" s="55">
        <f>+'Sites Audit Plan  '!$F$4*'Sites Audit Plan  '!$G$4</f>
        <v>4</v>
      </c>
      <c r="AE5" s="55">
        <f>+'Sites Audit Plan  '!$F$4*'Sites Audit Plan  '!$G$4</f>
        <v>4</v>
      </c>
      <c r="AF5" s="55">
        <f>+'Sites Audit Plan  '!$F$4*'Sites Audit Plan  '!$G$4</f>
        <v>4</v>
      </c>
      <c r="AG5" s="55">
        <f>+'Sites Audit Plan  '!$F$4*'Sites Audit Plan  '!$G$4</f>
        <v>4</v>
      </c>
      <c r="AH5" s="60"/>
      <c r="AI5" s="57">
        <f>+'Sites Audit Plan  '!$F$4*'Sites Audit Plan  '!$G$4</f>
        <v>4</v>
      </c>
      <c r="AJ5" s="55">
        <f>+'Sites Audit Plan  '!$F$4*'Sites Audit Plan  '!$G$4</f>
        <v>4</v>
      </c>
      <c r="AK5" s="55">
        <f>+'Sites Audit Plan  '!$F$4*'Sites Audit Plan  '!$G$4</f>
        <v>4</v>
      </c>
      <c r="AL5" s="55">
        <f>+'Sites Audit Plan  '!$F$4*'Sites Audit Plan  '!$G$4</f>
        <v>4</v>
      </c>
      <c r="AM5" s="55">
        <f>+'Sites Audit Plan  '!$F$4*'Sites Audit Plan  '!$G$4</f>
        <v>4</v>
      </c>
      <c r="AN5" s="56">
        <f>+'Sites Audit Plan  '!$F$4*'Sites Audit Plan  '!$G$4</f>
        <v>4</v>
      </c>
      <c r="AO5" s="59"/>
      <c r="AP5" s="55">
        <f>+'Sites Audit Plan  '!$F$4*'Sites Audit Plan  '!$G$4</f>
        <v>4</v>
      </c>
      <c r="AQ5" s="55">
        <f>+'Sites Audit Plan  '!$F$4*'Sites Audit Plan  '!$G$4</f>
        <v>4</v>
      </c>
      <c r="AR5" s="55">
        <f>+'Sites Audit Plan  '!$F$4*'Sites Audit Plan  '!$G$4</f>
        <v>4</v>
      </c>
      <c r="AS5" s="55">
        <f>+'Sites Audit Plan  '!$F$4*'Sites Audit Plan  '!$G$4</f>
        <v>4</v>
      </c>
      <c r="AT5" s="56">
        <f>+'Sites Audit Plan  '!$F$4*'Sites Audit Plan  '!$G$4</f>
        <v>4</v>
      </c>
      <c r="AU5" s="57">
        <v>3</v>
      </c>
      <c r="AV5" s="58"/>
      <c r="AW5" s="58"/>
      <c r="AX5" s="58"/>
      <c r="AY5" s="58"/>
      <c r="AZ5" s="60"/>
    </row>
    <row r="6" spans="1:52" x14ac:dyDescent="0.25">
      <c r="A6" s="110" t="s">
        <v>182</v>
      </c>
      <c r="B6" s="45">
        <f>+'Sites Audit Plan  '!D5</f>
        <v>517</v>
      </c>
      <c r="C6" s="47" t="str">
        <f>+'Sites Audit Plan  '!E5</f>
        <v>SBC1 &amp; SBC2</v>
      </c>
      <c r="D6" s="90">
        <f>+'Sites Audit Plan  '!H5</f>
        <v>90</v>
      </c>
      <c r="E6" s="57">
        <f>+'Sites Audit Plan  '!$F$5*'Sites Audit Plan  '!$G$5</f>
        <v>15</v>
      </c>
      <c r="F6" s="58"/>
      <c r="G6" s="55">
        <f>+'Sites Audit Plan  '!$F$5*'Sites Audit Plan  '!$G$5</f>
        <v>15</v>
      </c>
      <c r="H6" s="55">
        <f>+'Sites Audit Plan  '!$F$5*'Sites Audit Plan  '!$G$5</f>
        <v>15</v>
      </c>
      <c r="I6" s="55">
        <f>+'Sites Audit Plan  '!$F$5*'Sites Audit Plan  '!$G$5</f>
        <v>15</v>
      </c>
      <c r="J6" s="56">
        <f>+'Sites Audit Plan  '!$F$5*'Sites Audit Plan  '!$G$5</f>
        <v>15</v>
      </c>
      <c r="K6" s="57">
        <f>+'Sites Audit Plan  '!$F$5*'Sites Audit Plan  '!$G$5</f>
        <v>15</v>
      </c>
      <c r="L6" s="55">
        <f>+'Sites Audit Plan  '!$F$5*'Sites Audit Plan  '!$G$5</f>
        <v>15</v>
      </c>
      <c r="M6" s="58"/>
      <c r="N6" s="55">
        <f>+'Sites Audit Plan  '!$F$5*'Sites Audit Plan  '!$G$5</f>
        <v>15</v>
      </c>
      <c r="O6" s="55">
        <f>+'Sites Audit Plan  '!$F$5*'Sites Audit Plan  '!$G$5</f>
        <v>15</v>
      </c>
      <c r="P6" s="56">
        <f>+'Sites Audit Plan  '!$F$5*'Sites Audit Plan  '!$G$5</f>
        <v>15</v>
      </c>
      <c r="Q6" s="57">
        <f>+'Sites Audit Plan  '!$F$5*'Sites Audit Plan  '!$G$5</f>
        <v>15</v>
      </c>
      <c r="R6" s="55">
        <f>+'Sites Audit Plan  '!$F$5*'Sites Audit Plan  '!$G$5</f>
        <v>15</v>
      </c>
      <c r="S6" s="55">
        <f>+'Sites Audit Plan  '!$F$5*'Sites Audit Plan  '!$G$5</f>
        <v>15</v>
      </c>
      <c r="T6" s="58"/>
      <c r="U6" s="55">
        <f>+'Sites Audit Plan  '!$F$5*'Sites Audit Plan  '!$G$5</f>
        <v>15</v>
      </c>
      <c r="V6" s="56">
        <f>+'Sites Audit Plan  '!$F$5*'Sites Audit Plan  '!$G$5</f>
        <v>15</v>
      </c>
      <c r="W6" s="57">
        <f>+'Sites Audit Plan  '!$F$5*'Sites Audit Plan  '!$G$5</f>
        <v>15</v>
      </c>
      <c r="X6" s="55">
        <f>+'Sites Audit Plan  '!$F$5*'Sites Audit Plan  '!$G$5</f>
        <v>15</v>
      </c>
      <c r="Y6" s="55">
        <f>+'Sites Audit Plan  '!$F$5*'Sites Audit Plan  '!$G$5</f>
        <v>15</v>
      </c>
      <c r="Z6" s="55">
        <f>+'Sites Audit Plan  '!$F$5*'Sites Audit Plan  '!$G$5</f>
        <v>15</v>
      </c>
      <c r="AA6" s="58"/>
      <c r="AB6" s="56">
        <f>+'Sites Audit Plan  '!$F$5*'Sites Audit Plan  '!$G$5</f>
        <v>15</v>
      </c>
      <c r="AC6" s="57">
        <f>+'Sites Audit Plan  '!$F$5*'Sites Audit Plan  '!$G$5</f>
        <v>15</v>
      </c>
      <c r="AD6" s="55">
        <f>+'Sites Audit Plan  '!$F$5*'Sites Audit Plan  '!$G$5</f>
        <v>15</v>
      </c>
      <c r="AE6" s="55">
        <f>+'Sites Audit Plan  '!$F$5*'Sites Audit Plan  '!$G$5</f>
        <v>15</v>
      </c>
      <c r="AF6" s="55">
        <f>+'Sites Audit Plan  '!$F$5*'Sites Audit Plan  '!$G$5</f>
        <v>15</v>
      </c>
      <c r="AG6" s="55">
        <f>+'Sites Audit Plan  '!$F$5*'Sites Audit Plan  '!$G$5</f>
        <v>15</v>
      </c>
      <c r="AH6" s="60"/>
      <c r="AI6" s="57">
        <f>+'Sites Audit Plan  '!$F$5*'Sites Audit Plan  '!$G$5</f>
        <v>15</v>
      </c>
      <c r="AJ6" s="55">
        <f>+'Sites Audit Plan  '!$F$5*'Sites Audit Plan  '!$G$5</f>
        <v>15</v>
      </c>
      <c r="AK6" s="55">
        <f>+'Sites Audit Plan  '!$F$5*'Sites Audit Plan  '!$G$5</f>
        <v>15</v>
      </c>
      <c r="AL6" s="55">
        <f>+'Sites Audit Plan  '!$F$5*'Sites Audit Plan  '!$G$5</f>
        <v>15</v>
      </c>
      <c r="AM6" s="55">
        <f>+'Sites Audit Plan  '!$F$5*'Sites Audit Plan  '!$G$5</f>
        <v>15</v>
      </c>
      <c r="AN6" s="56">
        <f>+'Sites Audit Plan  '!$F$5*'Sites Audit Plan  '!$G$5</f>
        <v>15</v>
      </c>
      <c r="AO6" s="59"/>
      <c r="AP6" s="55">
        <f>+'Sites Audit Plan  '!$F$5*'Sites Audit Plan  '!$G$5</f>
        <v>15</v>
      </c>
      <c r="AQ6" s="55">
        <f>+'Sites Audit Plan  '!$F$5*'Sites Audit Plan  '!$G$5</f>
        <v>15</v>
      </c>
      <c r="AR6" s="55">
        <f>+'Sites Audit Plan  '!$F$5*'Sites Audit Plan  '!$G$5</f>
        <v>15</v>
      </c>
      <c r="AS6" s="55">
        <v>7</v>
      </c>
      <c r="AT6" s="60"/>
      <c r="AU6" s="59"/>
      <c r="AV6" s="58"/>
      <c r="AW6" s="58"/>
      <c r="AX6" s="58"/>
      <c r="AY6" s="58"/>
      <c r="AZ6" s="60"/>
    </row>
    <row r="7" spans="1:52" x14ac:dyDescent="0.25">
      <c r="A7" s="110" t="s">
        <v>74</v>
      </c>
      <c r="B7" s="45">
        <f>+'Sites Audit Plan  '!D6</f>
        <v>122</v>
      </c>
      <c r="C7" s="47" t="str">
        <f>+'Sites Audit Plan  '!E6</f>
        <v>SBC1</v>
      </c>
      <c r="D7" s="90">
        <f>+'Sites Audit Plan  '!H6</f>
        <v>24</v>
      </c>
      <c r="E7" s="65"/>
      <c r="F7" s="54"/>
      <c r="G7" s="55">
        <f>+'Sites Audit Plan  '!$F$6*'Sites Audit Plan  '!$G$6</f>
        <v>4</v>
      </c>
      <c r="H7" s="55">
        <f>+'Sites Audit Plan  '!$F$6*'Sites Audit Plan  '!$G$6</f>
        <v>4</v>
      </c>
      <c r="I7" s="55">
        <f>+'Sites Audit Plan  '!$F$6*'Sites Audit Plan  '!$G$6</f>
        <v>4</v>
      </c>
      <c r="J7" s="56">
        <f>+'Sites Audit Plan  '!$F$6*'Sites Audit Plan  '!$G$6</f>
        <v>4</v>
      </c>
      <c r="K7" s="57">
        <f>+'Sites Audit Plan  '!$F$6*'Sites Audit Plan  '!$G$6</f>
        <v>4</v>
      </c>
      <c r="L7" s="55">
        <f>+'Sites Audit Plan  '!$F$6*'Sites Audit Plan  '!$G$6</f>
        <v>4</v>
      </c>
      <c r="M7" s="58"/>
      <c r="N7" s="55">
        <f>+'Sites Audit Plan  '!$F$6*'Sites Audit Plan  '!$G$6</f>
        <v>4</v>
      </c>
      <c r="O7" s="55">
        <f>+'Sites Audit Plan  '!$F$6*'Sites Audit Plan  '!$G$6</f>
        <v>4</v>
      </c>
      <c r="P7" s="56">
        <f>+'Sites Audit Plan  '!$F$6*'Sites Audit Plan  '!$G$6</f>
        <v>4</v>
      </c>
      <c r="Q7" s="57">
        <f>+'Sites Audit Plan  '!$F$6*'Sites Audit Plan  '!$G$6</f>
        <v>4</v>
      </c>
      <c r="R7" s="55">
        <f>+'Sites Audit Plan  '!$F$6*'Sites Audit Plan  '!$G$6</f>
        <v>4</v>
      </c>
      <c r="S7" s="55">
        <f>+'Sites Audit Plan  '!$F$6*'Sites Audit Plan  '!$G$6</f>
        <v>4</v>
      </c>
      <c r="T7" s="58"/>
      <c r="U7" s="55">
        <f>+'Sites Audit Plan  '!$F$6*'Sites Audit Plan  '!$G$6</f>
        <v>4</v>
      </c>
      <c r="V7" s="56">
        <f>+'Sites Audit Plan  '!$F$6*'Sites Audit Plan  '!$G$6</f>
        <v>4</v>
      </c>
      <c r="W7" s="57">
        <f>+'Sites Audit Plan  '!$F$6*'Sites Audit Plan  '!$G$6</f>
        <v>4</v>
      </c>
      <c r="X7" s="55">
        <f>+'Sites Audit Plan  '!$F$6*'Sites Audit Plan  '!$G$6</f>
        <v>4</v>
      </c>
      <c r="Y7" s="55">
        <f>+'Sites Audit Plan  '!$F$6*'Sites Audit Plan  '!$G$6</f>
        <v>4</v>
      </c>
      <c r="Z7" s="55">
        <f>+'Sites Audit Plan  '!$F$6*'Sites Audit Plan  '!$G$6</f>
        <v>4</v>
      </c>
      <c r="AA7" s="58"/>
      <c r="AB7" s="56">
        <f>+'Sites Audit Plan  '!$F$6*'Sites Audit Plan  '!$G$6</f>
        <v>4</v>
      </c>
      <c r="AC7" s="57">
        <f>+'Sites Audit Plan  '!$F$6*'Sites Audit Plan  '!$G$6</f>
        <v>4</v>
      </c>
      <c r="AD7" s="55">
        <f>+'Sites Audit Plan  '!$F$6*'Sites Audit Plan  '!$G$6</f>
        <v>4</v>
      </c>
      <c r="AE7" s="55">
        <f>+'Sites Audit Plan  '!$F$6*'Sites Audit Plan  '!$G$6</f>
        <v>4</v>
      </c>
      <c r="AF7" s="55">
        <f>+'Sites Audit Plan  '!$F$6*'Sites Audit Plan  '!$G$6</f>
        <v>4</v>
      </c>
      <c r="AG7" s="55">
        <f>+'Sites Audit Plan  '!$F$6*'Sites Audit Plan  '!$G$6</f>
        <v>4</v>
      </c>
      <c r="AH7" s="60"/>
      <c r="AI7" s="57">
        <f>+'Sites Audit Plan  '!$F$6*'Sites Audit Plan  '!$G$6</f>
        <v>4</v>
      </c>
      <c r="AJ7" s="55">
        <f>+'Sites Audit Plan  '!$F$6*'Sites Audit Plan  '!$G$6</f>
        <v>4</v>
      </c>
      <c r="AK7" s="55">
        <f>+'Sites Audit Plan  '!$F$6*'Sites Audit Plan  '!$G$6</f>
        <v>4</v>
      </c>
      <c r="AL7" s="55">
        <f>+'Sites Audit Plan  '!$F$6*'Sites Audit Plan  '!$G$6</f>
        <v>4</v>
      </c>
      <c r="AM7" s="55">
        <f>+'Sites Audit Plan  '!$F$6*'Sites Audit Plan  '!$G$6</f>
        <v>4</v>
      </c>
      <c r="AN7" s="56">
        <f>+'Sites Audit Plan  '!$F$6*'Sites Audit Plan  '!$G$6</f>
        <v>4</v>
      </c>
      <c r="AO7" s="59"/>
      <c r="AP7" s="55">
        <v>2</v>
      </c>
      <c r="AQ7" s="58"/>
      <c r="AR7" s="58"/>
      <c r="AS7" s="58"/>
      <c r="AT7" s="60"/>
      <c r="AU7" s="59"/>
      <c r="AV7" s="58"/>
      <c r="AW7" s="58"/>
      <c r="AX7" s="58"/>
      <c r="AY7" s="58"/>
      <c r="AZ7" s="60"/>
    </row>
    <row r="8" spans="1:52" x14ac:dyDescent="0.25">
      <c r="A8" s="110" t="s">
        <v>16</v>
      </c>
      <c r="B8" s="45">
        <f>+'Sites Audit Plan  '!D7</f>
        <v>202</v>
      </c>
      <c r="C8" s="47" t="str">
        <f>+'Sites Audit Plan  '!E7</f>
        <v>SBC2</v>
      </c>
      <c r="D8" s="90">
        <f>+'Sites Audit Plan  '!H7</f>
        <v>36</v>
      </c>
      <c r="E8" s="65"/>
      <c r="F8" s="54"/>
      <c r="G8" s="54"/>
      <c r="H8" s="54"/>
      <c r="I8" s="54"/>
      <c r="J8" s="56">
        <f>+'Sites Audit Plan  '!$F$7*'Sites Audit Plan  '!$G$7</f>
        <v>6</v>
      </c>
      <c r="K8" s="57">
        <f>+'Sites Audit Plan  '!$F$7*'Sites Audit Plan  '!$G$7</f>
        <v>6</v>
      </c>
      <c r="L8" s="55">
        <f>+'Sites Audit Plan  '!$F$7*'Sites Audit Plan  '!$G$7</f>
        <v>6</v>
      </c>
      <c r="M8" s="58"/>
      <c r="N8" s="55">
        <f>+'Sites Audit Plan  '!$F$7*'Sites Audit Plan  '!$G$7</f>
        <v>6</v>
      </c>
      <c r="O8" s="55">
        <f>+'Sites Audit Plan  '!$F$7*'Sites Audit Plan  '!$G$7</f>
        <v>6</v>
      </c>
      <c r="P8" s="56">
        <f>+'Sites Audit Plan  '!$F$7*'Sites Audit Plan  '!$G$7</f>
        <v>6</v>
      </c>
      <c r="Q8" s="57">
        <f>+'Sites Audit Plan  '!$F$7*'Sites Audit Plan  '!$G$7</f>
        <v>6</v>
      </c>
      <c r="R8" s="55">
        <f>+'Sites Audit Plan  '!$F$7*'Sites Audit Plan  '!$G$7</f>
        <v>6</v>
      </c>
      <c r="S8" s="55">
        <f>+'Sites Audit Plan  '!$F$7*'Sites Audit Plan  '!$G$7</f>
        <v>6</v>
      </c>
      <c r="T8" s="58"/>
      <c r="U8" s="55">
        <f>+'Sites Audit Plan  '!$F$7*'Sites Audit Plan  '!$G$7</f>
        <v>6</v>
      </c>
      <c r="V8" s="56">
        <f>+'Sites Audit Plan  '!$F$7*'Sites Audit Plan  '!$G$7</f>
        <v>6</v>
      </c>
      <c r="W8" s="57">
        <f>+'Sites Audit Plan  '!$F$7*'Sites Audit Plan  '!$G$7</f>
        <v>6</v>
      </c>
      <c r="X8" s="55">
        <f>+'Sites Audit Plan  '!$F$7*'Sites Audit Plan  '!$G$7</f>
        <v>6</v>
      </c>
      <c r="Y8" s="55">
        <f>+'Sites Audit Plan  '!$F$7*'Sites Audit Plan  '!$G$7</f>
        <v>6</v>
      </c>
      <c r="Z8" s="55">
        <f>+'Sites Audit Plan  '!$F$7*'Sites Audit Plan  '!$G$7</f>
        <v>6</v>
      </c>
      <c r="AA8" s="58"/>
      <c r="AB8" s="56">
        <f>+'Sites Audit Plan  '!$F$7*'Sites Audit Plan  '!$G$7</f>
        <v>6</v>
      </c>
      <c r="AC8" s="57">
        <f>+'Sites Audit Plan  '!$F$7*'Sites Audit Plan  '!$G$7</f>
        <v>6</v>
      </c>
      <c r="AD8" s="55">
        <f>+'Sites Audit Plan  '!$F$7*'Sites Audit Plan  '!$G$7</f>
        <v>6</v>
      </c>
      <c r="AE8" s="55">
        <f>+'Sites Audit Plan  '!$F$7*'Sites Audit Plan  '!$G$7</f>
        <v>6</v>
      </c>
      <c r="AF8" s="55">
        <f>+'Sites Audit Plan  '!$F$7*'Sites Audit Plan  '!$G$7</f>
        <v>6</v>
      </c>
      <c r="AG8" s="55">
        <f>+'Sites Audit Plan  '!$F$7*'Sites Audit Plan  '!$G$7</f>
        <v>6</v>
      </c>
      <c r="AH8" s="60"/>
      <c r="AI8" s="57">
        <f>+'Sites Audit Plan  '!$F$7*'Sites Audit Plan  '!$G$7</f>
        <v>6</v>
      </c>
      <c r="AJ8" s="55">
        <f>+'Sites Audit Plan  '!$F$7*'Sites Audit Plan  '!$G$7</f>
        <v>6</v>
      </c>
      <c r="AK8" s="55">
        <f>+'Sites Audit Plan  '!$F$7*'Sites Audit Plan  '!$G$7</f>
        <v>6</v>
      </c>
      <c r="AL8" s="55">
        <f>+'Sites Audit Plan  '!$F$7*'Sites Audit Plan  '!$G$7</f>
        <v>6</v>
      </c>
      <c r="AM8" s="55">
        <f>+'Sites Audit Plan  '!$F$7*'Sites Audit Plan  '!$G$7</f>
        <v>6</v>
      </c>
      <c r="AN8" s="56">
        <f>+'Sites Audit Plan  '!$F$7*'Sites Audit Plan  '!$G$7</f>
        <v>6</v>
      </c>
      <c r="AO8" s="59"/>
      <c r="AP8" s="55">
        <f>+'Sites Audit Plan  '!$F$7*'Sites Audit Plan  '!$G$7</f>
        <v>6</v>
      </c>
      <c r="AQ8" s="55">
        <f>+'Sites Audit Plan  '!$F$7*'Sites Audit Plan  '!$G$7</f>
        <v>6</v>
      </c>
      <c r="AR8" s="55">
        <f>+'Sites Audit Plan  '!$F$7*'Sites Audit Plan  '!$G$7</f>
        <v>6</v>
      </c>
      <c r="AS8" s="55">
        <f>+'Sites Audit Plan  '!$F$7*'Sites Audit Plan  '!$G$7</f>
        <v>6</v>
      </c>
      <c r="AT8" s="56">
        <f>+'Sites Audit Plan  '!$F$7*'Sites Audit Plan  '!$G$7</f>
        <v>6</v>
      </c>
      <c r="AU8" s="57">
        <f>+'Sites Audit Plan  '!$F$7*'Sites Audit Plan  '!$G$7</f>
        <v>6</v>
      </c>
      <c r="AV8" s="55">
        <v>4</v>
      </c>
      <c r="AW8" s="58"/>
      <c r="AX8" s="58"/>
      <c r="AY8" s="58"/>
      <c r="AZ8" s="60"/>
    </row>
    <row r="9" spans="1:52" hidden="1" x14ac:dyDescent="0.25">
      <c r="A9" s="111" t="s">
        <v>50</v>
      </c>
      <c r="B9" s="45">
        <f>+'Sites Audit Plan  '!D8</f>
        <v>507</v>
      </c>
      <c r="C9" s="47" t="s">
        <v>7787</v>
      </c>
      <c r="D9" s="90">
        <f>+'Sites Audit Plan  '!H8</f>
        <v>90</v>
      </c>
      <c r="E9" s="57">
        <f>+'Sites Audit Plan  '!$F$8*'Sites Audit Plan  '!$G$8</f>
        <v>15</v>
      </c>
      <c r="F9" s="58"/>
      <c r="G9" s="55">
        <f>+'Sites Audit Plan  '!$F$8*'Sites Audit Plan  '!$G$8</f>
        <v>15</v>
      </c>
      <c r="H9" s="55">
        <f>+'Sites Audit Plan  '!$F$8*'Sites Audit Plan  '!$G$8</f>
        <v>15</v>
      </c>
      <c r="I9" s="55">
        <f>+'Sites Audit Plan  '!$F$8*'Sites Audit Plan  '!$G$8</f>
        <v>15</v>
      </c>
      <c r="J9" s="56">
        <f>+'Sites Audit Plan  '!$F$8*'Sites Audit Plan  '!$G$8</f>
        <v>15</v>
      </c>
      <c r="K9" s="57">
        <f>+'Sites Audit Plan  '!$F$8*'Sites Audit Plan  '!$G$8</f>
        <v>15</v>
      </c>
      <c r="L9" s="55">
        <f>+'Sites Audit Plan  '!$F$8*'Sites Audit Plan  '!$G$8</f>
        <v>15</v>
      </c>
      <c r="M9" s="58"/>
      <c r="N9" s="55">
        <f>+'Sites Audit Plan  '!$F$8*'Sites Audit Plan  '!$G$8</f>
        <v>15</v>
      </c>
      <c r="O9" s="55">
        <f>+'Sites Audit Plan  '!$F$8*'Sites Audit Plan  '!$G$8</f>
        <v>15</v>
      </c>
      <c r="P9" s="56">
        <f>+'Sites Audit Plan  '!$F$8*'Sites Audit Plan  '!$G$8</f>
        <v>15</v>
      </c>
      <c r="Q9" s="57">
        <f>+'Sites Audit Plan  '!$F$8*'Sites Audit Plan  '!$G$8</f>
        <v>15</v>
      </c>
      <c r="R9" s="55">
        <f>+'Sites Audit Plan  '!$F$8*'Sites Audit Plan  '!$G$8</f>
        <v>15</v>
      </c>
      <c r="S9" s="55">
        <f>+'Sites Audit Plan  '!$F$8*'Sites Audit Plan  '!$G$8</f>
        <v>15</v>
      </c>
      <c r="T9" s="58"/>
      <c r="U9" s="55">
        <f>+'Sites Audit Plan  '!$F$8*'Sites Audit Plan  '!$G$8</f>
        <v>15</v>
      </c>
      <c r="V9" s="56">
        <f>+'Sites Audit Plan  '!$F$8*'Sites Audit Plan  '!$G$8</f>
        <v>15</v>
      </c>
      <c r="W9" s="57">
        <f>+'Sites Audit Plan  '!$F$8*'Sites Audit Plan  '!$G$8</f>
        <v>15</v>
      </c>
      <c r="X9" s="55">
        <f>+'Sites Audit Plan  '!$F$8*'Sites Audit Plan  '!$G$8</f>
        <v>15</v>
      </c>
      <c r="Y9" s="55">
        <f>+'Sites Audit Plan  '!$F$8*'Sites Audit Plan  '!$G$8</f>
        <v>15</v>
      </c>
      <c r="Z9" s="55">
        <f>+'Sites Audit Plan  '!$F$8*'Sites Audit Plan  '!$G$8</f>
        <v>15</v>
      </c>
      <c r="AA9" s="58"/>
      <c r="AB9" s="56">
        <f>+'Sites Audit Plan  '!$F$8*'Sites Audit Plan  '!$G$8</f>
        <v>15</v>
      </c>
      <c r="AC9" s="57">
        <f>+'Sites Audit Plan  '!$F$8*'Sites Audit Plan  '!$G$8</f>
        <v>15</v>
      </c>
      <c r="AD9" s="55">
        <f>+'Sites Audit Plan  '!$F$8*'Sites Audit Plan  '!$G$8</f>
        <v>15</v>
      </c>
      <c r="AE9" s="55">
        <f>+'Sites Audit Plan  '!$F$8*'Sites Audit Plan  '!$G$8</f>
        <v>15</v>
      </c>
      <c r="AF9" s="55">
        <f>+'Sites Audit Plan  '!$F$8*'Sites Audit Plan  '!$G$8</f>
        <v>15</v>
      </c>
      <c r="AG9" s="55">
        <f>+'Sites Audit Plan  '!$F$8*'Sites Audit Plan  '!$G$8</f>
        <v>15</v>
      </c>
      <c r="AH9" s="60"/>
      <c r="AI9" s="57">
        <f>+'Sites Audit Plan  '!$F$8*'Sites Audit Plan  '!$G$8</f>
        <v>15</v>
      </c>
      <c r="AJ9" s="55">
        <f>+'Sites Audit Plan  '!$F$8*'Sites Audit Plan  '!$G$8</f>
        <v>15</v>
      </c>
      <c r="AK9" s="55">
        <f>+'Sites Audit Plan  '!$F$8*'Sites Audit Plan  '!$G$8</f>
        <v>15</v>
      </c>
      <c r="AL9" s="55">
        <f>+'Sites Audit Plan  '!$F$8*'Sites Audit Plan  '!$G$8</f>
        <v>15</v>
      </c>
      <c r="AM9" s="55">
        <f>+'Sites Audit Plan  '!$F$8*'Sites Audit Plan  '!$G$8</f>
        <v>15</v>
      </c>
      <c r="AN9" s="56">
        <f>+'Sites Audit Plan  '!$F$8*'Sites Audit Plan  '!$G$8</f>
        <v>15</v>
      </c>
      <c r="AO9" s="59"/>
      <c r="AP9" s="55">
        <f>+'Sites Audit Plan  '!$F$8*'Sites Audit Plan  '!$G$8</f>
        <v>15</v>
      </c>
      <c r="AQ9" s="55">
        <f>+'Sites Audit Plan  '!$F$8*'Sites Audit Plan  '!$G$8</f>
        <v>15</v>
      </c>
      <c r="AR9" s="55">
        <f>+'Sites Audit Plan  '!$F$8*'Sites Audit Plan  '!$G$8</f>
        <v>15</v>
      </c>
      <c r="AS9" s="55">
        <v>10</v>
      </c>
      <c r="AT9" s="60"/>
      <c r="AU9" s="59"/>
      <c r="AV9" s="58"/>
      <c r="AW9" s="58"/>
      <c r="AX9" s="58"/>
      <c r="AY9" s="58"/>
      <c r="AZ9" s="60"/>
    </row>
    <row r="10" spans="1:52" ht="15.75" thickBot="1" x14ac:dyDescent="0.3">
      <c r="A10" s="110" t="s">
        <v>170</v>
      </c>
      <c r="B10" s="45">
        <f>+'Sites Audit Plan  '!D9</f>
        <v>132</v>
      </c>
      <c r="C10" s="47" t="str">
        <f>+'Sites Audit Plan  '!E9</f>
        <v>SBC2</v>
      </c>
      <c r="D10" s="90">
        <f>+'Sites Audit Plan  '!H9</f>
        <v>24</v>
      </c>
      <c r="E10" s="65"/>
      <c r="F10" s="54"/>
      <c r="G10" s="54"/>
      <c r="H10" s="54"/>
      <c r="I10" s="55">
        <f>+'Sites Audit Plan  '!$F$9*'Sites Audit Plan  '!$G$9</f>
        <v>4</v>
      </c>
      <c r="J10" s="56">
        <f>+'Sites Audit Plan  '!$F$9*'Sites Audit Plan  '!$G$9</f>
        <v>4</v>
      </c>
      <c r="K10" s="57">
        <f>+'Sites Audit Plan  '!$F$9*'Sites Audit Plan  '!$G$9</f>
        <v>4</v>
      </c>
      <c r="L10" s="55">
        <f>+'Sites Audit Plan  '!$F$9*'Sites Audit Plan  '!$G$9</f>
        <v>4</v>
      </c>
      <c r="M10" s="58"/>
      <c r="N10" s="55">
        <f>+'Sites Audit Plan  '!$F$9*'Sites Audit Plan  '!$G$9</f>
        <v>4</v>
      </c>
      <c r="O10" s="55">
        <f>+'Sites Audit Plan  '!$F$9*'Sites Audit Plan  '!$G$9</f>
        <v>4</v>
      </c>
      <c r="P10" s="56">
        <f>+'Sites Audit Plan  '!$F$9*'Sites Audit Plan  '!$G$9</f>
        <v>4</v>
      </c>
      <c r="Q10" s="57">
        <f>+'Sites Audit Plan  '!$F$9*'Sites Audit Plan  '!$G$9</f>
        <v>4</v>
      </c>
      <c r="R10" s="55">
        <f>+'Sites Audit Plan  '!$F$9*'Sites Audit Plan  '!$G$9</f>
        <v>4</v>
      </c>
      <c r="S10" s="55">
        <f>+'Sites Audit Plan  '!$F$9*'Sites Audit Plan  '!$G$9</f>
        <v>4</v>
      </c>
      <c r="T10" s="58"/>
      <c r="U10" s="55">
        <f>+'Sites Audit Plan  '!$F$9*'Sites Audit Plan  '!$G$9</f>
        <v>4</v>
      </c>
      <c r="V10" s="56">
        <f>+'Sites Audit Plan  '!$F$9*'Sites Audit Plan  '!$G$9</f>
        <v>4</v>
      </c>
      <c r="W10" s="57">
        <f>+'Sites Audit Plan  '!$F$9*'Sites Audit Plan  '!$G$9</f>
        <v>4</v>
      </c>
      <c r="X10" s="55">
        <f>+'Sites Audit Plan  '!$F$9*'Sites Audit Plan  '!$G$9</f>
        <v>4</v>
      </c>
      <c r="Y10" s="55">
        <f>+'Sites Audit Plan  '!$F$9*'Sites Audit Plan  '!$G$9</f>
        <v>4</v>
      </c>
      <c r="Z10" s="55">
        <f>+'Sites Audit Plan  '!$F$9*'Sites Audit Plan  '!$G$9</f>
        <v>4</v>
      </c>
      <c r="AA10" s="58"/>
      <c r="AB10" s="56">
        <f>+'Sites Audit Plan  '!$F$9*'Sites Audit Plan  '!$G$9</f>
        <v>4</v>
      </c>
      <c r="AC10" s="57">
        <f>+'Sites Audit Plan  '!$F$9*'Sites Audit Plan  '!$G$9</f>
        <v>4</v>
      </c>
      <c r="AD10" s="55">
        <f>+'Sites Audit Plan  '!$F$9*'Sites Audit Plan  '!$G$9</f>
        <v>4</v>
      </c>
      <c r="AE10" s="55">
        <f>+'Sites Audit Plan  '!$F$9*'Sites Audit Plan  '!$G$9</f>
        <v>4</v>
      </c>
      <c r="AF10" s="55">
        <f>+'Sites Audit Plan  '!$F$9*'Sites Audit Plan  '!$G$9</f>
        <v>4</v>
      </c>
      <c r="AG10" s="55">
        <f>+'Sites Audit Plan  '!$F$9*'Sites Audit Plan  '!$G$9</f>
        <v>4</v>
      </c>
      <c r="AH10" s="60"/>
      <c r="AI10" s="57">
        <f>+'Sites Audit Plan  '!$F$9*'Sites Audit Plan  '!$G$9</f>
        <v>4</v>
      </c>
      <c r="AJ10" s="55">
        <f>+'Sites Audit Plan  '!$F$9*'Sites Audit Plan  '!$G$9</f>
        <v>4</v>
      </c>
      <c r="AK10" s="55">
        <f>+'Sites Audit Plan  '!$F$9*'Sites Audit Plan  '!$G$9</f>
        <v>4</v>
      </c>
      <c r="AL10" s="55">
        <f>+'Sites Audit Plan  '!$F$9*'Sites Audit Plan  '!$G$9</f>
        <v>4</v>
      </c>
      <c r="AM10" s="55">
        <f>+'Sites Audit Plan  '!$F$9*'Sites Audit Plan  '!$G$9</f>
        <v>4</v>
      </c>
      <c r="AN10" s="56">
        <f>+'Sites Audit Plan  '!$F$9*'Sites Audit Plan  '!$G$9</f>
        <v>4</v>
      </c>
      <c r="AO10" s="59"/>
      <c r="AP10" s="55">
        <f>+'Sites Audit Plan  '!$F$9*'Sites Audit Plan  '!$G$9</f>
        <v>4</v>
      </c>
      <c r="AQ10" s="55">
        <f>+'Sites Audit Plan  '!$F$9*'Sites Audit Plan  '!$G$9</f>
        <v>4</v>
      </c>
      <c r="AR10" s="55">
        <f>+'Sites Audit Plan  '!$F$9*'Sites Audit Plan  '!$G$9</f>
        <v>4</v>
      </c>
      <c r="AS10" s="55">
        <f>+'Sites Audit Plan  '!$F$9*'Sites Audit Plan  '!$G$9</f>
        <v>4</v>
      </c>
      <c r="AT10" s="56">
        <f>+'Sites Audit Plan  '!$F$9*'Sites Audit Plan  '!$G$9</f>
        <v>4</v>
      </c>
      <c r="AU10" s="59"/>
      <c r="AV10" s="58"/>
      <c r="AW10" s="58"/>
      <c r="AX10" s="58"/>
      <c r="AY10" s="58"/>
      <c r="AZ10" s="60"/>
    </row>
    <row r="11" spans="1:52" ht="15.75" hidden="1" thickBot="1" x14ac:dyDescent="0.3">
      <c r="A11" s="111" t="s">
        <v>26</v>
      </c>
      <c r="B11" s="45">
        <f>+'Sites Audit Plan  '!D10</f>
        <v>192</v>
      </c>
      <c r="C11" s="47" t="str">
        <f>+'Sites Audit Plan  '!E10</f>
        <v>SBC3</v>
      </c>
      <c r="D11" s="90">
        <f>+'Sites Audit Plan  '!H10</f>
        <v>30</v>
      </c>
      <c r="E11" s="65"/>
      <c r="F11" s="54"/>
      <c r="G11" s="55">
        <f>+'Sites Audit Plan  '!$F$10*'Sites Audit Plan  '!$G$10</f>
        <v>5</v>
      </c>
      <c r="H11" s="55">
        <f>+'Sites Audit Plan  '!$F$10*'Sites Audit Plan  '!$G$10</f>
        <v>5</v>
      </c>
      <c r="I11" s="55">
        <f>+'Sites Audit Plan  '!$F$10*'Sites Audit Plan  '!$G$10</f>
        <v>5</v>
      </c>
      <c r="J11" s="56">
        <f>+'Sites Audit Plan  '!$F$10*'Sites Audit Plan  '!$G$10</f>
        <v>5</v>
      </c>
      <c r="K11" s="57">
        <f>+'Sites Audit Plan  '!$F$10*'Sites Audit Plan  '!$G$10</f>
        <v>5</v>
      </c>
      <c r="L11" s="55">
        <f>+'Sites Audit Plan  '!$F$10*'Sites Audit Plan  '!$G$10</f>
        <v>5</v>
      </c>
      <c r="M11" s="58"/>
      <c r="N11" s="55">
        <f>+'Sites Audit Plan  '!$F$10*'Sites Audit Plan  '!$G$10</f>
        <v>5</v>
      </c>
      <c r="O11" s="55">
        <f>+'Sites Audit Plan  '!$F$10*'Sites Audit Plan  '!$G$10</f>
        <v>5</v>
      </c>
      <c r="P11" s="56">
        <f>+'Sites Audit Plan  '!$F$10*'Sites Audit Plan  '!$G$10</f>
        <v>5</v>
      </c>
      <c r="Q11" s="57">
        <f>+'Sites Audit Plan  '!$F$10*'Sites Audit Plan  '!$G$10</f>
        <v>5</v>
      </c>
      <c r="R11" s="55">
        <f>+'Sites Audit Plan  '!$F$10*'Sites Audit Plan  '!$G$10</f>
        <v>5</v>
      </c>
      <c r="S11" s="55">
        <f>+'Sites Audit Plan  '!$F$10*'Sites Audit Plan  '!$G$10</f>
        <v>5</v>
      </c>
      <c r="T11" s="58"/>
      <c r="U11" s="55">
        <f>+'Sites Audit Plan  '!$F$10*'Sites Audit Plan  '!$G$10</f>
        <v>5</v>
      </c>
      <c r="V11" s="56">
        <f>+'Sites Audit Plan  '!$F$10*'Sites Audit Plan  '!$G$10</f>
        <v>5</v>
      </c>
      <c r="W11" s="57">
        <f>+'Sites Audit Plan  '!$F$10*'Sites Audit Plan  '!$G$10</f>
        <v>5</v>
      </c>
      <c r="X11" s="55">
        <f>+'Sites Audit Plan  '!$F$10*'Sites Audit Plan  '!$G$10</f>
        <v>5</v>
      </c>
      <c r="Y11" s="55">
        <f>+'Sites Audit Plan  '!$F$10*'Sites Audit Plan  '!$G$10</f>
        <v>5</v>
      </c>
      <c r="Z11" s="55">
        <f>+'Sites Audit Plan  '!$F$10*'Sites Audit Plan  '!$G$10</f>
        <v>5</v>
      </c>
      <c r="AA11" s="58"/>
      <c r="AB11" s="56">
        <f>+'Sites Audit Plan  '!$F$10*'Sites Audit Plan  '!$G$10</f>
        <v>5</v>
      </c>
      <c r="AC11" s="57">
        <f>+'Sites Audit Plan  '!$F$10*'Sites Audit Plan  '!$G$10</f>
        <v>5</v>
      </c>
      <c r="AD11" s="55">
        <f>+'Sites Audit Plan  '!$F$10*'Sites Audit Plan  '!$G$10</f>
        <v>5</v>
      </c>
      <c r="AE11" s="55">
        <f>+'Sites Audit Plan  '!$F$10*'Sites Audit Plan  '!$G$10</f>
        <v>5</v>
      </c>
      <c r="AF11" s="55">
        <f>+'Sites Audit Plan  '!$F$10*'Sites Audit Plan  '!$G$10</f>
        <v>5</v>
      </c>
      <c r="AG11" s="55">
        <f>+'Sites Audit Plan  '!$F$10*'Sites Audit Plan  '!$G$10</f>
        <v>5</v>
      </c>
      <c r="AH11" s="60"/>
      <c r="AI11" s="57">
        <f>+'Sites Audit Plan  '!$F$10*'Sites Audit Plan  '!$G$10</f>
        <v>5</v>
      </c>
      <c r="AJ11" s="55">
        <f>+'Sites Audit Plan  '!$F$10*'Sites Audit Plan  '!$G$10</f>
        <v>5</v>
      </c>
      <c r="AK11" s="55">
        <f>+'Sites Audit Plan  '!$F$10*'Sites Audit Plan  '!$G$10</f>
        <v>5</v>
      </c>
      <c r="AL11" s="55">
        <f>+'Sites Audit Plan  '!$F$10*'Sites Audit Plan  '!$G$10</f>
        <v>5</v>
      </c>
      <c r="AM11" s="55">
        <f>+'Sites Audit Plan  '!$F$10*'Sites Audit Plan  '!$G$10</f>
        <v>5</v>
      </c>
      <c r="AN11" s="56">
        <f>+'Sites Audit Plan  '!$F$10*'Sites Audit Plan  '!$G$10</f>
        <v>5</v>
      </c>
      <c r="AO11" s="59"/>
      <c r="AP11" s="55">
        <f>+'Sites Audit Plan  '!$F$10*'Sites Audit Plan  '!$G$10</f>
        <v>5</v>
      </c>
      <c r="AQ11" s="55">
        <f>+'Sites Audit Plan  '!$F$10*'Sites Audit Plan  '!$G$10</f>
        <v>5</v>
      </c>
      <c r="AR11" s="55">
        <f>+'Sites Audit Plan  '!$F$10*'Sites Audit Plan  '!$G$10</f>
        <v>5</v>
      </c>
      <c r="AS11" s="55">
        <f>+'Sites Audit Plan  '!$F$10*'Sites Audit Plan  '!$G$10</f>
        <v>5</v>
      </c>
      <c r="AT11" s="56">
        <f>+'Sites Audit Plan  '!$F$10*'Sites Audit Plan  '!$G$10</f>
        <v>5</v>
      </c>
      <c r="AU11" s="57">
        <f>+'Sites Audit Plan  '!$F$10*'Sites Audit Plan  '!$G$10</f>
        <v>5</v>
      </c>
      <c r="AV11" s="55">
        <f>+'Sites Audit Plan  '!$F$10*'Sites Audit Plan  '!$G$10</f>
        <v>5</v>
      </c>
      <c r="AW11" s="55">
        <f>+'Sites Audit Plan  '!$F$10*'Sites Audit Plan  '!$G$10</f>
        <v>5</v>
      </c>
      <c r="AX11" s="55">
        <v>2</v>
      </c>
      <c r="AY11" s="58"/>
      <c r="AZ11" s="60"/>
    </row>
    <row r="12" spans="1:52" ht="15.75" hidden="1" thickBot="1" x14ac:dyDescent="0.3">
      <c r="A12" s="110" t="s">
        <v>250</v>
      </c>
      <c r="B12" s="45">
        <f>+'Sites Audit Plan  '!D11</f>
        <v>109</v>
      </c>
      <c r="C12" s="47" t="str">
        <f>+'Sites Audit Plan  '!E11</f>
        <v>SBC2</v>
      </c>
      <c r="D12" s="90">
        <f>+'Sites Audit Plan  '!H11</f>
        <v>24</v>
      </c>
      <c r="E12" s="65"/>
      <c r="F12" s="58"/>
      <c r="G12" s="55">
        <f>+'Sites Audit Plan  '!$F$11*'Sites Audit Plan  '!$G$11</f>
        <v>4</v>
      </c>
      <c r="H12" s="55">
        <f>+'Sites Audit Plan  '!$F$11*'Sites Audit Plan  '!$G$11</f>
        <v>4</v>
      </c>
      <c r="I12" s="55">
        <f>+'Sites Audit Plan  '!$F$11*'Sites Audit Plan  '!$G$11</f>
        <v>4</v>
      </c>
      <c r="J12" s="56">
        <f>+'Sites Audit Plan  '!$F$11*'Sites Audit Plan  '!$G$11</f>
        <v>4</v>
      </c>
      <c r="K12" s="57">
        <f>+'Sites Audit Plan  '!$F$11*'Sites Audit Plan  '!$G$11</f>
        <v>4</v>
      </c>
      <c r="L12" s="55">
        <f>+'Sites Audit Plan  '!$F$11*'Sites Audit Plan  '!$G$11</f>
        <v>4</v>
      </c>
      <c r="M12" s="51"/>
      <c r="N12" s="55">
        <f>+'Sites Audit Plan  '!$F$11*'Sites Audit Plan  '!$G$11</f>
        <v>4</v>
      </c>
      <c r="O12" s="55">
        <f>+'Sites Audit Plan  '!$F$11*'Sites Audit Plan  '!$G$11</f>
        <v>4</v>
      </c>
      <c r="P12" s="56">
        <f>+'Sites Audit Plan  '!$F$11*'Sites Audit Plan  '!$G$11</f>
        <v>4</v>
      </c>
      <c r="Q12" s="57">
        <f>+'Sites Audit Plan  '!$F$11*'Sites Audit Plan  '!$G$11</f>
        <v>4</v>
      </c>
      <c r="R12" s="55">
        <f>+'Sites Audit Plan  '!$F$11*'Sites Audit Plan  '!$G$11</f>
        <v>4</v>
      </c>
      <c r="S12" s="55">
        <f>+'Sites Audit Plan  '!$F$11*'Sites Audit Plan  '!$G$11</f>
        <v>4</v>
      </c>
      <c r="T12" s="51"/>
      <c r="U12" s="55">
        <f>+'Sites Audit Plan  '!$F$11*'Sites Audit Plan  '!$G$11</f>
        <v>4</v>
      </c>
      <c r="V12" s="56">
        <f>+'Sites Audit Plan  '!$F$11*'Sites Audit Plan  '!$G$11</f>
        <v>4</v>
      </c>
      <c r="W12" s="57">
        <f>+'Sites Audit Plan  '!$F$11*'Sites Audit Plan  '!$G$11</f>
        <v>4</v>
      </c>
      <c r="X12" s="55">
        <f>+'Sites Audit Plan  '!$F$11*'Sites Audit Plan  '!$G$11</f>
        <v>4</v>
      </c>
      <c r="Y12" s="55">
        <f>+'Sites Audit Plan  '!$F$11*'Sites Audit Plan  '!$G$11</f>
        <v>4</v>
      </c>
      <c r="Z12" s="55">
        <f>+'Sites Audit Plan  '!$F$11*'Sites Audit Plan  '!$G$11</f>
        <v>4</v>
      </c>
      <c r="AA12" s="51"/>
      <c r="AB12" s="56">
        <f>+'Sites Audit Plan  '!$F$11*'Sites Audit Plan  '!$G$11</f>
        <v>4</v>
      </c>
      <c r="AC12" s="57">
        <f>+'Sites Audit Plan  '!$F$11*'Sites Audit Plan  '!$G$11</f>
        <v>4</v>
      </c>
      <c r="AD12" s="55">
        <f>+'Sites Audit Plan  '!$F$11*'Sites Audit Plan  '!$G$11</f>
        <v>4</v>
      </c>
      <c r="AE12" s="55">
        <f>+'Sites Audit Plan  '!$F$11*'Sites Audit Plan  '!$G$11</f>
        <v>4</v>
      </c>
      <c r="AF12" s="55">
        <f>+'Sites Audit Plan  '!$F$11*'Sites Audit Plan  '!$G$11</f>
        <v>4</v>
      </c>
      <c r="AG12" s="55">
        <f>+'Sites Audit Plan  '!$F$11*'Sites Audit Plan  '!$G$11</f>
        <v>4</v>
      </c>
      <c r="AH12" s="53"/>
      <c r="AI12" s="57">
        <f>+'Sites Audit Plan  '!$F$11*'Sites Audit Plan  '!$G$11</f>
        <v>4</v>
      </c>
      <c r="AJ12" s="55">
        <f>+'Sites Audit Plan  '!$F$11*'Sites Audit Plan  '!$G$11</f>
        <v>4</v>
      </c>
      <c r="AK12" s="55">
        <f>+'Sites Audit Plan  '!$F$11*'Sites Audit Plan  '!$G$11</f>
        <v>4</v>
      </c>
      <c r="AL12" s="55">
        <v>1</v>
      </c>
      <c r="AM12" s="58"/>
      <c r="AN12" s="60"/>
      <c r="AO12" s="52"/>
      <c r="AP12" s="58"/>
      <c r="AQ12" s="58"/>
      <c r="AR12" s="58"/>
      <c r="AS12" s="58"/>
      <c r="AT12" s="60"/>
      <c r="AU12" s="59"/>
      <c r="AV12" s="58"/>
      <c r="AW12" s="51"/>
      <c r="AX12" s="51"/>
      <c r="AY12" s="51"/>
      <c r="AZ12" s="53"/>
    </row>
    <row r="13" spans="1:52" ht="15.75" hidden="1" thickBot="1" x14ac:dyDescent="0.3">
      <c r="A13" s="111" t="s">
        <v>34</v>
      </c>
      <c r="B13" s="45">
        <f>+'Sites Audit Plan  '!D12</f>
        <v>234</v>
      </c>
      <c r="C13" s="47" t="str">
        <f>+'Sites Audit Plan  '!E12</f>
        <v>SBC3</v>
      </c>
      <c r="D13" s="90">
        <f>+'Sites Audit Plan  '!H12</f>
        <v>60</v>
      </c>
      <c r="E13" s="65"/>
      <c r="F13" s="58"/>
      <c r="G13" s="55">
        <f>+'Sites Audit Plan  '!$F$12*'Sites Audit Plan  '!$G$12</f>
        <v>10</v>
      </c>
      <c r="H13" s="55">
        <f>+'Sites Audit Plan  '!$F$12*'Sites Audit Plan  '!$G$12</f>
        <v>10</v>
      </c>
      <c r="I13" s="55">
        <f>+'Sites Audit Plan  '!$F$12*'Sites Audit Plan  '!$G$12</f>
        <v>10</v>
      </c>
      <c r="J13" s="56">
        <f>+'Sites Audit Plan  '!$F$12*'Sites Audit Plan  '!$G$12</f>
        <v>10</v>
      </c>
      <c r="K13" s="57">
        <f>+'Sites Audit Plan  '!$F$12*'Sites Audit Plan  '!$G$12</f>
        <v>10</v>
      </c>
      <c r="L13" s="55">
        <f>+'Sites Audit Plan  '!$F$12*'Sites Audit Plan  '!$G$12</f>
        <v>10</v>
      </c>
      <c r="M13" s="51"/>
      <c r="N13" s="55">
        <f>+'Sites Audit Plan  '!$F$12*'Sites Audit Plan  '!$G$12</f>
        <v>10</v>
      </c>
      <c r="O13" s="55">
        <f>+'Sites Audit Plan  '!$F$12*'Sites Audit Plan  '!$G$12</f>
        <v>10</v>
      </c>
      <c r="P13" s="56">
        <f>+'Sites Audit Plan  '!$F$12*'Sites Audit Plan  '!$G$12</f>
        <v>10</v>
      </c>
      <c r="Q13" s="57">
        <f>+'Sites Audit Plan  '!$F$12*'Sites Audit Plan  '!$G$12</f>
        <v>10</v>
      </c>
      <c r="R13" s="55">
        <f>+'Sites Audit Plan  '!$F$12*'Sites Audit Plan  '!$G$12</f>
        <v>10</v>
      </c>
      <c r="S13" s="55">
        <f>+'Sites Audit Plan  '!$F$12*'Sites Audit Plan  '!$G$12</f>
        <v>10</v>
      </c>
      <c r="T13" s="51"/>
      <c r="U13" s="55">
        <f>+'Sites Audit Plan  '!$F$12*'Sites Audit Plan  '!$G$12</f>
        <v>10</v>
      </c>
      <c r="V13" s="56">
        <f>+'Sites Audit Plan  '!$F$12*'Sites Audit Plan  '!$G$12</f>
        <v>10</v>
      </c>
      <c r="W13" s="57">
        <f>+'Sites Audit Plan  '!$F$12*'Sites Audit Plan  '!$G$12</f>
        <v>10</v>
      </c>
      <c r="X13" s="55">
        <f>+'Sites Audit Plan  '!$F$12*'Sites Audit Plan  '!$G$12</f>
        <v>10</v>
      </c>
      <c r="Y13" s="55">
        <f>+'Sites Audit Plan  '!$F$12*'Sites Audit Plan  '!$G$12</f>
        <v>10</v>
      </c>
      <c r="Z13" s="55">
        <f>+'Sites Audit Plan  '!$F$12*'Sites Audit Plan  '!$G$12</f>
        <v>10</v>
      </c>
      <c r="AA13" s="51"/>
      <c r="AB13" s="56">
        <f>+'Sites Audit Plan  '!$F$12*'Sites Audit Plan  '!$G$12</f>
        <v>10</v>
      </c>
      <c r="AC13" s="57">
        <f>+'Sites Audit Plan  '!$F$12*'Sites Audit Plan  '!$G$12</f>
        <v>10</v>
      </c>
      <c r="AD13" s="55">
        <f>+'Sites Audit Plan  '!$F$12*'Sites Audit Plan  '!$G$12</f>
        <v>10</v>
      </c>
      <c r="AE13" s="55">
        <f>+'Sites Audit Plan  '!$F$12*'Sites Audit Plan  '!$G$12</f>
        <v>10</v>
      </c>
      <c r="AF13" s="55">
        <f>+'Sites Audit Plan  '!$F$12*'Sites Audit Plan  '!$G$12</f>
        <v>10</v>
      </c>
      <c r="AG13" s="55">
        <v>4</v>
      </c>
      <c r="AH13" s="53"/>
      <c r="AI13" s="59"/>
      <c r="AJ13" s="58"/>
      <c r="AK13" s="58"/>
      <c r="AL13" s="58"/>
      <c r="AM13" s="58"/>
      <c r="AN13" s="60"/>
      <c r="AO13" s="52"/>
      <c r="AP13" s="58"/>
      <c r="AQ13" s="58"/>
      <c r="AR13" s="58"/>
      <c r="AS13" s="58"/>
      <c r="AT13" s="60"/>
      <c r="AU13" s="59"/>
      <c r="AV13" s="58"/>
      <c r="AW13" s="51"/>
      <c r="AX13" s="51"/>
      <c r="AY13" s="51"/>
      <c r="AZ13" s="53"/>
    </row>
    <row r="14" spans="1:52" ht="15.75" hidden="1" thickBot="1" x14ac:dyDescent="0.3">
      <c r="A14" s="112" t="s">
        <v>131</v>
      </c>
      <c r="B14" s="61">
        <f>+'Sites Audit Plan  '!D13</f>
        <v>262</v>
      </c>
      <c r="C14" s="88" t="str">
        <f>+'Sites Audit Plan  '!E13</f>
        <v>SBC1</v>
      </c>
      <c r="D14" s="91">
        <f>+'Sites Audit Plan  '!H13</f>
        <v>48</v>
      </c>
      <c r="E14" s="66"/>
      <c r="F14" s="67"/>
      <c r="G14" s="68">
        <f>+'Sites Audit Plan  '!$F$13*'Sites Audit Plan  '!$G$13</f>
        <v>8</v>
      </c>
      <c r="H14" s="68">
        <f>+'Sites Audit Plan  '!$F$13*'Sites Audit Plan  '!$G$13</f>
        <v>8</v>
      </c>
      <c r="I14" s="68">
        <f>+'Sites Audit Plan  '!$F$13*'Sites Audit Plan  '!$G$13</f>
        <v>8</v>
      </c>
      <c r="J14" s="69">
        <f>+'Sites Audit Plan  '!$F$13*'Sites Audit Plan  '!$G$13</f>
        <v>8</v>
      </c>
      <c r="K14" s="70">
        <f>+'Sites Audit Plan  '!$F$13*'Sites Audit Plan  '!$G$13</f>
        <v>8</v>
      </c>
      <c r="L14" s="68">
        <f>+'Sites Audit Plan  '!$F$13*'Sites Audit Plan  '!$G$13</f>
        <v>8</v>
      </c>
      <c r="M14" s="62"/>
      <c r="N14" s="68">
        <f>+'Sites Audit Plan  '!$F$13*'Sites Audit Plan  '!$G$13</f>
        <v>8</v>
      </c>
      <c r="O14" s="68">
        <f>+'Sites Audit Plan  '!$F$13*'Sites Audit Plan  '!$G$13</f>
        <v>8</v>
      </c>
      <c r="P14" s="69">
        <f>+'Sites Audit Plan  '!$F$13*'Sites Audit Plan  '!$G$13</f>
        <v>8</v>
      </c>
      <c r="Q14" s="70">
        <f>+'Sites Audit Plan  '!$F$13*'Sites Audit Plan  '!$G$13</f>
        <v>8</v>
      </c>
      <c r="R14" s="68">
        <f>+'Sites Audit Plan  '!$F$13*'Sites Audit Plan  '!$G$13</f>
        <v>8</v>
      </c>
      <c r="S14" s="68">
        <f>+'Sites Audit Plan  '!$F$13*'Sites Audit Plan  '!$G$13</f>
        <v>8</v>
      </c>
      <c r="T14" s="62"/>
      <c r="U14" s="68">
        <f>+'Sites Audit Plan  '!$F$13*'Sites Audit Plan  '!$G$13</f>
        <v>8</v>
      </c>
      <c r="V14" s="69">
        <f>+'Sites Audit Plan  '!$F$13*'Sites Audit Plan  '!$G$13</f>
        <v>8</v>
      </c>
      <c r="W14" s="70">
        <f>+'Sites Audit Plan  '!$F$13*'Sites Audit Plan  '!$G$13</f>
        <v>8</v>
      </c>
      <c r="X14" s="68">
        <f>+'Sites Audit Plan  '!$F$13*'Sites Audit Plan  '!$G$13</f>
        <v>8</v>
      </c>
      <c r="Y14" s="68">
        <f>+'Sites Audit Plan  '!$F$13*'Sites Audit Plan  '!$G$13</f>
        <v>8</v>
      </c>
      <c r="Z14" s="68">
        <f>+'Sites Audit Plan  '!$F$13*'Sites Audit Plan  '!$G$13</f>
        <v>8</v>
      </c>
      <c r="AA14" s="62"/>
      <c r="AB14" s="69">
        <f>+'Sites Audit Plan  '!$F$13*'Sites Audit Plan  '!$G$13</f>
        <v>8</v>
      </c>
      <c r="AC14" s="70">
        <f>+'Sites Audit Plan  '!$F$13*'Sites Audit Plan  '!$G$13</f>
        <v>8</v>
      </c>
      <c r="AD14" s="68">
        <f>+'Sites Audit Plan  '!$F$13*'Sites Audit Plan  '!$G$13</f>
        <v>8</v>
      </c>
      <c r="AE14" s="68">
        <f>+'Sites Audit Plan  '!$F$13*'Sites Audit Plan  '!$G$13</f>
        <v>8</v>
      </c>
      <c r="AF14" s="68">
        <f>+'Sites Audit Plan  '!$F$13*'Sites Audit Plan  '!$G$13</f>
        <v>8</v>
      </c>
      <c r="AG14" s="68">
        <f>+'Sites Audit Plan  '!$F$13*'Sites Audit Plan  '!$G$13</f>
        <v>8</v>
      </c>
      <c r="AH14" s="63"/>
      <c r="AI14" s="70">
        <f>+'Sites Audit Plan  '!$F$13*'Sites Audit Plan  '!$G$13</f>
        <v>8</v>
      </c>
      <c r="AJ14" s="68">
        <f>+'Sites Audit Plan  '!$F$13*'Sites Audit Plan  '!$G$13</f>
        <v>8</v>
      </c>
      <c r="AK14" s="68">
        <f>+'Sites Audit Plan  '!$F$13*'Sites Audit Plan  '!$G$13</f>
        <v>8</v>
      </c>
      <c r="AL14" s="68">
        <f>+'Sites Audit Plan  '!$F$13*'Sites Audit Plan  '!$G$13</f>
        <v>8</v>
      </c>
      <c r="AM14" s="68">
        <f>+'Sites Audit Plan  '!$F$13*'Sites Audit Plan  '!$G$13</f>
        <v>8</v>
      </c>
      <c r="AN14" s="69">
        <f>+'Sites Audit Plan  '!$F$13*'Sites Audit Plan  '!$G$13</f>
        <v>8</v>
      </c>
      <c r="AO14" s="64"/>
      <c r="AP14" s="68">
        <f>+'Sites Audit Plan  '!$F$13*'Sites Audit Plan  '!$G$13</f>
        <v>8</v>
      </c>
      <c r="AQ14" s="68">
        <f>+'Sites Audit Plan  '!$F$13*'Sites Audit Plan  '!$G$13</f>
        <v>8</v>
      </c>
      <c r="AR14" s="68">
        <v>6</v>
      </c>
      <c r="AS14" s="67"/>
      <c r="AT14" s="71"/>
      <c r="AU14" s="72"/>
      <c r="AV14" s="67"/>
      <c r="AW14" s="62"/>
      <c r="AX14" s="62"/>
      <c r="AY14" s="62"/>
      <c r="AZ14" s="63"/>
    </row>
    <row r="15" spans="1:52" s="50" customFormat="1" ht="15.75" thickBot="1" x14ac:dyDescent="0.3">
      <c r="A15" s="98" t="s">
        <v>7780</v>
      </c>
      <c r="B15" s="99"/>
      <c r="C15" s="100"/>
      <c r="D15" s="92">
        <f>SUBTOTAL(9,D5:D14)</f>
        <v>198</v>
      </c>
      <c r="E15" s="73">
        <f>SUBTOTAL(9,E5:E14)</f>
        <v>15</v>
      </c>
      <c r="F15" s="74"/>
      <c r="G15" s="75">
        <f>SUBTOTAL(9,G5:G14)</f>
        <v>19</v>
      </c>
      <c r="H15" s="75">
        <f>SUBTOTAL(9,H5:H14)</f>
        <v>23</v>
      </c>
      <c r="I15" s="75">
        <f>SUBTOTAL(9,I5:I14)</f>
        <v>27</v>
      </c>
      <c r="J15" s="76">
        <f>SUBTOTAL(9,J5:J14)</f>
        <v>33</v>
      </c>
      <c r="K15" s="73">
        <f>SUBTOTAL(9,K5:K14)</f>
        <v>33</v>
      </c>
      <c r="L15" s="75">
        <f>SUBTOTAL(9,L5:L14)</f>
        <v>33</v>
      </c>
      <c r="M15" s="74"/>
      <c r="N15" s="75">
        <f>SUBTOTAL(9,N5:N14)</f>
        <v>33</v>
      </c>
      <c r="O15" s="75">
        <f>SUBTOTAL(9,O5:O14)</f>
        <v>33</v>
      </c>
      <c r="P15" s="76">
        <f>SUBTOTAL(9,P5:P14)</f>
        <v>33</v>
      </c>
      <c r="Q15" s="73">
        <f>SUBTOTAL(9,Q5:Q14)</f>
        <v>33</v>
      </c>
      <c r="R15" s="75">
        <f>SUBTOTAL(9,R5:R14)</f>
        <v>33</v>
      </c>
      <c r="S15" s="75">
        <f>SUBTOTAL(9,S5:S14)</f>
        <v>33</v>
      </c>
      <c r="T15" s="74"/>
      <c r="U15" s="75">
        <f>SUBTOTAL(9,U5:U14)</f>
        <v>33</v>
      </c>
      <c r="V15" s="76">
        <f>SUBTOTAL(9,V5:V14)</f>
        <v>33</v>
      </c>
      <c r="W15" s="73">
        <f>SUBTOTAL(9,W5:W14)</f>
        <v>33</v>
      </c>
      <c r="X15" s="75">
        <f>SUBTOTAL(9,X5:X14)</f>
        <v>33</v>
      </c>
      <c r="Y15" s="75">
        <f>SUBTOTAL(9,Y5:Y14)</f>
        <v>33</v>
      </c>
      <c r="Z15" s="75">
        <f>SUBTOTAL(9,Z5:Z14)</f>
        <v>33</v>
      </c>
      <c r="AA15" s="74"/>
      <c r="AB15" s="76">
        <f>SUBTOTAL(9,AB5:AB14)</f>
        <v>33</v>
      </c>
      <c r="AC15" s="73">
        <f>SUBTOTAL(9,AC5:AC14)</f>
        <v>33</v>
      </c>
      <c r="AD15" s="75">
        <f>SUBTOTAL(9,AD5:AD14)</f>
        <v>33</v>
      </c>
      <c r="AE15" s="75">
        <f>SUBTOTAL(9,AE5:AE14)</f>
        <v>33</v>
      </c>
      <c r="AF15" s="75">
        <f>SUBTOTAL(9,AF5:AF14)</f>
        <v>33</v>
      </c>
      <c r="AG15" s="75">
        <f>SUBTOTAL(9,AG5:AG14)</f>
        <v>33</v>
      </c>
      <c r="AH15" s="77"/>
      <c r="AI15" s="73">
        <f>SUBTOTAL(9,AI5:AI14)</f>
        <v>33</v>
      </c>
      <c r="AJ15" s="75">
        <f>SUBTOTAL(9,AJ5:AJ14)</f>
        <v>33</v>
      </c>
      <c r="AK15" s="75">
        <f>SUBTOTAL(9,AK5:AK14)</f>
        <v>33</v>
      </c>
      <c r="AL15" s="75">
        <f>SUBTOTAL(9,AL5:AL14)</f>
        <v>33</v>
      </c>
      <c r="AM15" s="75">
        <f>SUBTOTAL(9,AM5:AM14)</f>
        <v>33</v>
      </c>
      <c r="AN15" s="76">
        <f>SUBTOTAL(9,AN5:AN14)</f>
        <v>33</v>
      </c>
      <c r="AO15" s="78"/>
      <c r="AP15" s="75">
        <f>SUBTOTAL(9,AP5:AP14)</f>
        <v>31</v>
      </c>
      <c r="AQ15" s="75">
        <f>SUBTOTAL(9,AQ5:AQ14)</f>
        <v>29</v>
      </c>
      <c r="AR15" s="75">
        <f>SUBTOTAL(9,AR5:AR14)</f>
        <v>29</v>
      </c>
      <c r="AS15" s="75">
        <f>SUBTOTAL(9,AS5:AS14)</f>
        <v>21</v>
      </c>
      <c r="AT15" s="76">
        <f>SUBTOTAL(9,AT5:AT14)</f>
        <v>14</v>
      </c>
      <c r="AU15" s="73">
        <f>SUBTOTAL(9,AU5:AU14)</f>
        <v>9</v>
      </c>
      <c r="AV15" s="75">
        <f>SUBTOTAL(9,AV5:AV14)</f>
        <v>4</v>
      </c>
      <c r="AW15" s="75">
        <f>SUBTOTAL(9,AW5:AW14)</f>
        <v>0</v>
      </c>
      <c r="AX15" s="75">
        <f>SUBTOTAL(9,AX5:AX14)</f>
        <v>0</v>
      </c>
      <c r="AY15" s="75">
        <f>SUBTOTAL(9,AY5:AY14)</f>
        <v>0</v>
      </c>
      <c r="AZ15" s="76">
        <f>SUBTOTAL(9,AZ5:AZ14)</f>
        <v>0</v>
      </c>
    </row>
    <row r="16" spans="1:52" ht="15.75" thickBot="1" x14ac:dyDescent="0.3">
      <c r="A16" s="98" t="s">
        <v>7781</v>
      </c>
      <c r="B16" s="99"/>
      <c r="C16" s="99"/>
      <c r="D16" s="101"/>
      <c r="E16" s="79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1"/>
    </row>
    <row r="17" spans="1:52" ht="15.75" thickBot="1" x14ac:dyDescent="0.3">
      <c r="A17" s="98" t="s">
        <v>7782</v>
      </c>
      <c r="B17" s="99"/>
      <c r="C17" s="99"/>
      <c r="D17" s="101"/>
      <c r="E17" s="82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4"/>
    </row>
    <row r="19" spans="1:52" x14ac:dyDescent="0.25">
      <c r="A19" s="102" t="s">
        <v>7783</v>
      </c>
      <c r="B19" s="85"/>
      <c r="C19" s="3" t="s">
        <v>7784</v>
      </c>
    </row>
    <row r="20" spans="1:52" x14ac:dyDescent="0.25">
      <c r="A20" s="102"/>
      <c r="B20" s="86"/>
      <c r="C20" s="3" t="s">
        <v>7785</v>
      </c>
    </row>
    <row r="21" spans="1:52" x14ac:dyDescent="0.25">
      <c r="A21" s="102"/>
      <c r="B21" s="87"/>
      <c r="C21" s="3" t="s">
        <v>7786</v>
      </c>
    </row>
    <row r="22" spans="1:52" x14ac:dyDescent="0.25">
      <c r="A22" s="102"/>
      <c r="B22" s="113"/>
      <c r="C22" s="114" t="s">
        <v>7794</v>
      </c>
    </row>
    <row r="23" spans="1:52" x14ac:dyDescent="0.25">
      <c r="A23" s="102"/>
      <c r="B23" s="115"/>
      <c r="C23" s="114" t="s">
        <v>7793</v>
      </c>
    </row>
  </sheetData>
  <autoFilter ref="A3:AZ17" xr:uid="{1F1FCCBF-54C8-9747-BC69-C5139B65B3F3}">
    <filterColumn colId="0">
      <filters blank="1">
        <filter val="Achieved"/>
        <filter val="Adamawa"/>
        <filter val="Center"/>
        <filter val="East"/>
        <filter val="Far North"/>
        <filter val="GAP"/>
        <filter val="North"/>
        <filter val="Weekly Target"/>
      </filters>
    </filterColumn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</autoFilter>
  <mergeCells count="17">
    <mergeCell ref="K3:P3"/>
    <mergeCell ref="Q3:V3"/>
    <mergeCell ref="W3:AB3"/>
    <mergeCell ref="AC3:AH3"/>
    <mergeCell ref="A3:A4"/>
    <mergeCell ref="B3:B4"/>
    <mergeCell ref="C3:C4"/>
    <mergeCell ref="D3:D4"/>
    <mergeCell ref="E3:J3"/>
    <mergeCell ref="A19:A23"/>
    <mergeCell ref="AU3:AZ3"/>
    <mergeCell ref="A1:D2"/>
    <mergeCell ref="A15:C15"/>
    <mergeCell ref="A16:D16"/>
    <mergeCell ref="A17:D17"/>
    <mergeCell ref="AI3:AN3"/>
    <mergeCell ref="AO3:AT3"/>
  </mergeCells>
  <phoneticPr fontId="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CCE0-AD0F-4489-98C4-C0131C5915FF}">
  <sheetPr>
    <tabColor rgb="FFFFC000"/>
  </sheetPr>
  <dimension ref="A1:R122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V19" sqref="V19"/>
    </sheetView>
  </sheetViews>
  <sheetFormatPr baseColWidth="10" defaultRowHeight="15" x14ac:dyDescent="0.25"/>
  <sheetData>
    <row r="1" spans="1:18" x14ac:dyDescent="0.25">
      <c r="B1" s="4"/>
      <c r="C1" s="4"/>
      <c r="D1" s="4"/>
      <c r="E1" s="4"/>
      <c r="F1" s="4">
        <f>+SUBTOTAL(3,F3:F2443)</f>
        <v>1225</v>
      </c>
      <c r="G1" s="4">
        <f>+SUBTOTAL(3,G3:G2443)</f>
        <v>1225</v>
      </c>
      <c r="H1" s="4"/>
      <c r="I1" s="4"/>
      <c r="J1" s="4"/>
      <c r="K1" s="4"/>
      <c r="L1" s="4">
        <f>+SUBTOTAL(3,L3:L2443)</f>
        <v>1225</v>
      </c>
      <c r="M1" s="4"/>
      <c r="N1" s="4"/>
      <c r="O1" s="4"/>
      <c r="P1" s="108" t="s">
        <v>7792</v>
      </c>
      <c r="Q1" s="108"/>
      <c r="R1" s="108"/>
    </row>
    <row r="2" spans="1:18" ht="47.25" x14ac:dyDescent="0.25">
      <c r="A2" s="1" t="s">
        <v>0</v>
      </c>
      <c r="B2" s="5" t="s">
        <v>1</v>
      </c>
      <c r="C2" s="5" t="s">
        <v>2</v>
      </c>
      <c r="D2" s="5" t="s">
        <v>1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109" t="s">
        <v>7788</v>
      </c>
      <c r="Q2" s="109" t="s">
        <v>7790</v>
      </c>
      <c r="R2" s="109" t="s">
        <v>7789</v>
      </c>
    </row>
    <row r="3" spans="1:18" x14ac:dyDescent="0.25">
      <c r="A3" s="2">
        <v>322</v>
      </c>
      <c r="B3" s="7" t="s">
        <v>117</v>
      </c>
      <c r="C3" s="7" t="s">
        <v>118</v>
      </c>
      <c r="D3" s="7" t="s">
        <v>117</v>
      </c>
      <c r="E3" s="7" t="s">
        <v>42</v>
      </c>
      <c r="F3" s="7" t="s">
        <v>119</v>
      </c>
      <c r="G3" s="17" t="s">
        <v>7747</v>
      </c>
      <c r="H3" s="7" t="s">
        <v>19</v>
      </c>
      <c r="I3" s="7" t="s">
        <v>102</v>
      </c>
      <c r="J3" s="7" t="s">
        <v>103</v>
      </c>
      <c r="K3" s="7" t="s">
        <v>120</v>
      </c>
      <c r="L3" s="7" t="s">
        <v>121</v>
      </c>
      <c r="M3" s="7">
        <v>6.7066109999999997</v>
      </c>
      <c r="N3" s="7">
        <v>11.779889000000001</v>
      </c>
      <c r="O3" s="7" t="s">
        <v>23</v>
      </c>
      <c r="P3" s="3"/>
      <c r="Q3" s="3"/>
      <c r="R3" s="3"/>
    </row>
    <row r="4" spans="1:18" x14ac:dyDescent="0.25">
      <c r="A4" s="2">
        <v>326</v>
      </c>
      <c r="B4" s="7" t="s">
        <v>561</v>
      </c>
      <c r="C4" s="7" t="s">
        <v>562</v>
      </c>
      <c r="D4" s="7" t="s">
        <v>561</v>
      </c>
      <c r="E4" s="7" t="s">
        <v>42</v>
      </c>
      <c r="F4" s="7" t="s">
        <v>563</v>
      </c>
      <c r="G4" s="17" t="s">
        <v>7747</v>
      </c>
      <c r="H4" s="7" t="s">
        <v>28</v>
      </c>
      <c r="I4" s="7" t="s">
        <v>102</v>
      </c>
      <c r="J4" s="7" t="s">
        <v>103</v>
      </c>
      <c r="K4" s="7" t="s">
        <v>383</v>
      </c>
      <c r="L4" s="7" t="s">
        <v>121</v>
      </c>
      <c r="M4" s="7">
        <v>5.9923500000000001</v>
      </c>
      <c r="N4" s="7">
        <v>12.391995</v>
      </c>
      <c r="O4" s="7" t="s">
        <v>23</v>
      </c>
      <c r="P4" s="3"/>
      <c r="Q4" s="3"/>
      <c r="R4" s="3"/>
    </row>
    <row r="5" spans="1:18" x14ac:dyDescent="0.25">
      <c r="A5" s="2">
        <v>327</v>
      </c>
      <c r="B5" s="7" t="s">
        <v>574</v>
      </c>
      <c r="C5" s="7" t="s">
        <v>575</v>
      </c>
      <c r="D5" s="7" t="s">
        <v>574</v>
      </c>
      <c r="E5" s="7" t="s">
        <v>42</v>
      </c>
      <c r="F5" s="7" t="s">
        <v>576</v>
      </c>
      <c r="G5" s="17" t="s">
        <v>7747</v>
      </c>
      <c r="H5" s="7" t="s">
        <v>28</v>
      </c>
      <c r="I5" s="7" t="s">
        <v>102</v>
      </c>
      <c r="J5" s="7" t="s">
        <v>103</v>
      </c>
      <c r="K5" s="7" t="s">
        <v>577</v>
      </c>
      <c r="L5" s="7" t="s">
        <v>121</v>
      </c>
      <c r="M5" s="7">
        <v>7.6575829999999998</v>
      </c>
      <c r="N5" s="7">
        <v>12.334389</v>
      </c>
      <c r="O5" s="7" t="s">
        <v>23</v>
      </c>
      <c r="P5" s="3"/>
      <c r="Q5" s="3"/>
      <c r="R5" s="3"/>
    </row>
    <row r="6" spans="1:18" x14ac:dyDescent="0.25">
      <c r="A6" s="2">
        <v>328</v>
      </c>
      <c r="B6" s="7" t="s">
        <v>578</v>
      </c>
      <c r="C6" s="7" t="s">
        <v>579</v>
      </c>
      <c r="D6" s="7" t="s">
        <v>578</v>
      </c>
      <c r="E6" s="7" t="s">
        <v>182</v>
      </c>
      <c r="F6" s="7" t="s">
        <v>580</v>
      </c>
      <c r="G6" s="17" t="s">
        <v>7747</v>
      </c>
      <c r="H6" s="7" t="s">
        <v>28</v>
      </c>
      <c r="I6" s="7" t="s">
        <v>374</v>
      </c>
      <c r="J6" s="7" t="s">
        <v>134</v>
      </c>
      <c r="K6" s="7" t="s">
        <v>383</v>
      </c>
      <c r="L6" s="7" t="s">
        <v>121</v>
      </c>
      <c r="M6" s="7">
        <v>5.3701100000000004</v>
      </c>
      <c r="N6" s="7">
        <v>12.271540999999999</v>
      </c>
      <c r="O6" s="7" t="s">
        <v>23</v>
      </c>
      <c r="P6" s="3"/>
      <c r="Q6" s="3"/>
      <c r="R6" s="3"/>
    </row>
    <row r="7" spans="1:18" x14ac:dyDescent="0.25">
      <c r="A7" s="2">
        <v>329</v>
      </c>
      <c r="B7" s="7" t="s">
        <v>864</v>
      </c>
      <c r="C7" s="7" t="s">
        <v>865</v>
      </c>
      <c r="D7" s="7" t="s">
        <v>864</v>
      </c>
      <c r="E7" s="7" t="s">
        <v>42</v>
      </c>
      <c r="F7" s="7" t="s">
        <v>866</v>
      </c>
      <c r="G7" s="17" t="s">
        <v>7747</v>
      </c>
      <c r="H7" s="7" t="s">
        <v>28</v>
      </c>
      <c r="I7" s="7" t="s">
        <v>102</v>
      </c>
      <c r="J7" s="7" t="s">
        <v>103</v>
      </c>
      <c r="K7" s="7" t="s">
        <v>383</v>
      </c>
      <c r="L7" s="7" t="s">
        <v>121</v>
      </c>
      <c r="M7" s="7">
        <v>5.8946100000000001</v>
      </c>
      <c r="N7" s="7">
        <v>12.281280000000001</v>
      </c>
      <c r="O7" s="7" t="s">
        <v>23</v>
      </c>
      <c r="P7" s="3"/>
      <c r="Q7" s="3"/>
      <c r="R7" s="3"/>
    </row>
    <row r="8" spans="1:18" x14ac:dyDescent="0.25">
      <c r="A8" s="2">
        <v>330</v>
      </c>
      <c r="B8" s="7" t="s">
        <v>871</v>
      </c>
      <c r="C8" s="7" t="s">
        <v>872</v>
      </c>
      <c r="D8" s="7" t="s">
        <v>871</v>
      </c>
      <c r="E8" s="7" t="s">
        <v>42</v>
      </c>
      <c r="F8" s="7" t="s">
        <v>873</v>
      </c>
      <c r="G8" s="17" t="s">
        <v>7747</v>
      </c>
      <c r="H8" s="7" t="s">
        <v>28</v>
      </c>
      <c r="I8" s="7" t="s">
        <v>102</v>
      </c>
      <c r="J8" s="7" t="s">
        <v>103</v>
      </c>
      <c r="K8" s="7" t="s">
        <v>577</v>
      </c>
      <c r="L8" s="7" t="s">
        <v>121</v>
      </c>
      <c r="M8" s="7">
        <v>7.6469360000000002</v>
      </c>
      <c r="N8" s="7">
        <v>12.389979</v>
      </c>
      <c r="O8" s="7" t="s">
        <v>23</v>
      </c>
      <c r="P8" s="3"/>
      <c r="Q8" s="3"/>
      <c r="R8" s="3"/>
    </row>
    <row r="9" spans="1:18" x14ac:dyDescent="0.25">
      <c r="A9" s="2">
        <v>331</v>
      </c>
      <c r="B9" s="7" t="s">
        <v>910</v>
      </c>
      <c r="C9" s="7" t="s">
        <v>911</v>
      </c>
      <c r="D9" s="7" t="s">
        <v>910</v>
      </c>
      <c r="E9" s="7" t="s">
        <v>42</v>
      </c>
      <c r="F9" s="7" t="s">
        <v>912</v>
      </c>
      <c r="G9" s="17" t="s">
        <v>7747</v>
      </c>
      <c r="H9" s="7" t="s">
        <v>28</v>
      </c>
      <c r="I9" s="7" t="s">
        <v>102</v>
      </c>
      <c r="J9" s="7" t="s">
        <v>103</v>
      </c>
      <c r="K9" s="7" t="s">
        <v>120</v>
      </c>
      <c r="L9" s="7" t="s">
        <v>121</v>
      </c>
      <c r="M9" s="7">
        <v>6.656193</v>
      </c>
      <c r="N9" s="7">
        <v>12.061108000000001</v>
      </c>
      <c r="O9" s="7" t="s">
        <v>23</v>
      </c>
      <c r="P9" s="3"/>
      <c r="Q9" s="3"/>
      <c r="R9" s="3"/>
    </row>
    <row r="10" spans="1:18" x14ac:dyDescent="0.25">
      <c r="A10" s="2">
        <v>334</v>
      </c>
      <c r="B10" s="7" t="s">
        <v>1534</v>
      </c>
      <c r="C10" s="7" t="s">
        <v>1535</v>
      </c>
      <c r="D10" s="7" t="s">
        <v>1534</v>
      </c>
      <c r="E10" s="7" t="s">
        <v>182</v>
      </c>
      <c r="F10" s="7" t="s">
        <v>1536</v>
      </c>
      <c r="G10" s="17" t="s">
        <v>7747</v>
      </c>
      <c r="H10" s="7" t="s">
        <v>19</v>
      </c>
      <c r="I10" s="7" t="s">
        <v>374</v>
      </c>
      <c r="J10" s="7" t="s">
        <v>134</v>
      </c>
      <c r="K10" s="7" t="s">
        <v>383</v>
      </c>
      <c r="L10" s="7" t="s">
        <v>121</v>
      </c>
      <c r="M10" s="7">
        <v>5.5391779999999997</v>
      </c>
      <c r="N10" s="7">
        <v>12.317745</v>
      </c>
      <c r="O10" s="7" t="s">
        <v>23</v>
      </c>
      <c r="P10" s="3"/>
      <c r="Q10" s="3"/>
      <c r="R10" s="3"/>
    </row>
    <row r="11" spans="1:18" x14ac:dyDescent="0.25">
      <c r="A11" s="2">
        <v>335</v>
      </c>
      <c r="B11" s="7" t="s">
        <v>1557</v>
      </c>
      <c r="C11" s="7" t="s">
        <v>1558</v>
      </c>
      <c r="D11" s="7" t="s">
        <v>1557</v>
      </c>
      <c r="E11" s="7" t="s">
        <v>42</v>
      </c>
      <c r="F11" s="7" t="s">
        <v>1559</v>
      </c>
      <c r="G11" s="17" t="s">
        <v>7747</v>
      </c>
      <c r="H11" s="7" t="s">
        <v>28</v>
      </c>
      <c r="I11" s="7" t="s">
        <v>102</v>
      </c>
      <c r="J11" s="7" t="s">
        <v>103</v>
      </c>
      <c r="K11" s="7" t="s">
        <v>103</v>
      </c>
      <c r="L11" s="7" t="s">
        <v>121</v>
      </c>
      <c r="M11" s="7">
        <v>6.3110799999999996</v>
      </c>
      <c r="N11" s="7">
        <v>12.7965</v>
      </c>
      <c r="O11" s="7" t="s">
        <v>23</v>
      </c>
      <c r="P11" s="3"/>
      <c r="Q11" s="3"/>
      <c r="R11" s="3"/>
    </row>
    <row r="12" spans="1:18" x14ac:dyDescent="0.25">
      <c r="A12" s="2">
        <v>338</v>
      </c>
      <c r="B12" s="7" t="s">
        <v>2004</v>
      </c>
      <c r="C12" s="7" t="s">
        <v>2005</v>
      </c>
      <c r="D12" s="7" t="s">
        <v>2004</v>
      </c>
      <c r="E12" s="7" t="s">
        <v>182</v>
      </c>
      <c r="F12" s="7" t="s">
        <v>1536</v>
      </c>
      <c r="G12" s="17" t="s">
        <v>7747</v>
      </c>
      <c r="H12" s="7" t="s">
        <v>28</v>
      </c>
      <c r="I12" s="7" t="s">
        <v>374</v>
      </c>
      <c r="J12" s="7" t="s">
        <v>134</v>
      </c>
      <c r="K12" s="7" t="s">
        <v>383</v>
      </c>
      <c r="L12" s="7" t="s">
        <v>121</v>
      </c>
      <c r="M12" s="7">
        <v>5.539167</v>
      </c>
      <c r="N12" s="7">
        <v>12.317805999999999</v>
      </c>
      <c r="O12" s="7" t="s">
        <v>23</v>
      </c>
      <c r="P12" s="3"/>
      <c r="Q12" s="3"/>
      <c r="R12" s="3"/>
    </row>
    <row r="13" spans="1:18" x14ac:dyDescent="0.25">
      <c r="A13" s="2">
        <v>339</v>
      </c>
      <c r="B13" s="7" t="s">
        <v>2911</v>
      </c>
      <c r="C13" s="7" t="s">
        <v>2912</v>
      </c>
      <c r="D13" s="7" t="s">
        <v>2911</v>
      </c>
      <c r="E13" s="7" t="s">
        <v>42</v>
      </c>
      <c r="F13" s="7" t="s">
        <v>2913</v>
      </c>
      <c r="G13" s="17" t="s">
        <v>7747</v>
      </c>
      <c r="H13" s="7" t="s">
        <v>19</v>
      </c>
      <c r="I13" s="7" t="s">
        <v>102</v>
      </c>
      <c r="J13" s="7" t="s">
        <v>103</v>
      </c>
      <c r="K13" s="7" t="s">
        <v>120</v>
      </c>
      <c r="L13" s="7" t="s">
        <v>121</v>
      </c>
      <c r="M13" s="7">
        <v>6.7491399999999997</v>
      </c>
      <c r="N13" s="7">
        <v>11.80564</v>
      </c>
      <c r="O13" s="7" t="s">
        <v>613</v>
      </c>
      <c r="P13" s="3"/>
      <c r="Q13" s="3"/>
      <c r="R13" s="3"/>
    </row>
    <row r="14" spans="1:18" x14ac:dyDescent="0.25">
      <c r="A14" s="2">
        <v>340</v>
      </c>
      <c r="B14" s="7" t="s">
        <v>2917</v>
      </c>
      <c r="C14" s="7" t="s">
        <v>2918</v>
      </c>
      <c r="D14" s="7" t="s">
        <v>2917</v>
      </c>
      <c r="E14" s="7" t="s">
        <v>42</v>
      </c>
      <c r="F14" s="7" t="s">
        <v>121</v>
      </c>
      <c r="G14" s="17" t="s">
        <v>7747</v>
      </c>
      <c r="H14" s="7" t="s">
        <v>19</v>
      </c>
      <c r="I14" s="7" t="s">
        <v>102</v>
      </c>
      <c r="J14" s="7" t="s">
        <v>103</v>
      </c>
      <c r="K14" s="7" t="s">
        <v>120</v>
      </c>
      <c r="L14" s="7" t="s">
        <v>121</v>
      </c>
      <c r="M14" s="7">
        <v>6.7080000000000002</v>
      </c>
      <c r="N14" s="7">
        <v>11.779</v>
      </c>
      <c r="O14" s="7" t="s">
        <v>23</v>
      </c>
      <c r="P14" s="3"/>
      <c r="Q14" s="3"/>
      <c r="R14" s="3"/>
    </row>
    <row r="15" spans="1:18" x14ac:dyDescent="0.25">
      <c r="A15" s="2">
        <v>342</v>
      </c>
      <c r="B15" s="7" t="s">
        <v>3368</v>
      </c>
      <c r="C15" s="7" t="s">
        <v>3369</v>
      </c>
      <c r="D15" s="7" t="s">
        <v>3368</v>
      </c>
      <c r="E15" s="7" t="s">
        <v>42</v>
      </c>
      <c r="F15" s="7" t="s">
        <v>3370</v>
      </c>
      <c r="G15" s="17" t="s">
        <v>7747</v>
      </c>
      <c r="H15" s="7" t="s">
        <v>28</v>
      </c>
      <c r="I15" s="7" t="s">
        <v>102</v>
      </c>
      <c r="J15" s="7" t="s">
        <v>103</v>
      </c>
      <c r="K15" s="7" t="s">
        <v>103</v>
      </c>
      <c r="L15" s="7" t="s">
        <v>121</v>
      </c>
      <c r="M15" s="7">
        <v>6.4664169999999999</v>
      </c>
      <c r="N15" s="7">
        <v>12.626194</v>
      </c>
      <c r="O15" s="7" t="s">
        <v>23</v>
      </c>
      <c r="P15" s="3"/>
      <c r="Q15" s="3"/>
      <c r="R15" s="3"/>
    </row>
    <row r="16" spans="1:18" x14ac:dyDescent="0.25">
      <c r="A16" s="2">
        <v>343</v>
      </c>
      <c r="B16" s="7" t="s">
        <v>4614</v>
      </c>
      <c r="C16" s="7" t="s">
        <v>4615</v>
      </c>
      <c r="D16" s="7" t="s">
        <v>4614</v>
      </c>
      <c r="E16" s="7" t="s">
        <v>42</v>
      </c>
      <c r="F16" s="7" t="s">
        <v>4616</v>
      </c>
      <c r="G16" s="17" t="s">
        <v>7747</v>
      </c>
      <c r="H16" s="7" t="s">
        <v>19</v>
      </c>
      <c r="I16" s="7" t="s">
        <v>102</v>
      </c>
      <c r="J16" s="7" t="s">
        <v>103</v>
      </c>
      <c r="K16" s="7" t="s">
        <v>103</v>
      </c>
      <c r="L16" s="7" t="s">
        <v>121</v>
      </c>
      <c r="M16" s="7">
        <v>6.4791670000000003</v>
      </c>
      <c r="N16" s="7">
        <v>12.607250000000001</v>
      </c>
      <c r="O16" s="7" t="s">
        <v>23</v>
      </c>
      <c r="P16" s="3"/>
      <c r="Q16" s="3"/>
      <c r="R16" s="3"/>
    </row>
    <row r="17" spans="1:18" x14ac:dyDescent="0.25">
      <c r="A17" s="2">
        <v>344</v>
      </c>
      <c r="B17" s="7" t="s">
        <v>5851</v>
      </c>
      <c r="C17" s="7" t="s">
        <v>5852</v>
      </c>
      <c r="D17" s="7" t="s">
        <v>5851</v>
      </c>
      <c r="E17" s="7" t="s">
        <v>42</v>
      </c>
      <c r="F17" s="7" t="s">
        <v>5853</v>
      </c>
      <c r="G17" s="17" t="s">
        <v>7747</v>
      </c>
      <c r="H17" s="7" t="s">
        <v>28</v>
      </c>
      <c r="I17" s="7" t="s">
        <v>102</v>
      </c>
      <c r="J17" s="7" t="s">
        <v>103</v>
      </c>
      <c r="K17" s="7" t="s">
        <v>103</v>
      </c>
      <c r="L17" s="7" t="s">
        <v>121</v>
      </c>
      <c r="M17" s="7">
        <v>6.7843900000000001</v>
      </c>
      <c r="N17" s="7">
        <v>12.62387</v>
      </c>
      <c r="O17" s="7" t="s">
        <v>23</v>
      </c>
      <c r="P17" s="3"/>
      <c r="Q17" s="3"/>
      <c r="R17" s="3"/>
    </row>
    <row r="18" spans="1:18" x14ac:dyDescent="0.25">
      <c r="A18" s="2">
        <v>346</v>
      </c>
      <c r="B18" s="7" t="s">
        <v>5939</v>
      </c>
      <c r="C18" s="7" t="s">
        <v>5940</v>
      </c>
      <c r="D18" s="7" t="s">
        <v>5939</v>
      </c>
      <c r="E18" s="7" t="s">
        <v>42</v>
      </c>
      <c r="F18" s="7" t="s">
        <v>5941</v>
      </c>
      <c r="G18" s="17" t="s">
        <v>7747</v>
      </c>
      <c r="H18" s="7" t="s">
        <v>28</v>
      </c>
      <c r="I18" s="7" t="s">
        <v>102</v>
      </c>
      <c r="J18" s="7" t="s">
        <v>103</v>
      </c>
      <c r="K18" s="7" t="s">
        <v>103</v>
      </c>
      <c r="L18" s="7" t="s">
        <v>121</v>
      </c>
      <c r="M18" s="7">
        <v>6.3372510000000002</v>
      </c>
      <c r="N18" s="7">
        <v>12.555187999999999</v>
      </c>
      <c r="O18" s="7" t="s">
        <v>23</v>
      </c>
      <c r="P18" s="3"/>
      <c r="Q18" s="3"/>
      <c r="R18" s="3"/>
    </row>
    <row r="19" spans="1:18" x14ac:dyDescent="0.25">
      <c r="A19" s="2">
        <v>348</v>
      </c>
      <c r="B19" s="7" t="s">
        <v>6000</v>
      </c>
      <c r="C19" s="7" t="s">
        <v>6001</v>
      </c>
      <c r="D19" s="7" t="s">
        <v>6000</v>
      </c>
      <c r="E19" s="7" t="s">
        <v>42</v>
      </c>
      <c r="F19" s="7" t="s">
        <v>6002</v>
      </c>
      <c r="G19" s="17" t="s">
        <v>7747</v>
      </c>
      <c r="H19" s="7" t="s">
        <v>28</v>
      </c>
      <c r="I19" s="7" t="s">
        <v>102</v>
      </c>
      <c r="J19" s="7" t="s">
        <v>103</v>
      </c>
      <c r="K19" s="7" t="s">
        <v>103</v>
      </c>
      <c r="L19" s="7" t="s">
        <v>121</v>
      </c>
      <c r="M19" s="7">
        <v>6.6571290000000003</v>
      </c>
      <c r="N19" s="7">
        <v>12.569858</v>
      </c>
      <c r="O19" s="7" t="s">
        <v>23</v>
      </c>
      <c r="P19" s="3"/>
      <c r="Q19" s="3"/>
      <c r="R19" s="3"/>
    </row>
    <row r="20" spans="1:18" x14ac:dyDescent="0.25">
      <c r="A20" s="2">
        <v>349</v>
      </c>
      <c r="B20" s="7" t="s">
        <v>6019</v>
      </c>
      <c r="C20" s="7" t="s">
        <v>6020</v>
      </c>
      <c r="D20" s="7" t="s">
        <v>6019</v>
      </c>
      <c r="E20" s="7" t="s">
        <v>42</v>
      </c>
      <c r="F20" s="7" t="s">
        <v>6021</v>
      </c>
      <c r="G20" s="17" t="s">
        <v>7747</v>
      </c>
      <c r="H20" s="7" t="s">
        <v>28</v>
      </c>
      <c r="I20" s="7" t="s">
        <v>102</v>
      </c>
      <c r="J20" s="7" t="s">
        <v>103</v>
      </c>
      <c r="K20" s="7" t="s">
        <v>1014</v>
      </c>
      <c r="L20" s="7" t="s">
        <v>121</v>
      </c>
      <c r="M20" s="7">
        <v>7.0201500000000001</v>
      </c>
      <c r="N20" s="7">
        <v>12.64629</v>
      </c>
      <c r="O20" s="7" t="s">
        <v>23</v>
      </c>
      <c r="P20" s="3"/>
      <c r="Q20" s="3"/>
      <c r="R20" s="3"/>
    </row>
    <row r="21" spans="1:18" x14ac:dyDescent="0.25">
      <c r="A21" s="2">
        <v>350</v>
      </c>
      <c r="B21" s="7" t="s">
        <v>6146</v>
      </c>
      <c r="C21" s="7" t="s">
        <v>6147</v>
      </c>
      <c r="D21" s="7" t="s">
        <v>6146</v>
      </c>
      <c r="E21" s="7" t="s">
        <v>42</v>
      </c>
      <c r="F21" s="7" t="s">
        <v>6148</v>
      </c>
      <c r="G21" s="17" t="s">
        <v>7747</v>
      </c>
      <c r="H21" s="7" t="s">
        <v>28</v>
      </c>
      <c r="I21" s="7" t="s">
        <v>102</v>
      </c>
      <c r="J21" s="7" t="s">
        <v>103</v>
      </c>
      <c r="K21" s="7" t="s">
        <v>103</v>
      </c>
      <c r="L21" s="7" t="s">
        <v>121</v>
      </c>
      <c r="M21" s="7">
        <v>6.1586400000000001</v>
      </c>
      <c r="N21" s="7">
        <v>12.47822</v>
      </c>
      <c r="O21" s="7" t="s">
        <v>23</v>
      </c>
      <c r="P21" s="3"/>
      <c r="Q21" s="3"/>
      <c r="R21" s="3"/>
    </row>
    <row r="22" spans="1:18" x14ac:dyDescent="0.25">
      <c r="A22" s="2">
        <v>351</v>
      </c>
      <c r="B22" s="7" t="s">
        <v>6149</v>
      </c>
      <c r="C22" s="7" t="s">
        <v>6150</v>
      </c>
      <c r="D22" s="7" t="s">
        <v>6149</v>
      </c>
      <c r="E22" s="7" t="s">
        <v>42</v>
      </c>
      <c r="F22" s="7" t="s">
        <v>6151</v>
      </c>
      <c r="G22" s="17" t="s">
        <v>7747</v>
      </c>
      <c r="H22" s="7" t="s">
        <v>28</v>
      </c>
      <c r="I22" s="7" t="s">
        <v>102</v>
      </c>
      <c r="J22" s="7" t="s">
        <v>103</v>
      </c>
      <c r="K22" s="7" t="s">
        <v>120</v>
      </c>
      <c r="L22" s="7" t="s">
        <v>121</v>
      </c>
      <c r="M22" s="7">
        <v>6.7180559999999998</v>
      </c>
      <c r="N22" s="7">
        <v>11.936389</v>
      </c>
      <c r="O22" s="7" t="s">
        <v>23</v>
      </c>
      <c r="P22" s="3"/>
      <c r="Q22" s="3"/>
      <c r="R22" s="3"/>
    </row>
    <row r="23" spans="1:18" x14ac:dyDescent="0.25">
      <c r="A23" s="2">
        <v>352</v>
      </c>
      <c r="B23" s="7" t="s">
        <v>6164</v>
      </c>
      <c r="C23" s="7" t="s">
        <v>6165</v>
      </c>
      <c r="D23" s="7" t="s">
        <v>6164</v>
      </c>
      <c r="E23" s="7" t="s">
        <v>42</v>
      </c>
      <c r="F23" s="7" t="s">
        <v>6166</v>
      </c>
      <c r="G23" s="17" t="s">
        <v>7747</v>
      </c>
      <c r="H23" s="7" t="s">
        <v>28</v>
      </c>
      <c r="I23" s="7" t="s">
        <v>102</v>
      </c>
      <c r="J23" s="7" t="s">
        <v>103</v>
      </c>
      <c r="K23" s="7" t="s">
        <v>120</v>
      </c>
      <c r="L23" s="7" t="s">
        <v>121</v>
      </c>
      <c r="M23" s="7">
        <v>6.6026100000000003</v>
      </c>
      <c r="N23" s="7">
        <v>11.63467</v>
      </c>
      <c r="O23" s="7" t="s">
        <v>23</v>
      </c>
      <c r="P23" s="3"/>
      <c r="Q23" s="3"/>
      <c r="R23" s="3"/>
    </row>
    <row r="24" spans="1:18" x14ac:dyDescent="0.25">
      <c r="A24" s="2">
        <v>353</v>
      </c>
      <c r="B24" s="7" t="s">
        <v>6181</v>
      </c>
      <c r="C24" s="7" t="s">
        <v>6182</v>
      </c>
      <c r="D24" s="7" t="s">
        <v>6181</v>
      </c>
      <c r="E24" s="7" t="s">
        <v>42</v>
      </c>
      <c r="F24" s="7" t="s">
        <v>6183</v>
      </c>
      <c r="G24" s="17" t="s">
        <v>7747</v>
      </c>
      <c r="H24" s="7" t="s">
        <v>28</v>
      </c>
      <c r="I24" s="7" t="s">
        <v>102</v>
      </c>
      <c r="J24" s="7" t="s">
        <v>103</v>
      </c>
      <c r="K24" s="7" t="s">
        <v>103</v>
      </c>
      <c r="L24" s="7" t="s">
        <v>121</v>
      </c>
      <c r="M24" s="7">
        <v>6.5324989999999996</v>
      </c>
      <c r="N24" s="7">
        <v>12.378031</v>
      </c>
      <c r="O24" s="7" t="s">
        <v>23</v>
      </c>
      <c r="P24" s="3"/>
      <c r="Q24" s="3"/>
      <c r="R24" s="3"/>
    </row>
    <row r="25" spans="1:18" x14ac:dyDescent="0.25">
      <c r="A25" s="2">
        <v>357</v>
      </c>
      <c r="B25" s="7" t="s">
        <v>6237</v>
      </c>
      <c r="C25" s="7" t="s">
        <v>6238</v>
      </c>
      <c r="D25" s="7" t="s">
        <v>6237</v>
      </c>
      <c r="E25" s="7" t="s">
        <v>182</v>
      </c>
      <c r="F25" s="7" t="s">
        <v>6239</v>
      </c>
      <c r="G25" s="17" t="s">
        <v>7747</v>
      </c>
      <c r="H25" s="7" t="s">
        <v>28</v>
      </c>
      <c r="I25" s="7" t="s">
        <v>374</v>
      </c>
      <c r="J25" s="7" t="s">
        <v>134</v>
      </c>
      <c r="K25" s="7" t="s">
        <v>383</v>
      </c>
      <c r="L25" s="7" t="s">
        <v>121</v>
      </c>
      <c r="M25" s="7">
        <v>5.7734310000000004</v>
      </c>
      <c r="N25" s="7">
        <v>12.405530000000001</v>
      </c>
      <c r="O25" s="7" t="s">
        <v>23</v>
      </c>
      <c r="P25" s="3"/>
      <c r="Q25" s="3"/>
      <c r="R25" s="3"/>
    </row>
    <row r="26" spans="1:18" x14ac:dyDescent="0.25">
      <c r="A26" s="2">
        <v>358</v>
      </c>
      <c r="B26" s="7" t="s">
        <v>6313</v>
      </c>
      <c r="C26" s="7" t="s">
        <v>6314</v>
      </c>
      <c r="D26" s="7" t="s">
        <v>6313</v>
      </c>
      <c r="E26" s="7" t="s">
        <v>42</v>
      </c>
      <c r="F26" s="7" t="s">
        <v>6315</v>
      </c>
      <c r="G26" s="17" t="s">
        <v>7747</v>
      </c>
      <c r="H26" s="7" t="s">
        <v>28</v>
      </c>
      <c r="I26" s="7" t="s">
        <v>102</v>
      </c>
      <c r="J26" s="7" t="s">
        <v>103</v>
      </c>
      <c r="K26" s="7" t="s">
        <v>103</v>
      </c>
      <c r="L26" s="7" t="s">
        <v>121</v>
      </c>
      <c r="M26" s="7">
        <v>6.1638060000000001</v>
      </c>
      <c r="N26" s="7">
        <v>12.477805999999999</v>
      </c>
      <c r="O26" s="7" t="s">
        <v>23</v>
      </c>
      <c r="P26" s="3"/>
      <c r="Q26" s="3"/>
      <c r="R26" s="3"/>
    </row>
    <row r="27" spans="1:18" x14ac:dyDescent="0.25">
      <c r="A27" s="2">
        <v>359</v>
      </c>
      <c r="B27" s="7" t="s">
        <v>6325</v>
      </c>
      <c r="C27" s="7" t="s">
        <v>6326</v>
      </c>
      <c r="D27" s="7" t="s">
        <v>6325</v>
      </c>
      <c r="E27" s="7" t="s">
        <v>42</v>
      </c>
      <c r="F27" s="7" t="s">
        <v>6327</v>
      </c>
      <c r="G27" s="17" t="s">
        <v>7747</v>
      </c>
      <c r="H27" s="7" t="s">
        <v>19</v>
      </c>
      <c r="I27" s="7" t="s">
        <v>102</v>
      </c>
      <c r="J27" s="7" t="s">
        <v>103</v>
      </c>
      <c r="K27" s="7" t="s">
        <v>120</v>
      </c>
      <c r="L27" s="7" t="s">
        <v>121</v>
      </c>
      <c r="M27" s="7">
        <v>6.6143770000000002</v>
      </c>
      <c r="N27" s="7">
        <v>12.167878</v>
      </c>
      <c r="O27" s="7" t="s">
        <v>23</v>
      </c>
      <c r="P27" s="3"/>
      <c r="Q27" s="3"/>
      <c r="R27" s="3"/>
    </row>
    <row r="28" spans="1:18" x14ac:dyDescent="0.25">
      <c r="A28" s="2">
        <v>360</v>
      </c>
      <c r="B28" s="7" t="s">
        <v>6328</v>
      </c>
      <c r="C28" s="7" t="s">
        <v>6329</v>
      </c>
      <c r="D28" s="7" t="s">
        <v>6328</v>
      </c>
      <c r="E28" s="7" t="s">
        <v>42</v>
      </c>
      <c r="F28" s="7" t="s">
        <v>6330</v>
      </c>
      <c r="G28" s="17" t="s">
        <v>7747</v>
      </c>
      <c r="H28" s="7" t="s">
        <v>19</v>
      </c>
      <c r="I28" s="7" t="s">
        <v>102</v>
      </c>
      <c r="J28" s="7" t="s">
        <v>103</v>
      </c>
      <c r="K28" s="7" t="s">
        <v>120</v>
      </c>
      <c r="L28" s="7" t="s">
        <v>121</v>
      </c>
      <c r="M28" s="7">
        <v>6.60182</v>
      </c>
      <c r="N28" s="7">
        <v>12.171602999999999</v>
      </c>
      <c r="O28" s="7" t="s">
        <v>23</v>
      </c>
      <c r="P28" s="3"/>
      <c r="Q28" s="3"/>
      <c r="R28" s="3"/>
    </row>
    <row r="29" spans="1:18" x14ac:dyDescent="0.25">
      <c r="A29" s="2">
        <v>362</v>
      </c>
      <c r="B29" s="7" t="s">
        <v>6355</v>
      </c>
      <c r="C29" s="7" t="s">
        <v>6356</v>
      </c>
      <c r="D29" s="7" t="s">
        <v>6355</v>
      </c>
      <c r="E29" s="7" t="s">
        <v>42</v>
      </c>
      <c r="F29" s="7" t="s">
        <v>6357</v>
      </c>
      <c r="G29" s="17" t="s">
        <v>7747</v>
      </c>
      <c r="H29" s="7" t="s">
        <v>28</v>
      </c>
      <c r="I29" s="7" t="s">
        <v>102</v>
      </c>
      <c r="J29" s="7" t="s">
        <v>103</v>
      </c>
      <c r="K29" s="7" t="s">
        <v>104</v>
      </c>
      <c r="L29" s="7" t="s">
        <v>121</v>
      </c>
      <c r="M29" s="7">
        <v>6.5778299999999996</v>
      </c>
      <c r="N29" s="7">
        <v>12.740572</v>
      </c>
      <c r="O29" s="7" t="s">
        <v>23</v>
      </c>
      <c r="P29" s="3"/>
      <c r="Q29" s="3"/>
      <c r="R29" s="3"/>
    </row>
    <row r="30" spans="1:18" x14ac:dyDescent="0.25">
      <c r="A30" s="2">
        <v>363</v>
      </c>
      <c r="B30" s="7" t="s">
        <v>6444</v>
      </c>
      <c r="C30" s="7" t="s">
        <v>6445</v>
      </c>
      <c r="D30" s="7" t="s">
        <v>6444</v>
      </c>
      <c r="E30" s="7" t="s">
        <v>42</v>
      </c>
      <c r="F30" s="7" t="s">
        <v>6446</v>
      </c>
      <c r="G30" s="17" t="s">
        <v>7747</v>
      </c>
      <c r="H30" s="7" t="s">
        <v>28</v>
      </c>
      <c r="I30" s="7" t="s">
        <v>102</v>
      </c>
      <c r="J30" s="7" t="s">
        <v>103</v>
      </c>
      <c r="K30" s="7" t="s">
        <v>6447</v>
      </c>
      <c r="L30" s="7" t="s">
        <v>121</v>
      </c>
      <c r="M30" s="7">
        <v>7.090992</v>
      </c>
      <c r="N30" s="7">
        <v>12.476749</v>
      </c>
      <c r="O30" s="7" t="s">
        <v>23</v>
      </c>
      <c r="P30" s="3"/>
      <c r="Q30" s="3"/>
      <c r="R30" s="3"/>
    </row>
    <row r="31" spans="1:18" x14ac:dyDescent="0.25">
      <c r="A31" s="2">
        <v>364</v>
      </c>
      <c r="B31" s="12" t="s">
        <v>6649</v>
      </c>
      <c r="C31" s="7" t="s">
        <v>6650</v>
      </c>
      <c r="D31" s="7" t="s">
        <v>6649</v>
      </c>
      <c r="E31" s="7" t="s">
        <v>42</v>
      </c>
      <c r="F31" s="7" t="s">
        <v>6651</v>
      </c>
      <c r="G31" s="17" t="s">
        <v>7747</v>
      </c>
      <c r="H31" s="7" t="s">
        <v>19</v>
      </c>
      <c r="I31" s="7" t="s">
        <v>102</v>
      </c>
      <c r="J31" s="7" t="s">
        <v>103</v>
      </c>
      <c r="K31" s="7" t="s">
        <v>103</v>
      </c>
      <c r="L31" s="7" t="s">
        <v>121</v>
      </c>
      <c r="M31" s="7">
        <v>6.4654299999999996</v>
      </c>
      <c r="N31" s="7">
        <v>12.62649</v>
      </c>
      <c r="O31" s="7" t="s">
        <v>23</v>
      </c>
      <c r="P31" s="3"/>
      <c r="Q31" s="3"/>
      <c r="R31" s="3"/>
    </row>
    <row r="32" spans="1:18" x14ac:dyDescent="0.25">
      <c r="A32" s="2">
        <v>365</v>
      </c>
      <c r="B32" s="7" t="s">
        <v>6841</v>
      </c>
      <c r="C32" s="7" t="s">
        <v>6842</v>
      </c>
      <c r="D32" s="7" t="s">
        <v>6841</v>
      </c>
      <c r="E32" s="7" t="s">
        <v>42</v>
      </c>
      <c r="F32" s="7" t="s">
        <v>6843</v>
      </c>
      <c r="G32" s="17" t="s">
        <v>7747</v>
      </c>
      <c r="H32" s="7" t="s">
        <v>28</v>
      </c>
      <c r="I32" s="7" t="s">
        <v>102</v>
      </c>
      <c r="J32" s="7" t="s">
        <v>103</v>
      </c>
      <c r="K32" s="7" t="s">
        <v>103</v>
      </c>
      <c r="L32" s="7" t="s">
        <v>121</v>
      </c>
      <c r="M32" s="7">
        <v>6.5131139999999998</v>
      </c>
      <c r="N32" s="7">
        <v>12.478317000000001</v>
      </c>
      <c r="O32" s="7" t="s">
        <v>23</v>
      </c>
      <c r="P32" s="3"/>
      <c r="Q32" s="3"/>
      <c r="R32" s="3"/>
    </row>
    <row r="33" spans="1:18" x14ac:dyDescent="0.25">
      <c r="A33" s="2">
        <v>366</v>
      </c>
      <c r="B33" s="7" t="s">
        <v>6844</v>
      </c>
      <c r="C33" s="7" t="s">
        <v>6845</v>
      </c>
      <c r="D33" s="7" t="s">
        <v>6844</v>
      </c>
      <c r="E33" s="7" t="s">
        <v>42</v>
      </c>
      <c r="F33" s="7" t="s">
        <v>6846</v>
      </c>
      <c r="G33" s="17" t="s">
        <v>7747</v>
      </c>
      <c r="H33" s="7" t="s">
        <v>28</v>
      </c>
      <c r="I33" s="7" t="s">
        <v>102</v>
      </c>
      <c r="J33" s="7" t="s">
        <v>103</v>
      </c>
      <c r="K33" s="7" t="s">
        <v>120</v>
      </c>
      <c r="L33" s="7" t="s">
        <v>121</v>
      </c>
      <c r="M33" s="7">
        <v>7.0679689999999997</v>
      </c>
      <c r="N33" s="7">
        <v>11.980188999999999</v>
      </c>
      <c r="O33" s="7" t="s">
        <v>23</v>
      </c>
      <c r="P33" s="3"/>
      <c r="Q33" s="3"/>
      <c r="R33" s="3"/>
    </row>
    <row r="34" spans="1:18" x14ac:dyDescent="0.25">
      <c r="A34" s="2">
        <v>367</v>
      </c>
      <c r="B34" s="7" t="s">
        <v>7113</v>
      </c>
      <c r="C34" s="7" t="s">
        <v>7114</v>
      </c>
      <c r="D34" s="7" t="s">
        <v>7113</v>
      </c>
      <c r="E34" s="7" t="s">
        <v>42</v>
      </c>
      <c r="F34" s="7" t="s">
        <v>7115</v>
      </c>
      <c r="G34" s="17" t="s">
        <v>7747</v>
      </c>
      <c r="H34" s="7" t="s">
        <v>28</v>
      </c>
      <c r="I34" s="7" t="s">
        <v>102</v>
      </c>
      <c r="J34" s="7" t="s">
        <v>7116</v>
      </c>
      <c r="K34" s="7" t="s">
        <v>102</v>
      </c>
      <c r="L34" s="7" t="s">
        <v>121</v>
      </c>
      <c r="M34" s="7">
        <v>6.5259140000000002</v>
      </c>
      <c r="N34" s="7">
        <v>12.614929</v>
      </c>
      <c r="O34" s="7" t="s">
        <v>23</v>
      </c>
      <c r="P34" s="3"/>
      <c r="Q34" s="3"/>
      <c r="R34" s="3"/>
    </row>
    <row r="35" spans="1:18" x14ac:dyDescent="0.25">
      <c r="A35" s="2">
        <v>368</v>
      </c>
      <c r="B35" s="7" t="s">
        <v>7189</v>
      </c>
      <c r="C35" s="7" t="s">
        <v>7190</v>
      </c>
      <c r="D35" s="7" t="s">
        <v>7189</v>
      </c>
      <c r="E35" s="7" t="s">
        <v>42</v>
      </c>
      <c r="F35" s="7" t="s">
        <v>7191</v>
      </c>
      <c r="G35" s="17" t="s">
        <v>7747</v>
      </c>
      <c r="H35" s="7" t="s">
        <v>28</v>
      </c>
      <c r="I35" s="7" t="s">
        <v>102</v>
      </c>
      <c r="J35" s="7" t="s">
        <v>7116</v>
      </c>
      <c r="K35" s="7" t="s">
        <v>102</v>
      </c>
      <c r="L35" s="7" t="s">
        <v>121</v>
      </c>
      <c r="M35" s="7">
        <v>6.5528015000000002</v>
      </c>
      <c r="N35" s="7">
        <v>12.3154298</v>
      </c>
      <c r="O35" s="7" t="s">
        <v>23</v>
      </c>
      <c r="P35" s="3"/>
      <c r="Q35" s="3"/>
      <c r="R35" s="3"/>
    </row>
    <row r="36" spans="1:18" x14ac:dyDescent="0.25">
      <c r="A36" s="2">
        <v>369</v>
      </c>
      <c r="B36" s="7" t="s">
        <v>7205</v>
      </c>
      <c r="C36" s="7" t="s">
        <v>7206</v>
      </c>
      <c r="D36" s="7" t="s">
        <v>7205</v>
      </c>
      <c r="E36" s="7" t="s">
        <v>42</v>
      </c>
      <c r="F36" s="7" t="s">
        <v>7207</v>
      </c>
      <c r="G36" s="17" t="s">
        <v>7747</v>
      </c>
      <c r="H36" s="7" t="s">
        <v>28</v>
      </c>
      <c r="I36" s="7" t="s">
        <v>102</v>
      </c>
      <c r="J36" s="7" t="s">
        <v>7208</v>
      </c>
      <c r="K36" s="7" t="s">
        <v>121</v>
      </c>
      <c r="L36" s="7" t="s">
        <v>121</v>
      </c>
      <c r="M36" s="7">
        <v>6.7046390000000002</v>
      </c>
      <c r="N36" s="7">
        <v>11.91661</v>
      </c>
      <c r="O36" s="7" t="s">
        <v>23</v>
      </c>
      <c r="P36" s="3"/>
      <c r="Q36" s="3"/>
      <c r="R36" s="3"/>
    </row>
    <row r="37" spans="1:18" x14ac:dyDescent="0.25">
      <c r="A37" s="2">
        <v>370</v>
      </c>
      <c r="B37" s="7" t="s">
        <v>7507</v>
      </c>
      <c r="C37" s="7" t="s">
        <v>7508</v>
      </c>
      <c r="D37" s="7" t="s">
        <v>7507</v>
      </c>
      <c r="E37" s="7" t="s">
        <v>42</v>
      </c>
      <c r="F37" s="7" t="s">
        <v>7509</v>
      </c>
      <c r="G37" s="17" t="s">
        <v>7747</v>
      </c>
      <c r="H37" s="7" t="s">
        <v>28</v>
      </c>
      <c r="I37" s="7" t="s">
        <v>102</v>
      </c>
      <c r="J37" s="7" t="s">
        <v>7510</v>
      </c>
      <c r="K37" s="7" t="s">
        <v>7511</v>
      </c>
      <c r="L37" s="7" t="s">
        <v>121</v>
      </c>
      <c r="M37" s="7">
        <v>6.755776</v>
      </c>
      <c r="N37" s="7">
        <v>11.822793000000001</v>
      </c>
      <c r="O37" s="7" t="s">
        <v>23</v>
      </c>
      <c r="P37" s="3"/>
      <c r="Q37" s="3"/>
      <c r="R37" s="3"/>
    </row>
    <row r="38" spans="1:18" x14ac:dyDescent="0.25">
      <c r="A38" s="2">
        <v>372</v>
      </c>
      <c r="B38" s="7" t="s">
        <v>7669</v>
      </c>
      <c r="C38" s="7" t="s">
        <v>7670</v>
      </c>
      <c r="D38" s="7" t="s">
        <v>7669</v>
      </c>
      <c r="E38" s="7" t="s">
        <v>42</v>
      </c>
      <c r="F38" s="7" t="s">
        <v>7671</v>
      </c>
      <c r="G38" s="17" t="s">
        <v>7747</v>
      </c>
      <c r="H38" s="7" t="s">
        <v>28</v>
      </c>
      <c r="I38" s="7" t="s">
        <v>102</v>
      </c>
      <c r="J38" s="7" t="s">
        <v>103</v>
      </c>
      <c r="K38" s="7" t="s">
        <v>103</v>
      </c>
      <c r="L38" s="7" t="s">
        <v>121</v>
      </c>
      <c r="M38" s="10">
        <v>6.4719610000000003</v>
      </c>
      <c r="N38" s="10">
        <v>12.623745</v>
      </c>
      <c r="O38" s="7" t="s">
        <v>23</v>
      </c>
      <c r="P38" s="3"/>
      <c r="Q38" s="3"/>
      <c r="R38" s="3"/>
    </row>
    <row r="39" spans="1:18" ht="30" x14ac:dyDescent="0.25">
      <c r="A39" s="2">
        <v>373</v>
      </c>
      <c r="B39" s="7" t="s">
        <v>7706</v>
      </c>
      <c r="C39" s="7" t="s">
        <v>7707</v>
      </c>
      <c r="D39" s="7" t="s">
        <v>7706</v>
      </c>
      <c r="E39" s="7" t="s">
        <v>42</v>
      </c>
      <c r="F39" s="11" t="s">
        <v>7708</v>
      </c>
      <c r="G39" s="17" t="s">
        <v>7747</v>
      </c>
      <c r="H39" s="7" t="s">
        <v>28</v>
      </c>
      <c r="I39" s="7"/>
      <c r="J39" s="7" t="s">
        <v>7709</v>
      </c>
      <c r="K39" s="7" t="s">
        <v>6447</v>
      </c>
      <c r="L39" s="7" t="s">
        <v>121</v>
      </c>
      <c r="M39" s="12">
        <v>7.0979530000000004</v>
      </c>
      <c r="N39" s="12">
        <v>12.473915</v>
      </c>
      <c r="O39" s="7" t="s">
        <v>23</v>
      </c>
      <c r="P39" s="3"/>
      <c r="Q39" s="3"/>
      <c r="R39" s="3"/>
    </row>
    <row r="40" spans="1:18" x14ac:dyDescent="0.25">
      <c r="A40" s="2">
        <v>374</v>
      </c>
      <c r="B40" s="7" t="s">
        <v>72</v>
      </c>
      <c r="C40" s="7" t="s">
        <v>73</v>
      </c>
      <c r="D40" s="7" t="s">
        <v>72</v>
      </c>
      <c r="E40" s="7" t="s">
        <v>74</v>
      </c>
      <c r="F40" s="7" t="s">
        <v>75</v>
      </c>
      <c r="G40" s="17" t="s">
        <v>7747</v>
      </c>
      <c r="H40" s="7" t="s">
        <v>28</v>
      </c>
      <c r="I40" s="7" t="s">
        <v>76</v>
      </c>
      <c r="J40" s="7" t="s">
        <v>77</v>
      </c>
      <c r="K40" s="7" t="s">
        <v>78</v>
      </c>
      <c r="L40" s="7" t="s">
        <v>79</v>
      </c>
      <c r="M40" s="7">
        <v>5.1848270000000003</v>
      </c>
      <c r="N40" s="7">
        <v>14.000816</v>
      </c>
      <c r="O40" s="7" t="s">
        <v>23</v>
      </c>
      <c r="P40" s="3"/>
      <c r="Q40" s="3"/>
      <c r="R40" s="3"/>
    </row>
    <row r="41" spans="1:18" x14ac:dyDescent="0.25">
      <c r="A41" s="2">
        <v>375</v>
      </c>
      <c r="B41" s="7" t="s">
        <v>210</v>
      </c>
      <c r="C41" s="7" t="s">
        <v>211</v>
      </c>
      <c r="D41" s="7" t="s">
        <v>210</v>
      </c>
      <c r="E41" s="7" t="s">
        <v>74</v>
      </c>
      <c r="F41" s="7" t="s">
        <v>212</v>
      </c>
      <c r="G41" s="17" t="s">
        <v>7747</v>
      </c>
      <c r="H41" s="7" t="s">
        <v>28</v>
      </c>
      <c r="I41" s="7" t="s">
        <v>213</v>
      </c>
      <c r="J41" s="7" t="s">
        <v>214</v>
      </c>
      <c r="K41" s="7" t="s">
        <v>215</v>
      </c>
      <c r="L41" s="7" t="s">
        <v>79</v>
      </c>
      <c r="M41" s="7">
        <v>3.7863699999999998</v>
      </c>
      <c r="N41" s="7">
        <v>14.993912</v>
      </c>
      <c r="O41" s="7" t="s">
        <v>23</v>
      </c>
      <c r="P41" s="3"/>
      <c r="Q41" s="3"/>
      <c r="R41" s="3"/>
    </row>
    <row r="42" spans="1:18" x14ac:dyDescent="0.25">
      <c r="A42" s="2">
        <v>376</v>
      </c>
      <c r="B42" s="7" t="s">
        <v>216</v>
      </c>
      <c r="C42" s="7" t="s">
        <v>217</v>
      </c>
      <c r="D42" s="7" t="s">
        <v>216</v>
      </c>
      <c r="E42" s="7" t="s">
        <v>74</v>
      </c>
      <c r="F42" s="7" t="s">
        <v>218</v>
      </c>
      <c r="G42" s="17" t="s">
        <v>7747</v>
      </c>
      <c r="H42" s="7" t="s">
        <v>28</v>
      </c>
      <c r="I42" s="7" t="s">
        <v>213</v>
      </c>
      <c r="J42" s="7" t="s">
        <v>214</v>
      </c>
      <c r="K42" s="7" t="s">
        <v>219</v>
      </c>
      <c r="L42" s="7" t="s">
        <v>79</v>
      </c>
      <c r="M42" s="7">
        <v>2.6364169999999998</v>
      </c>
      <c r="N42" s="7">
        <v>15.368528</v>
      </c>
      <c r="O42" s="7" t="s">
        <v>23</v>
      </c>
      <c r="P42" s="3"/>
      <c r="Q42" s="3"/>
      <c r="R42" s="3"/>
    </row>
    <row r="43" spans="1:18" x14ac:dyDescent="0.25">
      <c r="A43" s="2">
        <v>377</v>
      </c>
      <c r="B43" s="7" t="s">
        <v>260</v>
      </c>
      <c r="C43" s="7" t="s">
        <v>261</v>
      </c>
      <c r="D43" s="7" t="s">
        <v>260</v>
      </c>
      <c r="E43" s="7" t="s">
        <v>74</v>
      </c>
      <c r="F43" s="7" t="s">
        <v>262</v>
      </c>
      <c r="G43" s="17" t="s">
        <v>7747</v>
      </c>
      <c r="H43" s="7" t="s">
        <v>28</v>
      </c>
      <c r="I43" s="7" t="s">
        <v>263</v>
      </c>
      <c r="J43" s="7" t="s">
        <v>264</v>
      </c>
      <c r="K43" s="7" t="s">
        <v>265</v>
      </c>
      <c r="L43" s="7" t="s">
        <v>79</v>
      </c>
      <c r="M43" s="7">
        <v>5.19977</v>
      </c>
      <c r="N43" s="7">
        <v>14.555227</v>
      </c>
      <c r="O43" s="7" t="s">
        <v>23</v>
      </c>
      <c r="P43" s="3"/>
      <c r="Q43" s="3"/>
      <c r="R43" s="3"/>
    </row>
    <row r="44" spans="1:18" x14ac:dyDescent="0.25">
      <c r="A44" s="2">
        <v>378</v>
      </c>
      <c r="B44" s="7" t="s">
        <v>478</v>
      </c>
      <c r="C44" s="7" t="s">
        <v>479</v>
      </c>
      <c r="D44" s="7" t="s">
        <v>478</v>
      </c>
      <c r="E44" s="7" t="s">
        <v>74</v>
      </c>
      <c r="F44" s="7" t="s">
        <v>480</v>
      </c>
      <c r="G44" s="17" t="s">
        <v>7747</v>
      </c>
      <c r="H44" s="7" t="s">
        <v>28</v>
      </c>
      <c r="I44" s="7" t="s">
        <v>481</v>
      </c>
      <c r="J44" s="7" t="s">
        <v>298</v>
      </c>
      <c r="K44" s="7" t="s">
        <v>480</v>
      </c>
      <c r="L44" s="7" t="s">
        <v>79</v>
      </c>
      <c r="M44" s="7">
        <v>4.5658950000000003</v>
      </c>
      <c r="N44" s="7">
        <v>12.831797</v>
      </c>
      <c r="O44" s="7" t="s">
        <v>23</v>
      </c>
      <c r="P44" s="3"/>
      <c r="Q44" s="3"/>
      <c r="R44" s="3"/>
    </row>
    <row r="45" spans="1:18" x14ac:dyDescent="0.25">
      <c r="A45" s="2">
        <v>379</v>
      </c>
      <c r="B45" s="7" t="s">
        <v>486</v>
      </c>
      <c r="C45" s="7" t="s">
        <v>487</v>
      </c>
      <c r="D45" s="7" t="s">
        <v>486</v>
      </c>
      <c r="E45" s="7" t="s">
        <v>74</v>
      </c>
      <c r="F45" s="7" t="s">
        <v>488</v>
      </c>
      <c r="G45" s="17" t="s">
        <v>7747</v>
      </c>
      <c r="H45" s="7" t="s">
        <v>28</v>
      </c>
      <c r="I45" s="7" t="s">
        <v>263</v>
      </c>
      <c r="J45" s="7" t="s">
        <v>264</v>
      </c>
      <c r="K45" s="7" t="s">
        <v>489</v>
      </c>
      <c r="L45" s="7" t="s">
        <v>79</v>
      </c>
      <c r="M45" s="7">
        <v>4.1020000000000003</v>
      </c>
      <c r="N45" s="7">
        <v>14.574638999999999</v>
      </c>
      <c r="O45" s="7" t="s">
        <v>23</v>
      </c>
      <c r="P45" s="3"/>
      <c r="Q45" s="3"/>
      <c r="R45" s="3"/>
    </row>
    <row r="46" spans="1:18" x14ac:dyDescent="0.25">
      <c r="A46" s="2">
        <v>380</v>
      </c>
      <c r="B46" s="7" t="s">
        <v>498</v>
      </c>
      <c r="C46" s="7" t="s">
        <v>499</v>
      </c>
      <c r="D46" s="7" t="s">
        <v>498</v>
      </c>
      <c r="E46" s="7" t="s">
        <v>250</v>
      </c>
      <c r="F46" s="7" t="s">
        <v>500</v>
      </c>
      <c r="G46" s="17" t="s">
        <v>7747</v>
      </c>
      <c r="H46" s="7" t="s">
        <v>28</v>
      </c>
      <c r="I46" s="7" t="s">
        <v>252</v>
      </c>
      <c r="J46" s="7" t="s">
        <v>253</v>
      </c>
      <c r="K46" s="7" t="s">
        <v>501</v>
      </c>
      <c r="L46" s="7" t="s">
        <v>79</v>
      </c>
      <c r="M46" s="7">
        <v>2.6893099999999999</v>
      </c>
      <c r="N46" s="7">
        <v>13.18544</v>
      </c>
      <c r="O46" s="7" t="s">
        <v>23</v>
      </c>
      <c r="P46" s="3"/>
      <c r="Q46" s="3"/>
      <c r="R46" s="3"/>
    </row>
    <row r="47" spans="1:18" x14ac:dyDescent="0.25">
      <c r="A47" s="2">
        <v>381</v>
      </c>
      <c r="B47" s="7" t="s">
        <v>564</v>
      </c>
      <c r="C47" s="7" t="s">
        <v>565</v>
      </c>
      <c r="D47" s="7" t="s">
        <v>564</v>
      </c>
      <c r="E47" s="7" t="s">
        <v>74</v>
      </c>
      <c r="F47" s="7" t="s">
        <v>566</v>
      </c>
      <c r="G47" s="17" t="s">
        <v>7747</v>
      </c>
      <c r="H47" s="7" t="s">
        <v>28</v>
      </c>
      <c r="I47" s="7" t="s">
        <v>567</v>
      </c>
      <c r="J47" s="7" t="s">
        <v>568</v>
      </c>
      <c r="K47" s="7" t="s">
        <v>569</v>
      </c>
      <c r="L47" s="7" t="s">
        <v>79</v>
      </c>
      <c r="M47" s="7">
        <v>4.0102909999999996</v>
      </c>
      <c r="N47" s="7">
        <v>13.004276000000001</v>
      </c>
      <c r="O47" s="7" t="s">
        <v>23</v>
      </c>
      <c r="P47" s="3"/>
      <c r="Q47" s="3"/>
      <c r="R47" s="3"/>
    </row>
    <row r="48" spans="1:18" x14ac:dyDescent="0.25">
      <c r="A48" s="2">
        <v>382</v>
      </c>
      <c r="B48" s="7" t="s">
        <v>636</v>
      </c>
      <c r="C48" s="7" t="s">
        <v>637</v>
      </c>
      <c r="D48" s="7" t="s">
        <v>636</v>
      </c>
      <c r="E48" s="7" t="s">
        <v>74</v>
      </c>
      <c r="F48" s="7" t="s">
        <v>638</v>
      </c>
      <c r="G48" s="17" t="s">
        <v>7747</v>
      </c>
      <c r="H48" s="7" t="s">
        <v>28</v>
      </c>
      <c r="I48" s="7" t="s">
        <v>79</v>
      </c>
      <c r="J48" s="7" t="s">
        <v>77</v>
      </c>
      <c r="K48" s="7" t="s">
        <v>639</v>
      </c>
      <c r="L48" s="7" t="s">
        <v>79</v>
      </c>
      <c r="M48" s="7">
        <v>4.4727499999999996</v>
      </c>
      <c r="N48" s="7">
        <v>13.620556000000001</v>
      </c>
      <c r="O48" s="7" t="s">
        <v>23</v>
      </c>
      <c r="P48" s="3"/>
      <c r="Q48" s="3"/>
      <c r="R48" s="3"/>
    </row>
    <row r="49" spans="1:18" x14ac:dyDescent="0.25">
      <c r="A49" s="2">
        <v>383</v>
      </c>
      <c r="B49" s="7" t="s">
        <v>682</v>
      </c>
      <c r="C49" s="7" t="s">
        <v>683</v>
      </c>
      <c r="D49" s="7" t="s">
        <v>682</v>
      </c>
      <c r="E49" s="7" t="s">
        <v>74</v>
      </c>
      <c r="F49" s="7" t="s">
        <v>684</v>
      </c>
      <c r="G49" s="17" t="s">
        <v>7747</v>
      </c>
      <c r="H49" s="7" t="s">
        <v>28</v>
      </c>
      <c r="I49" s="7" t="s">
        <v>567</v>
      </c>
      <c r="J49" s="7" t="s">
        <v>568</v>
      </c>
      <c r="K49" s="7" t="s">
        <v>685</v>
      </c>
      <c r="L49" s="7" t="s">
        <v>79</v>
      </c>
      <c r="M49" s="7">
        <v>4.3124719999999996</v>
      </c>
      <c r="N49" s="7">
        <v>13.507417</v>
      </c>
      <c r="O49" s="7" t="s">
        <v>23</v>
      </c>
      <c r="P49" s="3"/>
      <c r="Q49" s="3"/>
      <c r="R49" s="3"/>
    </row>
    <row r="50" spans="1:18" x14ac:dyDescent="0.25">
      <c r="A50" s="2">
        <v>384</v>
      </c>
      <c r="B50" s="7" t="s">
        <v>689</v>
      </c>
      <c r="C50" s="7" t="s">
        <v>690</v>
      </c>
      <c r="D50" s="7" t="s">
        <v>689</v>
      </c>
      <c r="E50" s="7" t="s">
        <v>74</v>
      </c>
      <c r="F50" s="7" t="s">
        <v>691</v>
      </c>
      <c r="G50" s="17" t="s">
        <v>7747</v>
      </c>
      <c r="H50" s="7" t="s">
        <v>28</v>
      </c>
      <c r="I50" s="7" t="s">
        <v>79</v>
      </c>
      <c r="J50" s="7" t="s">
        <v>77</v>
      </c>
      <c r="K50" s="7" t="s">
        <v>692</v>
      </c>
      <c r="L50" s="7" t="s">
        <v>79</v>
      </c>
      <c r="M50" s="7">
        <v>4.6361619999999997</v>
      </c>
      <c r="N50" s="7">
        <v>13.778363000000001</v>
      </c>
      <c r="O50" s="7" t="s">
        <v>23</v>
      </c>
      <c r="P50" s="3"/>
      <c r="Q50" s="3"/>
      <c r="R50" s="3"/>
    </row>
    <row r="51" spans="1:18" x14ac:dyDescent="0.25">
      <c r="A51" s="2">
        <v>385</v>
      </c>
      <c r="B51" s="7" t="s">
        <v>707</v>
      </c>
      <c r="C51" s="7" t="s">
        <v>708</v>
      </c>
      <c r="D51" s="7" t="s">
        <v>707</v>
      </c>
      <c r="E51" s="7" t="s">
        <v>74</v>
      </c>
      <c r="F51" s="7" t="s">
        <v>709</v>
      </c>
      <c r="G51" s="17" t="s">
        <v>7747</v>
      </c>
      <c r="H51" s="7" t="s">
        <v>28</v>
      </c>
      <c r="I51" s="7" t="s">
        <v>213</v>
      </c>
      <c r="J51" s="7" t="s">
        <v>710</v>
      </c>
      <c r="K51" s="7" t="s">
        <v>711</v>
      </c>
      <c r="L51" s="7" t="s">
        <v>79</v>
      </c>
      <c r="M51" s="7">
        <v>2.2778999999999998</v>
      </c>
      <c r="N51" s="7">
        <v>15.34802</v>
      </c>
      <c r="O51" s="7" t="s">
        <v>23</v>
      </c>
      <c r="P51" s="3"/>
      <c r="Q51" s="3"/>
      <c r="R51" s="3"/>
    </row>
    <row r="52" spans="1:18" x14ac:dyDescent="0.25">
      <c r="A52" s="2">
        <v>386</v>
      </c>
      <c r="B52" s="7" t="s">
        <v>744</v>
      </c>
      <c r="C52" s="7" t="s">
        <v>745</v>
      </c>
      <c r="D52" s="7" t="s">
        <v>744</v>
      </c>
      <c r="E52" s="7" t="s">
        <v>74</v>
      </c>
      <c r="F52" s="7" t="s">
        <v>78</v>
      </c>
      <c r="G52" s="17" t="s">
        <v>7747</v>
      </c>
      <c r="H52" s="7" t="s">
        <v>28</v>
      </c>
      <c r="I52" s="7" t="s">
        <v>76</v>
      </c>
      <c r="J52" s="7" t="s">
        <v>77</v>
      </c>
      <c r="K52" s="7" t="s">
        <v>78</v>
      </c>
      <c r="L52" s="7" t="s">
        <v>79</v>
      </c>
      <c r="M52" s="7">
        <v>4.884315</v>
      </c>
      <c r="N52" s="7">
        <v>14.241692</v>
      </c>
      <c r="O52" s="7" t="s">
        <v>23</v>
      </c>
      <c r="P52" s="3"/>
      <c r="Q52" s="3"/>
      <c r="R52" s="3"/>
    </row>
    <row r="53" spans="1:18" x14ac:dyDescent="0.25">
      <c r="A53" s="2">
        <v>387</v>
      </c>
      <c r="B53" s="7" t="s">
        <v>749</v>
      </c>
      <c r="C53" s="7" t="s">
        <v>750</v>
      </c>
      <c r="D53" s="7" t="s">
        <v>749</v>
      </c>
      <c r="E53" s="7" t="s">
        <v>74</v>
      </c>
      <c r="F53" s="7" t="s">
        <v>751</v>
      </c>
      <c r="G53" s="17" t="s">
        <v>7747</v>
      </c>
      <c r="H53" s="7" t="s">
        <v>28</v>
      </c>
      <c r="I53" s="7" t="s">
        <v>263</v>
      </c>
      <c r="J53" s="7" t="s">
        <v>264</v>
      </c>
      <c r="K53" s="7" t="s">
        <v>265</v>
      </c>
      <c r="L53" s="7" t="s">
        <v>79</v>
      </c>
      <c r="M53" s="7">
        <v>4.6994179999999997</v>
      </c>
      <c r="N53" s="7">
        <v>14.709052</v>
      </c>
      <c r="O53" s="7" t="s">
        <v>23</v>
      </c>
      <c r="P53" s="3"/>
      <c r="Q53" s="3"/>
      <c r="R53" s="3"/>
    </row>
    <row r="54" spans="1:18" x14ac:dyDescent="0.25">
      <c r="A54" s="2">
        <v>388</v>
      </c>
      <c r="B54" s="7" t="s">
        <v>860</v>
      </c>
      <c r="C54" s="7" t="s">
        <v>861</v>
      </c>
      <c r="D54" s="7" t="s">
        <v>860</v>
      </c>
      <c r="E54" s="7" t="s">
        <v>74</v>
      </c>
      <c r="F54" s="7" t="s">
        <v>862</v>
      </c>
      <c r="G54" s="17" t="s">
        <v>7747</v>
      </c>
      <c r="H54" s="7" t="s">
        <v>28</v>
      </c>
      <c r="I54" s="7" t="s">
        <v>567</v>
      </c>
      <c r="J54" s="7" t="s">
        <v>568</v>
      </c>
      <c r="K54" s="7" t="s">
        <v>863</v>
      </c>
      <c r="L54" s="7" t="s">
        <v>79</v>
      </c>
      <c r="M54" s="7">
        <v>4.3394630000000003</v>
      </c>
      <c r="N54" s="7">
        <v>13.103797</v>
      </c>
      <c r="O54" s="7" t="s">
        <v>23</v>
      </c>
      <c r="P54" s="3"/>
      <c r="Q54" s="3"/>
      <c r="R54" s="3"/>
    </row>
    <row r="55" spans="1:18" x14ac:dyDescent="0.25">
      <c r="A55" s="2">
        <v>389</v>
      </c>
      <c r="B55" s="7" t="s">
        <v>901</v>
      </c>
      <c r="C55" s="7" t="s">
        <v>902</v>
      </c>
      <c r="D55" s="7" t="s">
        <v>901</v>
      </c>
      <c r="E55" s="7" t="s">
        <v>74</v>
      </c>
      <c r="F55" s="7" t="s">
        <v>903</v>
      </c>
      <c r="G55" s="17" t="s">
        <v>7747</v>
      </c>
      <c r="H55" s="7" t="s">
        <v>28</v>
      </c>
      <c r="I55" s="7" t="s">
        <v>79</v>
      </c>
      <c r="J55" s="7" t="s">
        <v>904</v>
      </c>
      <c r="K55" s="7" t="s">
        <v>905</v>
      </c>
      <c r="L55" s="7" t="s">
        <v>79</v>
      </c>
      <c r="M55" s="7">
        <v>5.1926670000000001</v>
      </c>
      <c r="N55" s="7">
        <v>13.525722</v>
      </c>
      <c r="O55" s="7" t="s">
        <v>23</v>
      </c>
      <c r="P55" s="3"/>
      <c r="Q55" s="3"/>
      <c r="R55" s="3"/>
    </row>
    <row r="56" spans="1:18" x14ac:dyDescent="0.25">
      <c r="A56" s="2">
        <v>390</v>
      </c>
      <c r="B56" s="7" t="s">
        <v>940</v>
      </c>
      <c r="C56" s="7" t="s">
        <v>941</v>
      </c>
      <c r="D56" s="7" t="s">
        <v>940</v>
      </c>
      <c r="E56" s="7" t="s">
        <v>74</v>
      </c>
      <c r="F56" s="7" t="s">
        <v>942</v>
      </c>
      <c r="G56" s="17" t="s">
        <v>7747</v>
      </c>
      <c r="H56" s="7" t="s">
        <v>28</v>
      </c>
      <c r="I56" s="7" t="s">
        <v>263</v>
      </c>
      <c r="J56" s="7" t="s">
        <v>943</v>
      </c>
      <c r="K56" s="7" t="s">
        <v>944</v>
      </c>
      <c r="L56" s="7" t="s">
        <v>79</v>
      </c>
      <c r="M56" s="7">
        <v>4.711417</v>
      </c>
      <c r="N56" s="7">
        <v>14.592556</v>
      </c>
      <c r="O56" s="7" t="s">
        <v>23</v>
      </c>
      <c r="P56" s="3"/>
      <c r="Q56" s="3"/>
      <c r="R56" s="3"/>
    </row>
    <row r="57" spans="1:18" x14ac:dyDescent="0.25">
      <c r="A57" s="2">
        <v>391</v>
      </c>
      <c r="B57" s="7" t="s">
        <v>986</v>
      </c>
      <c r="C57" s="7" t="s">
        <v>987</v>
      </c>
      <c r="D57" s="7" t="s">
        <v>986</v>
      </c>
      <c r="E57" s="7" t="s">
        <v>74</v>
      </c>
      <c r="F57" s="7" t="s">
        <v>988</v>
      </c>
      <c r="G57" s="17" t="s">
        <v>7747</v>
      </c>
      <c r="H57" s="7" t="s">
        <v>28</v>
      </c>
      <c r="I57" s="7" t="s">
        <v>481</v>
      </c>
      <c r="J57" s="7" t="s">
        <v>298</v>
      </c>
      <c r="K57" s="7" t="s">
        <v>989</v>
      </c>
      <c r="L57" s="7" t="s">
        <v>79</v>
      </c>
      <c r="M57" s="7">
        <v>4.8650739999999999</v>
      </c>
      <c r="N57" s="7">
        <v>12.835894</v>
      </c>
      <c r="O57" s="7" t="s">
        <v>23</v>
      </c>
      <c r="P57" s="3"/>
      <c r="Q57" s="3"/>
      <c r="R57" s="3"/>
    </row>
    <row r="58" spans="1:18" x14ac:dyDescent="0.25">
      <c r="A58" s="2">
        <v>392</v>
      </c>
      <c r="B58" s="7" t="s">
        <v>1299</v>
      </c>
      <c r="C58" s="7" t="s">
        <v>1300</v>
      </c>
      <c r="D58" s="7" t="s">
        <v>1299</v>
      </c>
      <c r="E58" s="7" t="s">
        <v>74</v>
      </c>
      <c r="F58" s="7" t="s">
        <v>1301</v>
      </c>
      <c r="G58" s="17" t="s">
        <v>7747</v>
      </c>
      <c r="H58" s="7" t="s">
        <v>28</v>
      </c>
      <c r="I58" s="7" t="s">
        <v>79</v>
      </c>
      <c r="J58" s="7" t="s">
        <v>77</v>
      </c>
      <c r="K58" s="7" t="s">
        <v>1302</v>
      </c>
      <c r="L58" s="7" t="s">
        <v>79</v>
      </c>
      <c r="M58" s="7">
        <v>4.5829120000000003</v>
      </c>
      <c r="N58" s="7">
        <v>13.681293</v>
      </c>
      <c r="O58" s="7" t="s">
        <v>23</v>
      </c>
      <c r="P58" s="3"/>
      <c r="Q58" s="3"/>
      <c r="R58" s="3"/>
    </row>
    <row r="59" spans="1:18" x14ac:dyDescent="0.25">
      <c r="A59" s="2">
        <v>393</v>
      </c>
      <c r="B59" s="7" t="s">
        <v>1338</v>
      </c>
      <c r="C59" s="7" t="s">
        <v>1339</v>
      </c>
      <c r="D59" s="7" t="s">
        <v>1338</v>
      </c>
      <c r="E59" s="7" t="s">
        <v>74</v>
      </c>
      <c r="F59" s="7" t="s">
        <v>1340</v>
      </c>
      <c r="G59" s="17" t="s">
        <v>7747</v>
      </c>
      <c r="H59" s="7" t="s">
        <v>28</v>
      </c>
      <c r="I59" s="7" t="s">
        <v>79</v>
      </c>
      <c r="J59" s="7" t="s">
        <v>1341</v>
      </c>
      <c r="K59" s="7" t="s">
        <v>639</v>
      </c>
      <c r="L59" s="7" t="s">
        <v>79</v>
      </c>
      <c r="M59" s="7">
        <v>4.5831090000000003</v>
      </c>
      <c r="N59" s="7">
        <v>13.669368</v>
      </c>
      <c r="O59" s="7" t="s">
        <v>23</v>
      </c>
      <c r="P59" s="3"/>
      <c r="Q59" s="3"/>
      <c r="R59" s="3"/>
    </row>
    <row r="60" spans="1:18" x14ac:dyDescent="0.25">
      <c r="A60" s="2">
        <v>394</v>
      </c>
      <c r="B60" s="7" t="s">
        <v>1412</v>
      </c>
      <c r="C60" s="7" t="s">
        <v>1413</v>
      </c>
      <c r="D60" s="7" t="s">
        <v>1412</v>
      </c>
      <c r="E60" s="7" t="s">
        <v>74</v>
      </c>
      <c r="F60" s="7" t="s">
        <v>1414</v>
      </c>
      <c r="G60" s="17" t="s">
        <v>7747</v>
      </c>
      <c r="H60" s="7" t="s">
        <v>28</v>
      </c>
      <c r="I60" s="7" t="s">
        <v>79</v>
      </c>
      <c r="J60" s="7" t="s">
        <v>77</v>
      </c>
      <c r="K60" s="7" t="s">
        <v>1415</v>
      </c>
      <c r="L60" s="7" t="s">
        <v>79</v>
      </c>
      <c r="M60" s="7">
        <v>4.5874870000000003</v>
      </c>
      <c r="N60" s="7">
        <v>13.727865</v>
      </c>
      <c r="O60" s="7" t="s">
        <v>23</v>
      </c>
      <c r="P60" s="3"/>
      <c r="Q60" s="3"/>
      <c r="R60" s="3"/>
    </row>
    <row r="61" spans="1:18" x14ac:dyDescent="0.25">
      <c r="A61" s="2">
        <v>395</v>
      </c>
      <c r="B61" s="7" t="s">
        <v>1419</v>
      </c>
      <c r="C61" s="7" t="s">
        <v>1420</v>
      </c>
      <c r="D61" s="7" t="s">
        <v>1419</v>
      </c>
      <c r="E61" s="7" t="s">
        <v>74</v>
      </c>
      <c r="F61" s="7" t="s">
        <v>1421</v>
      </c>
      <c r="G61" s="17" t="s">
        <v>7747</v>
      </c>
      <c r="H61" s="7" t="s">
        <v>28</v>
      </c>
      <c r="I61" s="7" t="s">
        <v>567</v>
      </c>
      <c r="J61" s="7" t="s">
        <v>568</v>
      </c>
      <c r="K61" s="7" t="s">
        <v>569</v>
      </c>
      <c r="L61" s="7" t="s">
        <v>79</v>
      </c>
      <c r="M61" s="7">
        <v>4.0113029999999998</v>
      </c>
      <c r="N61" s="7">
        <v>13.183552000000001</v>
      </c>
      <c r="O61" s="7" t="s">
        <v>23</v>
      </c>
      <c r="P61" s="3"/>
      <c r="Q61" s="3"/>
      <c r="R61" s="3"/>
    </row>
    <row r="62" spans="1:18" x14ac:dyDescent="0.25">
      <c r="A62" s="2">
        <v>396</v>
      </c>
      <c r="B62" s="7" t="s">
        <v>1442</v>
      </c>
      <c r="C62" s="7" t="s">
        <v>1443</v>
      </c>
      <c r="D62" s="7" t="s">
        <v>1442</v>
      </c>
      <c r="E62" s="7" t="s">
        <v>74</v>
      </c>
      <c r="F62" s="7" t="s">
        <v>1444</v>
      </c>
      <c r="G62" s="17" t="s">
        <v>7747</v>
      </c>
      <c r="H62" s="7" t="s">
        <v>28</v>
      </c>
      <c r="I62" s="7" t="s">
        <v>79</v>
      </c>
      <c r="J62" s="7" t="s">
        <v>77</v>
      </c>
      <c r="K62" s="7" t="s">
        <v>639</v>
      </c>
      <c r="L62" s="7" t="s">
        <v>79</v>
      </c>
      <c r="M62" s="7">
        <v>4.5628099999999998</v>
      </c>
      <c r="N62" s="7">
        <v>13.65113</v>
      </c>
      <c r="O62" s="7" t="s">
        <v>23</v>
      </c>
      <c r="P62" s="3"/>
      <c r="Q62" s="3"/>
      <c r="R62" s="3"/>
    </row>
    <row r="63" spans="1:18" x14ac:dyDescent="0.25">
      <c r="A63" s="2">
        <v>397</v>
      </c>
      <c r="B63" s="7" t="s">
        <v>1665</v>
      </c>
      <c r="C63" s="7" t="s">
        <v>1666</v>
      </c>
      <c r="D63" s="7" t="s">
        <v>1665</v>
      </c>
      <c r="E63" s="7" t="s">
        <v>74</v>
      </c>
      <c r="F63" s="7" t="s">
        <v>1667</v>
      </c>
      <c r="G63" s="17" t="s">
        <v>7747</v>
      </c>
      <c r="H63" s="7" t="s">
        <v>28</v>
      </c>
      <c r="I63" s="7" t="s">
        <v>481</v>
      </c>
      <c r="J63" s="7" t="s">
        <v>298</v>
      </c>
      <c r="K63" s="7" t="s">
        <v>480</v>
      </c>
      <c r="L63" s="7" t="s">
        <v>79</v>
      </c>
      <c r="M63" s="7">
        <v>4.6094330000000001</v>
      </c>
      <c r="N63" s="7">
        <v>13.130236999999999</v>
      </c>
      <c r="O63" s="7" t="s">
        <v>23</v>
      </c>
      <c r="P63" s="3"/>
      <c r="Q63" s="3"/>
      <c r="R63" s="3"/>
    </row>
    <row r="64" spans="1:18" x14ac:dyDescent="0.25">
      <c r="A64" s="2">
        <v>398</v>
      </c>
      <c r="B64" s="7" t="s">
        <v>1775</v>
      </c>
      <c r="C64" s="7" t="s">
        <v>1776</v>
      </c>
      <c r="D64" s="7" t="s">
        <v>1775</v>
      </c>
      <c r="E64" s="7" t="s">
        <v>74</v>
      </c>
      <c r="F64" s="7" t="s">
        <v>1777</v>
      </c>
      <c r="G64" s="17" t="s">
        <v>7747</v>
      </c>
      <c r="H64" s="7" t="s">
        <v>28</v>
      </c>
      <c r="I64" s="7" t="s">
        <v>213</v>
      </c>
      <c r="J64" s="7" t="s">
        <v>1778</v>
      </c>
      <c r="K64" s="7" t="s">
        <v>1779</v>
      </c>
      <c r="L64" s="7" t="s">
        <v>79</v>
      </c>
      <c r="M64" s="7">
        <v>3.5266000000000002</v>
      </c>
      <c r="N64" s="7">
        <v>15.0512</v>
      </c>
      <c r="O64" s="7" t="s">
        <v>23</v>
      </c>
      <c r="P64" s="3"/>
      <c r="Q64" s="3"/>
      <c r="R64" s="3"/>
    </row>
    <row r="65" spans="1:18" x14ac:dyDescent="0.25">
      <c r="A65" s="2">
        <v>399</v>
      </c>
      <c r="B65" s="7" t="s">
        <v>1897</v>
      </c>
      <c r="C65" s="7" t="s">
        <v>1898</v>
      </c>
      <c r="D65" s="7" t="s">
        <v>1897</v>
      </c>
      <c r="E65" s="7" t="s">
        <v>74</v>
      </c>
      <c r="F65" s="7" t="s">
        <v>1899</v>
      </c>
      <c r="G65" s="17" t="s">
        <v>7747</v>
      </c>
      <c r="H65" s="7" t="s">
        <v>19</v>
      </c>
      <c r="I65" s="7" t="s">
        <v>213</v>
      </c>
      <c r="J65" s="7" t="s">
        <v>214</v>
      </c>
      <c r="K65" s="7" t="s">
        <v>219</v>
      </c>
      <c r="L65" s="7" t="s">
        <v>79</v>
      </c>
      <c r="M65" s="7">
        <v>2.6892299999999998</v>
      </c>
      <c r="N65" s="7">
        <v>15.4604</v>
      </c>
      <c r="O65" s="7" t="s">
        <v>23</v>
      </c>
      <c r="P65" s="3"/>
      <c r="Q65" s="3"/>
      <c r="R65" s="3"/>
    </row>
    <row r="66" spans="1:18" x14ac:dyDescent="0.25">
      <c r="A66" s="2">
        <v>400</v>
      </c>
      <c r="B66" s="7" t="s">
        <v>1934</v>
      </c>
      <c r="C66" s="7" t="s">
        <v>1935</v>
      </c>
      <c r="D66" s="7" t="s">
        <v>1934</v>
      </c>
      <c r="E66" s="7" t="s">
        <v>74</v>
      </c>
      <c r="F66" s="7" t="s">
        <v>1936</v>
      </c>
      <c r="G66" s="17" t="s">
        <v>7747</v>
      </c>
      <c r="H66" s="7" t="s">
        <v>28</v>
      </c>
      <c r="I66" s="7" t="s">
        <v>79</v>
      </c>
      <c r="J66" s="7" t="s">
        <v>1937</v>
      </c>
      <c r="K66" s="7" t="s">
        <v>1415</v>
      </c>
      <c r="L66" s="7" t="s">
        <v>79</v>
      </c>
      <c r="M66" s="7">
        <v>4.5047819999999996</v>
      </c>
      <c r="N66" s="7">
        <v>13.977182000000001</v>
      </c>
      <c r="O66" s="7" t="s">
        <v>23</v>
      </c>
      <c r="P66" s="3"/>
      <c r="Q66" s="3"/>
      <c r="R66" s="3"/>
    </row>
    <row r="67" spans="1:18" x14ac:dyDescent="0.25">
      <c r="A67" s="2">
        <v>401</v>
      </c>
      <c r="B67" s="7" t="s">
        <v>1970</v>
      </c>
      <c r="C67" s="7" t="s">
        <v>1971</v>
      </c>
      <c r="D67" s="7" t="s">
        <v>1970</v>
      </c>
      <c r="E67" s="7" t="s">
        <v>74</v>
      </c>
      <c r="F67" s="7" t="s">
        <v>1972</v>
      </c>
      <c r="G67" s="17" t="s">
        <v>7747</v>
      </c>
      <c r="H67" s="7" t="s">
        <v>28</v>
      </c>
      <c r="I67" s="7" t="s">
        <v>79</v>
      </c>
      <c r="J67" s="7" t="s">
        <v>77</v>
      </c>
      <c r="K67" s="7" t="s">
        <v>1302</v>
      </c>
      <c r="L67" s="7" t="s">
        <v>79</v>
      </c>
      <c r="M67" s="7">
        <v>4.5628820000000001</v>
      </c>
      <c r="N67" s="7">
        <v>13.696778</v>
      </c>
      <c r="O67" s="7" t="s">
        <v>23</v>
      </c>
      <c r="P67" s="3"/>
      <c r="Q67" s="3"/>
      <c r="R67" s="3"/>
    </row>
    <row r="68" spans="1:18" x14ac:dyDescent="0.25">
      <c r="A68" s="2">
        <v>402</v>
      </c>
      <c r="B68" s="7" t="s">
        <v>1979</v>
      </c>
      <c r="C68" s="7" t="s">
        <v>1980</v>
      </c>
      <c r="D68" s="7" t="s">
        <v>1979</v>
      </c>
      <c r="E68" s="7" t="s">
        <v>74</v>
      </c>
      <c r="F68" s="7" t="s">
        <v>1981</v>
      </c>
      <c r="G68" s="17" t="s">
        <v>7747</v>
      </c>
      <c r="H68" s="7" t="s">
        <v>28</v>
      </c>
      <c r="I68" s="7" t="s">
        <v>567</v>
      </c>
      <c r="J68" s="7" t="s">
        <v>568</v>
      </c>
      <c r="K68" s="7" t="s">
        <v>569</v>
      </c>
      <c r="L68" s="7" t="s">
        <v>79</v>
      </c>
      <c r="M68" s="7">
        <v>4.010872</v>
      </c>
      <c r="N68" s="7">
        <v>13.063677</v>
      </c>
      <c r="O68" s="7" t="s">
        <v>23</v>
      </c>
      <c r="P68" s="3"/>
      <c r="Q68" s="3"/>
      <c r="R68" s="3"/>
    </row>
    <row r="69" spans="1:18" x14ac:dyDescent="0.25">
      <c r="A69" s="2">
        <v>403</v>
      </c>
      <c r="B69" s="7" t="s">
        <v>1985</v>
      </c>
      <c r="C69" s="7" t="s">
        <v>1986</v>
      </c>
      <c r="D69" s="7" t="s">
        <v>1985</v>
      </c>
      <c r="E69" s="7" t="s">
        <v>182</v>
      </c>
      <c r="F69" s="7" t="s">
        <v>1987</v>
      </c>
      <c r="G69" s="17" t="s">
        <v>7747</v>
      </c>
      <c r="H69" s="7" t="s">
        <v>19</v>
      </c>
      <c r="I69" s="7" t="s">
        <v>817</v>
      </c>
      <c r="J69" s="7" t="s">
        <v>568</v>
      </c>
      <c r="K69" s="7" t="s">
        <v>1988</v>
      </c>
      <c r="L69" s="7" t="s">
        <v>79</v>
      </c>
      <c r="M69" s="7">
        <v>3.9936180000000001</v>
      </c>
      <c r="N69" s="7">
        <v>12.775784</v>
      </c>
      <c r="O69" s="7" t="s">
        <v>23</v>
      </c>
      <c r="P69" s="3"/>
      <c r="Q69" s="3"/>
      <c r="R69" s="3"/>
    </row>
    <row r="70" spans="1:18" x14ac:dyDescent="0.25">
      <c r="A70" s="2">
        <v>404</v>
      </c>
      <c r="B70" s="7" t="s">
        <v>2017</v>
      </c>
      <c r="C70" s="7" t="s">
        <v>2018</v>
      </c>
      <c r="D70" s="7" t="s">
        <v>2017</v>
      </c>
      <c r="E70" s="7" t="s">
        <v>74</v>
      </c>
      <c r="F70" s="7" t="s">
        <v>2019</v>
      </c>
      <c r="G70" s="17" t="s">
        <v>7747</v>
      </c>
      <c r="H70" s="7" t="s">
        <v>19</v>
      </c>
      <c r="I70" s="7" t="s">
        <v>263</v>
      </c>
      <c r="J70" s="7" t="s">
        <v>1937</v>
      </c>
      <c r="K70" s="7" t="s">
        <v>2020</v>
      </c>
      <c r="L70" s="7" t="s">
        <v>79</v>
      </c>
      <c r="M70" s="7">
        <v>4.4625700000000004</v>
      </c>
      <c r="N70" s="7">
        <v>14.141220000000001</v>
      </c>
      <c r="O70" s="7" t="s">
        <v>23</v>
      </c>
      <c r="P70" s="3"/>
      <c r="Q70" s="3"/>
      <c r="R70" s="3"/>
    </row>
    <row r="71" spans="1:18" x14ac:dyDescent="0.25">
      <c r="A71" s="2">
        <v>405</v>
      </c>
      <c r="B71" s="7" t="s">
        <v>2148</v>
      </c>
      <c r="C71" s="7" t="s">
        <v>2149</v>
      </c>
      <c r="D71" s="7" t="s">
        <v>2148</v>
      </c>
      <c r="E71" s="7" t="s">
        <v>74</v>
      </c>
      <c r="F71" s="7" t="s">
        <v>2150</v>
      </c>
      <c r="G71" s="17" t="s">
        <v>7747</v>
      </c>
      <c r="H71" s="7" t="s">
        <v>19</v>
      </c>
      <c r="I71" s="7" t="s">
        <v>263</v>
      </c>
      <c r="J71" s="7" t="s">
        <v>1778</v>
      </c>
      <c r="K71" s="7" t="s">
        <v>2020</v>
      </c>
      <c r="L71" s="7" t="s">
        <v>79</v>
      </c>
      <c r="M71" s="7">
        <v>4.4371400000000003</v>
      </c>
      <c r="N71" s="7">
        <v>14.36679</v>
      </c>
      <c r="O71" s="7" t="s">
        <v>23</v>
      </c>
      <c r="P71" s="3"/>
      <c r="Q71" s="3"/>
      <c r="R71" s="3"/>
    </row>
    <row r="72" spans="1:18" x14ac:dyDescent="0.25">
      <c r="A72" s="2">
        <v>406</v>
      </c>
      <c r="B72" s="7" t="s">
        <v>2294</v>
      </c>
      <c r="C72" s="7" t="s">
        <v>2295</v>
      </c>
      <c r="D72" s="7" t="s">
        <v>2294</v>
      </c>
      <c r="E72" s="7" t="s">
        <v>74</v>
      </c>
      <c r="F72" s="7" t="s">
        <v>2296</v>
      </c>
      <c r="G72" s="17" t="s">
        <v>7747</v>
      </c>
      <c r="H72" s="7" t="s">
        <v>28</v>
      </c>
      <c r="I72" s="7" t="s">
        <v>79</v>
      </c>
      <c r="J72" s="7" t="s">
        <v>77</v>
      </c>
      <c r="K72" s="7" t="s">
        <v>1302</v>
      </c>
      <c r="L72" s="7" t="s">
        <v>79</v>
      </c>
      <c r="M72" s="7">
        <v>4.5953499999999998</v>
      </c>
      <c r="N72" s="7">
        <v>13.683579999999999</v>
      </c>
      <c r="O72" s="7" t="s">
        <v>23</v>
      </c>
      <c r="P72" s="3"/>
      <c r="Q72" s="3"/>
      <c r="R72" s="3"/>
    </row>
    <row r="73" spans="1:18" x14ac:dyDescent="0.25">
      <c r="A73" s="2">
        <v>407</v>
      </c>
      <c r="B73" s="7" t="s">
        <v>2313</v>
      </c>
      <c r="C73" s="7" t="s">
        <v>2314</v>
      </c>
      <c r="D73" s="7" t="s">
        <v>2313</v>
      </c>
      <c r="E73" s="7" t="s">
        <v>74</v>
      </c>
      <c r="F73" s="7" t="s">
        <v>2315</v>
      </c>
      <c r="G73" s="17" t="s">
        <v>7747</v>
      </c>
      <c r="H73" s="7" t="s">
        <v>28</v>
      </c>
      <c r="I73" s="7" t="s">
        <v>567</v>
      </c>
      <c r="J73" s="7" t="s">
        <v>568</v>
      </c>
      <c r="K73" s="7" t="s">
        <v>569</v>
      </c>
      <c r="L73" s="7" t="s">
        <v>79</v>
      </c>
      <c r="M73" s="7">
        <v>4.012194</v>
      </c>
      <c r="N73" s="7">
        <v>13.102888999999999</v>
      </c>
      <c r="O73" s="7" t="s">
        <v>23</v>
      </c>
      <c r="P73" s="3"/>
      <c r="Q73" s="3"/>
      <c r="R73" s="3"/>
    </row>
    <row r="74" spans="1:18" x14ac:dyDescent="0.25">
      <c r="A74" s="2">
        <v>408</v>
      </c>
      <c r="B74" s="7" t="s">
        <v>2762</v>
      </c>
      <c r="C74" s="7" t="s">
        <v>2763</v>
      </c>
      <c r="D74" s="7" t="s">
        <v>2762</v>
      </c>
      <c r="E74" s="7" t="s">
        <v>74</v>
      </c>
      <c r="F74" s="7" t="s">
        <v>2764</v>
      </c>
      <c r="G74" s="17" t="s">
        <v>7747</v>
      </c>
      <c r="H74" s="7" t="s">
        <v>28</v>
      </c>
      <c r="I74" s="7" t="s">
        <v>79</v>
      </c>
      <c r="J74" s="7" t="s">
        <v>904</v>
      </c>
      <c r="K74" s="7" t="s">
        <v>1302</v>
      </c>
      <c r="L74" s="7" t="s">
        <v>79</v>
      </c>
      <c r="M74" s="7">
        <v>4.582255</v>
      </c>
      <c r="N74" s="7">
        <v>13.742837</v>
      </c>
      <c r="O74" s="7" t="s">
        <v>23</v>
      </c>
      <c r="P74" s="3"/>
      <c r="Q74" s="3"/>
      <c r="R74" s="3"/>
    </row>
    <row r="75" spans="1:18" x14ac:dyDescent="0.25">
      <c r="A75" s="2">
        <v>409</v>
      </c>
      <c r="B75" s="7" t="s">
        <v>2779</v>
      </c>
      <c r="C75" s="7" t="s">
        <v>2780</v>
      </c>
      <c r="D75" s="7" t="s">
        <v>2779</v>
      </c>
      <c r="E75" s="7" t="s">
        <v>74</v>
      </c>
      <c r="F75" s="7" t="s">
        <v>2781</v>
      </c>
      <c r="G75" s="17" t="s">
        <v>7747</v>
      </c>
      <c r="H75" s="7" t="s">
        <v>28</v>
      </c>
      <c r="I75" s="7" t="s">
        <v>567</v>
      </c>
      <c r="J75" s="7" t="s">
        <v>568</v>
      </c>
      <c r="K75" s="7" t="s">
        <v>2782</v>
      </c>
      <c r="L75" s="7" t="s">
        <v>79</v>
      </c>
      <c r="M75" s="7">
        <v>4.2061640000000002</v>
      </c>
      <c r="N75" s="7">
        <v>13.399851</v>
      </c>
      <c r="O75" s="7" t="s">
        <v>23</v>
      </c>
      <c r="P75" s="3"/>
      <c r="Q75" s="3"/>
      <c r="R75" s="3"/>
    </row>
    <row r="76" spans="1:18" x14ac:dyDescent="0.25">
      <c r="A76" s="2">
        <v>410</v>
      </c>
      <c r="B76" s="7" t="s">
        <v>2811</v>
      </c>
      <c r="C76" s="7" t="s">
        <v>2812</v>
      </c>
      <c r="D76" s="7" t="s">
        <v>2811</v>
      </c>
      <c r="E76" s="7" t="s">
        <v>74</v>
      </c>
      <c r="F76" s="7" t="s">
        <v>2813</v>
      </c>
      <c r="G76" s="17" t="s">
        <v>7747</v>
      </c>
      <c r="H76" s="7" t="s">
        <v>19</v>
      </c>
      <c r="I76" s="7" t="s">
        <v>79</v>
      </c>
      <c r="J76" s="7" t="s">
        <v>77</v>
      </c>
      <c r="K76" s="7" t="s">
        <v>905</v>
      </c>
      <c r="L76" s="7" t="s">
        <v>79</v>
      </c>
      <c r="M76" s="7">
        <v>4.8370329999999999</v>
      </c>
      <c r="N76" s="7">
        <v>13.35773</v>
      </c>
      <c r="O76" s="7" t="s">
        <v>23</v>
      </c>
      <c r="P76" s="3"/>
      <c r="Q76" s="3"/>
      <c r="R76" s="3"/>
    </row>
    <row r="77" spans="1:18" x14ac:dyDescent="0.25">
      <c r="A77" s="2">
        <v>411</v>
      </c>
      <c r="B77" s="7" t="s">
        <v>2814</v>
      </c>
      <c r="C77" s="7" t="s">
        <v>2815</v>
      </c>
      <c r="D77" s="7" t="s">
        <v>2814</v>
      </c>
      <c r="E77" s="7" t="s">
        <v>74</v>
      </c>
      <c r="F77" s="7" t="s">
        <v>2816</v>
      </c>
      <c r="G77" s="17" t="s">
        <v>7747</v>
      </c>
      <c r="H77" s="7" t="s">
        <v>19</v>
      </c>
      <c r="I77" s="7" t="s">
        <v>79</v>
      </c>
      <c r="J77" s="7" t="s">
        <v>77</v>
      </c>
      <c r="K77" s="7" t="s">
        <v>2817</v>
      </c>
      <c r="L77" s="7" t="s">
        <v>79</v>
      </c>
      <c r="M77" s="7">
        <v>4.5702220000000002</v>
      </c>
      <c r="N77" s="7">
        <v>13.435889</v>
      </c>
      <c r="O77" s="7" t="s">
        <v>23</v>
      </c>
      <c r="P77" s="3"/>
      <c r="Q77" s="3"/>
      <c r="R77" s="3"/>
    </row>
    <row r="78" spans="1:18" x14ac:dyDescent="0.25">
      <c r="A78" s="2">
        <v>412</v>
      </c>
      <c r="B78" s="7" t="s">
        <v>2914</v>
      </c>
      <c r="C78" s="7" t="s">
        <v>2915</v>
      </c>
      <c r="D78" s="7" t="s">
        <v>2914</v>
      </c>
      <c r="E78" s="7" t="s">
        <v>74</v>
      </c>
      <c r="F78" s="7" t="s">
        <v>2916</v>
      </c>
      <c r="G78" s="17" t="s">
        <v>7747</v>
      </c>
      <c r="H78" s="7" t="s">
        <v>19</v>
      </c>
      <c r="I78" s="7" t="s">
        <v>567</v>
      </c>
      <c r="J78" s="7" t="s">
        <v>568</v>
      </c>
      <c r="K78" s="7" t="s">
        <v>2782</v>
      </c>
      <c r="L78" s="7" t="s">
        <v>79</v>
      </c>
      <c r="M78" s="7">
        <v>4.2421899999999999</v>
      </c>
      <c r="N78" s="7">
        <v>13.453965</v>
      </c>
      <c r="O78" s="7" t="s">
        <v>23</v>
      </c>
      <c r="P78" s="3"/>
      <c r="Q78" s="3"/>
      <c r="R78" s="3"/>
    </row>
    <row r="79" spans="1:18" x14ac:dyDescent="0.25">
      <c r="A79" s="2">
        <v>413</v>
      </c>
      <c r="B79" s="7" t="s">
        <v>2965</v>
      </c>
      <c r="C79" s="7" t="s">
        <v>2966</v>
      </c>
      <c r="D79" s="7" t="s">
        <v>2965</v>
      </c>
      <c r="E79" s="7" t="s">
        <v>74</v>
      </c>
      <c r="F79" s="7" t="s">
        <v>2967</v>
      </c>
      <c r="G79" s="17" t="s">
        <v>7747</v>
      </c>
      <c r="H79" s="7" t="s">
        <v>28</v>
      </c>
      <c r="I79" s="7" t="s">
        <v>79</v>
      </c>
      <c r="J79" s="7" t="s">
        <v>2968</v>
      </c>
      <c r="K79" s="7" t="s">
        <v>639</v>
      </c>
      <c r="L79" s="7" t="s">
        <v>79</v>
      </c>
      <c r="M79" s="7">
        <v>4.5722699999999996</v>
      </c>
      <c r="N79" s="7">
        <v>13.6678</v>
      </c>
      <c r="O79" s="7" t="s">
        <v>23</v>
      </c>
      <c r="P79" s="3"/>
      <c r="Q79" s="3"/>
      <c r="R79" s="3"/>
    </row>
    <row r="80" spans="1:18" x14ac:dyDescent="0.25">
      <c r="A80" s="2">
        <v>414</v>
      </c>
      <c r="B80" s="7" t="s">
        <v>3031</v>
      </c>
      <c r="C80" s="7" t="s">
        <v>3032</v>
      </c>
      <c r="D80" s="7" t="s">
        <v>3031</v>
      </c>
      <c r="E80" s="7" t="s">
        <v>74</v>
      </c>
      <c r="F80" s="7" t="s">
        <v>3033</v>
      </c>
      <c r="G80" s="17" t="s">
        <v>7747</v>
      </c>
      <c r="H80" s="7" t="s">
        <v>19</v>
      </c>
      <c r="I80" s="7" t="s">
        <v>79</v>
      </c>
      <c r="J80" s="7" t="s">
        <v>77</v>
      </c>
      <c r="K80" s="7" t="s">
        <v>1302</v>
      </c>
      <c r="L80" s="7" t="s">
        <v>79</v>
      </c>
      <c r="M80" s="7">
        <v>4.5804140000000002</v>
      </c>
      <c r="N80" s="7">
        <v>13.709025</v>
      </c>
      <c r="O80" s="7" t="s">
        <v>23</v>
      </c>
      <c r="P80" s="3"/>
      <c r="Q80" s="3"/>
      <c r="R80" s="3"/>
    </row>
    <row r="81" spans="1:18" x14ac:dyDescent="0.25">
      <c r="A81" s="2">
        <v>415</v>
      </c>
      <c r="B81" s="7" t="s">
        <v>3081</v>
      </c>
      <c r="C81" s="7" t="s">
        <v>3082</v>
      </c>
      <c r="D81" s="7" t="s">
        <v>3081</v>
      </c>
      <c r="E81" s="7" t="s">
        <v>74</v>
      </c>
      <c r="F81" s="7" t="s">
        <v>3083</v>
      </c>
      <c r="G81" s="17" t="s">
        <v>7747</v>
      </c>
      <c r="H81" s="7" t="s">
        <v>28</v>
      </c>
      <c r="I81" s="7" t="s">
        <v>79</v>
      </c>
      <c r="J81" s="7" t="s">
        <v>77</v>
      </c>
      <c r="K81" s="7" t="s">
        <v>639</v>
      </c>
      <c r="L81" s="7" t="s">
        <v>79</v>
      </c>
      <c r="M81" s="7">
        <v>4.5667499999999999</v>
      </c>
      <c r="N81" s="7">
        <v>13.650083</v>
      </c>
      <c r="O81" s="7" t="s">
        <v>613</v>
      </c>
      <c r="P81" s="3"/>
      <c r="Q81" s="3"/>
      <c r="R81" s="3"/>
    </row>
    <row r="82" spans="1:18" x14ac:dyDescent="0.25">
      <c r="A82" s="2">
        <v>416</v>
      </c>
      <c r="B82" s="7" t="s">
        <v>3242</v>
      </c>
      <c r="C82" s="7" t="s">
        <v>3243</v>
      </c>
      <c r="D82" s="7" t="s">
        <v>3242</v>
      </c>
      <c r="E82" s="7" t="s">
        <v>74</v>
      </c>
      <c r="F82" s="7" t="s">
        <v>692</v>
      </c>
      <c r="G82" s="17" t="s">
        <v>7747</v>
      </c>
      <c r="H82" s="7" t="s">
        <v>28</v>
      </c>
      <c r="I82" s="7" t="s">
        <v>79</v>
      </c>
      <c r="J82" s="7" t="s">
        <v>77</v>
      </c>
      <c r="K82" s="7" t="s">
        <v>1415</v>
      </c>
      <c r="L82" s="7" t="s">
        <v>79</v>
      </c>
      <c r="M82" s="7">
        <v>4.5951389999999996</v>
      </c>
      <c r="N82" s="7">
        <v>13.741220999999999</v>
      </c>
      <c r="O82" s="7" t="s">
        <v>23</v>
      </c>
      <c r="P82" s="3"/>
      <c r="Q82" s="3"/>
      <c r="R82" s="3"/>
    </row>
    <row r="83" spans="1:18" x14ac:dyDescent="0.25">
      <c r="A83" s="2">
        <v>417</v>
      </c>
      <c r="B83" s="7" t="s">
        <v>3244</v>
      </c>
      <c r="C83" s="7" t="s">
        <v>3245</v>
      </c>
      <c r="D83" s="7" t="s">
        <v>3244</v>
      </c>
      <c r="E83" s="7" t="s">
        <v>74</v>
      </c>
      <c r="F83" s="7" t="s">
        <v>3246</v>
      </c>
      <c r="G83" s="17" t="s">
        <v>7747</v>
      </c>
      <c r="H83" s="7" t="s">
        <v>28</v>
      </c>
      <c r="I83" s="7" t="s">
        <v>79</v>
      </c>
      <c r="J83" s="7" t="s">
        <v>2968</v>
      </c>
      <c r="K83" s="7" t="s">
        <v>639</v>
      </c>
      <c r="L83" s="7" t="s">
        <v>79</v>
      </c>
      <c r="M83" s="7">
        <v>4.5940760000000003</v>
      </c>
      <c r="N83" s="7">
        <v>13.671739000000001</v>
      </c>
      <c r="O83" s="7" t="s">
        <v>23</v>
      </c>
      <c r="P83" s="3"/>
      <c r="Q83" s="3"/>
      <c r="R83" s="3"/>
    </row>
    <row r="84" spans="1:18" x14ac:dyDescent="0.25">
      <c r="A84" s="2">
        <v>418</v>
      </c>
      <c r="B84" s="7" t="s">
        <v>3347</v>
      </c>
      <c r="C84" s="7" t="s">
        <v>3348</v>
      </c>
      <c r="D84" s="7" t="s">
        <v>3347</v>
      </c>
      <c r="E84" s="7" t="s">
        <v>74</v>
      </c>
      <c r="F84" s="7" t="s">
        <v>3349</v>
      </c>
      <c r="G84" s="17" t="s">
        <v>7747</v>
      </c>
      <c r="H84" s="7" t="s">
        <v>19</v>
      </c>
      <c r="I84" s="7" t="s">
        <v>79</v>
      </c>
      <c r="J84" s="7" t="s">
        <v>77</v>
      </c>
      <c r="K84" s="7" t="s">
        <v>905</v>
      </c>
      <c r="L84" s="7" t="s">
        <v>79</v>
      </c>
      <c r="M84" s="7">
        <v>4.9085299999999998</v>
      </c>
      <c r="N84" s="7">
        <v>13.298385</v>
      </c>
      <c r="O84" s="7" t="s">
        <v>23</v>
      </c>
      <c r="P84" s="3"/>
      <c r="Q84" s="3"/>
      <c r="R84" s="3"/>
    </row>
    <row r="85" spans="1:18" x14ac:dyDescent="0.25">
      <c r="A85" s="2">
        <v>419</v>
      </c>
      <c r="B85" s="7" t="s">
        <v>3403</v>
      </c>
      <c r="C85" s="7" t="s">
        <v>3404</v>
      </c>
      <c r="D85" s="7" t="s">
        <v>3403</v>
      </c>
      <c r="E85" s="7" t="s">
        <v>74</v>
      </c>
      <c r="F85" s="7" t="s">
        <v>3405</v>
      </c>
      <c r="G85" s="17" t="s">
        <v>7747</v>
      </c>
      <c r="H85" s="7" t="s">
        <v>28</v>
      </c>
      <c r="I85" s="7" t="s">
        <v>79</v>
      </c>
      <c r="J85" s="7" t="s">
        <v>77</v>
      </c>
      <c r="K85" s="7" t="s">
        <v>1302</v>
      </c>
      <c r="L85" s="7" t="s">
        <v>79</v>
      </c>
      <c r="M85" s="7">
        <v>4.5694999999999997</v>
      </c>
      <c r="N85" s="7">
        <v>13.702833</v>
      </c>
      <c r="O85" s="7" t="s">
        <v>23</v>
      </c>
      <c r="P85" s="3"/>
      <c r="Q85" s="3"/>
      <c r="R85" s="3"/>
    </row>
    <row r="86" spans="1:18" x14ac:dyDescent="0.25">
      <c r="A86" s="2">
        <v>420</v>
      </c>
      <c r="B86" s="7" t="s">
        <v>3468</v>
      </c>
      <c r="C86" s="7" t="s">
        <v>3469</v>
      </c>
      <c r="D86" s="7" t="s">
        <v>3468</v>
      </c>
      <c r="E86" s="7" t="s">
        <v>74</v>
      </c>
      <c r="F86" s="7" t="s">
        <v>2916</v>
      </c>
      <c r="G86" s="17" t="s">
        <v>7747</v>
      </c>
      <c r="H86" s="7" t="s">
        <v>19</v>
      </c>
      <c r="I86" s="7" t="s">
        <v>567</v>
      </c>
      <c r="J86" s="7" t="s">
        <v>568</v>
      </c>
      <c r="K86" s="7" t="s">
        <v>2782</v>
      </c>
      <c r="L86" s="7" t="s">
        <v>79</v>
      </c>
      <c r="M86" s="7">
        <v>4.2455080000000001</v>
      </c>
      <c r="N86" s="7">
        <v>13.436278</v>
      </c>
      <c r="O86" s="7" t="s">
        <v>23</v>
      </c>
      <c r="P86" s="3"/>
      <c r="Q86" s="3"/>
      <c r="R86" s="3"/>
    </row>
    <row r="87" spans="1:18" x14ac:dyDescent="0.25">
      <c r="A87" s="2">
        <v>421</v>
      </c>
      <c r="B87" s="7" t="s">
        <v>3476</v>
      </c>
      <c r="C87" s="7" t="s">
        <v>3477</v>
      </c>
      <c r="D87" s="7" t="s">
        <v>3476</v>
      </c>
      <c r="E87" s="7" t="s">
        <v>74</v>
      </c>
      <c r="F87" s="7" t="s">
        <v>3478</v>
      </c>
      <c r="G87" s="17" t="s">
        <v>7747</v>
      </c>
      <c r="H87" s="7" t="s">
        <v>19</v>
      </c>
      <c r="I87" s="7" t="s">
        <v>79</v>
      </c>
      <c r="J87" s="7" t="s">
        <v>77</v>
      </c>
      <c r="K87" s="7" t="s">
        <v>1302</v>
      </c>
      <c r="L87" s="7" t="s">
        <v>79</v>
      </c>
      <c r="M87" s="7">
        <v>4.5748699999999998</v>
      </c>
      <c r="N87" s="7">
        <v>13.68188</v>
      </c>
      <c r="O87" s="7" t="s">
        <v>613</v>
      </c>
      <c r="P87" s="3"/>
      <c r="Q87" s="3"/>
      <c r="R87" s="3"/>
    </row>
    <row r="88" spans="1:18" x14ac:dyDescent="0.25">
      <c r="A88" s="2">
        <v>422</v>
      </c>
      <c r="B88" s="7" t="s">
        <v>3850</v>
      </c>
      <c r="C88" s="7" t="s">
        <v>3851</v>
      </c>
      <c r="D88" s="7" t="s">
        <v>3850</v>
      </c>
      <c r="E88" s="7" t="s">
        <v>74</v>
      </c>
      <c r="F88" s="7" t="s">
        <v>3852</v>
      </c>
      <c r="G88" s="17" t="s">
        <v>7747</v>
      </c>
      <c r="H88" s="7" t="s">
        <v>28</v>
      </c>
      <c r="I88" s="7" t="s">
        <v>79</v>
      </c>
      <c r="J88" s="7" t="s">
        <v>77</v>
      </c>
      <c r="K88" s="7" t="s">
        <v>3853</v>
      </c>
      <c r="L88" s="7" t="s">
        <v>79</v>
      </c>
      <c r="M88" s="7">
        <v>4.5658269999999996</v>
      </c>
      <c r="N88" s="7">
        <v>13.681137</v>
      </c>
      <c r="O88" s="7" t="s">
        <v>23</v>
      </c>
      <c r="P88" s="3"/>
      <c r="Q88" s="3"/>
      <c r="R88" s="3"/>
    </row>
    <row r="89" spans="1:18" x14ac:dyDescent="0.25">
      <c r="A89" s="2">
        <v>423</v>
      </c>
      <c r="B89" s="7" t="s">
        <v>3917</v>
      </c>
      <c r="C89" s="7" t="s">
        <v>3918</v>
      </c>
      <c r="D89" s="7" t="s">
        <v>3917</v>
      </c>
      <c r="E89" s="7" t="s">
        <v>74</v>
      </c>
      <c r="F89" s="7" t="s">
        <v>3919</v>
      </c>
      <c r="G89" s="17" t="s">
        <v>7747</v>
      </c>
      <c r="H89" s="7" t="s">
        <v>28</v>
      </c>
      <c r="I89" s="7" t="s">
        <v>79</v>
      </c>
      <c r="J89" s="7" t="s">
        <v>904</v>
      </c>
      <c r="K89" s="7" t="s">
        <v>1302</v>
      </c>
      <c r="L89" s="7" t="s">
        <v>79</v>
      </c>
      <c r="M89" s="7">
        <v>4.5842749999999999</v>
      </c>
      <c r="N89" s="7">
        <v>13.699157</v>
      </c>
      <c r="O89" s="7" t="s">
        <v>23</v>
      </c>
      <c r="P89" s="3"/>
      <c r="Q89" s="3"/>
      <c r="R89" s="3"/>
    </row>
    <row r="90" spans="1:18" x14ac:dyDescent="0.25">
      <c r="A90" s="2">
        <v>424</v>
      </c>
      <c r="B90" s="7" t="s">
        <v>4049</v>
      </c>
      <c r="C90" s="7" t="s">
        <v>4050</v>
      </c>
      <c r="D90" s="7" t="s">
        <v>4049</v>
      </c>
      <c r="E90" s="7" t="s">
        <v>74</v>
      </c>
      <c r="F90" s="7" t="s">
        <v>4051</v>
      </c>
      <c r="G90" s="17" t="s">
        <v>7747</v>
      </c>
      <c r="H90" s="7" t="s">
        <v>28</v>
      </c>
      <c r="I90" s="7" t="s">
        <v>79</v>
      </c>
      <c r="J90" s="7" t="s">
        <v>77</v>
      </c>
      <c r="K90" s="7" t="s">
        <v>639</v>
      </c>
      <c r="L90" s="7" t="s">
        <v>79</v>
      </c>
      <c r="M90" s="7">
        <v>4.55091</v>
      </c>
      <c r="N90" s="7">
        <v>13.61664</v>
      </c>
      <c r="O90" s="7" t="s">
        <v>23</v>
      </c>
      <c r="P90" s="3"/>
      <c r="Q90" s="3"/>
      <c r="R90" s="3"/>
    </row>
    <row r="91" spans="1:18" x14ac:dyDescent="0.25">
      <c r="A91" s="2">
        <v>425</v>
      </c>
      <c r="B91" s="7" t="s">
        <v>4076</v>
      </c>
      <c r="C91" s="7" t="s">
        <v>4077</v>
      </c>
      <c r="D91" s="7" t="s">
        <v>4076</v>
      </c>
      <c r="E91" s="7" t="s">
        <v>74</v>
      </c>
      <c r="F91" s="7" t="s">
        <v>4078</v>
      </c>
      <c r="G91" s="17" t="s">
        <v>7747</v>
      </c>
      <c r="H91" s="7" t="s">
        <v>28</v>
      </c>
      <c r="I91" s="7" t="s">
        <v>263</v>
      </c>
      <c r="J91" s="7" t="s">
        <v>264</v>
      </c>
      <c r="K91" s="7" t="s">
        <v>4079</v>
      </c>
      <c r="L91" s="7" t="s">
        <v>79</v>
      </c>
      <c r="M91" s="7">
        <v>4.4348099999999997</v>
      </c>
      <c r="N91" s="7">
        <v>14.348018</v>
      </c>
      <c r="O91" s="7" t="s">
        <v>23</v>
      </c>
      <c r="P91" s="3"/>
      <c r="Q91" s="3"/>
      <c r="R91" s="3"/>
    </row>
    <row r="92" spans="1:18" x14ac:dyDescent="0.25">
      <c r="A92" s="2">
        <v>426</v>
      </c>
      <c r="B92" s="7" t="s">
        <v>4080</v>
      </c>
      <c r="C92" s="7" t="s">
        <v>4081</v>
      </c>
      <c r="D92" s="7" t="s">
        <v>4080</v>
      </c>
      <c r="E92" s="7" t="s">
        <v>74</v>
      </c>
      <c r="F92" s="7" t="s">
        <v>4082</v>
      </c>
      <c r="G92" s="17" t="s">
        <v>7747</v>
      </c>
      <c r="H92" s="7" t="s">
        <v>28</v>
      </c>
      <c r="I92" s="7" t="s">
        <v>79</v>
      </c>
      <c r="J92" s="7" t="s">
        <v>77</v>
      </c>
      <c r="K92" s="7" t="s">
        <v>1415</v>
      </c>
      <c r="L92" s="7" t="s">
        <v>79</v>
      </c>
      <c r="M92" s="7">
        <v>4.5655559999999999</v>
      </c>
      <c r="N92" s="7">
        <v>13.829333</v>
      </c>
      <c r="O92" s="7" t="s">
        <v>23</v>
      </c>
      <c r="P92" s="3"/>
      <c r="Q92" s="3"/>
      <c r="R92" s="3"/>
    </row>
    <row r="93" spans="1:18" x14ac:dyDescent="0.25">
      <c r="A93" s="2">
        <v>427</v>
      </c>
      <c r="B93" s="7" t="s">
        <v>4112</v>
      </c>
      <c r="C93" s="7" t="s">
        <v>4113</v>
      </c>
      <c r="D93" s="7" t="s">
        <v>4112</v>
      </c>
      <c r="E93" s="7" t="s">
        <v>74</v>
      </c>
      <c r="F93" s="7" t="s">
        <v>4114</v>
      </c>
      <c r="G93" s="17" t="s">
        <v>7747</v>
      </c>
      <c r="H93" s="7" t="s">
        <v>19</v>
      </c>
      <c r="I93" s="7" t="s">
        <v>567</v>
      </c>
      <c r="J93" s="7" t="s">
        <v>568</v>
      </c>
      <c r="K93" s="7" t="s">
        <v>569</v>
      </c>
      <c r="L93" s="7" t="s">
        <v>79</v>
      </c>
      <c r="M93" s="7">
        <v>4.1669499999999999</v>
      </c>
      <c r="N93" s="7">
        <v>13.29461</v>
      </c>
      <c r="O93" s="7" t="s">
        <v>23</v>
      </c>
      <c r="P93" s="3"/>
      <c r="Q93" s="3"/>
      <c r="R93" s="3"/>
    </row>
    <row r="94" spans="1:18" x14ac:dyDescent="0.25">
      <c r="A94" s="2">
        <v>428</v>
      </c>
      <c r="B94" s="7" t="s">
        <v>4127</v>
      </c>
      <c r="C94" s="7" t="s">
        <v>4128</v>
      </c>
      <c r="D94" s="7" t="s">
        <v>4127</v>
      </c>
      <c r="E94" s="7" t="s">
        <v>74</v>
      </c>
      <c r="F94" s="7" t="s">
        <v>4129</v>
      </c>
      <c r="G94" s="17" t="s">
        <v>7747</v>
      </c>
      <c r="H94" s="7" t="s">
        <v>28</v>
      </c>
      <c r="I94" s="7" t="s">
        <v>567</v>
      </c>
      <c r="J94" s="7" t="s">
        <v>568</v>
      </c>
      <c r="K94" s="7" t="s">
        <v>569</v>
      </c>
      <c r="L94" s="7" t="s">
        <v>79</v>
      </c>
      <c r="M94" s="7">
        <v>4.0724330000000002</v>
      </c>
      <c r="N94" s="7">
        <v>13.216856</v>
      </c>
      <c r="O94" s="7" t="s">
        <v>23</v>
      </c>
      <c r="P94" s="3"/>
      <c r="Q94" s="3"/>
      <c r="R94" s="3"/>
    </row>
    <row r="95" spans="1:18" x14ac:dyDescent="0.25">
      <c r="A95" s="2">
        <v>429</v>
      </c>
      <c r="B95" s="7" t="s">
        <v>4174</v>
      </c>
      <c r="C95" s="7" t="s">
        <v>4175</v>
      </c>
      <c r="D95" s="7" t="s">
        <v>4174</v>
      </c>
      <c r="E95" s="7" t="s">
        <v>74</v>
      </c>
      <c r="F95" s="7" t="s">
        <v>4176</v>
      </c>
      <c r="G95" s="17" t="s">
        <v>7747</v>
      </c>
      <c r="H95" s="7" t="s">
        <v>19</v>
      </c>
      <c r="I95" s="7" t="s">
        <v>79</v>
      </c>
      <c r="J95" s="7" t="s">
        <v>568</v>
      </c>
      <c r="K95" s="7" t="s">
        <v>4176</v>
      </c>
      <c r="L95" s="7" t="s">
        <v>79</v>
      </c>
      <c r="M95" s="7">
        <v>4.3759639999999997</v>
      </c>
      <c r="N95" s="7">
        <v>13.586667</v>
      </c>
      <c r="O95" s="7" t="s">
        <v>23</v>
      </c>
      <c r="P95" s="3"/>
      <c r="Q95" s="3"/>
      <c r="R95" s="3"/>
    </row>
    <row r="96" spans="1:18" x14ac:dyDescent="0.25">
      <c r="A96" s="2">
        <v>430</v>
      </c>
      <c r="B96" s="7" t="s">
        <v>4392</v>
      </c>
      <c r="C96" s="7" t="s">
        <v>4393</v>
      </c>
      <c r="D96" s="7" t="s">
        <v>4392</v>
      </c>
      <c r="E96" s="7" t="s">
        <v>74</v>
      </c>
      <c r="F96" s="7" t="s">
        <v>4394</v>
      </c>
      <c r="G96" s="17" t="s">
        <v>7747</v>
      </c>
      <c r="H96" s="7" t="s">
        <v>28</v>
      </c>
      <c r="I96" s="7" t="s">
        <v>567</v>
      </c>
      <c r="J96" s="7" t="s">
        <v>568</v>
      </c>
      <c r="K96" s="7" t="s">
        <v>863</v>
      </c>
      <c r="L96" s="7" t="s">
        <v>79</v>
      </c>
      <c r="M96" s="7">
        <v>4.3932799999999999</v>
      </c>
      <c r="N96" s="7">
        <v>12.926769999999999</v>
      </c>
      <c r="O96" s="7" t="s">
        <v>23</v>
      </c>
      <c r="P96" s="3"/>
      <c r="Q96" s="3"/>
      <c r="R96" s="3"/>
    </row>
    <row r="97" spans="1:18" x14ac:dyDescent="0.25">
      <c r="A97" s="2">
        <v>431</v>
      </c>
      <c r="B97" s="7" t="s">
        <v>4496</v>
      </c>
      <c r="C97" s="7" t="s">
        <v>4497</v>
      </c>
      <c r="D97" s="7" t="s">
        <v>4496</v>
      </c>
      <c r="E97" s="7" t="s">
        <v>74</v>
      </c>
      <c r="F97" s="7" t="s">
        <v>4498</v>
      </c>
      <c r="G97" s="17" t="s">
        <v>7747</v>
      </c>
      <c r="H97" s="7" t="s">
        <v>19</v>
      </c>
      <c r="I97" s="7" t="s">
        <v>567</v>
      </c>
      <c r="J97" s="7" t="s">
        <v>568</v>
      </c>
      <c r="K97" s="7" t="s">
        <v>4499</v>
      </c>
      <c r="L97" s="7" t="s">
        <v>79</v>
      </c>
      <c r="M97" s="7">
        <v>3.1653470000000001</v>
      </c>
      <c r="N97" s="7">
        <v>13.620278000000001</v>
      </c>
      <c r="O97" s="7" t="s">
        <v>23</v>
      </c>
      <c r="P97" s="3"/>
      <c r="Q97" s="3"/>
      <c r="R97" s="3"/>
    </row>
    <row r="98" spans="1:18" x14ac:dyDescent="0.25">
      <c r="A98" s="2">
        <v>432</v>
      </c>
      <c r="B98" s="7" t="s">
        <v>4507</v>
      </c>
      <c r="C98" s="7" t="s">
        <v>4508</v>
      </c>
      <c r="D98" s="7" t="s">
        <v>4507</v>
      </c>
      <c r="E98" s="7" t="s">
        <v>74</v>
      </c>
      <c r="F98" s="7" t="s">
        <v>4176</v>
      </c>
      <c r="G98" s="17" t="s">
        <v>7747</v>
      </c>
      <c r="H98" s="7" t="s">
        <v>19</v>
      </c>
      <c r="I98" s="7" t="s">
        <v>79</v>
      </c>
      <c r="J98" s="7" t="s">
        <v>568</v>
      </c>
      <c r="K98" s="7" t="s">
        <v>4176</v>
      </c>
      <c r="L98" s="7" t="s">
        <v>79</v>
      </c>
      <c r="M98" s="7">
        <v>4.3830559999999998</v>
      </c>
      <c r="N98" s="7">
        <v>13.581154</v>
      </c>
      <c r="O98" s="7" t="s">
        <v>23</v>
      </c>
      <c r="P98" s="3"/>
      <c r="Q98" s="3"/>
      <c r="R98" s="3"/>
    </row>
    <row r="99" spans="1:18" x14ac:dyDescent="0.25">
      <c r="A99" s="2">
        <v>433</v>
      </c>
      <c r="B99" s="7" t="s">
        <v>4607</v>
      </c>
      <c r="C99" s="7" t="s">
        <v>4608</v>
      </c>
      <c r="D99" s="7" t="s">
        <v>4607</v>
      </c>
      <c r="E99" s="7" t="s">
        <v>74</v>
      </c>
      <c r="F99" s="7" t="s">
        <v>4609</v>
      </c>
      <c r="G99" s="17" t="s">
        <v>7747</v>
      </c>
      <c r="H99" s="7" t="s">
        <v>19</v>
      </c>
      <c r="I99" s="7" t="s">
        <v>567</v>
      </c>
      <c r="J99" s="7" t="s">
        <v>568</v>
      </c>
      <c r="K99" s="7" t="s">
        <v>569</v>
      </c>
      <c r="L99" s="7" t="s">
        <v>79</v>
      </c>
      <c r="M99" s="7">
        <v>3.9994529999999999</v>
      </c>
      <c r="N99" s="7">
        <v>13.180543</v>
      </c>
      <c r="O99" s="7" t="s">
        <v>23</v>
      </c>
      <c r="P99" s="3"/>
      <c r="Q99" s="3"/>
      <c r="R99" s="3"/>
    </row>
    <row r="100" spans="1:18" x14ac:dyDescent="0.25">
      <c r="A100" s="2">
        <v>434</v>
      </c>
      <c r="B100" s="7" t="s">
        <v>4648</v>
      </c>
      <c r="C100" s="7" t="s">
        <v>4649</v>
      </c>
      <c r="D100" s="7" t="s">
        <v>4648</v>
      </c>
      <c r="E100" s="7" t="s">
        <v>74</v>
      </c>
      <c r="F100" s="7" t="s">
        <v>4114</v>
      </c>
      <c r="G100" s="17" t="s">
        <v>7747</v>
      </c>
      <c r="H100" s="7" t="s">
        <v>19</v>
      </c>
      <c r="I100" s="7" t="s">
        <v>567</v>
      </c>
      <c r="J100" s="7" t="s">
        <v>568</v>
      </c>
      <c r="K100" s="7" t="s">
        <v>569</v>
      </c>
      <c r="L100" s="7" t="s">
        <v>79</v>
      </c>
      <c r="M100" s="7">
        <v>4.1651790000000002</v>
      </c>
      <c r="N100" s="7">
        <v>13.292535000000001</v>
      </c>
      <c r="O100" s="7" t="s">
        <v>23</v>
      </c>
      <c r="P100" s="3"/>
      <c r="Q100" s="3"/>
      <c r="R100" s="3"/>
    </row>
    <row r="101" spans="1:18" x14ac:dyDescent="0.25">
      <c r="A101" s="2">
        <v>435</v>
      </c>
      <c r="B101" s="7" t="s">
        <v>4650</v>
      </c>
      <c r="C101" s="7" t="s">
        <v>4651</v>
      </c>
      <c r="D101" s="7" t="s">
        <v>4650</v>
      </c>
      <c r="E101" s="7" t="s">
        <v>74</v>
      </c>
      <c r="F101" s="7" t="s">
        <v>4652</v>
      </c>
      <c r="G101" s="17" t="s">
        <v>7747</v>
      </c>
      <c r="H101" s="7" t="s">
        <v>28</v>
      </c>
      <c r="I101" s="7" t="s">
        <v>567</v>
      </c>
      <c r="J101" s="7" t="s">
        <v>568</v>
      </c>
      <c r="K101" s="7" t="s">
        <v>863</v>
      </c>
      <c r="L101" s="7" t="s">
        <v>79</v>
      </c>
      <c r="M101" s="7">
        <v>4.3921609999999998</v>
      </c>
      <c r="N101" s="7">
        <v>12.924780999999999</v>
      </c>
      <c r="O101" s="7" t="s">
        <v>23</v>
      </c>
      <c r="P101" s="3"/>
      <c r="Q101" s="3"/>
      <c r="R101" s="3"/>
    </row>
    <row r="102" spans="1:18" x14ac:dyDescent="0.25">
      <c r="A102" s="2">
        <v>436</v>
      </c>
      <c r="B102" s="7" t="s">
        <v>4787</v>
      </c>
      <c r="C102" s="7" t="s">
        <v>4788</v>
      </c>
      <c r="D102" s="7" t="s">
        <v>4787</v>
      </c>
      <c r="E102" s="7" t="s">
        <v>182</v>
      </c>
      <c r="F102" s="7" t="s">
        <v>4789</v>
      </c>
      <c r="G102" s="17" t="s">
        <v>7747</v>
      </c>
      <c r="H102" s="7" t="s">
        <v>28</v>
      </c>
      <c r="I102" s="7" t="s">
        <v>817</v>
      </c>
      <c r="J102" s="7" t="s">
        <v>818</v>
      </c>
      <c r="K102" s="7" t="s">
        <v>4790</v>
      </c>
      <c r="L102" s="7" t="s">
        <v>79</v>
      </c>
      <c r="M102" s="7">
        <v>4.0451949999999997</v>
      </c>
      <c r="N102" s="7">
        <v>12.742241</v>
      </c>
      <c r="O102" s="7" t="s">
        <v>23</v>
      </c>
      <c r="P102" s="3"/>
      <c r="Q102" s="3"/>
      <c r="R102" s="3"/>
    </row>
    <row r="103" spans="1:18" x14ac:dyDescent="0.25">
      <c r="A103" s="2">
        <v>437</v>
      </c>
      <c r="B103" s="7" t="s">
        <v>4931</v>
      </c>
      <c r="C103" s="7" t="s">
        <v>4932</v>
      </c>
      <c r="D103" s="7" t="s">
        <v>4931</v>
      </c>
      <c r="E103" s="7" t="s">
        <v>74</v>
      </c>
      <c r="F103" s="7" t="s">
        <v>2817</v>
      </c>
      <c r="G103" s="17" t="s">
        <v>7747</v>
      </c>
      <c r="H103" s="7" t="s">
        <v>28</v>
      </c>
      <c r="I103" s="7" t="s">
        <v>79</v>
      </c>
      <c r="J103" s="7" t="s">
        <v>77</v>
      </c>
      <c r="K103" s="7" t="s">
        <v>2817</v>
      </c>
      <c r="L103" s="7" t="s">
        <v>79</v>
      </c>
      <c r="M103" s="7">
        <v>4.5790800000000003</v>
      </c>
      <c r="N103" s="7">
        <v>13.348292000000001</v>
      </c>
      <c r="O103" s="7" t="s">
        <v>23</v>
      </c>
      <c r="P103" s="3"/>
      <c r="Q103" s="3"/>
      <c r="R103" s="3"/>
    </row>
    <row r="104" spans="1:18" x14ac:dyDescent="0.25">
      <c r="A104" s="2">
        <v>438</v>
      </c>
      <c r="B104" s="7" t="s">
        <v>5900</v>
      </c>
      <c r="C104" s="7" t="s">
        <v>5901</v>
      </c>
      <c r="D104" s="7" t="s">
        <v>5900</v>
      </c>
      <c r="E104" s="7" t="s">
        <v>250</v>
      </c>
      <c r="F104" s="7" t="s">
        <v>5902</v>
      </c>
      <c r="G104" s="17" t="s">
        <v>7747</v>
      </c>
      <c r="H104" s="7" t="s">
        <v>28</v>
      </c>
      <c r="I104" s="7" t="s">
        <v>252</v>
      </c>
      <c r="J104" s="7" t="s">
        <v>253</v>
      </c>
      <c r="K104" s="7" t="s">
        <v>501</v>
      </c>
      <c r="L104" s="7" t="s">
        <v>79</v>
      </c>
      <c r="M104" s="7">
        <v>2.3821699999999999</v>
      </c>
      <c r="N104" s="7">
        <v>13.408300000000001</v>
      </c>
      <c r="O104" s="7" t="s">
        <v>23</v>
      </c>
      <c r="P104" s="3"/>
      <c r="Q104" s="3"/>
      <c r="R104" s="3"/>
    </row>
    <row r="105" spans="1:18" x14ac:dyDescent="0.25">
      <c r="A105" s="2">
        <v>439</v>
      </c>
      <c r="B105" s="7" t="s">
        <v>5933</v>
      </c>
      <c r="C105" s="7" t="s">
        <v>5934</v>
      </c>
      <c r="D105" s="7" t="s">
        <v>5933</v>
      </c>
      <c r="E105" s="7" t="s">
        <v>250</v>
      </c>
      <c r="F105" s="7" t="s">
        <v>5935</v>
      </c>
      <c r="G105" s="17" t="s">
        <v>7747</v>
      </c>
      <c r="H105" s="7" t="s">
        <v>28</v>
      </c>
      <c r="I105" s="7" t="s">
        <v>252</v>
      </c>
      <c r="J105" s="7" t="s">
        <v>253</v>
      </c>
      <c r="K105" s="7" t="s">
        <v>501</v>
      </c>
      <c r="L105" s="7" t="s">
        <v>79</v>
      </c>
      <c r="M105" s="7">
        <v>2.22763</v>
      </c>
      <c r="N105" s="7">
        <v>13.510070000000001</v>
      </c>
      <c r="O105" s="7" t="s">
        <v>23</v>
      </c>
      <c r="P105" s="3"/>
      <c r="Q105" s="3"/>
      <c r="R105" s="3"/>
    </row>
    <row r="106" spans="1:18" x14ac:dyDescent="0.25">
      <c r="A106" s="2">
        <v>440</v>
      </c>
      <c r="B106" s="7" t="s">
        <v>5973</v>
      </c>
      <c r="C106" s="7" t="s">
        <v>5974</v>
      </c>
      <c r="D106" s="7" t="s">
        <v>5973</v>
      </c>
      <c r="E106" s="7" t="s">
        <v>250</v>
      </c>
      <c r="F106" s="7" t="s">
        <v>5975</v>
      </c>
      <c r="G106" s="17" t="s">
        <v>7747</v>
      </c>
      <c r="H106" s="7" t="s">
        <v>28</v>
      </c>
      <c r="I106" s="7" t="s">
        <v>252</v>
      </c>
      <c r="J106" s="7" t="s">
        <v>5976</v>
      </c>
      <c r="K106" s="7" t="s">
        <v>5977</v>
      </c>
      <c r="L106" s="7" t="s">
        <v>79</v>
      </c>
      <c r="M106" s="7">
        <v>2.19719</v>
      </c>
      <c r="N106" s="7">
        <v>13.74174</v>
      </c>
      <c r="O106" s="7" t="s">
        <v>23</v>
      </c>
      <c r="P106" s="3"/>
      <c r="Q106" s="3"/>
      <c r="R106" s="3"/>
    </row>
    <row r="107" spans="1:18" x14ac:dyDescent="0.25">
      <c r="A107" s="2">
        <v>441</v>
      </c>
      <c r="B107" s="7" t="s">
        <v>5982</v>
      </c>
      <c r="C107" s="7" t="s">
        <v>5983</v>
      </c>
      <c r="D107" s="7" t="s">
        <v>5982</v>
      </c>
      <c r="E107" s="7" t="s">
        <v>74</v>
      </c>
      <c r="F107" s="7" t="s">
        <v>5984</v>
      </c>
      <c r="G107" s="17" t="s">
        <v>7747</v>
      </c>
      <c r="H107" s="7" t="s">
        <v>28</v>
      </c>
      <c r="I107" s="7" t="s">
        <v>79</v>
      </c>
      <c r="J107" s="7" t="s">
        <v>77</v>
      </c>
      <c r="K107" s="7" t="s">
        <v>905</v>
      </c>
      <c r="L107" s="7" t="s">
        <v>79</v>
      </c>
      <c r="M107" s="7">
        <v>5.3718620000000001</v>
      </c>
      <c r="N107" s="7">
        <v>13.490098</v>
      </c>
      <c r="O107" s="7" t="s">
        <v>23</v>
      </c>
      <c r="P107" s="3"/>
      <c r="Q107" s="3"/>
      <c r="R107" s="3"/>
    </row>
    <row r="108" spans="1:18" x14ac:dyDescent="0.25">
      <c r="A108" s="2">
        <v>442</v>
      </c>
      <c r="B108" s="7" t="s">
        <v>5997</v>
      </c>
      <c r="C108" s="7" t="s">
        <v>5998</v>
      </c>
      <c r="D108" s="7" t="s">
        <v>5997</v>
      </c>
      <c r="E108" s="7" t="s">
        <v>74</v>
      </c>
      <c r="F108" s="7" t="s">
        <v>5999</v>
      </c>
      <c r="G108" s="17" t="s">
        <v>7747</v>
      </c>
      <c r="H108" s="7" t="s">
        <v>28</v>
      </c>
      <c r="I108" s="7" t="s">
        <v>76</v>
      </c>
      <c r="J108" s="7" t="s">
        <v>77</v>
      </c>
      <c r="K108" s="7" t="s">
        <v>78</v>
      </c>
      <c r="L108" s="7" t="s">
        <v>79</v>
      </c>
      <c r="M108" s="7">
        <v>4.9976580000000004</v>
      </c>
      <c r="N108" s="7">
        <v>14.381155</v>
      </c>
      <c r="O108" s="7" t="s">
        <v>23</v>
      </c>
      <c r="P108" s="3"/>
      <c r="Q108" s="3"/>
      <c r="R108" s="3"/>
    </row>
    <row r="109" spans="1:18" x14ac:dyDescent="0.25">
      <c r="A109" s="2">
        <v>443</v>
      </c>
      <c r="B109" s="7" t="s">
        <v>6053</v>
      </c>
      <c r="C109" s="7" t="s">
        <v>6054</v>
      </c>
      <c r="D109" s="7" t="s">
        <v>6053</v>
      </c>
      <c r="E109" s="7" t="s">
        <v>74</v>
      </c>
      <c r="F109" s="7" t="s">
        <v>6055</v>
      </c>
      <c r="G109" s="17" t="s">
        <v>7747</v>
      </c>
      <c r="H109" s="7" t="s">
        <v>28</v>
      </c>
      <c r="I109" s="7" t="s">
        <v>567</v>
      </c>
      <c r="J109" s="7" t="s">
        <v>568</v>
      </c>
      <c r="K109" s="7" t="s">
        <v>569</v>
      </c>
      <c r="L109" s="7" t="s">
        <v>79</v>
      </c>
      <c r="M109" s="7">
        <v>4.0009600000000001</v>
      </c>
      <c r="N109" s="7">
        <v>12.925414999999999</v>
      </c>
      <c r="O109" s="7" t="s">
        <v>23</v>
      </c>
      <c r="P109" s="3"/>
      <c r="Q109" s="3"/>
      <c r="R109" s="3"/>
    </row>
    <row r="110" spans="1:18" x14ac:dyDescent="0.25">
      <c r="A110" s="2">
        <v>444</v>
      </c>
      <c r="B110" s="7" t="s">
        <v>6078</v>
      </c>
      <c r="C110" s="7" t="s">
        <v>6079</v>
      </c>
      <c r="D110" s="7" t="s">
        <v>6078</v>
      </c>
      <c r="E110" s="7" t="s">
        <v>74</v>
      </c>
      <c r="F110" s="7" t="s">
        <v>6080</v>
      </c>
      <c r="G110" s="17" t="s">
        <v>7747</v>
      </c>
      <c r="H110" s="7" t="s">
        <v>28</v>
      </c>
      <c r="I110" s="7" t="s">
        <v>263</v>
      </c>
      <c r="J110" s="7" t="s">
        <v>1937</v>
      </c>
      <c r="K110" s="7" t="s">
        <v>2020</v>
      </c>
      <c r="L110" s="7" t="s">
        <v>79</v>
      </c>
      <c r="M110" s="7">
        <v>4.406612</v>
      </c>
      <c r="N110" s="7">
        <v>14.229778</v>
      </c>
      <c r="O110" s="7" t="s">
        <v>23</v>
      </c>
      <c r="P110" s="3"/>
      <c r="Q110" s="3"/>
      <c r="R110" s="3"/>
    </row>
    <row r="111" spans="1:18" x14ac:dyDescent="0.25">
      <c r="A111" s="2">
        <v>445</v>
      </c>
      <c r="B111" s="7" t="s">
        <v>6090</v>
      </c>
      <c r="C111" s="7" t="s">
        <v>6091</v>
      </c>
      <c r="D111" s="7" t="s">
        <v>6090</v>
      </c>
      <c r="E111" s="7" t="s">
        <v>250</v>
      </c>
      <c r="F111" s="7" t="s">
        <v>6092</v>
      </c>
      <c r="G111" s="17" t="s">
        <v>7747</v>
      </c>
      <c r="H111" s="7" t="s">
        <v>28</v>
      </c>
      <c r="I111" s="7" t="s">
        <v>252</v>
      </c>
      <c r="J111" s="7" t="s">
        <v>253</v>
      </c>
      <c r="K111" s="7" t="s">
        <v>501</v>
      </c>
      <c r="L111" s="7" t="s">
        <v>79</v>
      </c>
      <c r="M111" s="7">
        <v>2.6310289999999998</v>
      </c>
      <c r="N111" s="7">
        <v>13.312939999999999</v>
      </c>
      <c r="O111" s="7" t="s">
        <v>23</v>
      </c>
      <c r="P111" s="3"/>
      <c r="Q111" s="3"/>
      <c r="R111" s="3"/>
    </row>
    <row r="112" spans="1:18" x14ac:dyDescent="0.25">
      <c r="A112" s="2">
        <v>446</v>
      </c>
      <c r="B112" s="7" t="s">
        <v>6111</v>
      </c>
      <c r="C112" s="7" t="s">
        <v>6112</v>
      </c>
      <c r="D112" s="7" t="s">
        <v>6111</v>
      </c>
      <c r="E112" s="7" t="s">
        <v>74</v>
      </c>
      <c r="F112" s="7" t="s">
        <v>6113</v>
      </c>
      <c r="G112" s="17" t="s">
        <v>7747</v>
      </c>
      <c r="H112" s="7" t="s">
        <v>28</v>
      </c>
      <c r="I112" s="7" t="s">
        <v>263</v>
      </c>
      <c r="J112" s="7" t="s">
        <v>1937</v>
      </c>
      <c r="K112" s="7" t="s">
        <v>6114</v>
      </c>
      <c r="L112" s="7" t="s">
        <v>79</v>
      </c>
      <c r="M112" s="7">
        <v>4.3303099999999999</v>
      </c>
      <c r="N112" s="7">
        <v>14.83357</v>
      </c>
      <c r="O112" s="7" t="s">
        <v>23</v>
      </c>
      <c r="P112" s="3"/>
      <c r="Q112" s="3"/>
      <c r="R112" s="3"/>
    </row>
    <row r="113" spans="1:18" x14ac:dyDescent="0.25">
      <c r="A113" s="2">
        <v>447</v>
      </c>
      <c r="B113" s="7" t="s">
        <v>6126</v>
      </c>
      <c r="C113" s="7" t="s">
        <v>6127</v>
      </c>
      <c r="D113" s="7" t="s">
        <v>6126</v>
      </c>
      <c r="E113" s="7" t="s">
        <v>250</v>
      </c>
      <c r="F113" s="7" t="s">
        <v>6128</v>
      </c>
      <c r="G113" s="17" t="s">
        <v>7747</v>
      </c>
      <c r="H113" s="7" t="s">
        <v>28</v>
      </c>
      <c r="I113" s="7" t="s">
        <v>79</v>
      </c>
      <c r="J113" s="7" t="s">
        <v>77</v>
      </c>
      <c r="K113" s="7" t="s">
        <v>6129</v>
      </c>
      <c r="L113" s="7" t="s">
        <v>79</v>
      </c>
      <c r="M113" s="7">
        <v>4.5703379999999996</v>
      </c>
      <c r="N113" s="7">
        <v>13.79133</v>
      </c>
      <c r="O113" s="7" t="s">
        <v>23</v>
      </c>
      <c r="P113" s="3"/>
      <c r="Q113" s="3"/>
      <c r="R113" s="3"/>
    </row>
    <row r="114" spans="1:18" x14ac:dyDescent="0.25">
      <c r="A114" s="2">
        <v>448</v>
      </c>
      <c r="B114" s="7" t="s">
        <v>6133</v>
      </c>
      <c r="C114" s="7" t="s">
        <v>6134</v>
      </c>
      <c r="D114" s="7" t="s">
        <v>6133</v>
      </c>
      <c r="E114" s="7" t="s">
        <v>74</v>
      </c>
      <c r="F114" s="7" t="s">
        <v>6135</v>
      </c>
      <c r="G114" s="17" t="s">
        <v>7747</v>
      </c>
      <c r="H114" s="7" t="s">
        <v>28</v>
      </c>
      <c r="I114" s="7" t="s">
        <v>567</v>
      </c>
      <c r="J114" s="7" t="s">
        <v>568</v>
      </c>
      <c r="K114" s="7" t="s">
        <v>6136</v>
      </c>
      <c r="L114" s="7" t="s">
        <v>79</v>
      </c>
      <c r="M114" s="7">
        <v>3.2681439999999999</v>
      </c>
      <c r="N114" s="7">
        <v>13.846781999999999</v>
      </c>
      <c r="O114" s="7" t="s">
        <v>23</v>
      </c>
      <c r="P114" s="3"/>
      <c r="Q114" s="3"/>
      <c r="R114" s="3"/>
    </row>
    <row r="115" spans="1:18" x14ac:dyDescent="0.25">
      <c r="A115" s="2">
        <v>449</v>
      </c>
      <c r="B115" s="7" t="s">
        <v>6169</v>
      </c>
      <c r="C115" s="7" t="s">
        <v>6170</v>
      </c>
      <c r="D115" s="7" t="s">
        <v>6169</v>
      </c>
      <c r="E115" s="7" t="s">
        <v>74</v>
      </c>
      <c r="F115" s="7" t="s">
        <v>6171</v>
      </c>
      <c r="G115" s="17" t="s">
        <v>7747</v>
      </c>
      <c r="H115" s="7" t="s">
        <v>28</v>
      </c>
      <c r="I115" s="7" t="s">
        <v>213</v>
      </c>
      <c r="J115" s="7" t="s">
        <v>1778</v>
      </c>
      <c r="K115" s="7" t="s">
        <v>6172</v>
      </c>
      <c r="L115" s="7" t="s">
        <v>79</v>
      </c>
      <c r="M115" s="7">
        <v>4.0302699999999998</v>
      </c>
      <c r="N115" s="7">
        <v>15.02003</v>
      </c>
      <c r="O115" s="7" t="s">
        <v>23</v>
      </c>
      <c r="P115" s="3"/>
      <c r="Q115" s="3"/>
      <c r="R115" s="3"/>
    </row>
    <row r="116" spans="1:18" x14ac:dyDescent="0.25">
      <c r="A116" s="2">
        <v>450</v>
      </c>
      <c r="B116" s="7" t="s">
        <v>6219</v>
      </c>
      <c r="C116" s="7" t="s">
        <v>6220</v>
      </c>
      <c r="D116" s="7" t="s">
        <v>6219</v>
      </c>
      <c r="E116" s="7" t="s">
        <v>74</v>
      </c>
      <c r="F116" s="7" t="s">
        <v>6221</v>
      </c>
      <c r="G116" s="17" t="s">
        <v>7747</v>
      </c>
      <c r="H116" s="7" t="s">
        <v>28</v>
      </c>
      <c r="I116" s="7" t="s">
        <v>481</v>
      </c>
      <c r="J116" s="7" t="s">
        <v>298</v>
      </c>
      <c r="K116" s="7" t="s">
        <v>481</v>
      </c>
      <c r="L116" s="7" t="s">
        <v>79</v>
      </c>
      <c r="M116" s="7">
        <v>4.6750319999999999</v>
      </c>
      <c r="N116" s="7">
        <v>12.551557000000001</v>
      </c>
      <c r="O116" s="7" t="s">
        <v>23</v>
      </c>
      <c r="P116" s="3"/>
      <c r="Q116" s="3"/>
      <c r="R116" s="3"/>
    </row>
    <row r="117" spans="1:18" x14ac:dyDescent="0.25">
      <c r="A117" s="2">
        <v>451</v>
      </c>
      <c r="B117" s="7" t="s">
        <v>6240</v>
      </c>
      <c r="C117" s="7" t="s">
        <v>6241</v>
      </c>
      <c r="D117" s="7" t="s">
        <v>6240</v>
      </c>
      <c r="E117" s="7" t="s">
        <v>74</v>
      </c>
      <c r="F117" s="7" t="s">
        <v>6242</v>
      </c>
      <c r="G117" s="17" t="s">
        <v>7747</v>
      </c>
      <c r="H117" s="7" t="s">
        <v>28</v>
      </c>
      <c r="I117" s="7" t="s">
        <v>213</v>
      </c>
      <c r="J117" s="7" t="s">
        <v>1778</v>
      </c>
      <c r="K117" s="7" t="s">
        <v>1779</v>
      </c>
      <c r="L117" s="7" t="s">
        <v>79</v>
      </c>
      <c r="M117" s="7">
        <v>3.3214899999999998</v>
      </c>
      <c r="N117" s="7">
        <v>15.31142</v>
      </c>
      <c r="O117" s="7" t="s">
        <v>23</v>
      </c>
      <c r="P117" s="3"/>
      <c r="Q117" s="3"/>
      <c r="R117" s="3"/>
    </row>
    <row r="118" spans="1:18" x14ac:dyDescent="0.25">
      <c r="A118" s="2">
        <v>452</v>
      </c>
      <c r="B118" s="7" t="s">
        <v>6246</v>
      </c>
      <c r="C118" s="7" t="s">
        <v>6247</v>
      </c>
      <c r="D118" s="7" t="s">
        <v>6246</v>
      </c>
      <c r="E118" s="7" t="s">
        <v>74</v>
      </c>
      <c r="F118" s="7" t="s">
        <v>6248</v>
      </c>
      <c r="G118" s="17" t="s">
        <v>7747</v>
      </c>
      <c r="H118" s="7" t="s">
        <v>19</v>
      </c>
      <c r="I118" s="7" t="s">
        <v>76</v>
      </c>
      <c r="J118" s="7" t="s">
        <v>77</v>
      </c>
      <c r="K118" s="7" t="s">
        <v>993</v>
      </c>
      <c r="L118" s="7" t="s">
        <v>79</v>
      </c>
      <c r="M118" s="7">
        <v>5.4952030000000001</v>
      </c>
      <c r="N118" s="7">
        <v>14.151427999999999</v>
      </c>
      <c r="O118" s="7" t="s">
        <v>23</v>
      </c>
      <c r="P118" s="3"/>
      <c r="Q118" s="3"/>
      <c r="R118" s="3"/>
    </row>
    <row r="119" spans="1:18" x14ac:dyDescent="0.25">
      <c r="A119" s="2">
        <v>453</v>
      </c>
      <c r="B119" s="7" t="s">
        <v>6249</v>
      </c>
      <c r="C119" s="7" t="s">
        <v>6250</v>
      </c>
      <c r="D119" s="7" t="s">
        <v>6249</v>
      </c>
      <c r="E119" s="7" t="s">
        <v>74</v>
      </c>
      <c r="F119" s="7" t="s">
        <v>6248</v>
      </c>
      <c r="G119" s="17" t="s">
        <v>7747</v>
      </c>
      <c r="H119" s="7" t="s">
        <v>19</v>
      </c>
      <c r="I119" s="7" t="s">
        <v>76</v>
      </c>
      <c r="J119" s="7" t="s">
        <v>77</v>
      </c>
      <c r="K119" s="7" t="s">
        <v>993</v>
      </c>
      <c r="L119" s="7" t="s">
        <v>79</v>
      </c>
      <c r="M119" s="7">
        <v>5.4956699999999996</v>
      </c>
      <c r="N119" s="7">
        <v>14.150840000000001</v>
      </c>
      <c r="O119" s="7" t="s">
        <v>23</v>
      </c>
      <c r="P119" s="3"/>
      <c r="Q119" s="3"/>
      <c r="R119" s="3"/>
    </row>
    <row r="120" spans="1:18" x14ac:dyDescent="0.25">
      <c r="A120" s="2">
        <v>454</v>
      </c>
      <c r="B120" s="7" t="s">
        <v>6251</v>
      </c>
      <c r="C120" s="7" t="s">
        <v>6252</v>
      </c>
      <c r="D120" s="7" t="s">
        <v>6251</v>
      </c>
      <c r="E120" s="7" t="s">
        <v>74</v>
      </c>
      <c r="F120" s="7" t="s">
        <v>6253</v>
      </c>
      <c r="G120" s="17" t="s">
        <v>7747</v>
      </c>
      <c r="H120" s="7" t="s">
        <v>28</v>
      </c>
      <c r="I120" s="7" t="s">
        <v>213</v>
      </c>
      <c r="J120" s="7" t="s">
        <v>1778</v>
      </c>
      <c r="K120" s="7" t="s">
        <v>6172</v>
      </c>
      <c r="L120" s="7" t="s">
        <v>79</v>
      </c>
      <c r="M120" s="7">
        <v>4.0482129999999996</v>
      </c>
      <c r="N120" s="7">
        <v>14.918008</v>
      </c>
      <c r="O120" s="7" t="s">
        <v>23</v>
      </c>
      <c r="P120" s="3"/>
      <c r="Q120" s="3"/>
      <c r="R120" s="3"/>
    </row>
    <row r="121" spans="1:18" x14ac:dyDescent="0.25">
      <c r="A121" s="2">
        <v>455</v>
      </c>
      <c r="B121" s="7" t="s">
        <v>6254</v>
      </c>
      <c r="C121" s="7" t="s">
        <v>6255</v>
      </c>
      <c r="D121" s="7" t="s">
        <v>6254</v>
      </c>
      <c r="E121" s="7" t="s">
        <v>74</v>
      </c>
      <c r="F121" s="7" t="s">
        <v>6256</v>
      </c>
      <c r="G121" s="17" t="s">
        <v>7747</v>
      </c>
      <c r="H121" s="7" t="s">
        <v>28</v>
      </c>
      <c r="I121" s="7" t="s">
        <v>481</v>
      </c>
      <c r="J121" s="7" t="s">
        <v>298</v>
      </c>
      <c r="K121" s="7" t="s">
        <v>480</v>
      </c>
      <c r="L121" s="7" t="s">
        <v>79</v>
      </c>
      <c r="M121" s="7">
        <v>4.59443</v>
      </c>
      <c r="N121" s="7">
        <v>12.697252000000001</v>
      </c>
      <c r="O121" s="7" t="s">
        <v>23</v>
      </c>
      <c r="P121" s="3"/>
      <c r="Q121" s="3"/>
      <c r="R121" s="3"/>
    </row>
    <row r="122" spans="1:18" x14ac:dyDescent="0.25">
      <c r="A122" s="2">
        <v>456</v>
      </c>
      <c r="B122" s="7" t="s">
        <v>6265</v>
      </c>
      <c r="C122" s="7" t="s">
        <v>6266</v>
      </c>
      <c r="D122" s="7" t="s">
        <v>6265</v>
      </c>
      <c r="E122" s="7" t="s">
        <v>74</v>
      </c>
      <c r="F122" s="7" t="s">
        <v>6267</v>
      </c>
      <c r="G122" s="17" t="s">
        <v>7747</v>
      </c>
      <c r="H122" s="7" t="s">
        <v>19</v>
      </c>
      <c r="I122" s="7" t="s">
        <v>213</v>
      </c>
      <c r="J122" s="7" t="s">
        <v>6268</v>
      </c>
      <c r="K122" s="7" t="s">
        <v>711</v>
      </c>
      <c r="L122" s="7" t="s">
        <v>79</v>
      </c>
      <c r="M122" s="7">
        <v>2.0476079999999999</v>
      </c>
      <c r="N122" s="7">
        <v>15.225778</v>
      </c>
      <c r="O122" s="7" t="s">
        <v>23</v>
      </c>
      <c r="P122" s="3"/>
      <c r="Q122" s="3"/>
      <c r="R122" s="3"/>
    </row>
    <row r="123" spans="1:18" x14ac:dyDescent="0.25">
      <c r="A123" s="2">
        <v>457</v>
      </c>
      <c r="B123" s="7" t="s">
        <v>6280</v>
      </c>
      <c r="C123" s="7" t="s">
        <v>6281</v>
      </c>
      <c r="D123" s="7" t="s">
        <v>6280</v>
      </c>
      <c r="E123" s="7" t="s">
        <v>250</v>
      </c>
      <c r="F123" s="7" t="s">
        <v>6282</v>
      </c>
      <c r="G123" s="17" t="s">
        <v>7747</v>
      </c>
      <c r="H123" s="7" t="s">
        <v>19</v>
      </c>
      <c r="I123" s="7" t="s">
        <v>252</v>
      </c>
      <c r="J123" s="7" t="s">
        <v>253</v>
      </c>
      <c r="K123" s="7" t="s">
        <v>501</v>
      </c>
      <c r="L123" s="7" t="s">
        <v>79</v>
      </c>
      <c r="M123" s="7">
        <v>2.6954530000000001</v>
      </c>
      <c r="N123" s="7">
        <v>13.288270000000001</v>
      </c>
      <c r="O123" s="7" t="s">
        <v>23</v>
      </c>
      <c r="P123" s="3"/>
      <c r="Q123" s="3"/>
      <c r="R123" s="3"/>
    </row>
    <row r="124" spans="1:18" x14ac:dyDescent="0.25">
      <c r="A124" s="2">
        <v>458</v>
      </c>
      <c r="B124" s="7" t="s">
        <v>6283</v>
      </c>
      <c r="C124" s="7" t="s">
        <v>6284</v>
      </c>
      <c r="D124" s="7" t="s">
        <v>6283</v>
      </c>
      <c r="E124" s="7" t="s">
        <v>74</v>
      </c>
      <c r="F124" s="7" t="s">
        <v>6285</v>
      </c>
      <c r="G124" s="17" t="s">
        <v>7747</v>
      </c>
      <c r="H124" s="7" t="s">
        <v>19</v>
      </c>
      <c r="I124" s="7" t="s">
        <v>567</v>
      </c>
      <c r="J124" s="7" t="s">
        <v>1937</v>
      </c>
      <c r="K124" s="7" t="s">
        <v>6286</v>
      </c>
      <c r="L124" s="7" t="s">
        <v>79</v>
      </c>
      <c r="M124" s="7">
        <v>3.5718429999999999</v>
      </c>
      <c r="N124" s="7">
        <v>13.399944</v>
      </c>
      <c r="O124" s="7" t="s">
        <v>23</v>
      </c>
      <c r="P124" s="3"/>
      <c r="Q124" s="3"/>
      <c r="R124" s="3"/>
    </row>
    <row r="125" spans="1:18" x14ac:dyDescent="0.25">
      <c r="A125" s="2">
        <v>459</v>
      </c>
      <c r="B125" s="7" t="s">
        <v>6293</v>
      </c>
      <c r="C125" s="7" t="s">
        <v>6294</v>
      </c>
      <c r="D125" s="7" t="s">
        <v>6293</v>
      </c>
      <c r="E125" s="7" t="s">
        <v>74</v>
      </c>
      <c r="F125" s="7" t="s">
        <v>6295</v>
      </c>
      <c r="G125" s="17" t="s">
        <v>7747</v>
      </c>
      <c r="H125" s="7" t="s">
        <v>28</v>
      </c>
      <c r="I125" s="7" t="s">
        <v>567</v>
      </c>
      <c r="J125" s="7" t="s">
        <v>568</v>
      </c>
      <c r="K125" s="7" t="s">
        <v>6296</v>
      </c>
      <c r="L125" s="7" t="s">
        <v>79</v>
      </c>
      <c r="M125" s="7">
        <v>3.7356280000000002</v>
      </c>
      <c r="N125" s="7">
        <v>12.828688</v>
      </c>
      <c r="O125" s="7" t="s">
        <v>23</v>
      </c>
      <c r="P125" s="3"/>
      <c r="Q125" s="3"/>
      <c r="R125" s="3"/>
    </row>
    <row r="126" spans="1:18" x14ac:dyDescent="0.25">
      <c r="A126" s="2">
        <v>460</v>
      </c>
      <c r="B126" s="7" t="s">
        <v>6303</v>
      </c>
      <c r="C126" s="7" t="s">
        <v>6304</v>
      </c>
      <c r="D126" s="7" t="s">
        <v>6303</v>
      </c>
      <c r="E126" s="7" t="s">
        <v>74</v>
      </c>
      <c r="F126" s="7" t="s">
        <v>6305</v>
      </c>
      <c r="G126" s="17" t="s">
        <v>7747</v>
      </c>
      <c r="H126" s="7" t="s">
        <v>19</v>
      </c>
      <c r="I126" s="7" t="s">
        <v>76</v>
      </c>
      <c r="J126" s="7" t="s">
        <v>77</v>
      </c>
      <c r="K126" s="7" t="s">
        <v>78</v>
      </c>
      <c r="L126" s="7" t="s">
        <v>79</v>
      </c>
      <c r="M126" s="7">
        <v>5.0577569999999996</v>
      </c>
      <c r="N126" s="7">
        <v>14.037787</v>
      </c>
      <c r="O126" s="7" t="s">
        <v>23</v>
      </c>
      <c r="P126" s="3"/>
      <c r="Q126" s="3"/>
      <c r="R126" s="3"/>
    </row>
    <row r="127" spans="1:18" x14ac:dyDescent="0.25">
      <c r="A127" s="2">
        <v>461</v>
      </c>
      <c r="B127" s="7" t="s">
        <v>6306</v>
      </c>
      <c r="C127" s="7" t="s">
        <v>6307</v>
      </c>
      <c r="D127" s="7" t="s">
        <v>6306</v>
      </c>
      <c r="E127" s="7" t="s">
        <v>74</v>
      </c>
      <c r="F127" s="7" t="s">
        <v>6308</v>
      </c>
      <c r="G127" s="17" t="s">
        <v>7747</v>
      </c>
      <c r="H127" s="7" t="s">
        <v>19</v>
      </c>
      <c r="I127" s="7" t="s">
        <v>76</v>
      </c>
      <c r="J127" s="7" t="s">
        <v>77</v>
      </c>
      <c r="K127" s="7" t="s">
        <v>78</v>
      </c>
      <c r="L127" s="7" t="s">
        <v>79</v>
      </c>
      <c r="M127" s="7">
        <v>5.0574170000000001</v>
      </c>
      <c r="N127" s="7">
        <v>14.038582999999999</v>
      </c>
      <c r="O127" s="7" t="s">
        <v>23</v>
      </c>
      <c r="P127" s="3"/>
      <c r="Q127" s="3"/>
      <c r="R127" s="3"/>
    </row>
    <row r="128" spans="1:18" x14ac:dyDescent="0.25">
      <c r="A128" s="2">
        <v>462</v>
      </c>
      <c r="B128" s="7" t="s">
        <v>6316</v>
      </c>
      <c r="C128" s="7" t="s">
        <v>6317</v>
      </c>
      <c r="D128" s="7" t="s">
        <v>6316</v>
      </c>
      <c r="E128" s="7" t="s">
        <v>74</v>
      </c>
      <c r="F128" s="7" t="s">
        <v>6318</v>
      </c>
      <c r="G128" s="17" t="s">
        <v>7747</v>
      </c>
      <c r="H128" s="7" t="s">
        <v>19</v>
      </c>
      <c r="I128" s="7" t="s">
        <v>263</v>
      </c>
      <c r="J128" s="7" t="s">
        <v>1937</v>
      </c>
      <c r="K128" s="7" t="s">
        <v>6319</v>
      </c>
      <c r="L128" s="7" t="s">
        <v>79</v>
      </c>
      <c r="M128" s="7">
        <v>3.9682240000000002</v>
      </c>
      <c r="N128" s="7">
        <v>14.269698999999999</v>
      </c>
      <c r="O128" s="7" t="s">
        <v>23</v>
      </c>
      <c r="P128" s="3"/>
      <c r="Q128" s="3"/>
      <c r="R128" s="3"/>
    </row>
    <row r="129" spans="1:18" x14ac:dyDescent="0.25">
      <c r="A129" s="2">
        <v>463</v>
      </c>
      <c r="B129" s="7" t="s">
        <v>6320</v>
      </c>
      <c r="C129" s="7" t="s">
        <v>6321</v>
      </c>
      <c r="D129" s="7" t="s">
        <v>6320</v>
      </c>
      <c r="E129" s="7" t="s">
        <v>250</v>
      </c>
      <c r="F129" s="7" t="s">
        <v>6322</v>
      </c>
      <c r="G129" s="17" t="s">
        <v>7747</v>
      </c>
      <c r="H129" s="7" t="s">
        <v>28</v>
      </c>
      <c r="I129" s="7" t="s">
        <v>252</v>
      </c>
      <c r="J129" s="7" t="s">
        <v>6323</v>
      </c>
      <c r="K129" s="7" t="s">
        <v>6324</v>
      </c>
      <c r="L129" s="7" t="s">
        <v>79</v>
      </c>
      <c r="M129" s="7">
        <v>2.2298100000000001</v>
      </c>
      <c r="N129" s="7">
        <v>13.86411</v>
      </c>
      <c r="O129" s="7" t="s">
        <v>23</v>
      </c>
      <c r="P129" s="3"/>
      <c r="Q129" s="3"/>
      <c r="R129" s="3"/>
    </row>
    <row r="130" spans="1:18" x14ac:dyDescent="0.25">
      <c r="A130" s="2">
        <v>464</v>
      </c>
      <c r="B130" s="7" t="s">
        <v>6373</v>
      </c>
      <c r="C130" s="7" t="s">
        <v>6374</v>
      </c>
      <c r="D130" s="7" t="s">
        <v>6373</v>
      </c>
      <c r="E130" s="7" t="s">
        <v>74</v>
      </c>
      <c r="F130" s="7" t="s">
        <v>6375</v>
      </c>
      <c r="G130" s="17" t="s">
        <v>7747</v>
      </c>
      <c r="H130" s="7" t="s">
        <v>28</v>
      </c>
      <c r="I130" s="7" t="s">
        <v>79</v>
      </c>
      <c r="J130" s="7" t="s">
        <v>77</v>
      </c>
      <c r="K130" s="7" t="s">
        <v>692</v>
      </c>
      <c r="L130" s="7" t="s">
        <v>79</v>
      </c>
      <c r="M130" s="7">
        <v>4.9221069999999996</v>
      </c>
      <c r="N130" s="7">
        <v>13.838283000000001</v>
      </c>
      <c r="O130" s="7" t="s">
        <v>23</v>
      </c>
      <c r="P130" s="3"/>
      <c r="Q130" s="3"/>
      <c r="R130" s="3"/>
    </row>
    <row r="131" spans="1:18" x14ac:dyDescent="0.25">
      <c r="A131" s="2">
        <v>465</v>
      </c>
      <c r="B131" s="7" t="s">
        <v>6392</v>
      </c>
      <c r="C131" s="7" t="s">
        <v>6393</v>
      </c>
      <c r="D131" s="7" t="s">
        <v>6392</v>
      </c>
      <c r="E131" s="7" t="s">
        <v>74</v>
      </c>
      <c r="F131" s="7" t="s">
        <v>944</v>
      </c>
      <c r="G131" s="17" t="s">
        <v>7747</v>
      </c>
      <c r="H131" s="7" t="s">
        <v>28</v>
      </c>
      <c r="I131" s="7" t="s">
        <v>263</v>
      </c>
      <c r="J131" s="7" t="s">
        <v>1937</v>
      </c>
      <c r="K131" s="7" t="s">
        <v>6394</v>
      </c>
      <c r="L131" s="7" t="s">
        <v>79</v>
      </c>
      <c r="M131" s="7">
        <v>4.8880559999999997</v>
      </c>
      <c r="N131" s="7">
        <v>14.544055999999999</v>
      </c>
      <c r="O131" s="7" t="s">
        <v>23</v>
      </c>
      <c r="P131" s="3"/>
      <c r="Q131" s="3"/>
      <c r="R131" s="3"/>
    </row>
    <row r="132" spans="1:18" x14ac:dyDescent="0.25">
      <c r="A132" s="2">
        <v>466</v>
      </c>
      <c r="B132" s="7" t="s">
        <v>6395</v>
      </c>
      <c r="C132" s="7" t="s">
        <v>6396</v>
      </c>
      <c r="D132" s="7" t="s">
        <v>6395</v>
      </c>
      <c r="E132" s="7" t="s">
        <v>74</v>
      </c>
      <c r="F132" s="7" t="s">
        <v>6397</v>
      </c>
      <c r="G132" s="17" t="s">
        <v>7747</v>
      </c>
      <c r="H132" s="7" t="s">
        <v>19</v>
      </c>
      <c r="I132" s="7" t="s">
        <v>263</v>
      </c>
      <c r="J132" s="7" t="s">
        <v>1937</v>
      </c>
      <c r="K132" s="7" t="s">
        <v>6114</v>
      </c>
      <c r="L132" s="7" t="s">
        <v>79</v>
      </c>
      <c r="M132" s="7">
        <v>4.1767779999999997</v>
      </c>
      <c r="N132" s="7">
        <v>15.032306</v>
      </c>
      <c r="O132" s="7" t="s">
        <v>23</v>
      </c>
      <c r="P132" s="3"/>
      <c r="Q132" s="3"/>
      <c r="R132" s="3"/>
    </row>
    <row r="133" spans="1:18" x14ac:dyDescent="0.25">
      <c r="A133" s="2">
        <v>467</v>
      </c>
      <c r="B133" s="7" t="s">
        <v>6398</v>
      </c>
      <c r="C133" s="7" t="s">
        <v>6399</v>
      </c>
      <c r="D133" s="7" t="s">
        <v>6398</v>
      </c>
      <c r="E133" s="7" t="s">
        <v>74</v>
      </c>
      <c r="F133" s="7" t="s">
        <v>6400</v>
      </c>
      <c r="G133" s="17" t="s">
        <v>7747</v>
      </c>
      <c r="H133" s="7" t="s">
        <v>19</v>
      </c>
      <c r="I133" s="7" t="s">
        <v>263</v>
      </c>
      <c r="J133" s="7" t="s">
        <v>1937</v>
      </c>
      <c r="K133" s="7" t="s">
        <v>6114</v>
      </c>
      <c r="L133" s="7" t="s">
        <v>79</v>
      </c>
      <c r="M133" s="7">
        <v>4.1713399999999998</v>
      </c>
      <c r="N133" s="7">
        <v>15.030373000000001</v>
      </c>
      <c r="O133" s="7" t="s">
        <v>23</v>
      </c>
      <c r="P133" s="3"/>
      <c r="Q133" s="3"/>
      <c r="R133" s="3"/>
    </row>
    <row r="134" spans="1:18" x14ac:dyDescent="0.25">
      <c r="A134" s="2">
        <v>468</v>
      </c>
      <c r="B134" s="7" t="s">
        <v>6434</v>
      </c>
      <c r="C134" s="7" t="s">
        <v>6435</v>
      </c>
      <c r="D134" s="7" t="s">
        <v>6434</v>
      </c>
      <c r="E134" s="7" t="s">
        <v>74</v>
      </c>
      <c r="F134" s="7" t="s">
        <v>6436</v>
      </c>
      <c r="G134" s="17" t="s">
        <v>7747</v>
      </c>
      <c r="H134" s="7" t="s">
        <v>28</v>
      </c>
      <c r="I134" s="7" t="s">
        <v>213</v>
      </c>
      <c r="J134" s="7" t="s">
        <v>1778</v>
      </c>
      <c r="K134" s="7" t="s">
        <v>6437</v>
      </c>
      <c r="L134" s="7" t="s">
        <v>79</v>
      </c>
      <c r="M134" s="7">
        <v>3.9268209999999999</v>
      </c>
      <c r="N134" s="7">
        <v>15.114776000000001</v>
      </c>
      <c r="O134" s="7" t="s">
        <v>23</v>
      </c>
      <c r="P134" s="3"/>
      <c r="Q134" s="3"/>
      <c r="R134" s="3"/>
    </row>
    <row r="135" spans="1:18" x14ac:dyDescent="0.25">
      <c r="A135" s="2">
        <v>469</v>
      </c>
      <c r="B135" s="7" t="s">
        <v>6438</v>
      </c>
      <c r="C135" s="7" t="s">
        <v>6439</v>
      </c>
      <c r="D135" s="7" t="s">
        <v>6438</v>
      </c>
      <c r="E135" s="7" t="s">
        <v>74</v>
      </c>
      <c r="F135" s="7" t="s">
        <v>6440</v>
      </c>
      <c r="G135" s="17" t="s">
        <v>7747</v>
      </c>
      <c r="H135" s="7" t="s">
        <v>28</v>
      </c>
      <c r="I135" s="7" t="s">
        <v>76</v>
      </c>
      <c r="J135" s="7" t="s">
        <v>77</v>
      </c>
      <c r="K135" s="7" t="s">
        <v>78</v>
      </c>
      <c r="L135" s="7" t="s">
        <v>79</v>
      </c>
      <c r="M135" s="7">
        <v>5.2988249999999999</v>
      </c>
      <c r="N135" s="7">
        <v>14.026668000000001</v>
      </c>
      <c r="O135" s="7" t="s">
        <v>23</v>
      </c>
      <c r="P135" s="3"/>
      <c r="Q135" s="3"/>
      <c r="R135" s="3"/>
    </row>
    <row r="136" spans="1:18" x14ac:dyDescent="0.25">
      <c r="A136" s="2">
        <v>470</v>
      </c>
      <c r="B136" s="7" t="s">
        <v>6475</v>
      </c>
      <c r="C136" s="7" t="s">
        <v>6476</v>
      </c>
      <c r="D136" s="7" t="s">
        <v>6475</v>
      </c>
      <c r="E136" s="7" t="s">
        <v>74</v>
      </c>
      <c r="F136" s="7" t="s">
        <v>6477</v>
      </c>
      <c r="G136" s="17" t="s">
        <v>7747</v>
      </c>
      <c r="H136" s="7" t="s">
        <v>28</v>
      </c>
      <c r="I136" s="7" t="s">
        <v>263</v>
      </c>
      <c r="J136" s="7" t="s">
        <v>1937</v>
      </c>
      <c r="K136" s="7" t="s">
        <v>263</v>
      </c>
      <c r="L136" s="7" t="s">
        <v>79</v>
      </c>
      <c r="M136" s="7">
        <v>4.4560469999999999</v>
      </c>
      <c r="N136" s="7">
        <v>14.461987000000001</v>
      </c>
      <c r="O136" s="7" t="s">
        <v>23</v>
      </c>
      <c r="P136" s="3"/>
      <c r="Q136" s="3"/>
      <c r="R136" s="3"/>
    </row>
    <row r="137" spans="1:18" x14ac:dyDescent="0.25">
      <c r="A137" s="2">
        <v>471</v>
      </c>
      <c r="B137" s="7" t="s">
        <v>6514</v>
      </c>
      <c r="C137" s="7" t="s">
        <v>6515</v>
      </c>
      <c r="D137" s="7" t="s">
        <v>6514</v>
      </c>
      <c r="E137" s="7" t="s">
        <v>74</v>
      </c>
      <c r="F137" s="7" t="s">
        <v>6516</v>
      </c>
      <c r="G137" s="17" t="s">
        <v>7747</v>
      </c>
      <c r="H137" s="7" t="s">
        <v>19</v>
      </c>
      <c r="I137" s="7" t="s">
        <v>79</v>
      </c>
      <c r="J137" s="7" t="s">
        <v>77</v>
      </c>
      <c r="K137" s="7" t="s">
        <v>1415</v>
      </c>
      <c r="L137" s="7" t="s">
        <v>79</v>
      </c>
      <c r="M137" s="7">
        <v>4.6964090000000001</v>
      </c>
      <c r="N137" s="7">
        <v>13.832781000000001</v>
      </c>
      <c r="O137" s="7" t="s">
        <v>23</v>
      </c>
      <c r="P137" s="3"/>
      <c r="Q137" s="3"/>
      <c r="R137" s="3"/>
    </row>
    <row r="138" spans="1:18" x14ac:dyDescent="0.25">
      <c r="A138" s="2">
        <v>472</v>
      </c>
      <c r="B138" s="7" t="s">
        <v>6517</v>
      </c>
      <c r="C138" s="7" t="s">
        <v>6518</v>
      </c>
      <c r="D138" s="7" t="s">
        <v>6517</v>
      </c>
      <c r="E138" s="7" t="s">
        <v>74</v>
      </c>
      <c r="F138" s="7" t="s">
        <v>6516</v>
      </c>
      <c r="G138" s="17" t="s">
        <v>7747</v>
      </c>
      <c r="H138" s="7" t="s">
        <v>19</v>
      </c>
      <c r="I138" s="7" t="s">
        <v>79</v>
      </c>
      <c r="J138" s="7" t="s">
        <v>77</v>
      </c>
      <c r="K138" s="7" t="s">
        <v>692</v>
      </c>
      <c r="L138" s="7" t="s">
        <v>79</v>
      </c>
      <c r="M138" s="7">
        <v>4.6964199999999998</v>
      </c>
      <c r="N138" s="7">
        <v>13.832808999999999</v>
      </c>
      <c r="O138" s="7" t="s">
        <v>23</v>
      </c>
      <c r="P138" s="3"/>
      <c r="Q138" s="3"/>
      <c r="R138" s="3"/>
    </row>
    <row r="139" spans="1:18" x14ac:dyDescent="0.25">
      <c r="A139" s="2">
        <v>473</v>
      </c>
      <c r="B139" s="7" t="s">
        <v>6523</v>
      </c>
      <c r="C139" s="7" t="s">
        <v>6524</v>
      </c>
      <c r="D139" s="7" t="s">
        <v>6523</v>
      </c>
      <c r="E139" s="7" t="s">
        <v>74</v>
      </c>
      <c r="F139" s="7" t="s">
        <v>6525</v>
      </c>
      <c r="G139" s="17" t="s">
        <v>7747</v>
      </c>
      <c r="H139" s="7" t="s">
        <v>19</v>
      </c>
      <c r="I139" s="7" t="s">
        <v>263</v>
      </c>
      <c r="J139" s="7" t="s">
        <v>1937</v>
      </c>
      <c r="K139" s="7" t="s">
        <v>263</v>
      </c>
      <c r="L139" s="7" t="s">
        <v>79</v>
      </c>
      <c r="M139" s="7">
        <v>4.3894650000000004</v>
      </c>
      <c r="N139" s="7">
        <v>14.594251999999999</v>
      </c>
      <c r="O139" s="7" t="s">
        <v>23</v>
      </c>
      <c r="P139" s="3"/>
      <c r="Q139" s="3"/>
      <c r="R139" s="3"/>
    </row>
    <row r="140" spans="1:18" x14ac:dyDescent="0.25">
      <c r="A140" s="2">
        <v>474</v>
      </c>
      <c r="B140" s="7" t="s">
        <v>6583</v>
      </c>
      <c r="C140" s="7" t="s">
        <v>6584</v>
      </c>
      <c r="D140" s="7" t="s">
        <v>6583</v>
      </c>
      <c r="E140" s="7" t="s">
        <v>182</v>
      </c>
      <c r="F140" s="7" t="s">
        <v>1987</v>
      </c>
      <c r="G140" s="17" t="s">
        <v>7747</v>
      </c>
      <c r="H140" s="7" t="s">
        <v>19</v>
      </c>
      <c r="I140" s="7" t="s">
        <v>817</v>
      </c>
      <c r="J140" s="7" t="s">
        <v>568</v>
      </c>
      <c r="K140" s="7" t="s">
        <v>1988</v>
      </c>
      <c r="L140" s="7" t="s">
        <v>79</v>
      </c>
      <c r="M140" s="7">
        <v>3.9998680000000002</v>
      </c>
      <c r="N140" s="7">
        <v>12.781851</v>
      </c>
      <c r="O140" s="7" t="s">
        <v>23</v>
      </c>
      <c r="P140" s="3"/>
      <c r="Q140" s="3"/>
      <c r="R140" s="3"/>
    </row>
    <row r="141" spans="1:18" x14ac:dyDescent="0.25">
      <c r="A141" s="2">
        <v>475</v>
      </c>
      <c r="B141" s="7" t="s">
        <v>6791</v>
      </c>
      <c r="C141" s="7" t="s">
        <v>6792</v>
      </c>
      <c r="D141" s="7" t="s">
        <v>6791</v>
      </c>
      <c r="E141" s="7" t="s">
        <v>74</v>
      </c>
      <c r="F141" s="7" t="s">
        <v>6793</v>
      </c>
      <c r="G141" s="17" t="s">
        <v>7747</v>
      </c>
      <c r="H141" s="7" t="s">
        <v>28</v>
      </c>
      <c r="I141" s="7" t="s">
        <v>567</v>
      </c>
      <c r="J141" s="7" t="s">
        <v>568</v>
      </c>
      <c r="K141" s="7" t="s">
        <v>6794</v>
      </c>
      <c r="L141" s="7" t="s">
        <v>79</v>
      </c>
      <c r="M141" s="7">
        <v>4.0785999999999998</v>
      </c>
      <c r="N141" s="7">
        <v>13.000400000000001</v>
      </c>
      <c r="O141" s="7" t="s">
        <v>23</v>
      </c>
      <c r="P141" s="3"/>
      <c r="Q141" s="3"/>
      <c r="R141" s="3"/>
    </row>
    <row r="142" spans="1:18" x14ac:dyDescent="0.25">
      <c r="A142" s="2">
        <v>476</v>
      </c>
      <c r="B142" s="7" t="s">
        <v>6825</v>
      </c>
      <c r="C142" s="7" t="s">
        <v>6826</v>
      </c>
      <c r="D142" s="7" t="s">
        <v>6825</v>
      </c>
      <c r="E142" s="7" t="s">
        <v>74</v>
      </c>
      <c r="F142" s="7" t="s">
        <v>6827</v>
      </c>
      <c r="G142" s="17" t="s">
        <v>7747</v>
      </c>
      <c r="H142" s="7" t="s">
        <v>28</v>
      </c>
      <c r="I142" s="7" t="s">
        <v>263</v>
      </c>
      <c r="J142" s="7" t="s">
        <v>1937</v>
      </c>
      <c r="K142" s="7" t="s">
        <v>6828</v>
      </c>
      <c r="L142" s="7" t="s">
        <v>79</v>
      </c>
      <c r="M142" s="7">
        <v>4.2725280000000003</v>
      </c>
      <c r="N142" s="7">
        <v>14.050193999999999</v>
      </c>
      <c r="O142" s="7" t="s">
        <v>23</v>
      </c>
      <c r="P142" s="3"/>
      <c r="Q142" s="3"/>
      <c r="R142" s="3"/>
    </row>
    <row r="143" spans="1:18" x14ac:dyDescent="0.25">
      <c r="A143" s="2">
        <v>477</v>
      </c>
      <c r="B143" s="7" t="s">
        <v>6829</v>
      </c>
      <c r="C143" s="7" t="s">
        <v>6830</v>
      </c>
      <c r="D143" s="7" t="s">
        <v>6829</v>
      </c>
      <c r="E143" s="7" t="s">
        <v>74</v>
      </c>
      <c r="F143" s="7" t="s">
        <v>6831</v>
      </c>
      <c r="G143" s="17" t="s">
        <v>7747</v>
      </c>
      <c r="H143" s="7" t="s">
        <v>28</v>
      </c>
      <c r="I143" s="7" t="s">
        <v>263</v>
      </c>
      <c r="J143" s="7" t="s">
        <v>1937</v>
      </c>
      <c r="K143" s="7" t="s">
        <v>6828</v>
      </c>
      <c r="L143" s="7" t="s">
        <v>79</v>
      </c>
      <c r="M143" s="7">
        <v>4.0692259999999996</v>
      </c>
      <c r="N143" s="7">
        <v>14.048299999999999</v>
      </c>
      <c r="O143" s="7" t="s">
        <v>23</v>
      </c>
      <c r="P143" s="3"/>
      <c r="Q143" s="3"/>
      <c r="R143" s="3"/>
    </row>
    <row r="144" spans="1:18" x14ac:dyDescent="0.25">
      <c r="A144" s="2">
        <v>478</v>
      </c>
      <c r="B144" s="7" t="s">
        <v>6949</v>
      </c>
      <c r="C144" s="7" t="s">
        <v>6950</v>
      </c>
      <c r="D144" s="7" t="s">
        <v>6949</v>
      </c>
      <c r="E144" s="7" t="s">
        <v>74</v>
      </c>
      <c r="F144" s="7" t="s">
        <v>6951</v>
      </c>
      <c r="G144" s="17" t="s">
        <v>7747</v>
      </c>
      <c r="H144" s="7" t="s">
        <v>28</v>
      </c>
      <c r="I144" s="7" t="s">
        <v>263</v>
      </c>
      <c r="J144" s="7" t="s">
        <v>6952</v>
      </c>
      <c r="K144" s="7" t="s">
        <v>263</v>
      </c>
      <c r="L144" s="7" t="s">
        <v>79</v>
      </c>
      <c r="M144" s="7">
        <v>4.4509720000000002</v>
      </c>
      <c r="N144" s="7">
        <v>14.371389000000001</v>
      </c>
      <c r="O144" s="7" t="s">
        <v>23</v>
      </c>
      <c r="P144" s="3"/>
      <c r="Q144" s="3"/>
      <c r="R144" s="3"/>
    </row>
    <row r="145" spans="1:18" x14ac:dyDescent="0.25">
      <c r="A145" s="2">
        <v>479</v>
      </c>
      <c r="B145" s="7" t="s">
        <v>7037</v>
      </c>
      <c r="C145" s="7" t="s">
        <v>7038</v>
      </c>
      <c r="D145" s="7" t="s">
        <v>7037</v>
      </c>
      <c r="E145" s="7" t="s">
        <v>74</v>
      </c>
      <c r="F145" s="7" t="s">
        <v>7039</v>
      </c>
      <c r="G145" s="17" t="s">
        <v>7747</v>
      </c>
      <c r="H145" s="7" t="s">
        <v>28</v>
      </c>
      <c r="I145" s="7" t="s">
        <v>79</v>
      </c>
      <c r="J145" s="7" t="s">
        <v>7040</v>
      </c>
      <c r="K145" s="7" t="s">
        <v>639</v>
      </c>
      <c r="L145" s="7" t="s">
        <v>79</v>
      </c>
      <c r="M145" s="7">
        <v>4.6088259999999996</v>
      </c>
      <c r="N145" s="7">
        <v>13.675572000000001</v>
      </c>
      <c r="O145" s="7" t="s">
        <v>23</v>
      </c>
      <c r="P145" s="3"/>
      <c r="Q145" s="3"/>
      <c r="R145" s="3"/>
    </row>
    <row r="146" spans="1:18" x14ac:dyDescent="0.25">
      <c r="A146" s="2">
        <v>480</v>
      </c>
      <c r="B146" s="7" t="s">
        <v>7086</v>
      </c>
      <c r="C146" s="7" t="s">
        <v>7087</v>
      </c>
      <c r="D146" s="7" t="s">
        <v>7086</v>
      </c>
      <c r="E146" s="7" t="s">
        <v>250</v>
      </c>
      <c r="F146" s="7" t="s">
        <v>7088</v>
      </c>
      <c r="G146" s="17" t="s">
        <v>7747</v>
      </c>
      <c r="H146" s="7" t="s">
        <v>28</v>
      </c>
      <c r="I146" s="7" t="s">
        <v>252</v>
      </c>
      <c r="J146" s="7" t="s">
        <v>7089</v>
      </c>
      <c r="K146" s="7" t="s">
        <v>6282</v>
      </c>
      <c r="L146" s="7" t="s">
        <v>79</v>
      </c>
      <c r="M146" s="7">
        <v>2.3178999999999998</v>
      </c>
      <c r="N146" s="7">
        <v>13.414199999999999</v>
      </c>
      <c r="O146" s="7" t="s">
        <v>23</v>
      </c>
      <c r="P146" s="3"/>
      <c r="Q146" s="3"/>
      <c r="R146" s="3"/>
    </row>
    <row r="147" spans="1:18" x14ac:dyDescent="0.25">
      <c r="A147" s="2">
        <v>481</v>
      </c>
      <c r="B147" s="7" t="s">
        <v>7090</v>
      </c>
      <c r="C147" s="7" t="s">
        <v>7091</v>
      </c>
      <c r="D147" s="7" t="s">
        <v>7090</v>
      </c>
      <c r="E147" s="7" t="s">
        <v>250</v>
      </c>
      <c r="F147" s="7" t="s">
        <v>7092</v>
      </c>
      <c r="G147" s="17" t="s">
        <v>7747</v>
      </c>
      <c r="H147" s="7" t="s">
        <v>28</v>
      </c>
      <c r="I147" s="7" t="s">
        <v>252</v>
      </c>
      <c r="J147" s="7" t="s">
        <v>7093</v>
      </c>
      <c r="K147" s="7" t="s">
        <v>6282</v>
      </c>
      <c r="L147" s="7" t="s">
        <v>79</v>
      </c>
      <c r="M147" s="7">
        <v>2.1872919999999998</v>
      </c>
      <c r="N147" s="7">
        <v>13.65634</v>
      </c>
      <c r="O147" s="7" t="s">
        <v>23</v>
      </c>
      <c r="P147" s="3"/>
      <c r="Q147" s="3"/>
      <c r="R147" s="3"/>
    </row>
    <row r="148" spans="1:18" x14ac:dyDescent="0.25">
      <c r="A148" s="2">
        <v>482</v>
      </c>
      <c r="B148" s="7" t="s">
        <v>7136</v>
      </c>
      <c r="C148" s="7" t="s">
        <v>7137</v>
      </c>
      <c r="D148" s="7" t="s">
        <v>7136</v>
      </c>
      <c r="E148" s="7" t="s">
        <v>74</v>
      </c>
      <c r="F148" s="7" t="s">
        <v>7138</v>
      </c>
      <c r="G148" s="17" t="s">
        <v>7747</v>
      </c>
      <c r="H148" s="7" t="s">
        <v>28</v>
      </c>
      <c r="I148" s="7" t="s">
        <v>263</v>
      </c>
      <c r="J148" s="7" t="s">
        <v>6952</v>
      </c>
      <c r="K148" s="7" t="s">
        <v>1779</v>
      </c>
      <c r="L148" s="7" t="s">
        <v>79</v>
      </c>
      <c r="M148" s="7">
        <v>4.1816433000000002</v>
      </c>
      <c r="N148" s="7">
        <v>15.0236283</v>
      </c>
      <c r="O148" s="7" t="s">
        <v>23</v>
      </c>
      <c r="P148" s="3"/>
      <c r="Q148" s="3"/>
      <c r="R148" s="3"/>
    </row>
    <row r="149" spans="1:18" x14ac:dyDescent="0.25">
      <c r="A149" s="2">
        <v>483</v>
      </c>
      <c r="B149" s="7" t="s">
        <v>7161</v>
      </c>
      <c r="C149" s="7" t="s">
        <v>7162</v>
      </c>
      <c r="D149" s="7" t="s">
        <v>7161</v>
      </c>
      <c r="E149" s="7" t="s">
        <v>74</v>
      </c>
      <c r="F149" s="7" t="s">
        <v>7163</v>
      </c>
      <c r="G149" s="17" t="s">
        <v>7747</v>
      </c>
      <c r="H149" s="7" t="s">
        <v>28</v>
      </c>
      <c r="I149" s="7" t="s">
        <v>79</v>
      </c>
      <c r="J149" s="7" t="s">
        <v>7164</v>
      </c>
      <c r="K149" s="7" t="s">
        <v>639</v>
      </c>
      <c r="L149" s="7" t="s">
        <v>79</v>
      </c>
      <c r="M149" s="7">
        <v>4.5567000000000002</v>
      </c>
      <c r="N149" s="7">
        <v>13.634600000000001</v>
      </c>
      <c r="O149" s="7" t="s">
        <v>23</v>
      </c>
      <c r="P149" s="3"/>
      <c r="Q149" s="3"/>
      <c r="R149" s="3"/>
    </row>
    <row r="150" spans="1:18" x14ac:dyDescent="0.25">
      <c r="A150" s="2">
        <v>484</v>
      </c>
      <c r="B150" s="7" t="s">
        <v>7198</v>
      </c>
      <c r="C150" s="7" t="s">
        <v>7199</v>
      </c>
      <c r="D150" s="7" t="s">
        <v>7198</v>
      </c>
      <c r="E150" s="7" t="s">
        <v>74</v>
      </c>
      <c r="F150" s="7" t="s">
        <v>7200</v>
      </c>
      <c r="G150" s="17" t="s">
        <v>7747</v>
      </c>
      <c r="H150" s="7" t="s">
        <v>28</v>
      </c>
      <c r="I150" s="7" t="s">
        <v>213</v>
      </c>
      <c r="J150" s="7" t="s">
        <v>53</v>
      </c>
      <c r="K150" s="7" t="s">
        <v>54</v>
      </c>
      <c r="L150" s="7" t="s">
        <v>79</v>
      </c>
      <c r="M150" s="7">
        <v>3.513414</v>
      </c>
      <c r="N150" s="7">
        <v>15.047088</v>
      </c>
      <c r="O150" s="7" t="s">
        <v>23</v>
      </c>
      <c r="P150" s="3"/>
      <c r="Q150" s="3"/>
      <c r="R150" s="3"/>
    </row>
    <row r="151" spans="1:18" x14ac:dyDescent="0.25">
      <c r="A151" s="2">
        <v>485</v>
      </c>
      <c r="B151" s="7" t="s">
        <v>7215</v>
      </c>
      <c r="C151" s="7" t="s">
        <v>7216</v>
      </c>
      <c r="D151" s="7" t="s">
        <v>7215</v>
      </c>
      <c r="E151" s="7" t="s">
        <v>250</v>
      </c>
      <c r="F151" s="7" t="s">
        <v>7217</v>
      </c>
      <c r="G151" s="17" t="s">
        <v>7747</v>
      </c>
      <c r="H151" s="7" t="s">
        <v>28</v>
      </c>
      <c r="I151" s="7" t="s">
        <v>567</v>
      </c>
      <c r="J151" s="7" t="s">
        <v>568</v>
      </c>
      <c r="K151" s="7" t="s">
        <v>569</v>
      </c>
      <c r="L151" s="7" t="s">
        <v>79</v>
      </c>
      <c r="M151" s="7">
        <v>4.0080277999999998</v>
      </c>
      <c r="N151" s="7">
        <v>12.8443889</v>
      </c>
      <c r="O151" s="7" t="s">
        <v>23</v>
      </c>
      <c r="P151" s="3"/>
      <c r="Q151" s="3"/>
      <c r="R151" s="3"/>
    </row>
    <row r="152" spans="1:18" x14ac:dyDescent="0.25">
      <c r="A152" s="2">
        <v>486</v>
      </c>
      <c r="B152" s="7" t="s">
        <v>7226</v>
      </c>
      <c r="C152" s="7" t="s">
        <v>7227</v>
      </c>
      <c r="D152" s="7" t="s">
        <v>7226</v>
      </c>
      <c r="E152" s="7" t="s">
        <v>74</v>
      </c>
      <c r="F152" s="7" t="s">
        <v>7228</v>
      </c>
      <c r="G152" s="17" t="s">
        <v>7747</v>
      </c>
      <c r="H152" s="7" t="s">
        <v>28</v>
      </c>
      <c r="I152" s="7" t="s">
        <v>263</v>
      </c>
      <c r="J152" s="7" t="s">
        <v>1937</v>
      </c>
      <c r="K152" s="7" t="s">
        <v>6828</v>
      </c>
      <c r="L152" s="7" t="s">
        <v>79</v>
      </c>
      <c r="M152" s="7">
        <v>4.2588699999999999</v>
      </c>
      <c r="N152" s="7">
        <v>14.644130000000001</v>
      </c>
      <c r="O152" s="7" t="s">
        <v>23</v>
      </c>
      <c r="P152" s="3"/>
      <c r="Q152" s="3"/>
      <c r="R152" s="3"/>
    </row>
    <row r="153" spans="1:18" x14ac:dyDescent="0.25">
      <c r="A153" s="2">
        <v>487</v>
      </c>
      <c r="B153" s="7" t="s">
        <v>7232</v>
      </c>
      <c r="C153" s="7" t="s">
        <v>7233</v>
      </c>
      <c r="D153" s="7" t="s">
        <v>7232</v>
      </c>
      <c r="E153" s="7" t="s">
        <v>74</v>
      </c>
      <c r="F153" s="7" t="s">
        <v>7234</v>
      </c>
      <c r="G153" s="17" t="s">
        <v>7747</v>
      </c>
      <c r="H153" s="7" t="s">
        <v>28</v>
      </c>
      <c r="I153" s="7" t="s">
        <v>213</v>
      </c>
      <c r="J153" s="7" t="s">
        <v>7235</v>
      </c>
      <c r="K153" s="7" t="s">
        <v>6172</v>
      </c>
      <c r="L153" s="7" t="s">
        <v>79</v>
      </c>
      <c r="M153" s="7">
        <v>4.1668079999999996</v>
      </c>
      <c r="N153" s="7">
        <v>14.822471</v>
      </c>
      <c r="O153" s="7" t="s">
        <v>23</v>
      </c>
      <c r="P153" s="3"/>
      <c r="Q153" s="3"/>
      <c r="R153" s="3"/>
    </row>
    <row r="154" spans="1:18" x14ac:dyDescent="0.25">
      <c r="A154" s="2">
        <v>488</v>
      </c>
      <c r="B154" s="7" t="s">
        <v>7259</v>
      </c>
      <c r="C154" s="7" t="s">
        <v>7260</v>
      </c>
      <c r="D154" s="7" t="s">
        <v>7259</v>
      </c>
      <c r="E154" s="7" t="s">
        <v>74</v>
      </c>
      <c r="F154" s="7" t="s">
        <v>7261</v>
      </c>
      <c r="G154" s="17" t="s">
        <v>7747</v>
      </c>
      <c r="H154" s="7" t="s">
        <v>28</v>
      </c>
      <c r="I154" s="7" t="s">
        <v>263</v>
      </c>
      <c r="J154" s="7" t="s">
        <v>6952</v>
      </c>
      <c r="K154" s="7" t="s">
        <v>263</v>
      </c>
      <c r="L154" s="7" t="s">
        <v>79</v>
      </c>
      <c r="M154" s="7">
        <v>4.4424682999999998</v>
      </c>
      <c r="N154" s="7">
        <v>14.351566699999999</v>
      </c>
      <c r="O154" s="7" t="s">
        <v>23</v>
      </c>
      <c r="P154" s="3"/>
      <c r="Q154" s="3"/>
      <c r="R154" s="3"/>
    </row>
    <row r="155" spans="1:18" x14ac:dyDescent="0.25">
      <c r="A155" s="2">
        <v>489</v>
      </c>
      <c r="B155" s="7" t="s">
        <v>7470</v>
      </c>
      <c r="C155" s="7" t="s">
        <v>7471</v>
      </c>
      <c r="D155" s="7" t="s">
        <v>7470</v>
      </c>
      <c r="E155" s="7" t="s">
        <v>74</v>
      </c>
      <c r="F155" s="7" t="s">
        <v>7472</v>
      </c>
      <c r="G155" s="17" t="s">
        <v>7747</v>
      </c>
      <c r="H155" s="7" t="s">
        <v>28</v>
      </c>
      <c r="I155" s="7" t="s">
        <v>79</v>
      </c>
      <c r="J155" s="7" t="s">
        <v>904</v>
      </c>
      <c r="K155" s="7" t="s">
        <v>1302</v>
      </c>
      <c r="L155" s="7" t="s">
        <v>79</v>
      </c>
      <c r="M155" s="7">
        <v>4.5528890000000004</v>
      </c>
      <c r="N155" s="7">
        <v>13.686737000000001</v>
      </c>
      <c r="O155" s="7" t="s">
        <v>23</v>
      </c>
      <c r="P155" s="3"/>
      <c r="Q155" s="3"/>
      <c r="R155" s="3"/>
    </row>
    <row r="156" spans="1:18" x14ac:dyDescent="0.25">
      <c r="A156" s="2">
        <v>490</v>
      </c>
      <c r="B156" s="7" t="s">
        <v>7473</v>
      </c>
      <c r="C156" s="7" t="s">
        <v>7474</v>
      </c>
      <c r="D156" s="7" t="s">
        <v>7473</v>
      </c>
      <c r="E156" s="7" t="s">
        <v>74</v>
      </c>
      <c r="F156" s="7" t="s">
        <v>7475</v>
      </c>
      <c r="G156" s="17" t="s">
        <v>7747</v>
      </c>
      <c r="H156" s="7" t="s">
        <v>28</v>
      </c>
      <c r="I156" s="7" t="s">
        <v>263</v>
      </c>
      <c r="J156" s="7" t="s">
        <v>7476</v>
      </c>
      <c r="K156" s="7" t="s">
        <v>7477</v>
      </c>
      <c r="L156" s="7" t="s">
        <v>79</v>
      </c>
      <c r="M156" s="7">
        <v>4.4218000000000002</v>
      </c>
      <c r="N156" s="7">
        <v>14.355600000000001</v>
      </c>
      <c r="O156" s="7" t="s">
        <v>23</v>
      </c>
      <c r="P156" s="3"/>
      <c r="Q156" s="3"/>
      <c r="R156" s="3"/>
    </row>
    <row r="157" spans="1:18" x14ac:dyDescent="0.25">
      <c r="A157" s="2">
        <v>491</v>
      </c>
      <c r="B157" s="7" t="s">
        <v>7478</v>
      </c>
      <c r="C157" s="7" t="s">
        <v>7479</v>
      </c>
      <c r="D157" s="7" t="s">
        <v>7478</v>
      </c>
      <c r="E157" s="7" t="s">
        <v>74</v>
      </c>
      <c r="F157" s="7" t="s">
        <v>7480</v>
      </c>
      <c r="G157" s="17" t="s">
        <v>7747</v>
      </c>
      <c r="H157" s="7" t="s">
        <v>28</v>
      </c>
      <c r="I157" s="7" t="s">
        <v>263</v>
      </c>
      <c r="J157" s="7" t="s">
        <v>7481</v>
      </c>
      <c r="K157" s="7" t="s">
        <v>7477</v>
      </c>
      <c r="L157" s="7" t="s">
        <v>79</v>
      </c>
      <c r="M157" s="7">
        <v>4.4485130000000002</v>
      </c>
      <c r="N157" s="7">
        <v>14.372099</v>
      </c>
      <c r="O157" s="7" t="s">
        <v>23</v>
      </c>
      <c r="P157" s="3"/>
      <c r="Q157" s="3"/>
      <c r="R157" s="3"/>
    </row>
    <row r="158" spans="1:18" x14ac:dyDescent="0.25">
      <c r="A158" s="2">
        <v>492</v>
      </c>
      <c r="B158" s="7" t="s">
        <v>7488</v>
      </c>
      <c r="C158" s="7" t="s">
        <v>7489</v>
      </c>
      <c r="D158" s="7" t="s">
        <v>7488</v>
      </c>
      <c r="E158" s="7" t="s">
        <v>74</v>
      </c>
      <c r="F158" s="7" t="s">
        <v>7490</v>
      </c>
      <c r="G158" s="17" t="s">
        <v>7747</v>
      </c>
      <c r="H158" s="7" t="s">
        <v>28</v>
      </c>
      <c r="I158" s="7" t="s">
        <v>7491</v>
      </c>
      <c r="J158" s="7" t="s">
        <v>7492</v>
      </c>
      <c r="K158" s="7" t="s">
        <v>993</v>
      </c>
      <c r="L158" s="7" t="s">
        <v>79</v>
      </c>
      <c r="M158" s="7">
        <v>5.5097069999999997</v>
      </c>
      <c r="N158" s="7">
        <v>14.106161999999999</v>
      </c>
      <c r="O158" s="7" t="s">
        <v>23</v>
      </c>
      <c r="P158" s="3"/>
      <c r="Q158" s="3"/>
      <c r="R158" s="3"/>
    </row>
    <row r="159" spans="1:18" x14ac:dyDescent="0.25">
      <c r="A159" s="2">
        <v>493</v>
      </c>
      <c r="B159" s="7" t="s">
        <v>7503</v>
      </c>
      <c r="C159" s="7" t="s">
        <v>7504</v>
      </c>
      <c r="D159" s="7" t="s">
        <v>7503</v>
      </c>
      <c r="E159" s="7" t="s">
        <v>74</v>
      </c>
      <c r="F159" s="7" t="s">
        <v>7505</v>
      </c>
      <c r="G159" s="17" t="s">
        <v>7747</v>
      </c>
      <c r="H159" s="7" t="s">
        <v>28</v>
      </c>
      <c r="I159" s="7" t="s">
        <v>79</v>
      </c>
      <c r="J159" s="7" t="s">
        <v>904</v>
      </c>
      <c r="K159" s="7" t="s">
        <v>7506</v>
      </c>
      <c r="L159" s="7" t="s">
        <v>79</v>
      </c>
      <c r="M159" s="7">
        <v>4.5846410000000004</v>
      </c>
      <c r="N159" s="7">
        <v>13.73644</v>
      </c>
      <c r="O159" s="7" t="s">
        <v>23</v>
      </c>
      <c r="P159" s="3"/>
      <c r="Q159" s="3"/>
      <c r="R159" s="3"/>
    </row>
    <row r="160" spans="1:18" x14ac:dyDescent="0.25">
      <c r="A160" s="2">
        <v>494</v>
      </c>
      <c r="B160" s="7" t="s">
        <v>7617</v>
      </c>
      <c r="C160" s="7" t="s">
        <v>7618</v>
      </c>
      <c r="D160" s="7" t="s">
        <v>7617</v>
      </c>
      <c r="E160" s="7" t="s">
        <v>74</v>
      </c>
      <c r="F160" s="7" t="s">
        <v>7619</v>
      </c>
      <c r="G160" s="17" t="s">
        <v>7747</v>
      </c>
      <c r="H160" s="7" t="s">
        <v>28</v>
      </c>
      <c r="I160" s="10" t="s">
        <v>263</v>
      </c>
      <c r="J160" s="10" t="s">
        <v>1937</v>
      </c>
      <c r="K160" s="10" t="s">
        <v>2020</v>
      </c>
      <c r="L160" s="7" t="s">
        <v>79</v>
      </c>
      <c r="M160" s="7">
        <v>4.4388629999999996</v>
      </c>
      <c r="N160" s="7">
        <v>14.382213</v>
      </c>
      <c r="O160" s="7" t="s">
        <v>23</v>
      </c>
      <c r="P160" s="3"/>
      <c r="Q160" s="3"/>
      <c r="R160" s="3"/>
    </row>
    <row r="161" spans="1:18" x14ac:dyDescent="0.25">
      <c r="A161" s="2">
        <v>1094</v>
      </c>
      <c r="B161" s="7" t="s">
        <v>1759</v>
      </c>
      <c r="C161" s="7" t="s">
        <v>1760</v>
      </c>
      <c r="D161" s="7" t="s">
        <v>1759</v>
      </c>
      <c r="E161" s="7" t="s">
        <v>182</v>
      </c>
      <c r="F161" s="7" t="s">
        <v>1761</v>
      </c>
      <c r="G161" s="17" t="s">
        <v>7747</v>
      </c>
      <c r="H161" s="7" t="s">
        <v>28</v>
      </c>
      <c r="I161" s="7" t="s">
        <v>600</v>
      </c>
      <c r="J161" s="7" t="s">
        <v>208</v>
      </c>
      <c r="K161" s="7" t="s">
        <v>1762</v>
      </c>
      <c r="L161" s="7" t="s">
        <v>7743</v>
      </c>
      <c r="M161" s="7">
        <v>3.6532520000000002</v>
      </c>
      <c r="N161" s="7">
        <v>10.78265</v>
      </c>
      <c r="O161" s="7" t="s">
        <v>23</v>
      </c>
      <c r="P161" s="3"/>
      <c r="Q161" s="3"/>
      <c r="R161" s="3"/>
    </row>
    <row r="162" spans="1:18" x14ac:dyDescent="0.25">
      <c r="A162" s="2">
        <v>1095</v>
      </c>
      <c r="B162" s="7" t="s">
        <v>1855</v>
      </c>
      <c r="C162" s="7" t="s">
        <v>1856</v>
      </c>
      <c r="D162" s="7" t="s">
        <v>1855</v>
      </c>
      <c r="E162" s="7" t="s">
        <v>182</v>
      </c>
      <c r="F162" s="7" t="s">
        <v>1857</v>
      </c>
      <c r="G162" s="17" t="s">
        <v>7747</v>
      </c>
      <c r="H162" s="7" t="s">
        <v>28</v>
      </c>
      <c r="I162" s="7" t="s">
        <v>600</v>
      </c>
      <c r="J162" s="7" t="s">
        <v>208</v>
      </c>
      <c r="K162" s="7" t="s">
        <v>1858</v>
      </c>
      <c r="L162" s="7" t="s">
        <v>7743</v>
      </c>
      <c r="M162" s="7">
        <v>3.6668050000000001</v>
      </c>
      <c r="N162" s="7">
        <v>10.561719999999999</v>
      </c>
      <c r="O162" s="7" t="s">
        <v>23</v>
      </c>
      <c r="P162" s="3"/>
      <c r="Q162" s="3"/>
      <c r="R162" s="3"/>
    </row>
    <row r="163" spans="1:18" x14ac:dyDescent="0.25">
      <c r="A163" s="2">
        <v>1117</v>
      </c>
      <c r="B163" s="7" t="s">
        <v>4587</v>
      </c>
      <c r="C163" s="7" t="s">
        <v>4588</v>
      </c>
      <c r="D163" s="7" t="s">
        <v>4587</v>
      </c>
      <c r="E163" s="7" t="s">
        <v>182</v>
      </c>
      <c r="F163" s="7" t="s">
        <v>4589</v>
      </c>
      <c r="G163" s="17" t="s">
        <v>7747</v>
      </c>
      <c r="H163" s="7" t="s">
        <v>19</v>
      </c>
      <c r="I163" s="7" t="s">
        <v>600</v>
      </c>
      <c r="J163" s="7" t="s">
        <v>208</v>
      </c>
      <c r="K163" s="7" t="s">
        <v>1762</v>
      </c>
      <c r="L163" s="7" t="s">
        <v>7743</v>
      </c>
      <c r="M163" s="7">
        <v>3.63991</v>
      </c>
      <c r="N163" s="7">
        <v>10.768879999999999</v>
      </c>
      <c r="O163" s="7" t="s">
        <v>23</v>
      </c>
      <c r="P163" s="3"/>
      <c r="Q163" s="3"/>
      <c r="R163" s="3"/>
    </row>
    <row r="164" spans="1:18" x14ac:dyDescent="0.25">
      <c r="A164" s="2">
        <v>1123</v>
      </c>
      <c r="B164" s="7" t="s">
        <v>6100</v>
      </c>
      <c r="C164" s="7" t="s">
        <v>6101</v>
      </c>
      <c r="D164" s="7" t="s">
        <v>6100</v>
      </c>
      <c r="E164" s="7" t="s">
        <v>182</v>
      </c>
      <c r="F164" s="7" t="s">
        <v>6102</v>
      </c>
      <c r="G164" s="17" t="s">
        <v>7747</v>
      </c>
      <c r="H164" s="7" t="s">
        <v>28</v>
      </c>
      <c r="I164" s="7" t="s">
        <v>600</v>
      </c>
      <c r="J164" s="7" t="s">
        <v>208</v>
      </c>
      <c r="K164" s="7" t="s">
        <v>1762</v>
      </c>
      <c r="L164" s="7" t="s">
        <v>7743</v>
      </c>
      <c r="M164" s="7">
        <v>3.8844599999999998</v>
      </c>
      <c r="N164" s="7">
        <v>10.799630000000001</v>
      </c>
      <c r="O164" s="7" t="s">
        <v>23</v>
      </c>
      <c r="P164" s="3"/>
      <c r="Q164" s="3"/>
      <c r="R164" s="3"/>
    </row>
    <row r="165" spans="1:18" x14ac:dyDescent="0.25">
      <c r="A165" s="2">
        <v>1125</v>
      </c>
      <c r="B165" s="7" t="s">
        <v>6123</v>
      </c>
      <c r="C165" s="7" t="s">
        <v>6124</v>
      </c>
      <c r="D165" s="7" t="s">
        <v>6123</v>
      </c>
      <c r="E165" s="7" t="s">
        <v>182</v>
      </c>
      <c r="F165" s="7" t="s">
        <v>6125</v>
      </c>
      <c r="G165" s="17" t="s">
        <v>7747</v>
      </c>
      <c r="H165" s="7" t="s">
        <v>28</v>
      </c>
      <c r="I165" s="7" t="s">
        <v>600</v>
      </c>
      <c r="J165" s="7" t="s">
        <v>208</v>
      </c>
      <c r="K165" s="7" t="s">
        <v>1762</v>
      </c>
      <c r="L165" s="7" t="s">
        <v>7743</v>
      </c>
      <c r="M165" s="7">
        <v>3.4575830000000001</v>
      </c>
      <c r="N165" s="7">
        <v>10.524722000000001</v>
      </c>
      <c r="O165" s="7" t="s">
        <v>23</v>
      </c>
      <c r="P165" s="3"/>
      <c r="Q165" s="3"/>
      <c r="R165" s="3"/>
    </row>
    <row r="166" spans="1:18" x14ac:dyDescent="0.25">
      <c r="A166" s="2">
        <v>1131</v>
      </c>
      <c r="B166" s="7" t="s">
        <v>6358</v>
      </c>
      <c r="C166" s="7" t="s">
        <v>6359</v>
      </c>
      <c r="D166" s="7" t="s">
        <v>6358</v>
      </c>
      <c r="E166" s="7" t="s">
        <v>250</v>
      </c>
      <c r="F166" s="7" t="s">
        <v>6360</v>
      </c>
      <c r="G166" s="17" t="s">
        <v>7747</v>
      </c>
      <c r="H166" s="7" t="s">
        <v>28</v>
      </c>
      <c r="I166" s="7" t="s">
        <v>311</v>
      </c>
      <c r="J166" s="7" t="s">
        <v>293</v>
      </c>
      <c r="K166" s="7" t="s">
        <v>6360</v>
      </c>
      <c r="L166" s="7" t="s">
        <v>7743</v>
      </c>
      <c r="M166" s="7">
        <v>3.2478889999999998</v>
      </c>
      <c r="N166" s="7">
        <v>10.720444000000001</v>
      </c>
      <c r="O166" s="7" t="s">
        <v>23</v>
      </c>
      <c r="P166" s="3"/>
      <c r="Q166" s="3"/>
      <c r="R166" s="3"/>
    </row>
    <row r="167" spans="1:18" x14ac:dyDescent="0.25">
      <c r="A167" s="2">
        <v>1135</v>
      </c>
      <c r="B167" s="7" t="s">
        <v>168</v>
      </c>
      <c r="C167" s="7" t="s">
        <v>169</v>
      </c>
      <c r="D167" s="7" t="s">
        <v>168</v>
      </c>
      <c r="E167" s="7" t="s">
        <v>170</v>
      </c>
      <c r="F167" s="7" t="s">
        <v>171</v>
      </c>
      <c r="G167" s="17" t="s">
        <v>7747</v>
      </c>
      <c r="H167" s="7" t="s">
        <v>28</v>
      </c>
      <c r="I167" s="7" t="s">
        <v>172</v>
      </c>
      <c r="J167" s="7" t="s">
        <v>173</v>
      </c>
      <c r="K167" s="7" t="s">
        <v>174</v>
      </c>
      <c r="L167" s="7" t="s">
        <v>175</v>
      </c>
      <c r="M167" s="7">
        <v>9.7704140000000006</v>
      </c>
      <c r="N167" s="7">
        <v>13.738884000000001</v>
      </c>
      <c r="O167" s="7" t="s">
        <v>23</v>
      </c>
      <c r="P167" s="3"/>
      <c r="Q167" s="3"/>
      <c r="R167" s="3"/>
    </row>
    <row r="168" spans="1:18" x14ac:dyDescent="0.25">
      <c r="A168" s="2">
        <v>1136</v>
      </c>
      <c r="B168" s="7" t="s">
        <v>231</v>
      </c>
      <c r="C168" s="7" t="s">
        <v>232</v>
      </c>
      <c r="D168" s="7" t="s">
        <v>231</v>
      </c>
      <c r="E168" s="7" t="s">
        <v>170</v>
      </c>
      <c r="F168" s="7" t="s">
        <v>233</v>
      </c>
      <c r="G168" s="17" t="s">
        <v>7747</v>
      </c>
      <c r="H168" s="7" t="s">
        <v>28</v>
      </c>
      <c r="I168" s="7" t="s">
        <v>234</v>
      </c>
      <c r="J168" s="7" t="s">
        <v>235</v>
      </c>
      <c r="K168" s="7" t="s">
        <v>236</v>
      </c>
      <c r="L168" s="7" t="s">
        <v>175</v>
      </c>
      <c r="M168" s="7">
        <v>8.4725570000000001</v>
      </c>
      <c r="N168" s="7">
        <v>13.242718999999999</v>
      </c>
      <c r="O168" s="7" t="s">
        <v>23</v>
      </c>
      <c r="P168" s="3"/>
      <c r="Q168" s="3"/>
      <c r="R168" s="3"/>
    </row>
    <row r="169" spans="1:18" x14ac:dyDescent="0.25">
      <c r="A169" s="2">
        <v>1137</v>
      </c>
      <c r="B169" s="7" t="s">
        <v>255</v>
      </c>
      <c r="C169" s="7" t="s">
        <v>256</v>
      </c>
      <c r="D169" s="7" t="s">
        <v>255</v>
      </c>
      <c r="E169" s="7" t="s">
        <v>170</v>
      </c>
      <c r="F169" s="7" t="s">
        <v>257</v>
      </c>
      <c r="G169" s="17" t="s">
        <v>7747</v>
      </c>
      <c r="H169" s="7" t="s">
        <v>28</v>
      </c>
      <c r="I169" s="7" t="s">
        <v>234</v>
      </c>
      <c r="J169" s="7" t="s">
        <v>258</v>
      </c>
      <c r="K169" s="7" t="s">
        <v>259</v>
      </c>
      <c r="L169" s="7" t="s">
        <v>175</v>
      </c>
      <c r="M169" s="7">
        <v>9.3108419999999992</v>
      </c>
      <c r="N169" s="7">
        <v>13.669119999999999</v>
      </c>
      <c r="O169" s="7" t="s">
        <v>23</v>
      </c>
      <c r="P169" s="3"/>
      <c r="Q169" s="3"/>
      <c r="R169" s="3"/>
    </row>
    <row r="170" spans="1:18" x14ac:dyDescent="0.25">
      <c r="A170" s="2">
        <v>1138</v>
      </c>
      <c r="B170" s="7" t="s">
        <v>729</v>
      </c>
      <c r="C170" s="7" t="s">
        <v>730</v>
      </c>
      <c r="D170" s="7" t="s">
        <v>729</v>
      </c>
      <c r="E170" s="7" t="s">
        <v>170</v>
      </c>
      <c r="F170" s="7" t="s">
        <v>731</v>
      </c>
      <c r="G170" s="17" t="s">
        <v>7747</v>
      </c>
      <c r="H170" s="7" t="s">
        <v>28</v>
      </c>
      <c r="I170" s="7" t="s">
        <v>234</v>
      </c>
      <c r="J170" s="7" t="s">
        <v>732</v>
      </c>
      <c r="K170" s="7" t="s">
        <v>733</v>
      </c>
      <c r="L170" s="7" t="s">
        <v>175</v>
      </c>
      <c r="M170" s="7">
        <v>9.4622899999999994</v>
      </c>
      <c r="N170" s="7">
        <v>14.149609999999999</v>
      </c>
      <c r="O170" s="7" t="s">
        <v>23</v>
      </c>
      <c r="P170" s="3"/>
      <c r="Q170" s="3"/>
      <c r="R170" s="3"/>
    </row>
    <row r="171" spans="1:18" x14ac:dyDescent="0.25">
      <c r="A171" s="2">
        <v>1139</v>
      </c>
      <c r="B171" s="7" t="s">
        <v>746</v>
      </c>
      <c r="C171" s="7" t="s">
        <v>747</v>
      </c>
      <c r="D171" s="7" t="s">
        <v>746</v>
      </c>
      <c r="E171" s="7" t="s">
        <v>170</v>
      </c>
      <c r="F171" s="7" t="s">
        <v>748</v>
      </c>
      <c r="G171" s="17" t="s">
        <v>7747</v>
      </c>
      <c r="H171" s="7" t="s">
        <v>28</v>
      </c>
      <c r="I171" s="7" t="s">
        <v>234</v>
      </c>
      <c r="J171" s="7" t="s">
        <v>732</v>
      </c>
      <c r="K171" s="7" t="s">
        <v>733</v>
      </c>
      <c r="L171" s="7" t="s">
        <v>175</v>
      </c>
      <c r="M171" s="7">
        <v>8.6510010000000008</v>
      </c>
      <c r="N171" s="7">
        <v>14.98808</v>
      </c>
      <c r="O171" s="7" t="s">
        <v>23</v>
      </c>
      <c r="P171" s="3"/>
      <c r="Q171" s="3"/>
      <c r="R171" s="3"/>
    </row>
    <row r="172" spans="1:18" x14ac:dyDescent="0.25">
      <c r="A172" s="2">
        <v>1140</v>
      </c>
      <c r="B172" s="7" t="s">
        <v>801</v>
      </c>
      <c r="C172" s="7" t="s">
        <v>802</v>
      </c>
      <c r="D172" s="7" t="s">
        <v>801</v>
      </c>
      <c r="E172" s="7" t="s">
        <v>170</v>
      </c>
      <c r="F172" s="7" t="s">
        <v>803</v>
      </c>
      <c r="G172" s="17" t="s">
        <v>7747</v>
      </c>
      <c r="H172" s="7" t="s">
        <v>19</v>
      </c>
      <c r="I172" s="7" t="s">
        <v>172</v>
      </c>
      <c r="J172" s="7" t="s">
        <v>173</v>
      </c>
      <c r="K172" s="7" t="s">
        <v>803</v>
      </c>
      <c r="L172" s="7" t="s">
        <v>175</v>
      </c>
      <c r="M172" s="7">
        <v>9.7076019999999996</v>
      </c>
      <c r="N172" s="7">
        <v>13.92479</v>
      </c>
      <c r="O172" s="7" t="s">
        <v>23</v>
      </c>
      <c r="P172" s="3"/>
      <c r="Q172" s="3"/>
      <c r="R172" s="3"/>
    </row>
    <row r="173" spans="1:18" x14ac:dyDescent="0.25">
      <c r="A173" s="2">
        <v>1141</v>
      </c>
      <c r="B173" s="7" t="s">
        <v>854</v>
      </c>
      <c r="C173" s="7" t="s">
        <v>855</v>
      </c>
      <c r="D173" s="7" t="s">
        <v>854</v>
      </c>
      <c r="E173" s="7" t="s">
        <v>170</v>
      </c>
      <c r="F173" s="7" t="s">
        <v>856</v>
      </c>
      <c r="G173" s="17" t="s">
        <v>7747</v>
      </c>
      <c r="H173" s="7" t="s">
        <v>28</v>
      </c>
      <c r="I173" s="7" t="s">
        <v>172</v>
      </c>
      <c r="J173" s="7" t="s">
        <v>173</v>
      </c>
      <c r="K173" s="7" t="s">
        <v>174</v>
      </c>
      <c r="L173" s="7" t="s">
        <v>175</v>
      </c>
      <c r="M173" s="7">
        <v>9.9863949999999999</v>
      </c>
      <c r="N173" s="7">
        <v>13.516673000000001</v>
      </c>
      <c r="O173" s="7" t="s">
        <v>23</v>
      </c>
      <c r="P173" s="3"/>
      <c r="Q173" s="3"/>
      <c r="R173" s="3"/>
    </row>
    <row r="174" spans="1:18" x14ac:dyDescent="0.25">
      <c r="A174" s="2">
        <v>1142</v>
      </c>
      <c r="B174" s="7" t="s">
        <v>857</v>
      </c>
      <c r="C174" s="7" t="s">
        <v>858</v>
      </c>
      <c r="D174" s="7" t="s">
        <v>857</v>
      </c>
      <c r="E174" s="7" t="s">
        <v>170</v>
      </c>
      <c r="F174" s="7" t="s">
        <v>859</v>
      </c>
      <c r="G174" s="17" t="s">
        <v>7747</v>
      </c>
      <c r="H174" s="7" t="s">
        <v>28</v>
      </c>
      <c r="I174" s="7" t="s">
        <v>172</v>
      </c>
      <c r="J174" s="7" t="s">
        <v>173</v>
      </c>
      <c r="K174" s="7" t="s">
        <v>174</v>
      </c>
      <c r="L174" s="7" t="s">
        <v>175</v>
      </c>
      <c r="M174" s="7">
        <v>10.062537000000001</v>
      </c>
      <c r="N174" s="7">
        <v>13.311543</v>
      </c>
      <c r="O174" s="7" t="s">
        <v>23</v>
      </c>
      <c r="P174" s="3"/>
      <c r="Q174" s="3"/>
      <c r="R174" s="3"/>
    </row>
    <row r="175" spans="1:18" x14ac:dyDescent="0.25">
      <c r="A175" s="2">
        <v>1143</v>
      </c>
      <c r="B175" s="7" t="s">
        <v>882</v>
      </c>
      <c r="C175" s="7" t="s">
        <v>883</v>
      </c>
      <c r="D175" s="7" t="s">
        <v>882</v>
      </c>
      <c r="E175" s="7" t="s">
        <v>170</v>
      </c>
      <c r="F175" s="7" t="s">
        <v>884</v>
      </c>
      <c r="G175" s="17" t="s">
        <v>7747</v>
      </c>
      <c r="H175" s="7" t="s">
        <v>19</v>
      </c>
      <c r="I175" s="7" t="s">
        <v>234</v>
      </c>
      <c r="J175" s="7" t="s">
        <v>258</v>
      </c>
      <c r="K175" s="7" t="s">
        <v>885</v>
      </c>
      <c r="L175" s="7" t="s">
        <v>175</v>
      </c>
      <c r="M175" s="7">
        <v>8.7860829999999996</v>
      </c>
      <c r="N175" s="7">
        <v>13.516278</v>
      </c>
      <c r="O175" s="7" t="s">
        <v>23</v>
      </c>
      <c r="P175" s="3"/>
      <c r="Q175" s="3"/>
      <c r="R175" s="3"/>
    </row>
    <row r="176" spans="1:18" x14ac:dyDescent="0.25">
      <c r="A176" s="2">
        <v>1144</v>
      </c>
      <c r="B176" s="7" t="s">
        <v>886</v>
      </c>
      <c r="C176" s="7" t="s">
        <v>887</v>
      </c>
      <c r="D176" s="7" t="s">
        <v>886</v>
      </c>
      <c r="E176" s="7" t="s">
        <v>170</v>
      </c>
      <c r="F176" s="7" t="s">
        <v>888</v>
      </c>
      <c r="G176" s="17" t="s">
        <v>7747</v>
      </c>
      <c r="H176" s="7" t="s">
        <v>19</v>
      </c>
      <c r="I176" s="7" t="s">
        <v>172</v>
      </c>
      <c r="J176" s="7" t="s">
        <v>258</v>
      </c>
      <c r="K176" s="7" t="s">
        <v>259</v>
      </c>
      <c r="L176" s="7" t="s">
        <v>175</v>
      </c>
      <c r="M176" s="7">
        <v>9.4424499999999991</v>
      </c>
      <c r="N176" s="7">
        <v>13.61087</v>
      </c>
      <c r="O176" s="7" t="s">
        <v>23</v>
      </c>
      <c r="P176" s="3"/>
      <c r="Q176" s="3"/>
      <c r="R176" s="3"/>
    </row>
    <row r="177" spans="1:18" x14ac:dyDescent="0.25">
      <c r="A177" s="2">
        <v>1145</v>
      </c>
      <c r="B177" s="7" t="s">
        <v>926</v>
      </c>
      <c r="C177" s="7" t="s">
        <v>927</v>
      </c>
      <c r="D177" s="7" t="s">
        <v>926</v>
      </c>
      <c r="E177" s="7" t="s">
        <v>170</v>
      </c>
      <c r="F177" s="7" t="s">
        <v>928</v>
      </c>
      <c r="G177" s="17" t="s">
        <v>7747</v>
      </c>
      <c r="H177" s="7" t="s">
        <v>28</v>
      </c>
      <c r="I177" s="7" t="s">
        <v>234</v>
      </c>
      <c r="J177" s="7" t="s">
        <v>258</v>
      </c>
      <c r="K177" s="7" t="s">
        <v>929</v>
      </c>
      <c r="L177" s="7" t="s">
        <v>175</v>
      </c>
      <c r="M177" s="7">
        <v>9.4142600000000005</v>
      </c>
      <c r="N177" s="7">
        <v>14.112159999999999</v>
      </c>
      <c r="O177" s="7" t="s">
        <v>23</v>
      </c>
      <c r="P177" s="3"/>
      <c r="Q177" s="3"/>
      <c r="R177" s="3"/>
    </row>
    <row r="178" spans="1:18" x14ac:dyDescent="0.25">
      <c r="A178" s="2">
        <v>1146</v>
      </c>
      <c r="B178" s="7" t="s">
        <v>930</v>
      </c>
      <c r="C178" s="7" t="s">
        <v>931</v>
      </c>
      <c r="D178" s="7" t="s">
        <v>930</v>
      </c>
      <c r="E178" s="7" t="s">
        <v>170</v>
      </c>
      <c r="F178" s="7" t="s">
        <v>932</v>
      </c>
      <c r="G178" s="17" t="s">
        <v>7747</v>
      </c>
      <c r="H178" s="7" t="s">
        <v>28</v>
      </c>
      <c r="I178" s="7" t="s">
        <v>172</v>
      </c>
      <c r="J178" s="7" t="s">
        <v>173</v>
      </c>
      <c r="K178" s="7" t="s">
        <v>174</v>
      </c>
      <c r="L178" s="7" t="s">
        <v>175</v>
      </c>
      <c r="M178" s="7">
        <v>9.5552799999999998</v>
      </c>
      <c r="N178" s="7">
        <v>13.761900000000001</v>
      </c>
      <c r="O178" s="7" t="s">
        <v>23</v>
      </c>
      <c r="P178" s="3"/>
      <c r="Q178" s="3"/>
      <c r="R178" s="3"/>
    </row>
    <row r="179" spans="1:18" x14ac:dyDescent="0.25">
      <c r="A179" s="2">
        <v>1147</v>
      </c>
      <c r="B179" s="7" t="s">
        <v>1026</v>
      </c>
      <c r="C179" s="7" t="s">
        <v>1027</v>
      </c>
      <c r="D179" s="7" t="s">
        <v>1026</v>
      </c>
      <c r="E179" s="7" t="s">
        <v>170</v>
      </c>
      <c r="F179" s="7" t="s">
        <v>1028</v>
      </c>
      <c r="G179" s="17" t="s">
        <v>7747</v>
      </c>
      <c r="H179" s="7" t="s">
        <v>19</v>
      </c>
      <c r="I179" s="7" t="s">
        <v>172</v>
      </c>
      <c r="J179" s="7" t="s">
        <v>258</v>
      </c>
      <c r="K179" s="7" t="s">
        <v>1028</v>
      </c>
      <c r="L179" s="7" t="s">
        <v>175</v>
      </c>
      <c r="M179" s="7">
        <v>9.6715400000000002</v>
      </c>
      <c r="N179" s="7">
        <v>13.374079999999999</v>
      </c>
      <c r="O179" s="7" t="s">
        <v>23</v>
      </c>
      <c r="P179" s="3"/>
      <c r="Q179" s="3"/>
      <c r="R179" s="3"/>
    </row>
    <row r="180" spans="1:18" x14ac:dyDescent="0.25">
      <c r="A180" s="2">
        <v>1148</v>
      </c>
      <c r="B180" s="7" t="s">
        <v>1029</v>
      </c>
      <c r="C180" s="7" t="s">
        <v>1030</v>
      </c>
      <c r="D180" s="7" t="s">
        <v>1029</v>
      </c>
      <c r="E180" s="7" t="s">
        <v>170</v>
      </c>
      <c r="F180" s="7" t="s">
        <v>1031</v>
      </c>
      <c r="G180" s="17" t="s">
        <v>7747</v>
      </c>
      <c r="H180" s="7" t="s">
        <v>28</v>
      </c>
      <c r="I180" s="7" t="s">
        <v>172</v>
      </c>
      <c r="J180" s="7" t="s">
        <v>258</v>
      </c>
      <c r="K180" s="7" t="s">
        <v>1032</v>
      </c>
      <c r="L180" s="7" t="s">
        <v>175</v>
      </c>
      <c r="M180" s="7">
        <v>9.3455829999999995</v>
      </c>
      <c r="N180" s="7">
        <v>12.973027999999999</v>
      </c>
      <c r="O180" s="7" t="s">
        <v>23</v>
      </c>
      <c r="P180" s="3"/>
      <c r="Q180" s="3"/>
      <c r="R180" s="3"/>
    </row>
    <row r="181" spans="1:18" x14ac:dyDescent="0.25">
      <c r="A181" s="2">
        <v>1149</v>
      </c>
      <c r="B181" s="7" t="s">
        <v>1193</v>
      </c>
      <c r="C181" s="7" t="s">
        <v>1194</v>
      </c>
      <c r="D181" s="7" t="s">
        <v>1193</v>
      </c>
      <c r="E181" s="7" t="s">
        <v>170</v>
      </c>
      <c r="F181" s="7" t="s">
        <v>1195</v>
      </c>
      <c r="G181" s="17" t="s">
        <v>7747</v>
      </c>
      <c r="H181" s="7" t="s">
        <v>28</v>
      </c>
      <c r="I181" s="7" t="s">
        <v>234</v>
      </c>
      <c r="J181" s="7" t="s">
        <v>258</v>
      </c>
      <c r="K181" s="7" t="s">
        <v>1196</v>
      </c>
      <c r="L181" s="7" t="s">
        <v>175</v>
      </c>
      <c r="M181" s="7">
        <v>9.2890499999999996</v>
      </c>
      <c r="N181" s="7">
        <v>13.709720000000001</v>
      </c>
      <c r="O181" s="7" t="s">
        <v>23</v>
      </c>
      <c r="P181" s="3"/>
      <c r="Q181" s="3"/>
      <c r="R181" s="3"/>
    </row>
    <row r="182" spans="1:18" x14ac:dyDescent="0.25">
      <c r="A182" s="2">
        <v>1150</v>
      </c>
      <c r="B182" s="7" t="s">
        <v>1222</v>
      </c>
      <c r="C182" s="7" t="s">
        <v>1223</v>
      </c>
      <c r="D182" s="7" t="s">
        <v>1222</v>
      </c>
      <c r="E182" s="7" t="s">
        <v>170</v>
      </c>
      <c r="F182" s="7" t="s">
        <v>1224</v>
      </c>
      <c r="G182" s="17" t="s">
        <v>7747</v>
      </c>
      <c r="H182" s="7" t="s">
        <v>28</v>
      </c>
      <c r="I182" s="7" t="s">
        <v>234</v>
      </c>
      <c r="J182" s="7" t="s">
        <v>258</v>
      </c>
      <c r="K182" s="7" t="s">
        <v>885</v>
      </c>
      <c r="L182" s="7" t="s">
        <v>175</v>
      </c>
      <c r="M182" s="7">
        <v>8.9180609999999998</v>
      </c>
      <c r="N182" s="7">
        <v>13.514075</v>
      </c>
      <c r="O182" s="7" t="s">
        <v>23</v>
      </c>
      <c r="P182" s="3"/>
      <c r="Q182" s="3"/>
      <c r="R182" s="3"/>
    </row>
    <row r="183" spans="1:18" x14ac:dyDescent="0.25">
      <c r="A183" s="2">
        <v>1151</v>
      </c>
      <c r="B183" s="7" t="s">
        <v>1244</v>
      </c>
      <c r="C183" s="7" t="s">
        <v>1245</v>
      </c>
      <c r="D183" s="7" t="s">
        <v>1244</v>
      </c>
      <c r="E183" s="7" t="s">
        <v>170</v>
      </c>
      <c r="F183" s="7" t="s">
        <v>1246</v>
      </c>
      <c r="G183" s="17" t="s">
        <v>7747</v>
      </c>
      <c r="H183" s="7" t="s">
        <v>28</v>
      </c>
      <c r="I183" s="7" t="s">
        <v>234</v>
      </c>
      <c r="J183" s="7" t="s">
        <v>258</v>
      </c>
      <c r="K183" s="7" t="s">
        <v>929</v>
      </c>
      <c r="L183" s="7" t="s">
        <v>175</v>
      </c>
      <c r="M183" s="7">
        <v>9.0045280000000005</v>
      </c>
      <c r="N183" s="7">
        <v>14.250972000000001</v>
      </c>
      <c r="O183" s="7" t="s">
        <v>23</v>
      </c>
      <c r="P183" s="3"/>
      <c r="Q183" s="3"/>
      <c r="R183" s="3"/>
    </row>
    <row r="184" spans="1:18" x14ac:dyDescent="0.25">
      <c r="A184" s="2">
        <v>1152</v>
      </c>
      <c r="B184" s="7" t="s">
        <v>1263</v>
      </c>
      <c r="C184" s="7" t="s">
        <v>1264</v>
      </c>
      <c r="D184" s="7" t="s">
        <v>1263</v>
      </c>
      <c r="E184" s="7" t="s">
        <v>170</v>
      </c>
      <c r="F184" s="7" t="s">
        <v>1265</v>
      </c>
      <c r="G184" s="17" t="s">
        <v>7747</v>
      </c>
      <c r="H184" s="7" t="s">
        <v>28</v>
      </c>
      <c r="I184" s="7" t="s">
        <v>234</v>
      </c>
      <c r="J184" s="7" t="s">
        <v>258</v>
      </c>
      <c r="K184" s="7" t="s">
        <v>929</v>
      </c>
      <c r="L184" s="7" t="s">
        <v>175</v>
      </c>
      <c r="M184" s="7">
        <v>9.3400099999999995</v>
      </c>
      <c r="N184" s="7">
        <v>14.21495</v>
      </c>
      <c r="O184" s="7" t="s">
        <v>23</v>
      </c>
      <c r="P184" s="3"/>
      <c r="Q184" s="3"/>
      <c r="R184" s="3"/>
    </row>
    <row r="185" spans="1:18" x14ac:dyDescent="0.25">
      <c r="A185" s="2">
        <v>1153</v>
      </c>
      <c r="B185" s="7" t="s">
        <v>1266</v>
      </c>
      <c r="C185" s="7" t="s">
        <v>1267</v>
      </c>
      <c r="D185" s="7" t="s">
        <v>1266</v>
      </c>
      <c r="E185" s="7" t="s">
        <v>170</v>
      </c>
      <c r="F185" s="7" t="s">
        <v>1268</v>
      </c>
      <c r="G185" s="17" t="s">
        <v>7747</v>
      </c>
      <c r="H185" s="7" t="s">
        <v>28</v>
      </c>
      <c r="I185" s="7" t="s">
        <v>172</v>
      </c>
      <c r="J185" s="7" t="s">
        <v>173</v>
      </c>
      <c r="K185" s="7" t="s">
        <v>174</v>
      </c>
      <c r="L185" s="7" t="s">
        <v>175</v>
      </c>
      <c r="M185" s="7">
        <v>9.8282880000000006</v>
      </c>
      <c r="N185" s="7">
        <v>13.829748</v>
      </c>
      <c r="O185" s="7" t="s">
        <v>23</v>
      </c>
      <c r="P185" s="3"/>
      <c r="Q185" s="3"/>
      <c r="R185" s="3"/>
    </row>
    <row r="186" spans="1:18" x14ac:dyDescent="0.25">
      <c r="A186" s="2">
        <v>1154</v>
      </c>
      <c r="B186" s="7" t="s">
        <v>1278</v>
      </c>
      <c r="C186" s="7" t="s">
        <v>1279</v>
      </c>
      <c r="D186" s="7" t="s">
        <v>1278</v>
      </c>
      <c r="E186" s="7" t="s">
        <v>170</v>
      </c>
      <c r="F186" s="7" t="s">
        <v>1280</v>
      </c>
      <c r="G186" s="17" t="s">
        <v>7747</v>
      </c>
      <c r="H186" s="7" t="s">
        <v>28</v>
      </c>
      <c r="I186" s="7" t="s">
        <v>234</v>
      </c>
      <c r="J186" s="7" t="s">
        <v>258</v>
      </c>
      <c r="K186" s="7" t="s">
        <v>885</v>
      </c>
      <c r="L186" s="7" t="s">
        <v>175</v>
      </c>
      <c r="M186" s="7">
        <v>8.3912999999999993</v>
      </c>
      <c r="N186" s="7">
        <v>13.712896000000001</v>
      </c>
      <c r="O186" s="7" t="s">
        <v>23</v>
      </c>
      <c r="P186" s="3"/>
      <c r="Q186" s="3"/>
      <c r="R186" s="3"/>
    </row>
    <row r="187" spans="1:18" x14ac:dyDescent="0.25">
      <c r="A187" s="2">
        <v>1155</v>
      </c>
      <c r="B187" s="7" t="s">
        <v>1290</v>
      </c>
      <c r="C187" s="7" t="s">
        <v>1291</v>
      </c>
      <c r="D187" s="7" t="s">
        <v>1290</v>
      </c>
      <c r="E187" s="7" t="s">
        <v>170</v>
      </c>
      <c r="F187" s="7" t="s">
        <v>1292</v>
      </c>
      <c r="G187" s="17" t="s">
        <v>7747</v>
      </c>
      <c r="H187" s="7" t="s">
        <v>28</v>
      </c>
      <c r="I187" s="7" t="s">
        <v>234</v>
      </c>
      <c r="J187" s="7" t="s">
        <v>258</v>
      </c>
      <c r="K187" s="7" t="s">
        <v>885</v>
      </c>
      <c r="L187" s="7" t="s">
        <v>175</v>
      </c>
      <c r="M187" s="7">
        <v>8.6520390000000003</v>
      </c>
      <c r="N187" s="7">
        <v>13.528034999999999</v>
      </c>
      <c r="O187" s="7" t="s">
        <v>23</v>
      </c>
      <c r="P187" s="3"/>
      <c r="Q187" s="3"/>
      <c r="R187" s="3"/>
    </row>
    <row r="188" spans="1:18" x14ac:dyDescent="0.25">
      <c r="A188" s="2">
        <v>1156</v>
      </c>
      <c r="B188" s="7" t="s">
        <v>1379</v>
      </c>
      <c r="C188" s="7" t="s">
        <v>1380</v>
      </c>
      <c r="D188" s="7" t="s">
        <v>1379</v>
      </c>
      <c r="E188" s="7" t="s">
        <v>170</v>
      </c>
      <c r="F188" s="7" t="s">
        <v>1381</v>
      </c>
      <c r="G188" s="17" t="s">
        <v>7747</v>
      </c>
      <c r="H188" s="7" t="s">
        <v>28</v>
      </c>
      <c r="I188" s="7" t="s">
        <v>234</v>
      </c>
      <c r="J188" s="7" t="s">
        <v>258</v>
      </c>
      <c r="K188" s="7" t="s">
        <v>885</v>
      </c>
      <c r="L188" s="7" t="s">
        <v>175</v>
      </c>
      <c r="M188" s="7">
        <v>9.2292670000000001</v>
      </c>
      <c r="N188" s="7">
        <v>13.444817</v>
      </c>
      <c r="O188" s="7" t="s">
        <v>23</v>
      </c>
      <c r="P188" s="3"/>
      <c r="Q188" s="3"/>
      <c r="R188" s="3"/>
    </row>
    <row r="189" spans="1:18" x14ac:dyDescent="0.25">
      <c r="A189" s="2">
        <v>1157</v>
      </c>
      <c r="B189" s="7" t="s">
        <v>1494</v>
      </c>
      <c r="C189" s="7" t="s">
        <v>1495</v>
      </c>
      <c r="D189" s="7" t="s">
        <v>1494</v>
      </c>
      <c r="E189" s="7" t="s">
        <v>170</v>
      </c>
      <c r="F189" s="7" t="s">
        <v>1496</v>
      </c>
      <c r="G189" s="17" t="s">
        <v>7747</v>
      </c>
      <c r="H189" s="7" t="s">
        <v>28</v>
      </c>
      <c r="I189" s="7" t="s">
        <v>172</v>
      </c>
      <c r="J189" s="7" t="s">
        <v>173</v>
      </c>
      <c r="K189" s="7" t="s">
        <v>174</v>
      </c>
      <c r="L189" s="7" t="s">
        <v>175</v>
      </c>
      <c r="M189" s="7">
        <v>9.7834730000000008</v>
      </c>
      <c r="N189" s="7">
        <v>13.854317</v>
      </c>
      <c r="O189" s="7" t="s">
        <v>23</v>
      </c>
      <c r="P189" s="3"/>
      <c r="Q189" s="3"/>
      <c r="R189" s="3"/>
    </row>
    <row r="190" spans="1:18" x14ac:dyDescent="0.25">
      <c r="A190" s="2">
        <v>1158</v>
      </c>
      <c r="B190" s="7" t="s">
        <v>1497</v>
      </c>
      <c r="C190" s="7" t="s">
        <v>1498</v>
      </c>
      <c r="D190" s="7" t="s">
        <v>1497</v>
      </c>
      <c r="E190" s="7" t="s">
        <v>170</v>
      </c>
      <c r="F190" s="7" t="s">
        <v>1499</v>
      </c>
      <c r="G190" s="17" t="s">
        <v>7747</v>
      </c>
      <c r="H190" s="7" t="s">
        <v>28</v>
      </c>
      <c r="I190" s="7" t="s">
        <v>172</v>
      </c>
      <c r="J190" s="7" t="s">
        <v>173</v>
      </c>
      <c r="K190" s="7" t="s">
        <v>737</v>
      </c>
      <c r="L190" s="7" t="s">
        <v>175</v>
      </c>
      <c r="M190" s="7">
        <v>10.148694000000001</v>
      </c>
      <c r="N190" s="7">
        <v>13.459277999999999</v>
      </c>
      <c r="O190" s="7" t="s">
        <v>23</v>
      </c>
      <c r="P190" s="3"/>
      <c r="Q190" s="3"/>
      <c r="R190" s="3"/>
    </row>
    <row r="191" spans="1:18" x14ac:dyDescent="0.25">
      <c r="A191" s="2">
        <v>1159</v>
      </c>
      <c r="B191" s="7" t="s">
        <v>1647</v>
      </c>
      <c r="C191" s="7" t="s">
        <v>1648</v>
      </c>
      <c r="D191" s="7" t="s">
        <v>1647</v>
      </c>
      <c r="E191" s="7" t="s">
        <v>170</v>
      </c>
      <c r="F191" s="7" t="s">
        <v>1649</v>
      </c>
      <c r="G191" s="17" t="s">
        <v>7747</v>
      </c>
      <c r="H191" s="7" t="s">
        <v>19</v>
      </c>
      <c r="I191" s="7" t="s">
        <v>234</v>
      </c>
      <c r="J191" s="7" t="s">
        <v>258</v>
      </c>
      <c r="K191" s="7" t="s">
        <v>885</v>
      </c>
      <c r="L191" s="7" t="s">
        <v>175</v>
      </c>
      <c r="M191" s="7">
        <v>9.0586470000000006</v>
      </c>
      <c r="N191" s="7">
        <v>13.661389</v>
      </c>
      <c r="O191" s="7" t="s">
        <v>23</v>
      </c>
      <c r="P191" s="3"/>
      <c r="Q191" s="3"/>
      <c r="R191" s="3"/>
    </row>
    <row r="192" spans="1:18" x14ac:dyDescent="0.25">
      <c r="A192" s="2">
        <v>1160</v>
      </c>
      <c r="B192" s="7" t="s">
        <v>1680</v>
      </c>
      <c r="C192" s="7" t="s">
        <v>1681</v>
      </c>
      <c r="D192" s="7" t="s">
        <v>1680</v>
      </c>
      <c r="E192" s="7" t="s">
        <v>170</v>
      </c>
      <c r="F192" s="7" t="s">
        <v>1682</v>
      </c>
      <c r="G192" s="17" t="s">
        <v>7747</v>
      </c>
      <c r="H192" s="7" t="s">
        <v>19</v>
      </c>
      <c r="I192" s="7" t="s">
        <v>172</v>
      </c>
      <c r="J192" s="7" t="s">
        <v>173</v>
      </c>
      <c r="K192" s="7" t="s">
        <v>174</v>
      </c>
      <c r="L192" s="7" t="s">
        <v>175</v>
      </c>
      <c r="M192" s="7">
        <v>9.9730779999999992</v>
      </c>
      <c r="N192" s="7">
        <v>13.609007</v>
      </c>
      <c r="O192" s="7" t="s">
        <v>23</v>
      </c>
      <c r="P192" s="3"/>
      <c r="Q192" s="3"/>
      <c r="R192" s="3"/>
    </row>
    <row r="193" spans="1:18" x14ac:dyDescent="0.25">
      <c r="A193" s="2">
        <v>1161</v>
      </c>
      <c r="B193" s="7" t="s">
        <v>1695</v>
      </c>
      <c r="C193" s="7" t="s">
        <v>1696</v>
      </c>
      <c r="D193" s="7" t="s">
        <v>1695</v>
      </c>
      <c r="E193" s="7" t="s">
        <v>170</v>
      </c>
      <c r="F193" s="7" t="s">
        <v>1697</v>
      </c>
      <c r="G193" s="17" t="s">
        <v>7747</v>
      </c>
      <c r="H193" s="7" t="s">
        <v>28</v>
      </c>
      <c r="I193" s="7" t="s">
        <v>172</v>
      </c>
      <c r="J193" s="7" t="s">
        <v>258</v>
      </c>
      <c r="K193" s="7" t="s">
        <v>1697</v>
      </c>
      <c r="L193" s="7" t="s">
        <v>175</v>
      </c>
      <c r="M193" s="7">
        <v>9.4146900000000002</v>
      </c>
      <c r="N193" s="7">
        <v>13.360329999999999</v>
      </c>
      <c r="O193" s="7" t="s">
        <v>23</v>
      </c>
      <c r="P193" s="3"/>
      <c r="Q193" s="3"/>
      <c r="R193" s="3"/>
    </row>
    <row r="194" spans="1:18" x14ac:dyDescent="0.25">
      <c r="A194" s="2">
        <v>1162</v>
      </c>
      <c r="B194" s="7" t="s">
        <v>1792</v>
      </c>
      <c r="C194" s="7" t="s">
        <v>1793</v>
      </c>
      <c r="D194" s="7" t="s">
        <v>1792</v>
      </c>
      <c r="E194" s="7" t="s">
        <v>170</v>
      </c>
      <c r="F194" s="7" t="s">
        <v>236</v>
      </c>
      <c r="G194" s="17" t="s">
        <v>7747</v>
      </c>
      <c r="H194" s="7" t="s">
        <v>28</v>
      </c>
      <c r="I194" s="7" t="s">
        <v>234</v>
      </c>
      <c r="J194" s="7" t="s">
        <v>1794</v>
      </c>
      <c r="K194" s="7" t="s">
        <v>1795</v>
      </c>
      <c r="L194" s="7" t="s">
        <v>175</v>
      </c>
      <c r="M194" s="7">
        <v>8.5042969999999993</v>
      </c>
      <c r="N194" s="7">
        <v>13.23978</v>
      </c>
      <c r="O194" s="7" t="s">
        <v>23</v>
      </c>
      <c r="P194" s="3"/>
      <c r="Q194" s="3"/>
      <c r="R194" s="3"/>
    </row>
    <row r="195" spans="1:18" x14ac:dyDescent="0.25">
      <c r="A195" s="2">
        <v>1163</v>
      </c>
      <c r="B195" s="7" t="s">
        <v>1905</v>
      </c>
      <c r="C195" s="7" t="s">
        <v>1906</v>
      </c>
      <c r="D195" s="7" t="s">
        <v>1905</v>
      </c>
      <c r="E195" s="7" t="s">
        <v>170</v>
      </c>
      <c r="F195" s="7" t="s">
        <v>1907</v>
      </c>
      <c r="G195" s="17" t="s">
        <v>7747</v>
      </c>
      <c r="H195" s="7" t="s">
        <v>28</v>
      </c>
      <c r="I195" s="7" t="s">
        <v>234</v>
      </c>
      <c r="J195" s="7" t="s">
        <v>258</v>
      </c>
      <c r="K195" s="7" t="s">
        <v>885</v>
      </c>
      <c r="L195" s="7" t="s">
        <v>175</v>
      </c>
      <c r="M195" s="7">
        <v>9.0536670000000008</v>
      </c>
      <c r="N195" s="7">
        <v>13.662860999999999</v>
      </c>
      <c r="O195" s="7" t="s">
        <v>23</v>
      </c>
      <c r="P195" s="3"/>
      <c r="Q195" s="3"/>
      <c r="R195" s="3"/>
    </row>
    <row r="196" spans="1:18" x14ac:dyDescent="0.25">
      <c r="A196" s="2">
        <v>1164</v>
      </c>
      <c r="B196" s="7" t="s">
        <v>1921</v>
      </c>
      <c r="C196" s="7" t="s">
        <v>1922</v>
      </c>
      <c r="D196" s="7" t="s">
        <v>1921</v>
      </c>
      <c r="E196" s="7" t="s">
        <v>170</v>
      </c>
      <c r="F196" s="7" t="s">
        <v>1923</v>
      </c>
      <c r="G196" s="17" t="s">
        <v>7747</v>
      </c>
      <c r="H196" s="7" t="s">
        <v>28</v>
      </c>
      <c r="I196" s="7" t="s">
        <v>172</v>
      </c>
      <c r="J196" s="7" t="s">
        <v>258</v>
      </c>
      <c r="K196" s="7" t="s">
        <v>1924</v>
      </c>
      <c r="L196" s="7" t="s">
        <v>175</v>
      </c>
      <c r="M196" s="7">
        <v>9.3229100000000003</v>
      </c>
      <c r="N196" s="7">
        <v>13.391579999999999</v>
      </c>
      <c r="O196" s="7" t="s">
        <v>23</v>
      </c>
      <c r="P196" s="3"/>
      <c r="Q196" s="3"/>
      <c r="R196" s="3"/>
    </row>
    <row r="197" spans="1:18" x14ac:dyDescent="0.25">
      <c r="A197" s="2">
        <v>1165</v>
      </c>
      <c r="B197" s="7" t="s">
        <v>1925</v>
      </c>
      <c r="C197" s="7" t="s">
        <v>1926</v>
      </c>
      <c r="D197" s="7" t="s">
        <v>1925</v>
      </c>
      <c r="E197" s="7" t="s">
        <v>170</v>
      </c>
      <c r="F197" s="7" t="s">
        <v>1927</v>
      </c>
      <c r="G197" s="17" t="s">
        <v>7747</v>
      </c>
      <c r="H197" s="7" t="s">
        <v>28</v>
      </c>
      <c r="I197" s="7" t="s">
        <v>234</v>
      </c>
      <c r="J197" s="7" t="s">
        <v>258</v>
      </c>
      <c r="K197" s="7" t="s">
        <v>885</v>
      </c>
      <c r="L197" s="7" t="s">
        <v>175</v>
      </c>
      <c r="M197" s="7">
        <v>9.2792499999999993</v>
      </c>
      <c r="N197" s="7">
        <v>13.461779999999999</v>
      </c>
      <c r="O197" s="7" t="s">
        <v>23</v>
      </c>
      <c r="P197" s="3"/>
      <c r="Q197" s="3"/>
      <c r="R197" s="3"/>
    </row>
    <row r="198" spans="1:18" x14ac:dyDescent="0.25">
      <c r="A198" s="2">
        <v>1166</v>
      </c>
      <c r="B198" s="7" t="s">
        <v>2025</v>
      </c>
      <c r="C198" s="7" t="s">
        <v>2026</v>
      </c>
      <c r="D198" s="7" t="s">
        <v>2025</v>
      </c>
      <c r="E198" s="7" t="s">
        <v>170</v>
      </c>
      <c r="F198" s="7" t="s">
        <v>2027</v>
      </c>
      <c r="G198" s="17" t="s">
        <v>7747</v>
      </c>
      <c r="H198" s="7" t="s">
        <v>19</v>
      </c>
      <c r="I198" s="7" t="s">
        <v>234</v>
      </c>
      <c r="J198" s="7" t="s">
        <v>732</v>
      </c>
      <c r="K198" s="7" t="s">
        <v>2028</v>
      </c>
      <c r="L198" s="7" t="s">
        <v>175</v>
      </c>
      <c r="M198" s="7">
        <v>8.3998609999999996</v>
      </c>
      <c r="N198" s="7">
        <v>14.189083</v>
      </c>
      <c r="O198" s="7" t="s">
        <v>23</v>
      </c>
      <c r="P198" s="3"/>
      <c r="Q198" s="3"/>
      <c r="R198" s="3"/>
    </row>
    <row r="199" spans="1:18" x14ac:dyDescent="0.25">
      <c r="A199" s="2">
        <v>1167</v>
      </c>
      <c r="B199" s="7" t="s">
        <v>2029</v>
      </c>
      <c r="C199" s="7" t="s">
        <v>2030</v>
      </c>
      <c r="D199" s="7" t="s">
        <v>2029</v>
      </c>
      <c r="E199" s="7" t="s">
        <v>170</v>
      </c>
      <c r="F199" s="7" t="s">
        <v>2027</v>
      </c>
      <c r="G199" s="17" t="s">
        <v>7747</v>
      </c>
      <c r="H199" s="7" t="s">
        <v>19</v>
      </c>
      <c r="I199" s="7" t="s">
        <v>234</v>
      </c>
      <c r="J199" s="7" t="s">
        <v>732</v>
      </c>
      <c r="K199" s="7" t="s">
        <v>2028</v>
      </c>
      <c r="L199" s="7" t="s">
        <v>175</v>
      </c>
      <c r="M199" s="7">
        <v>8.4028600000000004</v>
      </c>
      <c r="N199" s="7">
        <v>14.191879999999999</v>
      </c>
      <c r="O199" s="7" t="s">
        <v>23</v>
      </c>
      <c r="P199" s="3"/>
      <c r="Q199" s="3"/>
      <c r="R199" s="3"/>
    </row>
    <row r="200" spans="1:18" x14ac:dyDescent="0.25">
      <c r="A200" s="2">
        <v>1168</v>
      </c>
      <c r="B200" s="7" t="s">
        <v>2134</v>
      </c>
      <c r="C200" s="7" t="s">
        <v>2135</v>
      </c>
      <c r="D200" s="7" t="s">
        <v>2134</v>
      </c>
      <c r="E200" s="7" t="s">
        <v>170</v>
      </c>
      <c r="F200" s="7" t="s">
        <v>856</v>
      </c>
      <c r="G200" s="17" t="s">
        <v>7747</v>
      </c>
      <c r="H200" s="7" t="s">
        <v>28</v>
      </c>
      <c r="I200" s="7" t="s">
        <v>172</v>
      </c>
      <c r="J200" s="7" t="s">
        <v>173</v>
      </c>
      <c r="K200" s="7" t="s">
        <v>174</v>
      </c>
      <c r="L200" s="7" t="s">
        <v>175</v>
      </c>
      <c r="M200" s="7">
        <v>9.9926670000000009</v>
      </c>
      <c r="N200" s="7">
        <v>13.523194</v>
      </c>
      <c r="O200" s="7" t="s">
        <v>23</v>
      </c>
      <c r="P200" s="3"/>
      <c r="Q200" s="3"/>
      <c r="R200" s="3"/>
    </row>
    <row r="201" spans="1:18" x14ac:dyDescent="0.25">
      <c r="A201" s="2">
        <v>1169</v>
      </c>
      <c r="B201" s="7" t="s">
        <v>2309</v>
      </c>
      <c r="C201" s="7" t="s">
        <v>2310</v>
      </c>
      <c r="D201" s="7" t="s">
        <v>2309</v>
      </c>
      <c r="E201" s="7" t="s">
        <v>170</v>
      </c>
      <c r="F201" s="7" t="s">
        <v>2311</v>
      </c>
      <c r="G201" s="17" t="s">
        <v>7747</v>
      </c>
      <c r="H201" s="7" t="s">
        <v>19</v>
      </c>
      <c r="I201" s="7" t="s">
        <v>234</v>
      </c>
      <c r="J201" s="7" t="s">
        <v>258</v>
      </c>
      <c r="K201" s="7" t="s">
        <v>2312</v>
      </c>
      <c r="L201" s="7" t="s">
        <v>175</v>
      </c>
      <c r="M201" s="7">
        <v>9.0570350000000008</v>
      </c>
      <c r="N201" s="7">
        <v>13.508862000000001</v>
      </c>
      <c r="O201" s="7" t="s">
        <v>23</v>
      </c>
      <c r="P201" s="3"/>
      <c r="Q201" s="3"/>
      <c r="R201" s="3"/>
    </row>
    <row r="202" spans="1:18" x14ac:dyDescent="0.25">
      <c r="A202" s="2">
        <v>1170</v>
      </c>
      <c r="B202" s="7" t="s">
        <v>2377</v>
      </c>
      <c r="C202" s="7" t="s">
        <v>2378</v>
      </c>
      <c r="D202" s="7" t="s">
        <v>2377</v>
      </c>
      <c r="E202" s="7" t="s">
        <v>170</v>
      </c>
      <c r="F202" s="7" t="s">
        <v>2379</v>
      </c>
      <c r="G202" s="17" t="s">
        <v>7747</v>
      </c>
      <c r="H202" s="7" t="s">
        <v>19</v>
      </c>
      <c r="I202" s="7" t="s">
        <v>172</v>
      </c>
      <c r="J202" s="7" t="s">
        <v>258</v>
      </c>
      <c r="K202" s="7" t="s">
        <v>2380</v>
      </c>
      <c r="L202" s="7" t="s">
        <v>175</v>
      </c>
      <c r="M202" s="7">
        <v>9.3062590000000007</v>
      </c>
      <c r="N202" s="7">
        <v>13.395085999999999</v>
      </c>
      <c r="O202" s="7" t="s">
        <v>23</v>
      </c>
      <c r="P202" s="3"/>
      <c r="Q202" s="3"/>
      <c r="R202" s="3"/>
    </row>
    <row r="203" spans="1:18" x14ac:dyDescent="0.25">
      <c r="A203" s="2">
        <v>1171</v>
      </c>
      <c r="B203" s="7" t="s">
        <v>2423</v>
      </c>
      <c r="C203" s="7" t="s">
        <v>2424</v>
      </c>
      <c r="D203" s="7" t="s">
        <v>2423</v>
      </c>
      <c r="E203" s="7" t="s">
        <v>170</v>
      </c>
      <c r="F203" s="7" t="s">
        <v>2425</v>
      </c>
      <c r="G203" s="17" t="s">
        <v>7747</v>
      </c>
      <c r="H203" s="7" t="s">
        <v>28</v>
      </c>
      <c r="I203" s="7" t="s">
        <v>172</v>
      </c>
      <c r="J203" s="7" t="s">
        <v>258</v>
      </c>
      <c r="K203" s="7" t="s">
        <v>1924</v>
      </c>
      <c r="L203" s="7" t="s">
        <v>175</v>
      </c>
      <c r="M203" s="7">
        <v>9.3444099999999999</v>
      </c>
      <c r="N203" s="7">
        <v>13.41315</v>
      </c>
      <c r="O203" s="7" t="s">
        <v>23</v>
      </c>
      <c r="P203" s="3"/>
      <c r="Q203" s="3"/>
      <c r="R203" s="3"/>
    </row>
    <row r="204" spans="1:18" x14ac:dyDescent="0.25">
      <c r="A204" s="2">
        <v>1172</v>
      </c>
      <c r="B204" s="7" t="s">
        <v>2506</v>
      </c>
      <c r="C204" s="7" t="s">
        <v>2507</v>
      </c>
      <c r="D204" s="7" t="s">
        <v>2506</v>
      </c>
      <c r="E204" s="7" t="s">
        <v>170</v>
      </c>
      <c r="F204" s="7" t="s">
        <v>2508</v>
      </c>
      <c r="G204" s="17" t="s">
        <v>7747</v>
      </c>
      <c r="H204" s="7" t="s">
        <v>28</v>
      </c>
      <c r="I204" s="7" t="s">
        <v>172</v>
      </c>
      <c r="J204" s="7" t="s">
        <v>258</v>
      </c>
      <c r="K204" s="7" t="s">
        <v>2509</v>
      </c>
      <c r="L204" s="7" t="s">
        <v>175</v>
      </c>
      <c r="M204" s="7">
        <v>9.3560289999999995</v>
      </c>
      <c r="N204" s="7">
        <v>13.420088</v>
      </c>
      <c r="O204" s="7" t="s">
        <v>23</v>
      </c>
      <c r="P204" s="3"/>
      <c r="Q204" s="3"/>
      <c r="R204" s="3"/>
    </row>
    <row r="205" spans="1:18" x14ac:dyDescent="0.25">
      <c r="A205" s="2">
        <v>1173</v>
      </c>
      <c r="B205" s="7" t="s">
        <v>2510</v>
      </c>
      <c r="C205" s="7" t="s">
        <v>2511</v>
      </c>
      <c r="D205" s="7" t="s">
        <v>2510</v>
      </c>
      <c r="E205" s="7" t="s">
        <v>170</v>
      </c>
      <c r="F205" s="7" t="s">
        <v>2512</v>
      </c>
      <c r="G205" s="17" t="s">
        <v>7747</v>
      </c>
      <c r="H205" s="7" t="s">
        <v>28</v>
      </c>
      <c r="I205" s="7" t="s">
        <v>172</v>
      </c>
      <c r="J205" s="7" t="s">
        <v>258</v>
      </c>
      <c r="K205" s="7" t="s">
        <v>2380</v>
      </c>
      <c r="L205" s="7" t="s">
        <v>175</v>
      </c>
      <c r="M205" s="7">
        <v>9.3041599999999995</v>
      </c>
      <c r="N205" s="7">
        <v>13.349320000000001</v>
      </c>
      <c r="O205" s="7" t="s">
        <v>23</v>
      </c>
      <c r="P205" s="3"/>
      <c r="Q205" s="3"/>
      <c r="R205" s="3"/>
    </row>
    <row r="206" spans="1:18" x14ac:dyDescent="0.25">
      <c r="A206" s="2">
        <v>1174</v>
      </c>
      <c r="B206" s="7" t="s">
        <v>2563</v>
      </c>
      <c r="C206" s="7" t="s">
        <v>2564</v>
      </c>
      <c r="D206" s="7" t="s">
        <v>2563</v>
      </c>
      <c r="E206" s="7" t="s">
        <v>170</v>
      </c>
      <c r="F206" s="7" t="s">
        <v>2565</v>
      </c>
      <c r="G206" s="17" t="s">
        <v>7747</v>
      </c>
      <c r="H206" s="7" t="s">
        <v>28</v>
      </c>
      <c r="I206" s="7" t="s">
        <v>172</v>
      </c>
      <c r="J206" s="7" t="s">
        <v>258</v>
      </c>
      <c r="K206" s="7" t="s">
        <v>2509</v>
      </c>
      <c r="L206" s="7" t="s">
        <v>175</v>
      </c>
      <c r="M206" s="7">
        <v>9.3620280000000005</v>
      </c>
      <c r="N206" s="7">
        <v>13.434443999999999</v>
      </c>
      <c r="O206" s="7" t="s">
        <v>23</v>
      </c>
      <c r="P206" s="3"/>
      <c r="Q206" s="3"/>
      <c r="R206" s="3"/>
    </row>
    <row r="207" spans="1:18" x14ac:dyDescent="0.25">
      <c r="A207" s="2">
        <v>1175</v>
      </c>
      <c r="B207" s="7" t="s">
        <v>2619</v>
      </c>
      <c r="C207" s="7" t="s">
        <v>2620</v>
      </c>
      <c r="D207" s="7" t="s">
        <v>2619</v>
      </c>
      <c r="E207" s="7" t="s">
        <v>170</v>
      </c>
      <c r="F207" s="7" t="s">
        <v>2621</v>
      </c>
      <c r="G207" s="17" t="s">
        <v>7747</v>
      </c>
      <c r="H207" s="7" t="s">
        <v>28</v>
      </c>
      <c r="I207" s="7" t="s">
        <v>172</v>
      </c>
      <c r="J207" s="7" t="s">
        <v>258</v>
      </c>
      <c r="K207" s="7" t="s">
        <v>1924</v>
      </c>
      <c r="L207" s="7" t="s">
        <v>175</v>
      </c>
      <c r="M207" s="7">
        <v>9.3294149999999991</v>
      </c>
      <c r="N207" s="7">
        <v>13.403572</v>
      </c>
      <c r="O207" s="7" t="s">
        <v>23</v>
      </c>
      <c r="P207" s="3"/>
      <c r="Q207" s="3"/>
      <c r="R207" s="3"/>
    </row>
    <row r="208" spans="1:18" x14ac:dyDescent="0.25">
      <c r="A208" s="2">
        <v>1176</v>
      </c>
      <c r="B208" s="7" t="s">
        <v>2625</v>
      </c>
      <c r="C208" s="7" t="s">
        <v>2626</v>
      </c>
      <c r="D208" s="7" t="s">
        <v>2625</v>
      </c>
      <c r="E208" s="7" t="s">
        <v>170</v>
      </c>
      <c r="F208" s="7" t="s">
        <v>2627</v>
      </c>
      <c r="G208" s="17" t="s">
        <v>7747</v>
      </c>
      <c r="H208" s="7" t="s">
        <v>28</v>
      </c>
      <c r="I208" s="7" t="s">
        <v>172</v>
      </c>
      <c r="J208" s="7" t="s">
        <v>258</v>
      </c>
      <c r="K208" s="7" t="s">
        <v>2380</v>
      </c>
      <c r="L208" s="7" t="s">
        <v>175</v>
      </c>
      <c r="M208" s="7">
        <v>9.2959099999999992</v>
      </c>
      <c r="N208" s="7">
        <v>13.384449999999999</v>
      </c>
      <c r="O208" s="7" t="s">
        <v>23</v>
      </c>
      <c r="P208" s="3"/>
      <c r="Q208" s="3"/>
      <c r="R208" s="3"/>
    </row>
    <row r="209" spans="1:18" x14ac:dyDescent="0.25">
      <c r="A209" s="2">
        <v>1177</v>
      </c>
      <c r="B209" s="7" t="s">
        <v>2629</v>
      </c>
      <c r="C209" s="7" t="s">
        <v>2630</v>
      </c>
      <c r="D209" s="7" t="s">
        <v>2629</v>
      </c>
      <c r="E209" s="7" t="s">
        <v>170</v>
      </c>
      <c r="F209" s="7" t="s">
        <v>2631</v>
      </c>
      <c r="G209" s="17" t="s">
        <v>7747</v>
      </c>
      <c r="H209" s="7" t="s">
        <v>28</v>
      </c>
      <c r="I209" s="7" t="s">
        <v>172</v>
      </c>
      <c r="J209" s="7" t="s">
        <v>258</v>
      </c>
      <c r="K209" s="7" t="s">
        <v>1924</v>
      </c>
      <c r="L209" s="7" t="s">
        <v>175</v>
      </c>
      <c r="M209" s="7">
        <v>9.3508200000000006</v>
      </c>
      <c r="N209" s="7">
        <v>13.39307</v>
      </c>
      <c r="O209" s="7" t="s">
        <v>23</v>
      </c>
      <c r="P209" s="3"/>
      <c r="Q209" s="3"/>
      <c r="R209" s="3"/>
    </row>
    <row r="210" spans="1:18" x14ac:dyDescent="0.25">
      <c r="A210" s="2">
        <v>1178</v>
      </c>
      <c r="B210" s="7" t="s">
        <v>2736</v>
      </c>
      <c r="C210" s="7" t="s">
        <v>2737</v>
      </c>
      <c r="D210" s="7" t="s">
        <v>2736</v>
      </c>
      <c r="E210" s="7" t="s">
        <v>170</v>
      </c>
      <c r="F210" s="7" t="s">
        <v>2738</v>
      </c>
      <c r="G210" s="17" t="s">
        <v>7747</v>
      </c>
      <c r="H210" s="7" t="s">
        <v>28</v>
      </c>
      <c r="I210" s="7" t="s">
        <v>172</v>
      </c>
      <c r="J210" s="7" t="s">
        <v>258</v>
      </c>
      <c r="K210" s="7" t="s">
        <v>2380</v>
      </c>
      <c r="L210" s="7" t="s">
        <v>175</v>
      </c>
      <c r="M210" s="7">
        <v>9.3056999999999999</v>
      </c>
      <c r="N210" s="7">
        <v>13.347701000000001</v>
      </c>
      <c r="O210" s="7" t="s">
        <v>23</v>
      </c>
      <c r="P210" s="3"/>
      <c r="Q210" s="3"/>
      <c r="R210" s="3"/>
    </row>
    <row r="211" spans="1:18" x14ac:dyDescent="0.25">
      <c r="A211" s="2">
        <v>1179</v>
      </c>
      <c r="B211" s="7" t="s">
        <v>2801</v>
      </c>
      <c r="C211" s="7" t="s">
        <v>2802</v>
      </c>
      <c r="D211" s="7" t="s">
        <v>2801</v>
      </c>
      <c r="E211" s="7" t="s">
        <v>170</v>
      </c>
      <c r="F211" s="7" t="s">
        <v>2803</v>
      </c>
      <c r="G211" s="17" t="s">
        <v>7747</v>
      </c>
      <c r="H211" s="7" t="s">
        <v>28</v>
      </c>
      <c r="I211" s="7" t="s">
        <v>234</v>
      </c>
      <c r="J211" s="7" t="s">
        <v>258</v>
      </c>
      <c r="K211" s="7" t="s">
        <v>2804</v>
      </c>
      <c r="L211" s="7" t="s">
        <v>175</v>
      </c>
      <c r="M211" s="7">
        <v>9.2665670000000002</v>
      </c>
      <c r="N211" s="7">
        <v>13.459228</v>
      </c>
      <c r="O211" s="7" t="s">
        <v>23</v>
      </c>
      <c r="P211" s="3"/>
      <c r="Q211" s="3"/>
      <c r="R211" s="3"/>
    </row>
    <row r="212" spans="1:18" x14ac:dyDescent="0.25">
      <c r="A212" s="2">
        <v>1180</v>
      </c>
      <c r="B212" s="7" t="s">
        <v>2922</v>
      </c>
      <c r="C212" s="7" t="s">
        <v>2923</v>
      </c>
      <c r="D212" s="7" t="s">
        <v>2922</v>
      </c>
      <c r="E212" s="7" t="s">
        <v>170</v>
      </c>
      <c r="F212" s="7" t="s">
        <v>1697</v>
      </c>
      <c r="G212" s="17" t="s">
        <v>7747</v>
      </c>
      <c r="H212" s="7" t="s">
        <v>28</v>
      </c>
      <c r="I212" s="7" t="s">
        <v>172</v>
      </c>
      <c r="J212" s="7" t="s">
        <v>258</v>
      </c>
      <c r="K212" s="7" t="s">
        <v>1697</v>
      </c>
      <c r="L212" s="7" t="s">
        <v>175</v>
      </c>
      <c r="M212" s="7">
        <v>9.4324580000000005</v>
      </c>
      <c r="N212" s="7">
        <v>13.365505000000001</v>
      </c>
      <c r="O212" s="7" t="s">
        <v>23</v>
      </c>
      <c r="P212" s="3"/>
      <c r="Q212" s="3"/>
      <c r="R212" s="3"/>
    </row>
    <row r="213" spans="1:18" x14ac:dyDescent="0.25">
      <c r="A213" s="2">
        <v>1181</v>
      </c>
      <c r="B213" s="7" t="s">
        <v>2938</v>
      </c>
      <c r="C213" s="7" t="s">
        <v>2939</v>
      </c>
      <c r="D213" s="7" t="s">
        <v>2938</v>
      </c>
      <c r="E213" s="7" t="s">
        <v>170</v>
      </c>
      <c r="F213" s="7" t="s">
        <v>2940</v>
      </c>
      <c r="G213" s="17" t="s">
        <v>7747</v>
      </c>
      <c r="H213" s="7" t="s">
        <v>28</v>
      </c>
      <c r="I213" s="7" t="s">
        <v>172</v>
      </c>
      <c r="J213" s="7" t="s">
        <v>258</v>
      </c>
      <c r="K213" s="7" t="s">
        <v>2380</v>
      </c>
      <c r="L213" s="7" t="s">
        <v>175</v>
      </c>
      <c r="M213" s="7">
        <v>9.2873059999999992</v>
      </c>
      <c r="N213" s="7">
        <v>13.379111</v>
      </c>
      <c r="O213" s="7" t="s">
        <v>23</v>
      </c>
      <c r="P213" s="3"/>
      <c r="Q213" s="3"/>
      <c r="R213" s="3"/>
    </row>
    <row r="214" spans="1:18" x14ac:dyDescent="0.25">
      <c r="A214" s="2">
        <v>1182</v>
      </c>
      <c r="B214" s="7" t="s">
        <v>2947</v>
      </c>
      <c r="C214" s="7" t="s">
        <v>2948</v>
      </c>
      <c r="D214" s="7" t="s">
        <v>2947</v>
      </c>
      <c r="E214" s="7" t="s">
        <v>170</v>
      </c>
      <c r="F214" s="7" t="s">
        <v>2949</v>
      </c>
      <c r="G214" s="17" t="s">
        <v>7747</v>
      </c>
      <c r="H214" s="7" t="s">
        <v>28</v>
      </c>
      <c r="I214" s="7" t="s">
        <v>234</v>
      </c>
      <c r="J214" s="7" t="s">
        <v>258</v>
      </c>
      <c r="K214" s="7" t="s">
        <v>2312</v>
      </c>
      <c r="L214" s="7" t="s">
        <v>175</v>
      </c>
      <c r="M214" s="7">
        <v>9.0198610000000006</v>
      </c>
      <c r="N214" s="7">
        <v>13.507444</v>
      </c>
      <c r="O214" s="7" t="s">
        <v>23</v>
      </c>
      <c r="P214" s="3"/>
      <c r="Q214" s="3"/>
      <c r="R214" s="3"/>
    </row>
    <row r="215" spans="1:18" x14ac:dyDescent="0.25">
      <c r="A215" s="2">
        <v>1183</v>
      </c>
      <c r="B215" s="7" t="s">
        <v>2978</v>
      </c>
      <c r="C215" s="7" t="s">
        <v>2979</v>
      </c>
      <c r="D215" s="7" t="s">
        <v>2978</v>
      </c>
      <c r="E215" s="7" t="s">
        <v>170</v>
      </c>
      <c r="F215" s="7" t="s">
        <v>2980</v>
      </c>
      <c r="G215" s="17" t="s">
        <v>7747</v>
      </c>
      <c r="H215" s="7" t="s">
        <v>28</v>
      </c>
      <c r="I215" s="7" t="s">
        <v>172</v>
      </c>
      <c r="J215" s="7" t="s">
        <v>258</v>
      </c>
      <c r="K215" s="7" t="s">
        <v>2380</v>
      </c>
      <c r="L215" s="7" t="s">
        <v>175</v>
      </c>
      <c r="M215" s="7">
        <v>9.3103649999999991</v>
      </c>
      <c r="N215" s="7">
        <v>13.405493</v>
      </c>
      <c r="O215" s="7" t="s">
        <v>23</v>
      </c>
      <c r="P215" s="3"/>
      <c r="Q215" s="3"/>
      <c r="R215" s="3"/>
    </row>
    <row r="216" spans="1:18" x14ac:dyDescent="0.25">
      <c r="A216" s="2">
        <v>1184</v>
      </c>
      <c r="B216" s="7" t="s">
        <v>3046</v>
      </c>
      <c r="C216" s="7" t="s">
        <v>3047</v>
      </c>
      <c r="D216" s="7" t="s">
        <v>3046</v>
      </c>
      <c r="E216" s="7" t="s">
        <v>170</v>
      </c>
      <c r="F216" s="7" t="s">
        <v>3048</v>
      </c>
      <c r="G216" s="17" t="s">
        <v>7747</v>
      </c>
      <c r="H216" s="7" t="s">
        <v>28</v>
      </c>
      <c r="I216" s="7" t="s">
        <v>172</v>
      </c>
      <c r="J216" s="7" t="s">
        <v>258</v>
      </c>
      <c r="K216" s="7" t="s">
        <v>1924</v>
      </c>
      <c r="L216" s="7" t="s">
        <v>175</v>
      </c>
      <c r="M216" s="7">
        <v>9.3627280000000006</v>
      </c>
      <c r="N216" s="7">
        <v>13.407992</v>
      </c>
      <c r="O216" s="7" t="s">
        <v>23</v>
      </c>
      <c r="P216" s="3"/>
      <c r="Q216" s="3"/>
      <c r="R216" s="3"/>
    </row>
    <row r="217" spans="1:18" x14ac:dyDescent="0.25">
      <c r="A217" s="2">
        <v>1185</v>
      </c>
      <c r="B217" s="7" t="s">
        <v>3052</v>
      </c>
      <c r="C217" s="7" t="s">
        <v>3053</v>
      </c>
      <c r="D217" s="7" t="s">
        <v>3052</v>
      </c>
      <c r="E217" s="7" t="s">
        <v>170</v>
      </c>
      <c r="F217" s="7" t="s">
        <v>3054</v>
      </c>
      <c r="G217" s="17" t="s">
        <v>7747</v>
      </c>
      <c r="H217" s="7" t="s">
        <v>28</v>
      </c>
      <c r="I217" s="7" t="s">
        <v>172</v>
      </c>
      <c r="J217" s="7" t="s">
        <v>258</v>
      </c>
      <c r="K217" s="7" t="s">
        <v>2380</v>
      </c>
      <c r="L217" s="7" t="s">
        <v>175</v>
      </c>
      <c r="M217" s="7">
        <v>9.3131109999999993</v>
      </c>
      <c r="N217" s="7">
        <v>13.403028000000001</v>
      </c>
      <c r="O217" s="7" t="s">
        <v>23</v>
      </c>
      <c r="P217" s="3"/>
      <c r="Q217" s="3"/>
      <c r="R217" s="3"/>
    </row>
    <row r="218" spans="1:18" x14ac:dyDescent="0.25">
      <c r="A218" s="2">
        <v>1186</v>
      </c>
      <c r="B218" s="7" t="s">
        <v>3058</v>
      </c>
      <c r="C218" s="7" t="s">
        <v>3059</v>
      </c>
      <c r="D218" s="7" t="s">
        <v>3058</v>
      </c>
      <c r="E218" s="7" t="s">
        <v>170</v>
      </c>
      <c r="F218" s="7" t="s">
        <v>3060</v>
      </c>
      <c r="G218" s="17" t="s">
        <v>7747</v>
      </c>
      <c r="H218" s="7" t="s">
        <v>28</v>
      </c>
      <c r="I218" s="7" t="s">
        <v>172</v>
      </c>
      <c r="J218" s="7" t="s">
        <v>258</v>
      </c>
      <c r="K218" s="7" t="s">
        <v>2380</v>
      </c>
      <c r="L218" s="7" t="s">
        <v>175</v>
      </c>
      <c r="M218" s="7">
        <v>9.3164169999999995</v>
      </c>
      <c r="N218" s="7">
        <v>13.352499999999999</v>
      </c>
      <c r="O218" s="7" t="s">
        <v>23</v>
      </c>
      <c r="P218" s="3"/>
      <c r="Q218" s="3"/>
      <c r="R218" s="3"/>
    </row>
    <row r="219" spans="1:18" x14ac:dyDescent="0.25">
      <c r="A219" s="2">
        <v>1187</v>
      </c>
      <c r="B219" s="7" t="s">
        <v>3067</v>
      </c>
      <c r="C219" s="7" t="s">
        <v>3068</v>
      </c>
      <c r="D219" s="7" t="s">
        <v>3067</v>
      </c>
      <c r="E219" s="7" t="s">
        <v>170</v>
      </c>
      <c r="F219" s="7" t="s">
        <v>3069</v>
      </c>
      <c r="G219" s="17" t="s">
        <v>7747</v>
      </c>
      <c r="H219" s="7" t="s">
        <v>19</v>
      </c>
      <c r="I219" s="7" t="s">
        <v>172</v>
      </c>
      <c r="J219" s="7" t="s">
        <v>258</v>
      </c>
      <c r="K219" s="7" t="s">
        <v>2380</v>
      </c>
      <c r="L219" s="7" t="s">
        <v>175</v>
      </c>
      <c r="M219" s="7">
        <v>9.3272300000000001</v>
      </c>
      <c r="N219" s="7">
        <v>13.384819999999999</v>
      </c>
      <c r="O219" s="7" t="s">
        <v>23</v>
      </c>
      <c r="P219" s="3"/>
      <c r="Q219" s="3"/>
      <c r="R219" s="3"/>
    </row>
    <row r="220" spans="1:18" x14ac:dyDescent="0.25">
      <c r="A220" s="2">
        <v>1188</v>
      </c>
      <c r="B220" s="7" t="s">
        <v>3076</v>
      </c>
      <c r="C220" s="7" t="s">
        <v>3077</v>
      </c>
      <c r="D220" s="7" t="s">
        <v>3076</v>
      </c>
      <c r="E220" s="7" t="s">
        <v>170</v>
      </c>
      <c r="F220" s="7" t="s">
        <v>2628</v>
      </c>
      <c r="G220" s="17" t="s">
        <v>7747</v>
      </c>
      <c r="H220" s="7" t="s">
        <v>19</v>
      </c>
      <c r="I220" s="7" t="s">
        <v>172</v>
      </c>
      <c r="J220" s="7" t="s">
        <v>258</v>
      </c>
      <c r="K220" s="7" t="s">
        <v>2380</v>
      </c>
      <c r="L220" s="7" t="s">
        <v>175</v>
      </c>
      <c r="M220" s="7">
        <v>9.2974119999999996</v>
      </c>
      <c r="N220" s="7">
        <v>13.389400999999999</v>
      </c>
      <c r="O220" s="7" t="s">
        <v>613</v>
      </c>
      <c r="P220" s="3"/>
      <c r="Q220" s="3"/>
      <c r="R220" s="3"/>
    </row>
    <row r="221" spans="1:18" x14ac:dyDescent="0.25">
      <c r="A221" s="2">
        <v>1189</v>
      </c>
      <c r="B221" s="7" t="s">
        <v>3096</v>
      </c>
      <c r="C221" s="7" t="s">
        <v>3097</v>
      </c>
      <c r="D221" s="7" t="s">
        <v>3096</v>
      </c>
      <c r="E221" s="7" t="s">
        <v>170</v>
      </c>
      <c r="F221" s="7" t="s">
        <v>259</v>
      </c>
      <c r="G221" s="17" t="s">
        <v>7747</v>
      </c>
      <c r="H221" s="7" t="s">
        <v>19</v>
      </c>
      <c r="I221" s="7" t="s">
        <v>234</v>
      </c>
      <c r="J221" s="7" t="s">
        <v>258</v>
      </c>
      <c r="K221" s="7" t="s">
        <v>259</v>
      </c>
      <c r="L221" s="7" t="s">
        <v>175</v>
      </c>
      <c r="M221" s="7">
        <v>9.4025560000000006</v>
      </c>
      <c r="N221" s="7">
        <v>13.515582999999999</v>
      </c>
      <c r="O221" s="7" t="s">
        <v>23</v>
      </c>
      <c r="P221" s="3"/>
      <c r="Q221" s="3"/>
      <c r="R221" s="3"/>
    </row>
    <row r="222" spans="1:18" x14ac:dyDescent="0.25">
      <c r="A222" s="2">
        <v>1190</v>
      </c>
      <c r="B222" s="7" t="s">
        <v>3114</v>
      </c>
      <c r="C222" s="7" t="s">
        <v>3115</v>
      </c>
      <c r="D222" s="7" t="s">
        <v>3114</v>
      </c>
      <c r="E222" s="7" t="s">
        <v>170</v>
      </c>
      <c r="F222" s="7" t="s">
        <v>3116</v>
      </c>
      <c r="G222" s="17" t="s">
        <v>7747</v>
      </c>
      <c r="H222" s="7" t="s">
        <v>19</v>
      </c>
      <c r="I222" s="7" t="s">
        <v>172</v>
      </c>
      <c r="J222" s="7" t="s">
        <v>258</v>
      </c>
      <c r="K222" s="7" t="s">
        <v>2380</v>
      </c>
      <c r="L222" s="7" t="s">
        <v>175</v>
      </c>
      <c r="M222" s="7">
        <v>9.3164719999999992</v>
      </c>
      <c r="N222" s="7">
        <v>13.365722</v>
      </c>
      <c r="O222" s="7" t="s">
        <v>23</v>
      </c>
      <c r="P222" s="3"/>
      <c r="Q222" s="3"/>
      <c r="R222" s="3"/>
    </row>
    <row r="223" spans="1:18" x14ac:dyDescent="0.25">
      <c r="A223" s="2">
        <v>1191</v>
      </c>
      <c r="B223" s="7" t="s">
        <v>3117</v>
      </c>
      <c r="C223" s="7" t="s">
        <v>3118</v>
      </c>
      <c r="D223" s="7" t="s">
        <v>3117</v>
      </c>
      <c r="E223" s="7" t="s">
        <v>170</v>
      </c>
      <c r="F223" s="7" t="s">
        <v>3119</v>
      </c>
      <c r="G223" s="17" t="s">
        <v>7747</v>
      </c>
      <c r="H223" s="7" t="s">
        <v>28</v>
      </c>
      <c r="I223" s="7" t="s">
        <v>172</v>
      </c>
      <c r="J223" s="7" t="s">
        <v>258</v>
      </c>
      <c r="K223" s="7" t="s">
        <v>2380</v>
      </c>
      <c r="L223" s="7" t="s">
        <v>175</v>
      </c>
      <c r="M223" s="7">
        <v>9.3025629999999992</v>
      </c>
      <c r="N223" s="7">
        <v>13.399675</v>
      </c>
      <c r="O223" s="7" t="s">
        <v>23</v>
      </c>
      <c r="P223" s="3"/>
      <c r="Q223" s="3"/>
      <c r="R223" s="3"/>
    </row>
    <row r="224" spans="1:18" x14ac:dyDescent="0.25">
      <c r="A224" s="2">
        <v>1192</v>
      </c>
      <c r="B224" s="7" t="s">
        <v>3144</v>
      </c>
      <c r="C224" s="7" t="s">
        <v>3145</v>
      </c>
      <c r="D224" s="7" t="s">
        <v>3144</v>
      </c>
      <c r="E224" s="7" t="s">
        <v>170</v>
      </c>
      <c r="F224" s="7" t="s">
        <v>3146</v>
      </c>
      <c r="G224" s="17" t="s">
        <v>7747</v>
      </c>
      <c r="H224" s="7" t="s">
        <v>19</v>
      </c>
      <c r="I224" s="7" t="s">
        <v>172</v>
      </c>
      <c r="J224" s="7" t="s">
        <v>258</v>
      </c>
      <c r="K224" s="7" t="s">
        <v>3147</v>
      </c>
      <c r="L224" s="7" t="s">
        <v>175</v>
      </c>
      <c r="M224" s="7">
        <v>9.3194800000000004</v>
      </c>
      <c r="N224" s="7">
        <v>13.405810000000001</v>
      </c>
      <c r="O224" s="7" t="s">
        <v>23</v>
      </c>
      <c r="P224" s="3"/>
      <c r="Q224" s="3"/>
      <c r="R224" s="3"/>
    </row>
    <row r="225" spans="1:18" x14ac:dyDescent="0.25">
      <c r="A225" s="2">
        <v>1193</v>
      </c>
      <c r="B225" s="7" t="s">
        <v>3185</v>
      </c>
      <c r="C225" s="7" t="s">
        <v>3186</v>
      </c>
      <c r="D225" s="7" t="s">
        <v>3185</v>
      </c>
      <c r="E225" s="7" t="s">
        <v>170</v>
      </c>
      <c r="F225" s="7" t="s">
        <v>3187</v>
      </c>
      <c r="G225" s="17" t="s">
        <v>7747</v>
      </c>
      <c r="H225" s="7" t="s">
        <v>28</v>
      </c>
      <c r="I225" s="7" t="s">
        <v>172</v>
      </c>
      <c r="J225" s="7" t="s">
        <v>258</v>
      </c>
      <c r="K225" s="7" t="s">
        <v>1924</v>
      </c>
      <c r="L225" s="7" t="s">
        <v>175</v>
      </c>
      <c r="M225" s="7">
        <v>9.3479880000000009</v>
      </c>
      <c r="N225" s="7">
        <v>13.424056</v>
      </c>
      <c r="O225" s="7" t="s">
        <v>23</v>
      </c>
      <c r="P225" s="3"/>
      <c r="Q225" s="3"/>
      <c r="R225" s="3"/>
    </row>
    <row r="226" spans="1:18" x14ac:dyDescent="0.25">
      <c r="A226" s="2">
        <v>1194</v>
      </c>
      <c r="B226" s="7" t="s">
        <v>3209</v>
      </c>
      <c r="C226" s="7" t="s">
        <v>3210</v>
      </c>
      <c r="D226" s="7" t="s">
        <v>3209</v>
      </c>
      <c r="E226" s="7" t="s">
        <v>170</v>
      </c>
      <c r="F226" s="7" t="s">
        <v>3211</v>
      </c>
      <c r="G226" s="17" t="s">
        <v>7747</v>
      </c>
      <c r="H226" s="7" t="s">
        <v>28</v>
      </c>
      <c r="I226" s="7" t="s">
        <v>234</v>
      </c>
      <c r="J226" s="7" t="s">
        <v>258</v>
      </c>
      <c r="K226" s="7" t="s">
        <v>885</v>
      </c>
      <c r="L226" s="7" t="s">
        <v>175</v>
      </c>
      <c r="M226" s="7">
        <v>9.0506919999999997</v>
      </c>
      <c r="N226" s="7">
        <v>13.667622</v>
      </c>
      <c r="O226" s="7" t="s">
        <v>23</v>
      </c>
      <c r="P226" s="3"/>
      <c r="Q226" s="3"/>
      <c r="R226" s="3"/>
    </row>
    <row r="227" spans="1:18" x14ac:dyDescent="0.25">
      <c r="A227" s="2">
        <v>1195</v>
      </c>
      <c r="B227" s="7" t="s">
        <v>3316</v>
      </c>
      <c r="C227" s="7" t="s">
        <v>3317</v>
      </c>
      <c r="D227" s="7" t="s">
        <v>3316</v>
      </c>
      <c r="E227" s="7" t="s">
        <v>170</v>
      </c>
      <c r="F227" s="7" t="s">
        <v>3318</v>
      </c>
      <c r="G227" s="17" t="s">
        <v>7747</v>
      </c>
      <c r="H227" s="7" t="s">
        <v>28</v>
      </c>
      <c r="I227" s="7" t="s">
        <v>172</v>
      </c>
      <c r="J227" s="7" t="s">
        <v>173</v>
      </c>
      <c r="K227" s="7" t="s">
        <v>803</v>
      </c>
      <c r="L227" s="7" t="s">
        <v>175</v>
      </c>
      <c r="M227" s="7">
        <v>9.7562169999999995</v>
      </c>
      <c r="N227" s="7">
        <v>13.964062</v>
      </c>
      <c r="O227" s="7" t="s">
        <v>23</v>
      </c>
      <c r="P227" s="3"/>
      <c r="Q227" s="3"/>
      <c r="R227" s="3"/>
    </row>
    <row r="228" spans="1:18" x14ac:dyDescent="0.25">
      <c r="A228" s="2">
        <v>1196</v>
      </c>
      <c r="B228" s="7" t="s">
        <v>3383</v>
      </c>
      <c r="C228" s="7" t="s">
        <v>3384</v>
      </c>
      <c r="D228" s="7" t="s">
        <v>3383</v>
      </c>
      <c r="E228" s="7" t="s">
        <v>170</v>
      </c>
      <c r="F228" s="7" t="s">
        <v>3385</v>
      </c>
      <c r="G228" s="17" t="s">
        <v>7747</v>
      </c>
      <c r="H228" s="7" t="s">
        <v>28</v>
      </c>
      <c r="I228" s="7" t="s">
        <v>172</v>
      </c>
      <c r="J228" s="7" t="s">
        <v>258</v>
      </c>
      <c r="K228" s="7" t="s">
        <v>2380</v>
      </c>
      <c r="L228" s="7" t="s">
        <v>175</v>
      </c>
      <c r="M228" s="7">
        <v>9.2996390000000009</v>
      </c>
      <c r="N228" s="7">
        <v>13.394708</v>
      </c>
      <c r="O228" s="7" t="s">
        <v>23</v>
      </c>
      <c r="P228" s="3"/>
      <c r="Q228" s="3"/>
      <c r="R228" s="3"/>
    </row>
    <row r="229" spans="1:18" x14ac:dyDescent="0.25">
      <c r="A229" s="2">
        <v>1197</v>
      </c>
      <c r="B229" s="7" t="s">
        <v>3395</v>
      </c>
      <c r="C229" s="7" t="s">
        <v>3396</v>
      </c>
      <c r="D229" s="7" t="s">
        <v>3395</v>
      </c>
      <c r="E229" s="7" t="s">
        <v>170</v>
      </c>
      <c r="F229" s="7" t="s">
        <v>3116</v>
      </c>
      <c r="G229" s="17" t="s">
        <v>7747</v>
      </c>
      <c r="H229" s="7" t="s">
        <v>28</v>
      </c>
      <c r="I229" s="7" t="s">
        <v>172</v>
      </c>
      <c r="J229" s="7" t="s">
        <v>258</v>
      </c>
      <c r="K229" s="7" t="s">
        <v>2380</v>
      </c>
      <c r="L229" s="7" t="s">
        <v>175</v>
      </c>
      <c r="M229" s="7">
        <v>9.3053299999999997</v>
      </c>
      <c r="N229" s="7">
        <v>13.362425</v>
      </c>
      <c r="O229" s="7" t="s">
        <v>23</v>
      </c>
      <c r="P229" s="3"/>
      <c r="Q229" s="3"/>
      <c r="R229" s="3"/>
    </row>
    <row r="230" spans="1:18" x14ac:dyDescent="0.25">
      <c r="A230" s="2">
        <v>1198</v>
      </c>
      <c r="B230" s="7" t="s">
        <v>3397</v>
      </c>
      <c r="C230" s="7" t="s">
        <v>3398</v>
      </c>
      <c r="D230" s="7" t="s">
        <v>3397</v>
      </c>
      <c r="E230" s="7" t="s">
        <v>170</v>
      </c>
      <c r="F230" s="7" t="s">
        <v>3399</v>
      </c>
      <c r="G230" s="17" t="s">
        <v>7747</v>
      </c>
      <c r="H230" s="7" t="s">
        <v>28</v>
      </c>
      <c r="I230" s="7" t="s">
        <v>234</v>
      </c>
      <c r="J230" s="7" t="s">
        <v>258</v>
      </c>
      <c r="K230" s="7" t="s">
        <v>2804</v>
      </c>
      <c r="L230" s="7" t="s">
        <v>175</v>
      </c>
      <c r="M230" s="7">
        <v>9.3142499999999995</v>
      </c>
      <c r="N230" s="7">
        <v>13.409056</v>
      </c>
      <c r="O230" s="7" t="s">
        <v>23</v>
      </c>
      <c r="P230" s="3"/>
      <c r="Q230" s="3"/>
      <c r="R230" s="3"/>
    </row>
    <row r="231" spans="1:18" x14ac:dyDescent="0.25">
      <c r="A231" s="2">
        <v>1199</v>
      </c>
      <c r="B231" s="7" t="s">
        <v>3400</v>
      </c>
      <c r="C231" s="7" t="s">
        <v>3401</v>
      </c>
      <c r="D231" s="7" t="s">
        <v>3400</v>
      </c>
      <c r="E231" s="7" t="s">
        <v>170</v>
      </c>
      <c r="F231" s="7" t="s">
        <v>3402</v>
      </c>
      <c r="G231" s="17" t="s">
        <v>7747</v>
      </c>
      <c r="H231" s="7" t="s">
        <v>28</v>
      </c>
      <c r="I231" s="7" t="s">
        <v>172</v>
      </c>
      <c r="J231" s="7" t="s">
        <v>258</v>
      </c>
      <c r="K231" s="7" t="s">
        <v>2380</v>
      </c>
      <c r="L231" s="7" t="s">
        <v>175</v>
      </c>
      <c r="M231" s="7">
        <v>9.3006779999999996</v>
      </c>
      <c r="N231" s="7">
        <v>13.356493</v>
      </c>
      <c r="O231" s="7" t="s">
        <v>23</v>
      </c>
      <c r="P231" s="3"/>
      <c r="Q231" s="3"/>
      <c r="R231" s="3"/>
    </row>
    <row r="232" spans="1:18" x14ac:dyDescent="0.25">
      <c r="A232" s="2">
        <v>1200</v>
      </c>
      <c r="B232" s="7" t="s">
        <v>3409</v>
      </c>
      <c r="C232" s="7" t="s">
        <v>3410</v>
      </c>
      <c r="D232" s="7" t="s">
        <v>3409</v>
      </c>
      <c r="E232" s="7" t="s">
        <v>170</v>
      </c>
      <c r="F232" s="7" t="s">
        <v>3411</v>
      </c>
      <c r="G232" s="17" t="s">
        <v>7747</v>
      </c>
      <c r="H232" s="7" t="s">
        <v>28</v>
      </c>
      <c r="I232" s="7" t="s">
        <v>172</v>
      </c>
      <c r="J232" s="7" t="s">
        <v>258</v>
      </c>
      <c r="K232" s="7" t="s">
        <v>2380</v>
      </c>
      <c r="L232" s="7" t="s">
        <v>175</v>
      </c>
      <c r="M232" s="7">
        <v>9.2956649999999996</v>
      </c>
      <c r="N232" s="7">
        <v>13.377577</v>
      </c>
      <c r="O232" s="7" t="s">
        <v>23</v>
      </c>
      <c r="P232" s="3"/>
      <c r="Q232" s="3"/>
      <c r="R232" s="3"/>
    </row>
    <row r="233" spans="1:18" x14ac:dyDescent="0.25">
      <c r="A233" s="2">
        <v>1201</v>
      </c>
      <c r="B233" s="7" t="s">
        <v>3556</v>
      </c>
      <c r="C233" s="7" t="s">
        <v>3557</v>
      </c>
      <c r="D233" s="7" t="s">
        <v>3556</v>
      </c>
      <c r="E233" s="7" t="s">
        <v>170</v>
      </c>
      <c r="F233" s="7" t="s">
        <v>3558</v>
      </c>
      <c r="G233" s="17" t="s">
        <v>7747</v>
      </c>
      <c r="H233" s="7" t="s">
        <v>28</v>
      </c>
      <c r="I233" s="7" t="s">
        <v>234</v>
      </c>
      <c r="J233" s="7" t="s">
        <v>258</v>
      </c>
      <c r="K233" s="7" t="s">
        <v>259</v>
      </c>
      <c r="L233" s="7" t="s">
        <v>175</v>
      </c>
      <c r="M233" s="7">
        <v>9.3851530000000007</v>
      </c>
      <c r="N233" s="7">
        <v>13.505093</v>
      </c>
      <c r="O233" s="7" t="s">
        <v>23</v>
      </c>
      <c r="P233" s="3"/>
      <c r="Q233" s="3"/>
      <c r="R233" s="3"/>
    </row>
    <row r="234" spans="1:18" x14ac:dyDescent="0.25">
      <c r="A234" s="2">
        <v>1202</v>
      </c>
      <c r="B234" s="7" t="s">
        <v>3571</v>
      </c>
      <c r="C234" s="7" t="s">
        <v>3572</v>
      </c>
      <c r="D234" s="7" t="s">
        <v>3571</v>
      </c>
      <c r="E234" s="7" t="s">
        <v>170</v>
      </c>
      <c r="F234" s="7" t="s">
        <v>3573</v>
      </c>
      <c r="G234" s="17" t="s">
        <v>7747</v>
      </c>
      <c r="H234" s="7" t="s">
        <v>28</v>
      </c>
      <c r="I234" s="7" t="s">
        <v>172</v>
      </c>
      <c r="J234" s="7" t="s">
        <v>258</v>
      </c>
      <c r="K234" s="7" t="s">
        <v>1924</v>
      </c>
      <c r="L234" s="7" t="s">
        <v>175</v>
      </c>
      <c r="M234" s="7">
        <v>9.3464019999999994</v>
      </c>
      <c r="N234" s="7">
        <v>13.39791</v>
      </c>
      <c r="O234" s="7" t="s">
        <v>23</v>
      </c>
      <c r="P234" s="3"/>
      <c r="Q234" s="3"/>
      <c r="R234" s="3"/>
    </row>
    <row r="235" spans="1:18" x14ac:dyDescent="0.25">
      <c r="A235" s="2">
        <v>1203</v>
      </c>
      <c r="B235" s="7" t="s">
        <v>3683</v>
      </c>
      <c r="C235" s="7" t="s">
        <v>3684</v>
      </c>
      <c r="D235" s="7" t="s">
        <v>3683</v>
      </c>
      <c r="E235" s="7" t="s">
        <v>170</v>
      </c>
      <c r="F235" s="7" t="s">
        <v>3685</v>
      </c>
      <c r="G235" s="17" t="s">
        <v>7747</v>
      </c>
      <c r="H235" s="7" t="s">
        <v>28</v>
      </c>
      <c r="I235" s="7" t="s">
        <v>172</v>
      </c>
      <c r="J235" s="7" t="s">
        <v>258</v>
      </c>
      <c r="K235" s="7" t="s">
        <v>1924</v>
      </c>
      <c r="L235" s="7" t="s">
        <v>175</v>
      </c>
      <c r="M235" s="7">
        <v>9.3129720000000002</v>
      </c>
      <c r="N235" s="7">
        <v>13.39475</v>
      </c>
      <c r="O235" s="7" t="s">
        <v>23</v>
      </c>
      <c r="P235" s="3"/>
      <c r="Q235" s="3"/>
      <c r="R235" s="3"/>
    </row>
    <row r="236" spans="1:18" x14ac:dyDescent="0.25">
      <c r="A236" s="2">
        <v>1204</v>
      </c>
      <c r="B236" s="7" t="s">
        <v>3757</v>
      </c>
      <c r="C236" s="7" t="s">
        <v>3758</v>
      </c>
      <c r="D236" s="7" t="s">
        <v>3757</v>
      </c>
      <c r="E236" s="7" t="s">
        <v>170</v>
      </c>
      <c r="F236" s="7" t="s">
        <v>3759</v>
      </c>
      <c r="G236" s="17" t="s">
        <v>7747</v>
      </c>
      <c r="H236" s="7" t="s">
        <v>28</v>
      </c>
      <c r="I236" s="7" t="s">
        <v>234</v>
      </c>
      <c r="J236" s="7" t="s">
        <v>258</v>
      </c>
      <c r="K236" s="7" t="s">
        <v>1196</v>
      </c>
      <c r="L236" s="7" t="s">
        <v>175</v>
      </c>
      <c r="M236" s="7">
        <v>9.2561669999999996</v>
      </c>
      <c r="N236" s="7">
        <v>13.776361</v>
      </c>
      <c r="O236" s="7" t="s">
        <v>23</v>
      </c>
      <c r="P236" s="3"/>
      <c r="Q236" s="3"/>
      <c r="R236" s="3"/>
    </row>
    <row r="237" spans="1:18" x14ac:dyDescent="0.25">
      <c r="A237" s="2">
        <v>1205</v>
      </c>
      <c r="B237" s="7" t="s">
        <v>3835</v>
      </c>
      <c r="C237" s="7" t="s">
        <v>3836</v>
      </c>
      <c r="D237" s="7" t="s">
        <v>3835</v>
      </c>
      <c r="E237" s="7" t="s">
        <v>170</v>
      </c>
      <c r="F237" s="7" t="s">
        <v>3837</v>
      </c>
      <c r="G237" s="17" t="s">
        <v>7747</v>
      </c>
      <c r="H237" s="7" t="s">
        <v>19</v>
      </c>
      <c r="I237" s="7" t="s">
        <v>172</v>
      </c>
      <c r="J237" s="7" t="s">
        <v>258</v>
      </c>
      <c r="K237" s="7" t="s">
        <v>1924</v>
      </c>
      <c r="L237" s="7" t="s">
        <v>175</v>
      </c>
      <c r="M237" s="7">
        <v>9.3443330000000007</v>
      </c>
      <c r="N237" s="7">
        <v>13.413083</v>
      </c>
      <c r="O237" s="7" t="s">
        <v>23</v>
      </c>
      <c r="P237" s="3"/>
      <c r="Q237" s="3"/>
      <c r="R237" s="3"/>
    </row>
    <row r="238" spans="1:18" x14ac:dyDescent="0.25">
      <c r="A238" s="2">
        <v>1206</v>
      </c>
      <c r="B238" s="7" t="s">
        <v>4043</v>
      </c>
      <c r="C238" s="7" t="s">
        <v>4044</v>
      </c>
      <c r="D238" s="7" t="s">
        <v>4043</v>
      </c>
      <c r="E238" s="7" t="s">
        <v>170</v>
      </c>
      <c r="F238" s="7" t="s">
        <v>4045</v>
      </c>
      <c r="G238" s="17" t="s">
        <v>7747</v>
      </c>
      <c r="H238" s="7" t="s">
        <v>28</v>
      </c>
      <c r="I238" s="7" t="s">
        <v>172</v>
      </c>
      <c r="J238" s="7" t="s">
        <v>173</v>
      </c>
      <c r="K238" s="7" t="s">
        <v>737</v>
      </c>
      <c r="L238" s="7" t="s">
        <v>175</v>
      </c>
      <c r="M238" s="7">
        <v>10.167999999999999</v>
      </c>
      <c r="N238" s="7">
        <v>13.519056000000001</v>
      </c>
      <c r="O238" s="7" t="s">
        <v>23</v>
      </c>
      <c r="P238" s="3"/>
      <c r="Q238" s="3"/>
      <c r="R238" s="3"/>
    </row>
    <row r="239" spans="1:18" x14ac:dyDescent="0.25">
      <c r="A239" s="2">
        <v>1207</v>
      </c>
      <c r="B239" s="7" t="s">
        <v>4677</v>
      </c>
      <c r="C239" s="7" t="s">
        <v>4678</v>
      </c>
      <c r="D239" s="7" t="s">
        <v>4677</v>
      </c>
      <c r="E239" s="7" t="s">
        <v>170</v>
      </c>
      <c r="F239" s="7" t="s">
        <v>1649</v>
      </c>
      <c r="G239" s="17" t="s">
        <v>7747</v>
      </c>
      <c r="H239" s="7" t="s">
        <v>28</v>
      </c>
      <c r="I239" s="7" t="s">
        <v>234</v>
      </c>
      <c r="J239" s="7" t="s">
        <v>258</v>
      </c>
      <c r="K239" s="7" t="s">
        <v>885</v>
      </c>
      <c r="L239" s="7" t="s">
        <v>175</v>
      </c>
      <c r="M239" s="7">
        <v>9.0595999999999997</v>
      </c>
      <c r="N239" s="7">
        <v>13.677429999999999</v>
      </c>
      <c r="O239" s="7" t="s">
        <v>23</v>
      </c>
      <c r="P239" s="3"/>
      <c r="Q239" s="3"/>
      <c r="R239" s="3"/>
    </row>
    <row r="240" spans="1:18" x14ac:dyDescent="0.25">
      <c r="A240" s="2">
        <v>1208</v>
      </c>
      <c r="B240" s="7" t="s">
        <v>4808</v>
      </c>
      <c r="C240" s="7" t="s">
        <v>4809</v>
      </c>
      <c r="D240" s="7" t="s">
        <v>4808</v>
      </c>
      <c r="E240" s="7" t="s">
        <v>170</v>
      </c>
      <c r="F240" s="7" t="s">
        <v>4810</v>
      </c>
      <c r="G240" s="17" t="s">
        <v>7747</v>
      </c>
      <c r="H240" s="7" t="s">
        <v>28</v>
      </c>
      <c r="I240" s="7" t="s">
        <v>234</v>
      </c>
      <c r="J240" s="7" t="s">
        <v>732</v>
      </c>
      <c r="K240" s="7" t="s">
        <v>4811</v>
      </c>
      <c r="L240" s="7" t="s">
        <v>175</v>
      </c>
      <c r="M240" s="7">
        <v>8.6796819999999997</v>
      </c>
      <c r="N240" s="7">
        <v>14.174804</v>
      </c>
      <c r="O240" s="7" t="s">
        <v>23</v>
      </c>
      <c r="P240" s="3"/>
      <c r="Q240" s="3"/>
      <c r="R240" s="3"/>
    </row>
    <row r="241" spans="1:18" x14ac:dyDescent="0.25">
      <c r="A241" s="2">
        <v>1209</v>
      </c>
      <c r="B241" s="7" t="s">
        <v>4812</v>
      </c>
      <c r="C241" s="7" t="s">
        <v>4813</v>
      </c>
      <c r="D241" s="7" t="s">
        <v>4812</v>
      </c>
      <c r="E241" s="7" t="s">
        <v>170</v>
      </c>
      <c r="F241" s="7" t="s">
        <v>4814</v>
      </c>
      <c r="G241" s="17" t="s">
        <v>7747</v>
      </c>
      <c r="H241" s="7" t="s">
        <v>19</v>
      </c>
      <c r="I241" s="7" t="s">
        <v>234</v>
      </c>
      <c r="J241" s="7" t="s">
        <v>258</v>
      </c>
      <c r="K241" s="7" t="s">
        <v>2312</v>
      </c>
      <c r="L241" s="7" t="s">
        <v>175</v>
      </c>
      <c r="M241" s="7">
        <v>9.0577279999999991</v>
      </c>
      <c r="N241" s="7">
        <v>13.509881999999999</v>
      </c>
      <c r="O241" s="7" t="s">
        <v>23</v>
      </c>
      <c r="P241" s="3"/>
      <c r="Q241" s="3"/>
      <c r="R241" s="3"/>
    </row>
    <row r="242" spans="1:18" x14ac:dyDescent="0.25">
      <c r="A242" s="2">
        <v>1210</v>
      </c>
      <c r="B242" s="7" t="s">
        <v>5119</v>
      </c>
      <c r="C242" s="7" t="s">
        <v>5120</v>
      </c>
      <c r="D242" s="7" t="s">
        <v>5119</v>
      </c>
      <c r="E242" s="7" t="s">
        <v>170</v>
      </c>
      <c r="F242" s="7" t="s">
        <v>5121</v>
      </c>
      <c r="G242" s="17" t="s">
        <v>7747</v>
      </c>
      <c r="H242" s="7" t="s">
        <v>28</v>
      </c>
      <c r="I242" s="7" t="s">
        <v>172</v>
      </c>
      <c r="J242" s="7" t="s">
        <v>258</v>
      </c>
      <c r="K242" s="7" t="s">
        <v>5122</v>
      </c>
      <c r="L242" s="7" t="s">
        <v>175</v>
      </c>
      <c r="M242" s="7">
        <v>9.3059720000000006</v>
      </c>
      <c r="N242" s="7">
        <v>13.405333000000001</v>
      </c>
      <c r="O242" s="7" t="s">
        <v>23</v>
      </c>
      <c r="P242" s="3"/>
      <c r="Q242" s="3"/>
      <c r="R242" s="3"/>
    </row>
    <row r="243" spans="1:18" x14ac:dyDescent="0.25">
      <c r="A243" s="2">
        <v>1211</v>
      </c>
      <c r="B243" s="7" t="s">
        <v>5162</v>
      </c>
      <c r="C243" s="7" t="s">
        <v>5163</v>
      </c>
      <c r="D243" s="7" t="s">
        <v>5162</v>
      </c>
      <c r="E243" s="7" t="s">
        <v>170</v>
      </c>
      <c r="F243" s="7" t="s">
        <v>5164</v>
      </c>
      <c r="G243" s="17" t="s">
        <v>7747</v>
      </c>
      <c r="H243" s="7" t="s">
        <v>28</v>
      </c>
      <c r="I243" s="7" t="s">
        <v>172</v>
      </c>
      <c r="J243" s="7" t="s">
        <v>258</v>
      </c>
      <c r="K243" s="7" t="s">
        <v>2380</v>
      </c>
      <c r="L243" s="7" t="s">
        <v>175</v>
      </c>
      <c r="M243" s="7">
        <v>9.2968609999999998</v>
      </c>
      <c r="N243" s="7">
        <v>13.399917</v>
      </c>
      <c r="O243" s="7" t="s">
        <v>23</v>
      </c>
      <c r="P243" s="3"/>
      <c r="Q243" s="3"/>
      <c r="R243" s="3"/>
    </row>
    <row r="244" spans="1:18" x14ac:dyDescent="0.25">
      <c r="A244" s="2">
        <v>1212</v>
      </c>
      <c r="B244" s="7" t="s">
        <v>5198</v>
      </c>
      <c r="C244" s="7" t="s">
        <v>5199</v>
      </c>
      <c r="D244" s="7" t="s">
        <v>5198</v>
      </c>
      <c r="E244" s="7" t="s">
        <v>170</v>
      </c>
      <c r="F244" s="7" t="s">
        <v>5200</v>
      </c>
      <c r="G244" s="17" t="s">
        <v>7747</v>
      </c>
      <c r="H244" s="7" t="s">
        <v>28</v>
      </c>
      <c r="I244" s="7" t="s">
        <v>172</v>
      </c>
      <c r="J244" s="7" t="s">
        <v>258</v>
      </c>
      <c r="K244" s="7" t="s">
        <v>1924</v>
      </c>
      <c r="L244" s="7" t="s">
        <v>175</v>
      </c>
      <c r="M244" s="7">
        <v>9.3226940000000003</v>
      </c>
      <c r="N244" s="7">
        <v>13.399694</v>
      </c>
      <c r="O244" s="7" t="s">
        <v>23</v>
      </c>
      <c r="P244" s="3"/>
      <c r="Q244" s="3"/>
      <c r="R244" s="3"/>
    </row>
    <row r="245" spans="1:18" x14ac:dyDescent="0.25">
      <c r="A245" s="2">
        <v>1213</v>
      </c>
      <c r="B245" s="7" t="s">
        <v>5210</v>
      </c>
      <c r="C245" s="7" t="s">
        <v>5211</v>
      </c>
      <c r="D245" s="7" t="s">
        <v>5210</v>
      </c>
      <c r="E245" s="7" t="s">
        <v>170</v>
      </c>
      <c r="F245" s="7" t="s">
        <v>5212</v>
      </c>
      <c r="G245" s="17" t="s">
        <v>7747</v>
      </c>
      <c r="H245" s="7" t="s">
        <v>28</v>
      </c>
      <c r="I245" s="7" t="s">
        <v>172</v>
      </c>
      <c r="J245" s="7" t="s">
        <v>258</v>
      </c>
      <c r="K245" s="7" t="s">
        <v>2380</v>
      </c>
      <c r="L245" s="7" t="s">
        <v>175</v>
      </c>
      <c r="M245" s="7">
        <v>9.3056959999999993</v>
      </c>
      <c r="N245" s="7">
        <v>13.37848</v>
      </c>
      <c r="O245" s="7" t="s">
        <v>23</v>
      </c>
      <c r="P245" s="3"/>
      <c r="Q245" s="3"/>
      <c r="R245" s="3"/>
    </row>
    <row r="246" spans="1:18" x14ac:dyDescent="0.25">
      <c r="A246" s="2">
        <v>1214</v>
      </c>
      <c r="B246" s="7" t="s">
        <v>5219</v>
      </c>
      <c r="C246" s="7" t="s">
        <v>5220</v>
      </c>
      <c r="D246" s="7" t="s">
        <v>5219</v>
      </c>
      <c r="E246" s="7" t="s">
        <v>170</v>
      </c>
      <c r="F246" s="7" t="s">
        <v>5221</v>
      </c>
      <c r="G246" s="17" t="s">
        <v>7747</v>
      </c>
      <c r="H246" s="7" t="s">
        <v>28</v>
      </c>
      <c r="I246" s="7" t="s">
        <v>172</v>
      </c>
      <c r="J246" s="7" t="s">
        <v>258</v>
      </c>
      <c r="K246" s="7" t="s">
        <v>1924</v>
      </c>
      <c r="L246" s="7" t="s">
        <v>175</v>
      </c>
      <c r="M246" s="7">
        <v>9.3494440000000001</v>
      </c>
      <c r="N246" s="7">
        <v>13.384028000000001</v>
      </c>
      <c r="O246" s="7" t="s">
        <v>23</v>
      </c>
      <c r="P246" s="3"/>
      <c r="Q246" s="3"/>
      <c r="R246" s="3"/>
    </row>
    <row r="247" spans="1:18" x14ac:dyDescent="0.25">
      <c r="A247" s="2">
        <v>1215</v>
      </c>
      <c r="B247" s="7" t="s">
        <v>5222</v>
      </c>
      <c r="C247" s="7" t="s">
        <v>5223</v>
      </c>
      <c r="D247" s="7" t="s">
        <v>5222</v>
      </c>
      <c r="E247" s="7" t="s">
        <v>170</v>
      </c>
      <c r="F247" s="7" t="s">
        <v>5224</v>
      </c>
      <c r="G247" s="17" t="s">
        <v>7747</v>
      </c>
      <c r="H247" s="7" t="s">
        <v>28</v>
      </c>
      <c r="I247" s="7" t="s">
        <v>234</v>
      </c>
      <c r="J247" s="7" t="s">
        <v>258</v>
      </c>
      <c r="K247" s="7" t="s">
        <v>5225</v>
      </c>
      <c r="L247" s="7" t="s">
        <v>175</v>
      </c>
      <c r="M247" s="7">
        <v>9.3334879999999991</v>
      </c>
      <c r="N247" s="7">
        <v>13.418568</v>
      </c>
      <c r="O247" s="7" t="s">
        <v>23</v>
      </c>
      <c r="P247" s="3"/>
      <c r="Q247" s="3"/>
      <c r="R247" s="3"/>
    </row>
    <row r="248" spans="1:18" x14ac:dyDescent="0.25">
      <c r="A248" s="2">
        <v>1216</v>
      </c>
      <c r="B248" s="7" t="s">
        <v>5299</v>
      </c>
      <c r="C248" s="7" t="s">
        <v>5300</v>
      </c>
      <c r="D248" s="7" t="s">
        <v>5299</v>
      </c>
      <c r="E248" s="7" t="s">
        <v>170</v>
      </c>
      <c r="F248" s="7" t="s">
        <v>5301</v>
      </c>
      <c r="G248" s="17" t="s">
        <v>7747</v>
      </c>
      <c r="H248" s="7" t="s">
        <v>28</v>
      </c>
      <c r="I248" s="7" t="s">
        <v>172</v>
      </c>
      <c r="J248" s="7" t="s">
        <v>258</v>
      </c>
      <c r="K248" s="7" t="s">
        <v>2380</v>
      </c>
      <c r="L248" s="7" t="s">
        <v>175</v>
      </c>
      <c r="M248" s="7">
        <v>9.3156529999999993</v>
      </c>
      <c r="N248" s="7">
        <v>13.349788</v>
      </c>
      <c r="O248" s="7" t="s">
        <v>23</v>
      </c>
      <c r="P248" s="3"/>
      <c r="Q248" s="3"/>
      <c r="R248" s="3"/>
    </row>
    <row r="249" spans="1:18" x14ac:dyDescent="0.25">
      <c r="A249" s="2">
        <v>1217</v>
      </c>
      <c r="B249" s="7" t="s">
        <v>5861</v>
      </c>
      <c r="C249" s="7" t="s">
        <v>5862</v>
      </c>
      <c r="D249" s="7" t="s">
        <v>5861</v>
      </c>
      <c r="E249" s="7" t="s">
        <v>170</v>
      </c>
      <c r="F249" s="7" t="s">
        <v>5863</v>
      </c>
      <c r="G249" s="17" t="s">
        <v>7747</v>
      </c>
      <c r="H249" s="7" t="s">
        <v>28</v>
      </c>
      <c r="I249" s="7" t="s">
        <v>234</v>
      </c>
      <c r="J249" s="7" t="s">
        <v>258</v>
      </c>
      <c r="K249" s="7" t="s">
        <v>5864</v>
      </c>
      <c r="L249" s="7" t="s">
        <v>175</v>
      </c>
      <c r="M249" s="7">
        <v>9.0101300000000002</v>
      </c>
      <c r="N249" s="7">
        <v>13.23155</v>
      </c>
      <c r="O249" s="7" t="s">
        <v>23</v>
      </c>
      <c r="P249" s="3"/>
      <c r="Q249" s="3"/>
      <c r="R249" s="3"/>
    </row>
    <row r="250" spans="1:18" x14ac:dyDescent="0.25">
      <c r="A250" s="2">
        <v>1218</v>
      </c>
      <c r="B250" s="7" t="s">
        <v>6028</v>
      </c>
      <c r="C250" s="7" t="s">
        <v>6029</v>
      </c>
      <c r="D250" s="7" t="s">
        <v>6028</v>
      </c>
      <c r="E250" s="7" t="s">
        <v>170</v>
      </c>
      <c r="F250" s="7" t="s">
        <v>884</v>
      </c>
      <c r="G250" s="17" t="s">
        <v>7747</v>
      </c>
      <c r="H250" s="7" t="s">
        <v>28</v>
      </c>
      <c r="I250" s="7" t="s">
        <v>234</v>
      </c>
      <c r="J250" s="7" t="s">
        <v>258</v>
      </c>
      <c r="K250" s="7" t="s">
        <v>885</v>
      </c>
      <c r="L250" s="7" t="s">
        <v>175</v>
      </c>
      <c r="M250" s="7">
        <v>8.8020800000000001</v>
      </c>
      <c r="N250" s="7">
        <v>13.511950000000001</v>
      </c>
      <c r="O250" s="7" t="s">
        <v>23</v>
      </c>
      <c r="P250" s="3"/>
      <c r="Q250" s="3"/>
      <c r="R250" s="3"/>
    </row>
    <row r="251" spans="1:18" x14ac:dyDescent="0.25">
      <c r="A251" s="2">
        <v>1219</v>
      </c>
      <c r="B251" s="7" t="s">
        <v>6030</v>
      </c>
      <c r="C251" s="7" t="s">
        <v>6031</v>
      </c>
      <c r="D251" s="7" t="s">
        <v>6030</v>
      </c>
      <c r="E251" s="7" t="s">
        <v>170</v>
      </c>
      <c r="F251" s="7" t="s">
        <v>6032</v>
      </c>
      <c r="G251" s="17" t="s">
        <v>7747</v>
      </c>
      <c r="H251" s="7" t="s">
        <v>28</v>
      </c>
      <c r="I251" s="7" t="s">
        <v>172</v>
      </c>
      <c r="J251" s="7" t="s">
        <v>173</v>
      </c>
      <c r="K251" s="7" t="s">
        <v>174</v>
      </c>
      <c r="L251" s="7" t="s">
        <v>175</v>
      </c>
      <c r="M251" s="7">
        <v>9.6369050000000005</v>
      </c>
      <c r="N251" s="7">
        <v>13.804205</v>
      </c>
      <c r="O251" s="7" t="s">
        <v>23</v>
      </c>
      <c r="P251" s="3"/>
      <c r="Q251" s="3"/>
      <c r="R251" s="3"/>
    </row>
    <row r="252" spans="1:18" x14ac:dyDescent="0.25">
      <c r="A252" s="2">
        <v>1220</v>
      </c>
      <c r="B252" s="7" t="s">
        <v>6197</v>
      </c>
      <c r="C252" s="7" t="s">
        <v>6198</v>
      </c>
      <c r="D252" s="7" t="s">
        <v>6197</v>
      </c>
      <c r="E252" s="7" t="s">
        <v>170</v>
      </c>
      <c r="F252" s="7" t="s">
        <v>6199</v>
      </c>
      <c r="G252" s="17" t="s">
        <v>7747</v>
      </c>
      <c r="H252" s="7" t="s">
        <v>28</v>
      </c>
      <c r="I252" s="7" t="s">
        <v>234</v>
      </c>
      <c r="J252" s="7" t="s">
        <v>258</v>
      </c>
      <c r="K252" s="7" t="s">
        <v>2804</v>
      </c>
      <c r="L252" s="7" t="s">
        <v>175</v>
      </c>
      <c r="M252" s="7">
        <v>9.1783699999999993</v>
      </c>
      <c r="N252" s="7">
        <v>13.51003</v>
      </c>
      <c r="O252" s="7" t="s">
        <v>23</v>
      </c>
      <c r="P252" s="3"/>
      <c r="Q252" s="3"/>
      <c r="R252" s="3"/>
    </row>
    <row r="253" spans="1:18" x14ac:dyDescent="0.25">
      <c r="A253" s="2">
        <v>1221</v>
      </c>
      <c r="B253" s="7" t="s">
        <v>6200</v>
      </c>
      <c r="C253" s="7" t="s">
        <v>6201</v>
      </c>
      <c r="D253" s="7" t="s">
        <v>6200</v>
      </c>
      <c r="E253" s="7" t="s">
        <v>170</v>
      </c>
      <c r="F253" s="7" t="s">
        <v>6202</v>
      </c>
      <c r="G253" s="17" t="s">
        <v>7747</v>
      </c>
      <c r="H253" s="7" t="s">
        <v>19</v>
      </c>
      <c r="I253" s="7" t="s">
        <v>172</v>
      </c>
      <c r="J253" s="7" t="s">
        <v>173</v>
      </c>
      <c r="K253" s="7" t="s">
        <v>174</v>
      </c>
      <c r="L253" s="7" t="s">
        <v>175</v>
      </c>
      <c r="M253" s="7">
        <v>9.7073889999999992</v>
      </c>
      <c r="N253" s="7">
        <v>13.924194</v>
      </c>
      <c r="O253" s="7" t="s">
        <v>23</v>
      </c>
      <c r="P253" s="3"/>
      <c r="Q253" s="3"/>
      <c r="R253" s="3"/>
    </row>
    <row r="254" spans="1:18" x14ac:dyDescent="0.25">
      <c r="A254" s="2">
        <v>1222</v>
      </c>
      <c r="B254" s="7" t="s">
        <v>6343</v>
      </c>
      <c r="C254" s="7" t="s">
        <v>6344</v>
      </c>
      <c r="D254" s="7" t="s">
        <v>6343</v>
      </c>
      <c r="E254" s="7" t="s">
        <v>170</v>
      </c>
      <c r="F254" s="7" t="s">
        <v>6345</v>
      </c>
      <c r="G254" s="17" t="s">
        <v>7747</v>
      </c>
      <c r="H254" s="7" t="s">
        <v>19</v>
      </c>
      <c r="I254" s="7" t="s">
        <v>234</v>
      </c>
      <c r="J254" s="7" t="s">
        <v>732</v>
      </c>
      <c r="K254" s="7" t="s">
        <v>6346</v>
      </c>
      <c r="L254" s="7" t="s">
        <v>175</v>
      </c>
      <c r="M254" s="7">
        <v>8.4552060000000004</v>
      </c>
      <c r="N254" s="7">
        <v>15.015413000000001</v>
      </c>
      <c r="O254" s="7" t="s">
        <v>23</v>
      </c>
      <c r="P254" s="3"/>
      <c r="Q254" s="3"/>
      <c r="R254" s="3"/>
    </row>
    <row r="255" spans="1:18" x14ac:dyDescent="0.25">
      <c r="A255" s="2">
        <v>1223</v>
      </c>
      <c r="B255" s="7" t="s">
        <v>6417</v>
      </c>
      <c r="C255" s="7" t="s">
        <v>6418</v>
      </c>
      <c r="D255" s="7" t="s">
        <v>6417</v>
      </c>
      <c r="E255" s="7" t="s">
        <v>170</v>
      </c>
      <c r="F255" s="7" t="s">
        <v>6419</v>
      </c>
      <c r="G255" s="17" t="s">
        <v>7747</v>
      </c>
      <c r="H255" s="7" t="s">
        <v>28</v>
      </c>
      <c r="I255" s="7" t="s">
        <v>234</v>
      </c>
      <c r="J255" s="7" t="s">
        <v>732</v>
      </c>
      <c r="K255" s="7" t="s">
        <v>885</v>
      </c>
      <c r="L255" s="7" t="s">
        <v>175</v>
      </c>
      <c r="M255" s="7">
        <v>8.4764479999999995</v>
      </c>
      <c r="N255" s="7">
        <v>13.733148999999999</v>
      </c>
      <c r="O255" s="7" t="s">
        <v>23</v>
      </c>
      <c r="P255" s="3"/>
      <c r="Q255" s="3"/>
      <c r="R255" s="3"/>
    </row>
    <row r="256" spans="1:18" x14ac:dyDescent="0.25">
      <c r="A256" s="2">
        <v>1224</v>
      </c>
      <c r="B256" s="7" t="s">
        <v>6423</v>
      </c>
      <c r="C256" s="7" t="s">
        <v>6424</v>
      </c>
      <c r="D256" s="7" t="s">
        <v>6423</v>
      </c>
      <c r="E256" s="7" t="s">
        <v>170</v>
      </c>
      <c r="F256" s="7" t="s">
        <v>6425</v>
      </c>
      <c r="G256" s="17" t="s">
        <v>7747</v>
      </c>
      <c r="H256" s="7" t="s">
        <v>19</v>
      </c>
      <c r="I256" s="7" t="s">
        <v>234</v>
      </c>
      <c r="J256" s="7" t="s">
        <v>258</v>
      </c>
      <c r="K256" s="7" t="s">
        <v>885</v>
      </c>
      <c r="L256" s="7" t="s">
        <v>175</v>
      </c>
      <c r="M256" s="7">
        <v>8.5238139999999998</v>
      </c>
      <c r="N256" s="7">
        <v>13.570183999999999</v>
      </c>
      <c r="O256" s="7" t="s">
        <v>23</v>
      </c>
      <c r="P256" s="3"/>
      <c r="Q256" s="3"/>
      <c r="R256" s="3"/>
    </row>
    <row r="257" spans="1:18" x14ac:dyDescent="0.25">
      <c r="A257" s="2">
        <v>1225</v>
      </c>
      <c r="B257" s="7" t="s">
        <v>6426</v>
      </c>
      <c r="C257" s="7" t="s">
        <v>6427</v>
      </c>
      <c r="D257" s="7" t="s">
        <v>6426</v>
      </c>
      <c r="E257" s="7" t="s">
        <v>170</v>
      </c>
      <c r="F257" s="7" t="s">
        <v>6425</v>
      </c>
      <c r="G257" s="17" t="s">
        <v>7747</v>
      </c>
      <c r="H257" s="7" t="s">
        <v>19</v>
      </c>
      <c r="I257" s="7" t="s">
        <v>234</v>
      </c>
      <c r="J257" s="7" t="s">
        <v>258</v>
      </c>
      <c r="K257" s="7" t="s">
        <v>885</v>
      </c>
      <c r="L257" s="7" t="s">
        <v>175</v>
      </c>
      <c r="M257" s="7">
        <v>8.5262390000000003</v>
      </c>
      <c r="N257" s="7">
        <v>13.563013</v>
      </c>
      <c r="O257" s="7" t="s">
        <v>23</v>
      </c>
      <c r="P257" s="3"/>
      <c r="Q257" s="3"/>
      <c r="R257" s="3"/>
    </row>
    <row r="258" spans="1:18" x14ac:dyDescent="0.25">
      <c r="A258" s="2">
        <v>1226</v>
      </c>
      <c r="B258" s="7" t="s">
        <v>6457</v>
      </c>
      <c r="C258" s="7" t="s">
        <v>6458</v>
      </c>
      <c r="D258" s="7" t="s">
        <v>6457</v>
      </c>
      <c r="E258" s="7" t="s">
        <v>170</v>
      </c>
      <c r="F258" s="7" t="s">
        <v>803</v>
      </c>
      <c r="G258" s="17" t="s">
        <v>7747</v>
      </c>
      <c r="H258" s="7" t="s">
        <v>19</v>
      </c>
      <c r="I258" s="7" t="s">
        <v>172</v>
      </c>
      <c r="J258" s="7" t="s">
        <v>173</v>
      </c>
      <c r="K258" s="7" t="s">
        <v>174</v>
      </c>
      <c r="L258" s="7" t="s">
        <v>175</v>
      </c>
      <c r="M258" s="7">
        <v>9.7751169999999998</v>
      </c>
      <c r="N258" s="7">
        <v>13.964725</v>
      </c>
      <c r="O258" s="7" t="s">
        <v>23</v>
      </c>
      <c r="P258" s="3"/>
      <c r="Q258" s="3"/>
      <c r="R258" s="3"/>
    </row>
    <row r="259" spans="1:18" x14ac:dyDescent="0.25">
      <c r="A259" s="2">
        <v>1227</v>
      </c>
      <c r="B259" s="7" t="s">
        <v>6486</v>
      </c>
      <c r="C259" s="7" t="s">
        <v>6487</v>
      </c>
      <c r="D259" s="7" t="s">
        <v>6486</v>
      </c>
      <c r="E259" s="7" t="s">
        <v>170</v>
      </c>
      <c r="F259" s="7" t="s">
        <v>6488</v>
      </c>
      <c r="G259" s="17" t="s">
        <v>7747</v>
      </c>
      <c r="H259" s="7" t="s">
        <v>28</v>
      </c>
      <c r="I259" s="7" t="s">
        <v>172</v>
      </c>
      <c r="J259" s="7" t="s">
        <v>258</v>
      </c>
      <c r="K259" s="7" t="s">
        <v>6488</v>
      </c>
      <c r="L259" s="7" t="s">
        <v>175</v>
      </c>
      <c r="M259" s="7">
        <v>9.7183329999999994</v>
      </c>
      <c r="N259" s="7">
        <v>13.547833000000001</v>
      </c>
      <c r="O259" s="7" t="s">
        <v>23</v>
      </c>
      <c r="P259" s="3"/>
      <c r="Q259" s="3"/>
      <c r="R259" s="3"/>
    </row>
    <row r="260" spans="1:18" x14ac:dyDescent="0.25">
      <c r="A260" s="2">
        <v>1228</v>
      </c>
      <c r="B260" s="7" t="s">
        <v>6489</v>
      </c>
      <c r="C260" s="7" t="s">
        <v>6490</v>
      </c>
      <c r="D260" s="7" t="s">
        <v>6489</v>
      </c>
      <c r="E260" s="7" t="s">
        <v>170</v>
      </c>
      <c r="F260" s="7" t="s">
        <v>6491</v>
      </c>
      <c r="G260" s="17" t="s">
        <v>7747</v>
      </c>
      <c r="H260" s="7" t="s">
        <v>28</v>
      </c>
      <c r="I260" s="7" t="s">
        <v>172</v>
      </c>
      <c r="J260" s="7" t="s">
        <v>258</v>
      </c>
      <c r="K260" s="7" t="s">
        <v>6488</v>
      </c>
      <c r="L260" s="7" t="s">
        <v>175</v>
      </c>
      <c r="M260" s="7">
        <v>9.691058</v>
      </c>
      <c r="N260" s="7">
        <v>13.535252</v>
      </c>
      <c r="O260" s="7" t="s">
        <v>23</v>
      </c>
      <c r="P260" s="3"/>
      <c r="Q260" s="3"/>
      <c r="R260" s="3"/>
    </row>
    <row r="261" spans="1:18" x14ac:dyDescent="0.25">
      <c r="A261" s="2">
        <v>1229</v>
      </c>
      <c r="B261" s="7" t="s">
        <v>6510</v>
      </c>
      <c r="C261" s="7" t="s">
        <v>6511</v>
      </c>
      <c r="D261" s="7" t="s">
        <v>6510</v>
      </c>
      <c r="E261" s="7" t="s">
        <v>170</v>
      </c>
      <c r="F261" s="7" t="s">
        <v>6512</v>
      </c>
      <c r="G261" s="17" t="s">
        <v>7747</v>
      </c>
      <c r="H261" s="7" t="s">
        <v>28</v>
      </c>
      <c r="I261" s="7" t="s">
        <v>234</v>
      </c>
      <c r="J261" s="7" t="s">
        <v>1794</v>
      </c>
      <c r="K261" s="7" t="s">
        <v>6513</v>
      </c>
      <c r="L261" s="7" t="s">
        <v>175</v>
      </c>
      <c r="M261" s="7">
        <v>8.6178690000000007</v>
      </c>
      <c r="N261" s="7">
        <v>12.797643000000001</v>
      </c>
      <c r="O261" s="7" t="s">
        <v>23</v>
      </c>
      <c r="P261" s="3"/>
      <c r="Q261" s="3"/>
      <c r="R261" s="3"/>
    </row>
    <row r="262" spans="1:18" x14ac:dyDescent="0.25">
      <c r="A262" s="2">
        <v>1230</v>
      </c>
      <c r="B262" s="7" t="s">
        <v>6539</v>
      </c>
      <c r="C262" s="7" t="s">
        <v>6540</v>
      </c>
      <c r="D262" s="7" t="s">
        <v>6539</v>
      </c>
      <c r="E262" s="7" t="s">
        <v>170</v>
      </c>
      <c r="F262" s="7" t="s">
        <v>6541</v>
      </c>
      <c r="G262" s="17" t="s">
        <v>7747</v>
      </c>
      <c r="H262" s="7" t="s">
        <v>28</v>
      </c>
      <c r="I262" s="7" t="s">
        <v>234</v>
      </c>
      <c r="J262" s="7" t="s">
        <v>258</v>
      </c>
      <c r="K262" s="7" t="s">
        <v>929</v>
      </c>
      <c r="L262" s="7" t="s">
        <v>175</v>
      </c>
      <c r="M262" s="7">
        <v>9.3004719999999992</v>
      </c>
      <c r="N262" s="7">
        <v>13.865055999999999</v>
      </c>
      <c r="O262" s="7" t="s">
        <v>23</v>
      </c>
      <c r="P262" s="3"/>
      <c r="Q262" s="3"/>
      <c r="R262" s="3"/>
    </row>
    <row r="263" spans="1:18" x14ac:dyDescent="0.25">
      <c r="A263" s="2">
        <v>1231</v>
      </c>
      <c r="B263" s="7" t="s">
        <v>6554</v>
      </c>
      <c r="C263" s="7" t="s">
        <v>6555</v>
      </c>
      <c r="D263" s="7" t="s">
        <v>6554</v>
      </c>
      <c r="E263" s="7" t="s">
        <v>170</v>
      </c>
      <c r="F263" s="7" t="s">
        <v>6556</v>
      </c>
      <c r="G263" s="17" t="s">
        <v>7747</v>
      </c>
      <c r="H263" s="7" t="s">
        <v>28</v>
      </c>
      <c r="I263" s="7" t="s">
        <v>234</v>
      </c>
      <c r="J263" s="7" t="s">
        <v>258</v>
      </c>
      <c r="K263" s="7" t="s">
        <v>5864</v>
      </c>
      <c r="L263" s="7" t="s">
        <v>175</v>
      </c>
      <c r="M263" s="7">
        <v>9.0915800000000004</v>
      </c>
      <c r="N263" s="7">
        <v>12.957100000000001</v>
      </c>
      <c r="O263" s="7" t="s">
        <v>23</v>
      </c>
      <c r="P263" s="3"/>
      <c r="Q263" s="3"/>
      <c r="R263" s="3"/>
    </row>
    <row r="264" spans="1:18" x14ac:dyDescent="0.25">
      <c r="A264" s="2">
        <v>1232</v>
      </c>
      <c r="B264" s="7" t="s">
        <v>6573</v>
      </c>
      <c r="C264" s="7" t="s">
        <v>6574</v>
      </c>
      <c r="D264" s="7" t="s">
        <v>6573</v>
      </c>
      <c r="E264" s="7" t="s">
        <v>170</v>
      </c>
      <c r="F264" s="7" t="s">
        <v>6575</v>
      </c>
      <c r="G264" s="17" t="s">
        <v>7747</v>
      </c>
      <c r="H264" s="7" t="s">
        <v>28</v>
      </c>
      <c r="I264" s="7" t="s">
        <v>234</v>
      </c>
      <c r="J264" s="7" t="s">
        <v>732</v>
      </c>
      <c r="K264" s="7" t="s">
        <v>6576</v>
      </c>
      <c r="L264" s="7" t="s">
        <v>175</v>
      </c>
      <c r="M264" s="7">
        <v>9.1010600000000004</v>
      </c>
      <c r="N264" s="7">
        <v>14.389408</v>
      </c>
      <c r="O264" s="7" t="s">
        <v>23</v>
      </c>
      <c r="P264" s="3"/>
      <c r="Q264" s="3"/>
      <c r="R264" s="3"/>
    </row>
    <row r="265" spans="1:18" x14ac:dyDescent="0.25">
      <c r="A265" s="2">
        <v>1233</v>
      </c>
      <c r="B265" s="7" t="s">
        <v>6580</v>
      </c>
      <c r="C265" s="7" t="s">
        <v>6581</v>
      </c>
      <c r="D265" s="7" t="s">
        <v>6580</v>
      </c>
      <c r="E265" s="7" t="s">
        <v>170</v>
      </c>
      <c r="F265" s="7" t="s">
        <v>6582</v>
      </c>
      <c r="G265" s="17" t="s">
        <v>7747</v>
      </c>
      <c r="H265" s="7" t="s">
        <v>19</v>
      </c>
      <c r="I265" s="7" t="s">
        <v>172</v>
      </c>
      <c r="J265" s="7" t="s">
        <v>258</v>
      </c>
      <c r="K265" s="7" t="s">
        <v>259</v>
      </c>
      <c r="L265" s="7" t="s">
        <v>175</v>
      </c>
      <c r="M265" s="7">
        <v>9.4451940000000008</v>
      </c>
      <c r="N265" s="7">
        <v>13.61</v>
      </c>
      <c r="O265" s="7" t="s">
        <v>23</v>
      </c>
      <c r="P265" s="3"/>
      <c r="Q265" s="3"/>
      <c r="R265" s="3"/>
    </row>
    <row r="266" spans="1:18" x14ac:dyDescent="0.25">
      <c r="A266" s="2">
        <v>1234</v>
      </c>
      <c r="B266" s="7" t="s">
        <v>6739</v>
      </c>
      <c r="C266" s="7" t="s">
        <v>6740</v>
      </c>
      <c r="D266" s="7" t="s">
        <v>6739</v>
      </c>
      <c r="E266" s="7" t="s">
        <v>170</v>
      </c>
      <c r="F266" s="7" t="s">
        <v>6741</v>
      </c>
      <c r="G266" s="17" t="s">
        <v>7747</v>
      </c>
      <c r="H266" s="7" t="s">
        <v>28</v>
      </c>
      <c r="I266" s="7" t="s">
        <v>234</v>
      </c>
      <c r="J266" s="7" t="s">
        <v>258</v>
      </c>
      <c r="K266" s="7" t="s">
        <v>929</v>
      </c>
      <c r="L266" s="7" t="s">
        <v>175</v>
      </c>
      <c r="M266" s="7">
        <v>9.5308499999999992</v>
      </c>
      <c r="N266" s="7">
        <v>14.057829</v>
      </c>
      <c r="O266" s="7" t="s">
        <v>23</v>
      </c>
      <c r="P266" s="3"/>
      <c r="Q266" s="3"/>
      <c r="R266" s="3"/>
    </row>
    <row r="267" spans="1:18" x14ac:dyDescent="0.25">
      <c r="A267" s="2">
        <v>1235</v>
      </c>
      <c r="B267" s="7" t="s">
        <v>6776</v>
      </c>
      <c r="C267" s="7" t="s">
        <v>6777</v>
      </c>
      <c r="D267" s="7" t="s">
        <v>6776</v>
      </c>
      <c r="E267" s="7" t="s">
        <v>170</v>
      </c>
      <c r="F267" s="7" t="s">
        <v>6778</v>
      </c>
      <c r="G267" s="17" t="s">
        <v>7747</v>
      </c>
      <c r="H267" s="7" t="s">
        <v>28</v>
      </c>
      <c r="I267" s="7" t="s">
        <v>172</v>
      </c>
      <c r="J267" s="7" t="s">
        <v>258</v>
      </c>
      <c r="K267" s="7" t="s">
        <v>2380</v>
      </c>
      <c r="L267" s="7" t="s">
        <v>175</v>
      </c>
      <c r="M267" s="7">
        <v>9.3188689999999994</v>
      </c>
      <c r="N267" s="7">
        <v>13.224952999999999</v>
      </c>
      <c r="O267" s="7" t="s">
        <v>23</v>
      </c>
      <c r="P267" s="3"/>
      <c r="Q267" s="3"/>
      <c r="R267" s="3"/>
    </row>
    <row r="268" spans="1:18" x14ac:dyDescent="0.25">
      <c r="A268" s="2">
        <v>1236</v>
      </c>
      <c r="B268" s="7" t="s">
        <v>6810</v>
      </c>
      <c r="C268" s="7" t="s">
        <v>6811</v>
      </c>
      <c r="D268" s="7" t="s">
        <v>6810</v>
      </c>
      <c r="E268" s="7" t="s">
        <v>170</v>
      </c>
      <c r="F268" s="7" t="s">
        <v>6812</v>
      </c>
      <c r="G268" s="17" t="s">
        <v>7747</v>
      </c>
      <c r="H268" s="7" t="s">
        <v>28</v>
      </c>
      <c r="I268" s="7" t="s">
        <v>234</v>
      </c>
      <c r="J268" s="7" t="s">
        <v>258</v>
      </c>
      <c r="K268" s="7" t="s">
        <v>5864</v>
      </c>
      <c r="L268" s="7" t="s">
        <v>175</v>
      </c>
      <c r="M268" s="7">
        <v>9.0297389999999993</v>
      </c>
      <c r="N268" s="7">
        <v>12.895968999999999</v>
      </c>
      <c r="O268" s="7" t="s">
        <v>23</v>
      </c>
      <c r="P268" s="3"/>
      <c r="Q268" s="3"/>
      <c r="R268" s="3"/>
    </row>
    <row r="269" spans="1:18" x14ac:dyDescent="0.25">
      <c r="A269" s="2">
        <v>1237</v>
      </c>
      <c r="B269" s="7" t="s">
        <v>6813</v>
      </c>
      <c r="C269" s="7" t="s">
        <v>6814</v>
      </c>
      <c r="D269" s="7" t="s">
        <v>6813</v>
      </c>
      <c r="E269" s="7" t="s">
        <v>170</v>
      </c>
      <c r="F269" s="7" t="s">
        <v>6815</v>
      </c>
      <c r="G269" s="17" t="s">
        <v>7747</v>
      </c>
      <c r="H269" s="7" t="s">
        <v>28</v>
      </c>
      <c r="I269" s="7" t="s">
        <v>172</v>
      </c>
      <c r="J269" s="7" t="s">
        <v>258</v>
      </c>
      <c r="K269" s="7" t="s">
        <v>1697</v>
      </c>
      <c r="L269" s="7" t="s">
        <v>175</v>
      </c>
      <c r="M269" s="7">
        <v>9.5479190000000003</v>
      </c>
      <c r="N269" s="7">
        <v>13.22645</v>
      </c>
      <c r="O269" s="7" t="s">
        <v>23</v>
      </c>
      <c r="P269" s="3"/>
      <c r="Q269" s="3"/>
      <c r="R269" s="3"/>
    </row>
    <row r="270" spans="1:18" x14ac:dyDescent="0.25">
      <c r="A270" s="2">
        <v>1238</v>
      </c>
      <c r="B270" s="7" t="s">
        <v>7117</v>
      </c>
      <c r="C270" s="7" t="s">
        <v>7118</v>
      </c>
      <c r="D270" s="7" t="s">
        <v>7117</v>
      </c>
      <c r="E270" s="7" t="s">
        <v>170</v>
      </c>
      <c r="F270" s="7" t="s">
        <v>7119</v>
      </c>
      <c r="G270" s="17" t="s">
        <v>7747</v>
      </c>
      <c r="H270" s="7" t="s">
        <v>28</v>
      </c>
      <c r="I270" s="7" t="s">
        <v>234</v>
      </c>
      <c r="J270" s="7" t="s">
        <v>258</v>
      </c>
      <c r="K270" s="7" t="s">
        <v>2380</v>
      </c>
      <c r="L270" s="7" t="s">
        <v>175</v>
      </c>
      <c r="M270" s="7">
        <v>9.2866429999999998</v>
      </c>
      <c r="N270" s="7">
        <v>13.373068999999999</v>
      </c>
      <c r="O270" s="7" t="s">
        <v>23</v>
      </c>
      <c r="P270" s="3"/>
      <c r="Q270" s="3"/>
      <c r="R270" s="3"/>
    </row>
    <row r="271" spans="1:18" ht="30" x14ac:dyDescent="0.25">
      <c r="A271" s="2">
        <v>1239</v>
      </c>
      <c r="B271" s="7" t="s">
        <v>7679</v>
      </c>
      <c r="C271" s="7" t="s">
        <v>7680</v>
      </c>
      <c r="D271" s="7" t="s">
        <v>7679</v>
      </c>
      <c r="E271" s="7" t="s">
        <v>7681</v>
      </c>
      <c r="F271" s="11" t="s">
        <v>7682</v>
      </c>
      <c r="G271" s="17" t="s">
        <v>7747</v>
      </c>
      <c r="H271" s="7" t="s">
        <v>28</v>
      </c>
      <c r="I271" s="12" t="s">
        <v>172</v>
      </c>
      <c r="J271" s="7" t="s">
        <v>7683</v>
      </c>
      <c r="K271" s="7" t="s">
        <v>7684</v>
      </c>
      <c r="L271" s="7" t="s">
        <v>175</v>
      </c>
      <c r="M271" s="12">
        <v>10.05538</v>
      </c>
      <c r="N271" s="12">
        <v>13.30456</v>
      </c>
      <c r="O271" s="7" t="s">
        <v>23</v>
      </c>
      <c r="P271" s="3"/>
      <c r="Q271" s="3"/>
      <c r="R271" s="3"/>
    </row>
    <row r="272" spans="1:18" ht="45" x14ac:dyDescent="0.25">
      <c r="A272" s="2">
        <v>1240</v>
      </c>
      <c r="B272" s="7" t="s">
        <v>7697</v>
      </c>
      <c r="C272" s="7" t="s">
        <v>7698</v>
      </c>
      <c r="D272" s="7" t="s">
        <v>7697</v>
      </c>
      <c r="E272" s="7" t="s">
        <v>7681</v>
      </c>
      <c r="F272" s="11" t="s">
        <v>7699</v>
      </c>
      <c r="G272" s="17" t="s">
        <v>7747</v>
      </c>
      <c r="H272" s="7" t="s">
        <v>28</v>
      </c>
      <c r="I272" s="7" t="s">
        <v>172</v>
      </c>
      <c r="J272" s="7" t="s">
        <v>258</v>
      </c>
      <c r="K272" s="7" t="s">
        <v>7700</v>
      </c>
      <c r="L272" s="7" t="s">
        <v>175</v>
      </c>
      <c r="M272" s="12">
        <v>9.3144799999999996</v>
      </c>
      <c r="N272" s="12">
        <v>13.383446660000001</v>
      </c>
      <c r="O272" s="7" t="s">
        <v>23</v>
      </c>
      <c r="P272" s="3"/>
      <c r="Q272" s="3"/>
      <c r="R272" s="3"/>
    </row>
    <row r="273" spans="1:18" x14ac:dyDescent="0.25">
      <c r="A273" s="2">
        <v>1241</v>
      </c>
      <c r="B273" s="7" t="s">
        <v>14</v>
      </c>
      <c r="C273" s="7" t="s">
        <v>15</v>
      </c>
      <c r="D273" s="7" t="s">
        <v>14</v>
      </c>
      <c r="E273" s="7" t="s">
        <v>16</v>
      </c>
      <c r="F273" s="7" t="s">
        <v>17</v>
      </c>
      <c r="G273" s="8" t="s">
        <v>18</v>
      </c>
      <c r="H273" s="7" t="s">
        <v>19</v>
      </c>
      <c r="I273" s="7" t="s">
        <v>20</v>
      </c>
      <c r="J273" s="7" t="s">
        <v>21</v>
      </c>
      <c r="K273" s="7" t="s">
        <v>22</v>
      </c>
      <c r="L273" s="7" t="s">
        <v>20</v>
      </c>
      <c r="M273" s="7">
        <v>11.678844</v>
      </c>
      <c r="N273" s="7">
        <v>14.647365000000001</v>
      </c>
      <c r="O273" s="7" t="s">
        <v>23</v>
      </c>
      <c r="P273" s="3"/>
      <c r="Q273" s="3"/>
      <c r="R273" s="3"/>
    </row>
    <row r="274" spans="1:18" x14ac:dyDescent="0.25">
      <c r="A274" s="2">
        <v>1242</v>
      </c>
      <c r="B274" s="7" t="s">
        <v>93</v>
      </c>
      <c r="C274" s="7" t="s">
        <v>94</v>
      </c>
      <c r="D274" s="7" t="s">
        <v>93</v>
      </c>
      <c r="E274" s="7" t="s">
        <v>16</v>
      </c>
      <c r="F274" s="7" t="s">
        <v>95</v>
      </c>
      <c r="G274" s="8" t="s">
        <v>896</v>
      </c>
      <c r="H274" s="7" t="s">
        <v>96</v>
      </c>
      <c r="I274" s="7" t="s">
        <v>20</v>
      </c>
      <c r="J274" s="7" t="s">
        <v>21</v>
      </c>
      <c r="K274" s="7" t="s">
        <v>97</v>
      </c>
      <c r="L274" s="7" t="s">
        <v>20</v>
      </c>
      <c r="M274" s="7">
        <v>12.782965000000001</v>
      </c>
      <c r="N274" s="7">
        <v>14.275828000000001</v>
      </c>
      <c r="O274" s="7" t="s">
        <v>23</v>
      </c>
      <c r="P274" s="3"/>
      <c r="Q274" s="3"/>
      <c r="R274" s="3"/>
    </row>
    <row r="275" spans="1:18" x14ac:dyDescent="0.25">
      <c r="A275" s="2">
        <v>1243</v>
      </c>
      <c r="B275" s="7" t="s">
        <v>122</v>
      </c>
      <c r="C275" s="7" t="s">
        <v>123</v>
      </c>
      <c r="D275" s="7" t="s">
        <v>122</v>
      </c>
      <c r="E275" s="7" t="s">
        <v>16</v>
      </c>
      <c r="F275" s="7" t="s">
        <v>124</v>
      </c>
      <c r="G275" s="8" t="s">
        <v>18</v>
      </c>
      <c r="H275" s="7" t="s">
        <v>28</v>
      </c>
      <c r="I275" s="7" t="s">
        <v>20</v>
      </c>
      <c r="J275" s="7" t="s">
        <v>21</v>
      </c>
      <c r="K275" s="7" t="s">
        <v>125</v>
      </c>
      <c r="L275" s="7" t="s">
        <v>20</v>
      </c>
      <c r="M275" s="7">
        <v>12.523403999999999</v>
      </c>
      <c r="N275" s="7">
        <v>14.76322</v>
      </c>
      <c r="O275" s="7" t="s">
        <v>23</v>
      </c>
      <c r="P275" s="3"/>
      <c r="Q275" s="3"/>
      <c r="R275" s="3"/>
    </row>
    <row r="276" spans="1:18" x14ac:dyDescent="0.25">
      <c r="A276" s="2">
        <v>1244</v>
      </c>
      <c r="B276" s="7" t="s">
        <v>601</v>
      </c>
      <c r="C276" s="7" t="s">
        <v>602</v>
      </c>
      <c r="D276" s="7" t="s">
        <v>601</v>
      </c>
      <c r="E276" s="7" t="s">
        <v>16</v>
      </c>
      <c r="F276" s="7" t="s">
        <v>603</v>
      </c>
      <c r="G276" s="8" t="s">
        <v>18</v>
      </c>
      <c r="H276" s="7" t="s">
        <v>19</v>
      </c>
      <c r="I276" s="7" t="s">
        <v>20</v>
      </c>
      <c r="J276" s="7" t="s">
        <v>21</v>
      </c>
      <c r="K276" s="7" t="s">
        <v>604</v>
      </c>
      <c r="L276" s="7" t="s">
        <v>20</v>
      </c>
      <c r="M276" s="7">
        <v>12.179713</v>
      </c>
      <c r="N276" s="7">
        <v>14.819786000000001</v>
      </c>
      <c r="O276" s="7" t="s">
        <v>23</v>
      </c>
      <c r="P276" s="3"/>
      <c r="Q276" s="3"/>
      <c r="R276" s="3"/>
    </row>
    <row r="277" spans="1:18" x14ac:dyDescent="0.25">
      <c r="A277" s="2">
        <v>1245</v>
      </c>
      <c r="B277" s="7" t="s">
        <v>621</v>
      </c>
      <c r="C277" s="7" t="s">
        <v>622</v>
      </c>
      <c r="D277" s="7" t="s">
        <v>621</v>
      </c>
      <c r="E277" s="7" t="s">
        <v>16</v>
      </c>
      <c r="F277" s="7" t="s">
        <v>623</v>
      </c>
      <c r="G277" s="8" t="s">
        <v>18</v>
      </c>
      <c r="H277" s="7" t="s">
        <v>28</v>
      </c>
      <c r="I277" s="7" t="s">
        <v>20</v>
      </c>
      <c r="J277" s="7" t="s">
        <v>21</v>
      </c>
      <c r="K277" s="7" t="s">
        <v>604</v>
      </c>
      <c r="L277" s="7" t="s">
        <v>20</v>
      </c>
      <c r="M277" s="7">
        <v>12.63542</v>
      </c>
      <c r="N277" s="7">
        <v>14.472476</v>
      </c>
      <c r="O277" s="7" t="s">
        <v>23</v>
      </c>
      <c r="P277" s="3"/>
      <c r="Q277" s="3"/>
      <c r="R277" s="3"/>
    </row>
    <row r="278" spans="1:18" x14ac:dyDescent="0.25">
      <c r="A278" s="2">
        <v>1246</v>
      </c>
      <c r="B278" s="7" t="s">
        <v>675</v>
      </c>
      <c r="C278" s="7" t="s">
        <v>676</v>
      </c>
      <c r="D278" s="7" t="s">
        <v>675</v>
      </c>
      <c r="E278" s="7" t="s">
        <v>16</v>
      </c>
      <c r="F278" s="7" t="s">
        <v>677</v>
      </c>
      <c r="G278" s="17" t="s">
        <v>7747</v>
      </c>
      <c r="H278" s="7" t="s">
        <v>28</v>
      </c>
      <c r="I278" s="7" t="s">
        <v>20</v>
      </c>
      <c r="J278" s="7" t="s">
        <v>21</v>
      </c>
      <c r="K278" s="7" t="s">
        <v>678</v>
      </c>
      <c r="L278" s="7" t="s">
        <v>20</v>
      </c>
      <c r="M278" s="7">
        <v>12.077529</v>
      </c>
      <c r="N278" s="7">
        <v>15.021146</v>
      </c>
      <c r="O278" s="7" t="s">
        <v>23</v>
      </c>
      <c r="P278" s="3"/>
      <c r="Q278" s="3"/>
      <c r="R278" s="3"/>
    </row>
    <row r="279" spans="1:18" x14ac:dyDescent="0.25">
      <c r="A279" s="2">
        <v>1247</v>
      </c>
      <c r="B279" s="7" t="s">
        <v>727</v>
      </c>
      <c r="C279" s="7" t="s">
        <v>728</v>
      </c>
      <c r="D279" s="7" t="s">
        <v>727</v>
      </c>
      <c r="E279" s="7" t="s">
        <v>16</v>
      </c>
      <c r="F279" s="7" t="s">
        <v>97</v>
      </c>
      <c r="G279" s="8" t="s">
        <v>18</v>
      </c>
      <c r="H279" s="7" t="s">
        <v>28</v>
      </c>
      <c r="I279" s="7" t="s">
        <v>20</v>
      </c>
      <c r="J279" s="7" t="s">
        <v>21</v>
      </c>
      <c r="K279" s="7" t="s">
        <v>97</v>
      </c>
      <c r="L279" s="7" t="s">
        <v>20</v>
      </c>
      <c r="M279" s="7">
        <v>12.692538000000001</v>
      </c>
      <c r="N279" s="7">
        <v>14.313914</v>
      </c>
      <c r="O279" s="7" t="s">
        <v>23</v>
      </c>
      <c r="P279" s="3"/>
      <c r="Q279" s="3"/>
      <c r="R279" s="3"/>
    </row>
    <row r="280" spans="1:18" x14ac:dyDescent="0.25">
      <c r="A280" s="2">
        <v>1248</v>
      </c>
      <c r="B280" s="7" t="s">
        <v>785</v>
      </c>
      <c r="C280" s="7" t="s">
        <v>786</v>
      </c>
      <c r="D280" s="7" t="s">
        <v>785</v>
      </c>
      <c r="E280" s="7" t="s">
        <v>16</v>
      </c>
      <c r="F280" s="7" t="s">
        <v>787</v>
      </c>
      <c r="G280" s="8" t="s">
        <v>18</v>
      </c>
      <c r="H280" s="7" t="s">
        <v>28</v>
      </c>
      <c r="I280" s="7" t="s">
        <v>20</v>
      </c>
      <c r="J280" s="7" t="s">
        <v>21</v>
      </c>
      <c r="K280" s="7" t="s">
        <v>788</v>
      </c>
      <c r="L280" s="7" t="s">
        <v>20</v>
      </c>
      <c r="M280" s="7">
        <v>12.376275</v>
      </c>
      <c r="N280" s="7">
        <v>14.224633000000001</v>
      </c>
      <c r="O280" s="7" t="s">
        <v>23</v>
      </c>
      <c r="P280" s="3"/>
      <c r="Q280" s="3"/>
      <c r="R280" s="3"/>
    </row>
    <row r="281" spans="1:18" x14ac:dyDescent="0.25">
      <c r="A281" s="2">
        <v>1249</v>
      </c>
      <c r="B281" s="7" t="s">
        <v>906</v>
      </c>
      <c r="C281" s="7" t="s">
        <v>907</v>
      </c>
      <c r="D281" s="7" t="s">
        <v>906</v>
      </c>
      <c r="E281" s="7" t="s">
        <v>16</v>
      </c>
      <c r="F281" s="7" t="s">
        <v>908</v>
      </c>
      <c r="G281" s="8" t="s">
        <v>18</v>
      </c>
      <c r="H281" s="7" t="s">
        <v>28</v>
      </c>
      <c r="I281" s="7" t="s">
        <v>20</v>
      </c>
      <c r="J281" s="7" t="s">
        <v>21</v>
      </c>
      <c r="K281" s="7" t="s">
        <v>909</v>
      </c>
      <c r="L281" s="7" t="s">
        <v>20</v>
      </c>
      <c r="M281" s="7">
        <v>12.879638890000001</v>
      </c>
      <c r="N281" s="7">
        <v>14.29552778</v>
      </c>
      <c r="O281" s="7" t="s">
        <v>23</v>
      </c>
      <c r="P281" s="3"/>
      <c r="Q281" s="3"/>
      <c r="R281" s="3"/>
    </row>
    <row r="282" spans="1:18" x14ac:dyDescent="0.25">
      <c r="A282" s="2">
        <v>1250</v>
      </c>
      <c r="B282" s="7" t="s">
        <v>913</v>
      </c>
      <c r="C282" s="7" t="s">
        <v>914</v>
      </c>
      <c r="D282" s="7" t="s">
        <v>913</v>
      </c>
      <c r="E282" s="7" t="s">
        <v>16</v>
      </c>
      <c r="F282" s="7" t="s">
        <v>915</v>
      </c>
      <c r="G282" s="8" t="s">
        <v>18</v>
      </c>
      <c r="H282" s="7" t="s">
        <v>19</v>
      </c>
      <c r="I282" s="7" t="s">
        <v>20</v>
      </c>
      <c r="J282" s="7" t="s">
        <v>21</v>
      </c>
      <c r="K282" s="7" t="s">
        <v>916</v>
      </c>
      <c r="L282" s="7" t="s">
        <v>20</v>
      </c>
      <c r="M282" s="7">
        <v>11.919233</v>
      </c>
      <c r="N282" s="7">
        <v>14.645765000000001</v>
      </c>
      <c r="O282" s="7" t="s">
        <v>23</v>
      </c>
      <c r="P282" s="3"/>
      <c r="Q282" s="3"/>
      <c r="R282" s="3"/>
    </row>
    <row r="283" spans="1:18" x14ac:dyDescent="0.25">
      <c r="A283" s="2">
        <v>1251</v>
      </c>
      <c r="B283" s="7" t="s">
        <v>1036</v>
      </c>
      <c r="C283" s="7" t="s">
        <v>1037</v>
      </c>
      <c r="D283" s="7" t="s">
        <v>1036</v>
      </c>
      <c r="E283" s="7" t="s">
        <v>16</v>
      </c>
      <c r="F283" s="7" t="s">
        <v>1038</v>
      </c>
      <c r="G283" s="8" t="s">
        <v>896</v>
      </c>
      <c r="H283" s="7" t="s">
        <v>96</v>
      </c>
      <c r="I283" s="7" t="s">
        <v>20</v>
      </c>
      <c r="J283" s="7" t="s">
        <v>21</v>
      </c>
      <c r="K283" s="7" t="s">
        <v>97</v>
      </c>
      <c r="L283" s="7" t="s">
        <v>20</v>
      </c>
      <c r="M283" s="7">
        <v>12.703429</v>
      </c>
      <c r="N283" s="7">
        <v>14.218502000000001</v>
      </c>
      <c r="O283" s="7" t="s">
        <v>23</v>
      </c>
      <c r="P283" s="3"/>
      <c r="Q283" s="3"/>
      <c r="R283" s="3"/>
    </row>
    <row r="284" spans="1:18" x14ac:dyDescent="0.25">
      <c r="A284" s="2">
        <v>1252</v>
      </c>
      <c r="B284" s="7" t="s">
        <v>1303</v>
      </c>
      <c r="C284" s="7" t="s">
        <v>1304</v>
      </c>
      <c r="D284" s="7" t="s">
        <v>1303</v>
      </c>
      <c r="E284" s="7" t="s">
        <v>16</v>
      </c>
      <c r="F284" s="7" t="s">
        <v>1305</v>
      </c>
      <c r="G284" s="17" t="s">
        <v>7747</v>
      </c>
      <c r="H284" s="7" t="s">
        <v>28</v>
      </c>
      <c r="I284" s="7" t="s">
        <v>20</v>
      </c>
      <c r="J284" s="7" t="s">
        <v>21</v>
      </c>
      <c r="K284" s="7" t="s">
        <v>678</v>
      </c>
      <c r="L284" s="7" t="s">
        <v>20</v>
      </c>
      <c r="M284" s="7">
        <v>12.089765</v>
      </c>
      <c r="N284" s="7">
        <v>15.012898</v>
      </c>
      <c r="O284" s="7" t="s">
        <v>23</v>
      </c>
      <c r="P284" s="3"/>
      <c r="Q284" s="3"/>
      <c r="R284" s="3"/>
    </row>
    <row r="285" spans="1:18" x14ac:dyDescent="0.25">
      <c r="A285" s="2">
        <v>1253</v>
      </c>
      <c r="B285" s="7" t="s">
        <v>1348</v>
      </c>
      <c r="C285" s="7" t="s">
        <v>1349</v>
      </c>
      <c r="D285" s="7" t="s">
        <v>1348</v>
      </c>
      <c r="E285" s="7" t="s">
        <v>16</v>
      </c>
      <c r="F285" s="7" t="s">
        <v>1350</v>
      </c>
      <c r="G285" s="17" t="s">
        <v>7747</v>
      </c>
      <c r="H285" s="7" t="s">
        <v>28</v>
      </c>
      <c r="I285" s="7" t="s">
        <v>20</v>
      </c>
      <c r="J285" s="7" t="s">
        <v>21</v>
      </c>
      <c r="K285" s="7" t="s">
        <v>678</v>
      </c>
      <c r="L285" s="7" t="s">
        <v>20</v>
      </c>
      <c r="M285" s="7">
        <v>12.067747000000001</v>
      </c>
      <c r="N285" s="7">
        <v>15.017986000000001</v>
      </c>
      <c r="O285" s="7" t="s">
        <v>23</v>
      </c>
      <c r="P285" s="3"/>
      <c r="Q285" s="3"/>
      <c r="R285" s="3"/>
    </row>
    <row r="286" spans="1:18" x14ac:dyDescent="0.25">
      <c r="A286" s="2">
        <v>1254</v>
      </c>
      <c r="B286" s="7" t="s">
        <v>1911</v>
      </c>
      <c r="C286" s="7" t="s">
        <v>1912</v>
      </c>
      <c r="D286" s="7" t="s">
        <v>1911</v>
      </c>
      <c r="E286" s="7" t="s">
        <v>16</v>
      </c>
      <c r="F286" s="7" t="s">
        <v>1913</v>
      </c>
      <c r="G286" s="17" t="s">
        <v>7747</v>
      </c>
      <c r="H286" s="7" t="s">
        <v>28</v>
      </c>
      <c r="I286" s="7" t="s">
        <v>20</v>
      </c>
      <c r="J286" s="7" t="s">
        <v>21</v>
      </c>
      <c r="K286" s="7" t="s">
        <v>678</v>
      </c>
      <c r="L286" s="7" t="s">
        <v>20</v>
      </c>
      <c r="M286" s="7">
        <v>12.071101000000001</v>
      </c>
      <c r="N286" s="7">
        <v>15.036460999999999</v>
      </c>
      <c r="O286" s="7" t="s">
        <v>23</v>
      </c>
      <c r="P286" s="3"/>
      <c r="Q286" s="3"/>
      <c r="R286" s="3"/>
    </row>
    <row r="287" spans="1:18" x14ac:dyDescent="0.25">
      <c r="A287" s="2">
        <v>1255</v>
      </c>
      <c r="B287" s="7" t="s">
        <v>1914</v>
      </c>
      <c r="C287" s="7" t="s">
        <v>1915</v>
      </c>
      <c r="D287" s="7" t="s">
        <v>1914</v>
      </c>
      <c r="E287" s="7" t="s">
        <v>16</v>
      </c>
      <c r="F287" s="7" t="s">
        <v>1916</v>
      </c>
      <c r="G287" s="17" t="s">
        <v>7747</v>
      </c>
      <c r="H287" s="7" t="s">
        <v>28</v>
      </c>
      <c r="I287" s="7" t="s">
        <v>20</v>
      </c>
      <c r="J287" s="7" t="s">
        <v>21</v>
      </c>
      <c r="K287" s="7" t="s">
        <v>678</v>
      </c>
      <c r="L287" s="7" t="s">
        <v>20</v>
      </c>
      <c r="M287" s="7">
        <v>12.085943</v>
      </c>
      <c r="N287" s="7">
        <v>14.997490000000001</v>
      </c>
      <c r="O287" s="7" t="s">
        <v>23</v>
      </c>
      <c r="P287" s="3"/>
      <c r="Q287" s="3"/>
      <c r="R287" s="3"/>
    </row>
    <row r="288" spans="1:18" x14ac:dyDescent="0.25">
      <c r="A288" s="2">
        <v>1256</v>
      </c>
      <c r="B288" s="7" t="s">
        <v>2014</v>
      </c>
      <c r="C288" s="7" t="s">
        <v>2015</v>
      </c>
      <c r="D288" s="7" t="s">
        <v>2014</v>
      </c>
      <c r="E288" s="7" t="s">
        <v>16</v>
      </c>
      <c r="F288" s="7" t="s">
        <v>2016</v>
      </c>
      <c r="G288" s="8" t="s">
        <v>18</v>
      </c>
      <c r="H288" s="7" t="s">
        <v>19</v>
      </c>
      <c r="I288" s="7" t="s">
        <v>20</v>
      </c>
      <c r="J288" s="7" t="s">
        <v>21</v>
      </c>
      <c r="K288" s="7" t="s">
        <v>22</v>
      </c>
      <c r="L288" s="7" t="s">
        <v>20</v>
      </c>
      <c r="M288" s="7">
        <v>11.400370000000001</v>
      </c>
      <c r="N288" s="7">
        <v>14.56962</v>
      </c>
      <c r="O288" s="7" t="s">
        <v>23</v>
      </c>
      <c r="P288" s="3"/>
      <c r="Q288" s="3"/>
      <c r="R288" s="3"/>
    </row>
    <row r="289" spans="1:18" x14ac:dyDescent="0.25">
      <c r="A289" s="2">
        <v>1257</v>
      </c>
      <c r="B289" s="7" t="s">
        <v>2208</v>
      </c>
      <c r="C289" s="7" t="s">
        <v>2209</v>
      </c>
      <c r="D289" s="7" t="s">
        <v>2208</v>
      </c>
      <c r="E289" s="7" t="s">
        <v>16</v>
      </c>
      <c r="F289" s="7" t="s">
        <v>2016</v>
      </c>
      <c r="G289" s="8" t="s">
        <v>18</v>
      </c>
      <c r="H289" s="7" t="s">
        <v>19</v>
      </c>
      <c r="I289" s="7" t="s">
        <v>20</v>
      </c>
      <c r="J289" s="7" t="s">
        <v>21</v>
      </c>
      <c r="K289" s="7" t="s">
        <v>22</v>
      </c>
      <c r="L289" s="7" t="s">
        <v>20</v>
      </c>
      <c r="M289" s="7">
        <v>11.395167000000001</v>
      </c>
      <c r="N289" s="7">
        <v>14.564722</v>
      </c>
      <c r="O289" s="7" t="s">
        <v>23</v>
      </c>
      <c r="P289" s="3"/>
      <c r="Q289" s="3"/>
      <c r="R289" s="3"/>
    </row>
    <row r="290" spans="1:18" x14ac:dyDescent="0.25">
      <c r="A290" s="2">
        <v>1258</v>
      </c>
      <c r="B290" s="7" t="s">
        <v>3028</v>
      </c>
      <c r="C290" s="7" t="s">
        <v>3029</v>
      </c>
      <c r="D290" s="7" t="s">
        <v>3028</v>
      </c>
      <c r="E290" s="7" t="s">
        <v>16</v>
      </c>
      <c r="F290" s="7" t="s">
        <v>3030</v>
      </c>
      <c r="G290" s="17" t="s">
        <v>7747</v>
      </c>
      <c r="H290" s="7" t="s">
        <v>28</v>
      </c>
      <c r="I290" s="7" t="s">
        <v>20</v>
      </c>
      <c r="J290" s="7" t="s">
        <v>21</v>
      </c>
      <c r="K290" s="7" t="s">
        <v>678</v>
      </c>
      <c r="L290" s="7" t="s">
        <v>20</v>
      </c>
      <c r="M290" s="7">
        <v>12.067679999999999</v>
      </c>
      <c r="N290" s="7">
        <v>15.047002000000001</v>
      </c>
      <c r="O290" s="7" t="s">
        <v>23</v>
      </c>
      <c r="P290" s="3"/>
      <c r="Q290" s="3"/>
      <c r="R290" s="3"/>
    </row>
    <row r="291" spans="1:18" x14ac:dyDescent="0.25">
      <c r="A291" s="2">
        <v>1259</v>
      </c>
      <c r="B291" s="7" t="s">
        <v>3365</v>
      </c>
      <c r="C291" s="7" t="s">
        <v>3366</v>
      </c>
      <c r="D291" s="7" t="s">
        <v>3365</v>
      </c>
      <c r="E291" s="7" t="s">
        <v>16</v>
      </c>
      <c r="F291" s="7" t="s">
        <v>3367</v>
      </c>
      <c r="G291" s="17" t="s">
        <v>7747</v>
      </c>
      <c r="H291" s="7" t="s">
        <v>28</v>
      </c>
      <c r="I291" s="7" t="s">
        <v>20</v>
      </c>
      <c r="J291" s="7" t="s">
        <v>21</v>
      </c>
      <c r="K291" s="7" t="s">
        <v>678</v>
      </c>
      <c r="L291" s="7" t="s">
        <v>20</v>
      </c>
      <c r="M291" s="7">
        <v>12.086238</v>
      </c>
      <c r="N291" s="7">
        <v>15.024616999999999</v>
      </c>
      <c r="O291" s="7" t="s">
        <v>23</v>
      </c>
      <c r="P291" s="3"/>
      <c r="Q291" s="3"/>
      <c r="R291" s="3"/>
    </row>
    <row r="292" spans="1:18" x14ac:dyDescent="0.25">
      <c r="A292" s="2">
        <v>1260</v>
      </c>
      <c r="B292" s="7" t="s">
        <v>3676</v>
      </c>
      <c r="C292" s="7" t="s">
        <v>3677</v>
      </c>
      <c r="D292" s="7" t="s">
        <v>3676</v>
      </c>
      <c r="E292" s="7" t="s">
        <v>16</v>
      </c>
      <c r="F292" s="7" t="s">
        <v>3678</v>
      </c>
      <c r="G292" s="17" t="s">
        <v>7747</v>
      </c>
      <c r="H292" s="7" t="s">
        <v>28</v>
      </c>
      <c r="I292" s="7" t="s">
        <v>20</v>
      </c>
      <c r="J292" s="7" t="s">
        <v>21</v>
      </c>
      <c r="K292" s="7" t="s">
        <v>678</v>
      </c>
      <c r="L292" s="7" t="s">
        <v>20</v>
      </c>
      <c r="M292" s="7">
        <v>12.07192</v>
      </c>
      <c r="N292" s="7">
        <v>15.016142</v>
      </c>
      <c r="O292" s="7" t="s">
        <v>23</v>
      </c>
      <c r="P292" s="3"/>
      <c r="Q292" s="3"/>
      <c r="R292" s="3"/>
    </row>
    <row r="293" spans="1:18" x14ac:dyDescent="0.25">
      <c r="A293" s="2">
        <v>1261</v>
      </c>
      <c r="B293" s="7" t="s">
        <v>4602</v>
      </c>
      <c r="C293" s="7" t="s">
        <v>4603</v>
      </c>
      <c r="D293" s="7" t="s">
        <v>4602</v>
      </c>
      <c r="E293" s="7" t="s">
        <v>16</v>
      </c>
      <c r="F293" s="7" t="s">
        <v>20</v>
      </c>
      <c r="G293" s="17" t="s">
        <v>7747</v>
      </c>
      <c r="H293" s="7" t="s">
        <v>19</v>
      </c>
      <c r="I293" s="7" t="s">
        <v>20</v>
      </c>
      <c r="J293" s="7" t="s">
        <v>21</v>
      </c>
      <c r="K293" s="7" t="s">
        <v>678</v>
      </c>
      <c r="L293" s="7" t="s">
        <v>20</v>
      </c>
      <c r="M293" s="7">
        <v>12.086157999999999</v>
      </c>
      <c r="N293" s="7">
        <v>15.025897000000001</v>
      </c>
      <c r="O293" s="7" t="s">
        <v>23</v>
      </c>
      <c r="P293" s="3"/>
      <c r="Q293" s="3"/>
      <c r="R293" s="3"/>
    </row>
    <row r="294" spans="1:18" x14ac:dyDescent="0.25">
      <c r="A294" s="2">
        <v>1262</v>
      </c>
      <c r="B294" s="7" t="s">
        <v>4604</v>
      </c>
      <c r="C294" s="7" t="s">
        <v>4605</v>
      </c>
      <c r="D294" s="7" t="s">
        <v>4604</v>
      </c>
      <c r="E294" s="7" t="s">
        <v>16</v>
      </c>
      <c r="F294" s="7" t="s">
        <v>4606</v>
      </c>
      <c r="G294" s="17" t="s">
        <v>7747</v>
      </c>
      <c r="H294" s="7" t="s">
        <v>19</v>
      </c>
      <c r="I294" s="7" t="s">
        <v>20</v>
      </c>
      <c r="J294" s="7" t="s">
        <v>21</v>
      </c>
      <c r="K294" s="7" t="s">
        <v>678</v>
      </c>
      <c r="L294" s="7" t="s">
        <v>20</v>
      </c>
      <c r="M294" s="7">
        <v>12.103569999999999</v>
      </c>
      <c r="N294" s="7">
        <v>15.028133</v>
      </c>
      <c r="O294" s="7" t="s">
        <v>23</v>
      </c>
      <c r="P294" s="3"/>
      <c r="Q294" s="3"/>
      <c r="R294" s="3"/>
    </row>
    <row r="295" spans="1:18" x14ac:dyDescent="0.25">
      <c r="A295" s="2">
        <v>1263</v>
      </c>
      <c r="B295" s="7" t="s">
        <v>6167</v>
      </c>
      <c r="C295" s="7" t="s">
        <v>6168</v>
      </c>
      <c r="D295" s="7" t="s">
        <v>6167</v>
      </c>
      <c r="E295" s="7" t="s">
        <v>16</v>
      </c>
      <c r="F295" s="7" t="s">
        <v>17</v>
      </c>
      <c r="G295" s="8" t="s">
        <v>18</v>
      </c>
      <c r="H295" s="7" t="s">
        <v>19</v>
      </c>
      <c r="I295" s="7" t="s">
        <v>20</v>
      </c>
      <c r="J295" s="7" t="s">
        <v>21</v>
      </c>
      <c r="K295" s="7" t="s">
        <v>22</v>
      </c>
      <c r="L295" s="7" t="s">
        <v>20</v>
      </c>
      <c r="M295" s="7">
        <v>11.680718000000001</v>
      </c>
      <c r="N295" s="7">
        <v>14.645967000000001</v>
      </c>
      <c r="O295" s="7" t="s">
        <v>23</v>
      </c>
      <c r="P295" s="3"/>
      <c r="Q295" s="3"/>
      <c r="R295" s="3"/>
    </row>
    <row r="296" spans="1:18" x14ac:dyDescent="0.25">
      <c r="A296" s="2">
        <v>1264</v>
      </c>
      <c r="B296" s="7" t="s">
        <v>6347</v>
      </c>
      <c r="C296" s="7" t="s">
        <v>6348</v>
      </c>
      <c r="D296" s="7" t="s">
        <v>6347</v>
      </c>
      <c r="E296" s="7" t="s">
        <v>16</v>
      </c>
      <c r="F296" s="7" t="s">
        <v>603</v>
      </c>
      <c r="G296" s="8" t="s">
        <v>18</v>
      </c>
      <c r="H296" s="7" t="s">
        <v>19</v>
      </c>
      <c r="I296" s="7" t="s">
        <v>20</v>
      </c>
      <c r="J296" s="7" t="s">
        <v>21</v>
      </c>
      <c r="K296" s="7" t="s">
        <v>604</v>
      </c>
      <c r="L296" s="7" t="s">
        <v>20</v>
      </c>
      <c r="M296" s="7">
        <v>12.175777</v>
      </c>
      <c r="N296" s="7">
        <v>14.821313999999999</v>
      </c>
      <c r="O296" s="7" t="s">
        <v>23</v>
      </c>
      <c r="P296" s="3"/>
      <c r="Q296" s="3"/>
      <c r="R296" s="3"/>
    </row>
    <row r="297" spans="1:18" x14ac:dyDescent="0.25">
      <c r="A297" s="2">
        <v>1265</v>
      </c>
      <c r="B297" s="7" t="s">
        <v>6349</v>
      </c>
      <c r="C297" s="7" t="s">
        <v>6350</v>
      </c>
      <c r="D297" s="7" t="s">
        <v>6349</v>
      </c>
      <c r="E297" s="7" t="s">
        <v>16</v>
      </c>
      <c r="F297" s="7" t="s">
        <v>6351</v>
      </c>
      <c r="G297" s="8" t="s">
        <v>18</v>
      </c>
      <c r="H297" s="7" t="s">
        <v>19</v>
      </c>
      <c r="I297" s="7" t="s">
        <v>20</v>
      </c>
      <c r="J297" s="7" t="s">
        <v>21</v>
      </c>
      <c r="K297" s="7" t="s">
        <v>604</v>
      </c>
      <c r="L297" s="7" t="s">
        <v>20</v>
      </c>
      <c r="M297" s="7">
        <v>12.569039999999999</v>
      </c>
      <c r="N297" s="7">
        <v>14.455928</v>
      </c>
      <c r="O297" s="7" t="s">
        <v>23</v>
      </c>
      <c r="P297" s="3"/>
      <c r="Q297" s="3"/>
      <c r="R297" s="3"/>
    </row>
    <row r="298" spans="1:18" x14ac:dyDescent="0.25">
      <c r="A298" s="2">
        <v>1266</v>
      </c>
      <c r="B298" s="7" t="s">
        <v>6352</v>
      </c>
      <c r="C298" s="7" t="s">
        <v>6353</v>
      </c>
      <c r="D298" s="7" t="s">
        <v>6352</v>
      </c>
      <c r="E298" s="7" t="s">
        <v>16</v>
      </c>
      <c r="F298" s="7" t="s">
        <v>6354</v>
      </c>
      <c r="G298" s="8" t="s">
        <v>18</v>
      </c>
      <c r="H298" s="7" t="s">
        <v>28</v>
      </c>
      <c r="I298" s="7" t="s">
        <v>20</v>
      </c>
      <c r="J298" s="7" t="s">
        <v>21</v>
      </c>
      <c r="K298" s="7" t="s">
        <v>604</v>
      </c>
      <c r="L298" s="7" t="s">
        <v>20</v>
      </c>
      <c r="M298" s="7">
        <v>12.569879999999999</v>
      </c>
      <c r="N298" s="7">
        <v>14.4557</v>
      </c>
      <c r="O298" s="7" t="s">
        <v>23</v>
      </c>
      <c r="P298" s="3"/>
      <c r="Q298" s="3"/>
      <c r="R298" s="3"/>
    </row>
    <row r="299" spans="1:18" x14ac:dyDescent="0.25">
      <c r="A299" s="2">
        <v>1267</v>
      </c>
      <c r="B299" s="7" t="s">
        <v>6364</v>
      </c>
      <c r="C299" s="7" t="s">
        <v>6365</v>
      </c>
      <c r="D299" s="7" t="s">
        <v>6364</v>
      </c>
      <c r="E299" s="7" t="s">
        <v>16</v>
      </c>
      <c r="F299" s="7" t="s">
        <v>6366</v>
      </c>
      <c r="G299" s="17" t="s">
        <v>7747</v>
      </c>
      <c r="H299" s="7" t="s">
        <v>28</v>
      </c>
      <c r="I299" s="7" t="s">
        <v>20</v>
      </c>
      <c r="J299" s="7" t="s">
        <v>21</v>
      </c>
      <c r="K299" s="7" t="s">
        <v>916</v>
      </c>
      <c r="L299" s="7" t="s">
        <v>20</v>
      </c>
      <c r="M299" s="7">
        <v>11.780021</v>
      </c>
      <c r="N299" s="7">
        <v>15.094967</v>
      </c>
      <c r="O299" s="7" t="s">
        <v>23</v>
      </c>
      <c r="P299" s="3"/>
      <c r="Q299" s="3"/>
      <c r="R299" s="3"/>
    </row>
    <row r="300" spans="1:18" x14ac:dyDescent="0.25">
      <c r="A300" s="2">
        <v>1268</v>
      </c>
      <c r="B300" s="7" t="s">
        <v>6389</v>
      </c>
      <c r="C300" s="7" t="s">
        <v>6390</v>
      </c>
      <c r="D300" s="7" t="s">
        <v>6389</v>
      </c>
      <c r="E300" s="7" t="s">
        <v>16</v>
      </c>
      <c r="F300" s="7" t="s">
        <v>6391</v>
      </c>
      <c r="G300" s="8" t="s">
        <v>18</v>
      </c>
      <c r="H300" s="7" t="s">
        <v>28</v>
      </c>
      <c r="I300" s="7" t="s">
        <v>20</v>
      </c>
      <c r="J300" s="7" t="s">
        <v>21</v>
      </c>
      <c r="K300" s="7" t="s">
        <v>909</v>
      </c>
      <c r="L300" s="7" t="s">
        <v>20</v>
      </c>
      <c r="M300" s="7">
        <v>12.948046</v>
      </c>
      <c r="N300" s="7">
        <v>14.503704000000001</v>
      </c>
      <c r="O300" s="7" t="s">
        <v>23</v>
      </c>
      <c r="P300" s="3"/>
      <c r="Q300" s="3"/>
      <c r="R300" s="3"/>
    </row>
    <row r="301" spans="1:18" x14ac:dyDescent="0.25">
      <c r="A301" s="2">
        <v>1269</v>
      </c>
      <c r="B301" s="7" t="s">
        <v>6428</v>
      </c>
      <c r="C301" s="7" t="s">
        <v>6429</v>
      </c>
      <c r="D301" s="7" t="s">
        <v>6428</v>
      </c>
      <c r="E301" s="7" t="s">
        <v>16</v>
      </c>
      <c r="F301" s="7" t="s">
        <v>6430</v>
      </c>
      <c r="G301" s="8" t="s">
        <v>18</v>
      </c>
      <c r="H301" s="7" t="s">
        <v>19</v>
      </c>
      <c r="I301" s="7" t="s">
        <v>20</v>
      </c>
      <c r="J301" s="7" t="s">
        <v>21</v>
      </c>
      <c r="K301" s="7" t="s">
        <v>6431</v>
      </c>
      <c r="L301" s="7" t="s">
        <v>20</v>
      </c>
      <c r="M301" s="7">
        <v>12.377625</v>
      </c>
      <c r="N301" s="7">
        <v>14.902457999999999</v>
      </c>
      <c r="O301" s="7" t="s">
        <v>23</v>
      </c>
      <c r="P301" s="3"/>
      <c r="Q301" s="3"/>
      <c r="R301" s="3"/>
    </row>
    <row r="302" spans="1:18" x14ac:dyDescent="0.25">
      <c r="A302" s="2">
        <v>1270</v>
      </c>
      <c r="B302" s="7" t="s">
        <v>6454</v>
      </c>
      <c r="C302" s="7" t="s">
        <v>6455</v>
      </c>
      <c r="D302" s="7" t="s">
        <v>6454</v>
      </c>
      <c r="E302" s="7" t="s">
        <v>16</v>
      </c>
      <c r="F302" s="7" t="s">
        <v>6456</v>
      </c>
      <c r="G302" s="8" t="s">
        <v>18</v>
      </c>
      <c r="H302" s="7" t="s">
        <v>28</v>
      </c>
      <c r="I302" s="7" t="s">
        <v>20</v>
      </c>
      <c r="J302" s="7" t="s">
        <v>21</v>
      </c>
      <c r="K302" s="7" t="s">
        <v>788</v>
      </c>
      <c r="L302" s="7" t="s">
        <v>20</v>
      </c>
      <c r="M302" s="7">
        <v>12.383851999999999</v>
      </c>
      <c r="N302" s="7">
        <v>14.228597000000001</v>
      </c>
      <c r="O302" s="7" t="s">
        <v>23</v>
      </c>
      <c r="P302" s="3"/>
      <c r="Q302" s="3"/>
      <c r="R302" s="3"/>
    </row>
    <row r="303" spans="1:18" x14ac:dyDescent="0.25">
      <c r="A303" s="2">
        <v>1271</v>
      </c>
      <c r="B303" s="7" t="s">
        <v>6498</v>
      </c>
      <c r="C303" s="7" t="s">
        <v>6499</v>
      </c>
      <c r="D303" s="7" t="s">
        <v>6498</v>
      </c>
      <c r="E303" s="7" t="s">
        <v>16</v>
      </c>
      <c r="F303" s="7" t="s">
        <v>6500</v>
      </c>
      <c r="G303" s="8" t="s">
        <v>18</v>
      </c>
      <c r="H303" s="7" t="s">
        <v>28</v>
      </c>
      <c r="I303" s="7" t="s">
        <v>20</v>
      </c>
      <c r="J303" s="7" t="s">
        <v>21</v>
      </c>
      <c r="K303" s="7" t="s">
        <v>909</v>
      </c>
      <c r="L303" s="7" t="s">
        <v>20</v>
      </c>
      <c r="M303" s="7">
        <v>12.876939999999999</v>
      </c>
      <c r="N303" s="7">
        <v>14.29622</v>
      </c>
      <c r="O303" s="7" t="s">
        <v>23</v>
      </c>
      <c r="P303" s="3"/>
      <c r="Q303" s="3"/>
      <c r="R303" s="3"/>
    </row>
    <row r="304" spans="1:18" x14ac:dyDescent="0.25">
      <c r="A304" s="2">
        <v>1272</v>
      </c>
      <c r="B304" s="7" t="s">
        <v>6504</v>
      </c>
      <c r="C304" s="7" t="s">
        <v>6505</v>
      </c>
      <c r="D304" s="7" t="s">
        <v>6504</v>
      </c>
      <c r="E304" s="7" t="s">
        <v>16</v>
      </c>
      <c r="F304" s="7" t="s">
        <v>915</v>
      </c>
      <c r="G304" s="8" t="s">
        <v>18</v>
      </c>
      <c r="H304" s="7" t="s">
        <v>19</v>
      </c>
      <c r="I304" s="7" t="s">
        <v>20</v>
      </c>
      <c r="J304" s="7" t="s">
        <v>21</v>
      </c>
      <c r="K304" s="7" t="s">
        <v>6506</v>
      </c>
      <c r="L304" s="7" t="s">
        <v>20</v>
      </c>
      <c r="M304" s="7">
        <v>11.918305999999999</v>
      </c>
      <c r="N304" s="7">
        <v>14.646833000000001</v>
      </c>
      <c r="O304" s="7" t="s">
        <v>23</v>
      </c>
      <c r="P304" s="3"/>
      <c r="Q304" s="3"/>
      <c r="R304" s="3"/>
    </row>
    <row r="305" spans="1:18" x14ac:dyDescent="0.25">
      <c r="A305" s="2">
        <v>1273</v>
      </c>
      <c r="B305" s="7" t="s">
        <v>6532</v>
      </c>
      <c r="C305" s="7" t="s">
        <v>6533</v>
      </c>
      <c r="D305" s="7" t="s">
        <v>6532</v>
      </c>
      <c r="E305" s="7" t="s">
        <v>16</v>
      </c>
      <c r="F305" s="7" t="s">
        <v>6534</v>
      </c>
      <c r="G305" s="8" t="s">
        <v>18</v>
      </c>
      <c r="H305" s="7" t="s">
        <v>28</v>
      </c>
      <c r="I305" s="7" t="s">
        <v>20</v>
      </c>
      <c r="J305" s="7" t="s">
        <v>21</v>
      </c>
      <c r="K305" s="7" t="s">
        <v>6535</v>
      </c>
      <c r="L305" s="7" t="s">
        <v>20</v>
      </c>
      <c r="M305" s="7">
        <v>12.772729999999999</v>
      </c>
      <c r="N305" s="7">
        <v>14.550547999999999</v>
      </c>
      <c r="O305" s="7" t="s">
        <v>23</v>
      </c>
      <c r="P305" s="3"/>
      <c r="Q305" s="3"/>
      <c r="R305" s="3"/>
    </row>
    <row r="306" spans="1:18" x14ac:dyDescent="0.25">
      <c r="A306" s="2">
        <v>1274</v>
      </c>
      <c r="B306" s="7" t="s">
        <v>6595</v>
      </c>
      <c r="C306" s="7" t="s">
        <v>6596</v>
      </c>
      <c r="D306" s="7" t="s">
        <v>6595</v>
      </c>
      <c r="E306" s="7" t="s">
        <v>16</v>
      </c>
      <c r="F306" s="7" t="s">
        <v>6597</v>
      </c>
      <c r="G306" s="8" t="s">
        <v>18</v>
      </c>
      <c r="H306" s="7" t="s">
        <v>28</v>
      </c>
      <c r="I306" s="7" t="s">
        <v>20</v>
      </c>
      <c r="J306" s="7" t="s">
        <v>21</v>
      </c>
      <c r="K306" s="7" t="s">
        <v>604</v>
      </c>
      <c r="L306" s="7" t="s">
        <v>20</v>
      </c>
      <c r="M306" s="7">
        <v>12.328417</v>
      </c>
      <c r="N306" s="7">
        <v>14.558916999999999</v>
      </c>
      <c r="O306" s="7" t="s">
        <v>23</v>
      </c>
      <c r="P306" s="3"/>
      <c r="Q306" s="3"/>
      <c r="R306" s="3"/>
    </row>
    <row r="307" spans="1:18" x14ac:dyDescent="0.25">
      <c r="A307" s="2">
        <v>1275</v>
      </c>
      <c r="B307" s="7" t="s">
        <v>6798</v>
      </c>
      <c r="C307" s="7" t="s">
        <v>6799</v>
      </c>
      <c r="D307" s="7" t="s">
        <v>6798</v>
      </c>
      <c r="E307" s="7" t="s">
        <v>16</v>
      </c>
      <c r="F307" s="7" t="s">
        <v>6800</v>
      </c>
      <c r="G307" s="17" t="s">
        <v>7747</v>
      </c>
      <c r="H307" s="7" t="s">
        <v>28</v>
      </c>
      <c r="I307" s="7" t="s">
        <v>20</v>
      </c>
      <c r="J307" s="7" t="s">
        <v>21</v>
      </c>
      <c r="K307" s="7" t="s">
        <v>6735</v>
      </c>
      <c r="L307" s="7" t="s">
        <v>20</v>
      </c>
      <c r="M307" s="7">
        <v>11.263839000000001</v>
      </c>
      <c r="N307" s="7">
        <v>14.966189</v>
      </c>
      <c r="O307" s="7" t="s">
        <v>23</v>
      </c>
      <c r="P307" s="3"/>
      <c r="Q307" s="3"/>
      <c r="R307" s="3"/>
    </row>
    <row r="308" spans="1:18" x14ac:dyDescent="0.25">
      <c r="A308" s="2">
        <v>1276</v>
      </c>
      <c r="B308" s="7" t="s">
        <v>7041</v>
      </c>
      <c r="C308" s="7" t="s">
        <v>7042</v>
      </c>
      <c r="D308" s="7" t="s">
        <v>7041</v>
      </c>
      <c r="E308" s="7" t="s">
        <v>16</v>
      </c>
      <c r="F308" s="7" t="s">
        <v>7043</v>
      </c>
      <c r="G308" s="8" t="s">
        <v>18</v>
      </c>
      <c r="H308" s="7" t="s">
        <v>28</v>
      </c>
      <c r="I308" s="7" t="s">
        <v>20</v>
      </c>
      <c r="J308" s="7" t="s">
        <v>21</v>
      </c>
      <c r="K308" s="7" t="s">
        <v>788</v>
      </c>
      <c r="L308" s="7" t="s">
        <v>20</v>
      </c>
      <c r="M308" s="7">
        <v>12.376993000000001</v>
      </c>
      <c r="N308" s="7">
        <v>14.225045</v>
      </c>
      <c r="O308" s="7" t="s">
        <v>23</v>
      </c>
      <c r="P308" s="3"/>
      <c r="Q308" s="3"/>
      <c r="R308" s="3"/>
    </row>
    <row r="309" spans="1:18" x14ac:dyDescent="0.25">
      <c r="A309" s="2">
        <v>1277</v>
      </c>
      <c r="B309" s="7" t="s">
        <v>7051</v>
      </c>
      <c r="C309" s="7" t="s">
        <v>7052</v>
      </c>
      <c r="D309" s="7" t="s">
        <v>7051</v>
      </c>
      <c r="E309" s="7" t="s">
        <v>16</v>
      </c>
      <c r="F309" s="7" t="s">
        <v>7053</v>
      </c>
      <c r="G309" s="17" t="s">
        <v>7747</v>
      </c>
      <c r="H309" s="7" t="s">
        <v>28</v>
      </c>
      <c r="I309" s="7" t="s">
        <v>20</v>
      </c>
      <c r="J309" s="7" t="s">
        <v>21</v>
      </c>
      <c r="K309" s="7" t="s">
        <v>678</v>
      </c>
      <c r="L309" s="7" t="s">
        <v>20</v>
      </c>
      <c r="M309" s="7">
        <v>12.091393</v>
      </c>
      <c r="N309" s="7">
        <v>15.027388</v>
      </c>
      <c r="O309" s="7" t="s">
        <v>23</v>
      </c>
      <c r="P309" s="3"/>
      <c r="Q309" s="3"/>
      <c r="R309" s="3"/>
    </row>
    <row r="310" spans="1:18" x14ac:dyDescent="0.25">
      <c r="A310" s="2">
        <v>1278</v>
      </c>
      <c r="B310" s="7" t="s">
        <v>7120</v>
      </c>
      <c r="C310" s="7" t="s">
        <v>7121</v>
      </c>
      <c r="D310" s="7" t="s">
        <v>7120</v>
      </c>
      <c r="E310" s="7" t="s">
        <v>7122</v>
      </c>
      <c r="F310" s="7" t="s">
        <v>7123</v>
      </c>
      <c r="G310" s="8" t="s">
        <v>18</v>
      </c>
      <c r="H310" s="7" t="s">
        <v>28</v>
      </c>
      <c r="I310" s="7" t="s">
        <v>20</v>
      </c>
      <c r="J310" s="7" t="s">
        <v>21</v>
      </c>
      <c r="K310" s="7" t="s">
        <v>6534</v>
      </c>
      <c r="L310" s="7" t="s">
        <v>20</v>
      </c>
      <c r="M310" s="7">
        <v>12.77101</v>
      </c>
      <c r="N310" s="7">
        <v>14.556908</v>
      </c>
      <c r="O310" s="7" t="s">
        <v>23</v>
      </c>
      <c r="P310" s="3"/>
      <c r="Q310" s="3"/>
      <c r="R310" s="3"/>
    </row>
    <row r="311" spans="1:18" x14ac:dyDescent="0.25">
      <c r="A311" s="2">
        <v>1279</v>
      </c>
      <c r="B311" s="7" t="s">
        <v>7174</v>
      </c>
      <c r="C311" s="7" t="s">
        <v>7175</v>
      </c>
      <c r="D311" s="7" t="s">
        <v>7174</v>
      </c>
      <c r="E311" s="7" t="s">
        <v>16</v>
      </c>
      <c r="F311" s="7" t="s">
        <v>7176</v>
      </c>
      <c r="G311" s="8" t="s">
        <v>18</v>
      </c>
      <c r="H311" s="7" t="s">
        <v>28</v>
      </c>
      <c r="I311" s="7" t="s">
        <v>20</v>
      </c>
      <c r="J311" s="7" t="s">
        <v>21</v>
      </c>
      <c r="K311" s="7" t="s">
        <v>6354</v>
      </c>
      <c r="L311" s="7" t="s">
        <v>20</v>
      </c>
      <c r="M311" s="7">
        <v>12.108675</v>
      </c>
      <c r="N311" s="7">
        <v>14.713543</v>
      </c>
      <c r="O311" s="7" t="s">
        <v>23</v>
      </c>
      <c r="P311" s="3"/>
      <c r="Q311" s="3"/>
      <c r="R311" s="3"/>
    </row>
    <row r="312" spans="1:18" x14ac:dyDescent="0.25">
      <c r="A312" s="2">
        <v>1280</v>
      </c>
      <c r="B312" s="7" t="s">
        <v>7304</v>
      </c>
      <c r="C312" s="7" t="s">
        <v>7305</v>
      </c>
      <c r="D312" s="7" t="s">
        <v>7304</v>
      </c>
      <c r="E312" s="7" t="s">
        <v>16</v>
      </c>
      <c r="F312" s="7" t="s">
        <v>7306</v>
      </c>
      <c r="G312" s="8" t="s">
        <v>18</v>
      </c>
      <c r="H312" s="7" t="s">
        <v>28</v>
      </c>
      <c r="I312" s="7" t="s">
        <v>20</v>
      </c>
      <c r="J312" s="7" t="s">
        <v>21</v>
      </c>
      <c r="K312" s="7" t="s">
        <v>604</v>
      </c>
      <c r="L312" s="7" t="s">
        <v>20</v>
      </c>
      <c r="M312" s="7">
        <v>12.092575</v>
      </c>
      <c r="N312" s="7">
        <v>14.839464</v>
      </c>
      <c r="O312" s="7" t="s">
        <v>23</v>
      </c>
      <c r="P312" s="3"/>
      <c r="Q312" s="3"/>
      <c r="R312" s="3"/>
    </row>
    <row r="313" spans="1:18" x14ac:dyDescent="0.25">
      <c r="A313" s="2">
        <v>1281</v>
      </c>
      <c r="B313" s="7" t="s">
        <v>7310</v>
      </c>
      <c r="C313" s="7" t="s">
        <v>7311</v>
      </c>
      <c r="D313" s="7" t="s">
        <v>7310</v>
      </c>
      <c r="E313" s="7" t="s">
        <v>16</v>
      </c>
      <c r="F313" s="7" t="s">
        <v>7312</v>
      </c>
      <c r="G313" s="8" t="s">
        <v>18</v>
      </c>
      <c r="H313" s="7" t="s">
        <v>28</v>
      </c>
      <c r="I313" s="7" t="s">
        <v>20</v>
      </c>
      <c r="J313" s="7" t="s">
        <v>21</v>
      </c>
      <c r="K313" s="7" t="s">
        <v>916</v>
      </c>
      <c r="L313" s="7" t="s">
        <v>20</v>
      </c>
      <c r="M313" s="7">
        <v>11.901233</v>
      </c>
      <c r="N313" s="7">
        <v>15.034781000000001</v>
      </c>
      <c r="O313" s="7" t="s">
        <v>23</v>
      </c>
      <c r="P313" s="3"/>
      <c r="Q313" s="3"/>
      <c r="R313" s="3"/>
    </row>
    <row r="314" spans="1:18" x14ac:dyDescent="0.25">
      <c r="A314" s="2">
        <v>1282</v>
      </c>
      <c r="B314" s="7" t="s">
        <v>7512</v>
      </c>
      <c r="C314" s="7" t="s">
        <v>7513</v>
      </c>
      <c r="D314" s="7" t="s">
        <v>7512</v>
      </c>
      <c r="E314" s="7" t="s">
        <v>16</v>
      </c>
      <c r="F314" s="7" t="s">
        <v>7514</v>
      </c>
      <c r="G314" s="17" t="s">
        <v>7747</v>
      </c>
      <c r="H314" s="7" t="s">
        <v>28</v>
      </c>
      <c r="I314" s="7" t="s">
        <v>20</v>
      </c>
      <c r="J314" s="7" t="s">
        <v>21</v>
      </c>
      <c r="K314" s="7" t="s">
        <v>7515</v>
      </c>
      <c r="L314" s="7" t="s">
        <v>20</v>
      </c>
      <c r="M314" s="7">
        <v>12.093688</v>
      </c>
      <c r="N314" s="7">
        <v>15.015834</v>
      </c>
      <c r="O314" s="7" t="s">
        <v>23</v>
      </c>
      <c r="P314" s="3"/>
      <c r="Q314" s="3"/>
      <c r="R314" s="3"/>
    </row>
    <row r="315" spans="1:18" x14ac:dyDescent="0.25">
      <c r="A315" s="2">
        <v>1283</v>
      </c>
      <c r="B315" s="7" t="s">
        <v>7726</v>
      </c>
      <c r="C315" s="7" t="s">
        <v>7727</v>
      </c>
      <c r="D315" s="7" t="s">
        <v>7726</v>
      </c>
      <c r="E315" s="7" t="s">
        <v>16</v>
      </c>
      <c r="F315" s="7" t="s">
        <v>7728</v>
      </c>
      <c r="G315" s="17" t="s">
        <v>7747</v>
      </c>
      <c r="H315" s="7" t="s">
        <v>28</v>
      </c>
      <c r="I315" s="7" t="s">
        <v>20</v>
      </c>
      <c r="J315" s="7" t="s">
        <v>21</v>
      </c>
      <c r="K315" s="7" t="s">
        <v>7729</v>
      </c>
      <c r="L315" s="7" t="s">
        <v>20</v>
      </c>
      <c r="M315" s="7">
        <v>12.063889</v>
      </c>
      <c r="N315" s="7">
        <v>15.02999</v>
      </c>
      <c r="O315" s="7" t="s">
        <v>23</v>
      </c>
      <c r="P315" s="3"/>
      <c r="Q315" s="3"/>
      <c r="R315" s="3"/>
    </row>
    <row r="316" spans="1:18" x14ac:dyDescent="0.25">
      <c r="A316" s="2">
        <v>1284</v>
      </c>
      <c r="B316" s="7" t="s">
        <v>266</v>
      </c>
      <c r="C316" s="7" t="s">
        <v>267</v>
      </c>
      <c r="D316" s="7" t="s">
        <v>266</v>
      </c>
      <c r="E316" s="7" t="s">
        <v>250</v>
      </c>
      <c r="F316" s="7" t="s">
        <v>268</v>
      </c>
      <c r="G316" s="17" t="s">
        <v>7747</v>
      </c>
      <c r="H316" s="7" t="s">
        <v>28</v>
      </c>
      <c r="I316" s="7" t="s">
        <v>269</v>
      </c>
      <c r="J316" s="7" t="s">
        <v>270</v>
      </c>
      <c r="K316" s="7" t="s">
        <v>271</v>
      </c>
      <c r="L316" s="7" t="s">
        <v>7743</v>
      </c>
      <c r="M316" s="7">
        <v>2.2116549999999999</v>
      </c>
      <c r="N316" s="7">
        <v>11.095535</v>
      </c>
      <c r="O316" s="7" t="s">
        <v>23</v>
      </c>
      <c r="P316" s="3"/>
      <c r="Q316" s="3"/>
      <c r="R316" s="3"/>
    </row>
    <row r="317" spans="1:18" x14ac:dyDescent="0.25">
      <c r="A317" s="2">
        <v>1286</v>
      </c>
      <c r="B317" s="7" t="s">
        <v>300</v>
      </c>
      <c r="C317" s="7" t="s">
        <v>301</v>
      </c>
      <c r="D317" s="7" t="s">
        <v>300</v>
      </c>
      <c r="E317" s="7" t="s">
        <v>250</v>
      </c>
      <c r="F317" s="7" t="s">
        <v>302</v>
      </c>
      <c r="G317" s="17" t="s">
        <v>7747</v>
      </c>
      <c r="H317" s="7" t="s">
        <v>28</v>
      </c>
      <c r="I317" s="7" t="s">
        <v>269</v>
      </c>
      <c r="J317" s="7" t="s">
        <v>270</v>
      </c>
      <c r="K317" s="7" t="s">
        <v>303</v>
      </c>
      <c r="L317" s="7" t="s">
        <v>7743</v>
      </c>
      <c r="M317" s="7">
        <v>2.3549129999999998</v>
      </c>
      <c r="N317" s="7">
        <v>10.639516</v>
      </c>
      <c r="O317" s="7" t="s">
        <v>23</v>
      </c>
      <c r="P317" s="3"/>
      <c r="Q317" s="3"/>
      <c r="R317" s="3"/>
    </row>
    <row r="318" spans="1:18" x14ac:dyDescent="0.25">
      <c r="A318" s="2">
        <v>1287</v>
      </c>
      <c r="B318" s="7" t="s">
        <v>507</v>
      </c>
      <c r="C318" s="7" t="s">
        <v>508</v>
      </c>
      <c r="D318" s="7" t="s">
        <v>507</v>
      </c>
      <c r="E318" s="7" t="s">
        <v>250</v>
      </c>
      <c r="F318" s="7" t="s">
        <v>509</v>
      </c>
      <c r="G318" s="17" t="s">
        <v>7747</v>
      </c>
      <c r="H318" s="7" t="s">
        <v>28</v>
      </c>
      <c r="I318" s="7" t="s">
        <v>269</v>
      </c>
      <c r="J318" s="7" t="s">
        <v>270</v>
      </c>
      <c r="K318" s="7" t="s">
        <v>303</v>
      </c>
      <c r="L318" s="7" t="s">
        <v>7743</v>
      </c>
      <c r="M318" s="7">
        <v>2.39046</v>
      </c>
      <c r="N318" s="7">
        <v>10.368188</v>
      </c>
      <c r="O318" s="7" t="s">
        <v>23</v>
      </c>
      <c r="P318" s="3"/>
      <c r="Q318" s="3"/>
      <c r="R318" s="3"/>
    </row>
    <row r="319" spans="1:18" x14ac:dyDescent="0.25">
      <c r="A319" s="2">
        <v>1288</v>
      </c>
      <c r="B319" s="7" t="s">
        <v>524</v>
      </c>
      <c r="C319" s="7" t="s">
        <v>525</v>
      </c>
      <c r="D319" s="7" t="s">
        <v>524</v>
      </c>
      <c r="E319" s="7" t="s">
        <v>250</v>
      </c>
      <c r="F319" s="7" t="s">
        <v>526</v>
      </c>
      <c r="G319" s="17" t="s">
        <v>7747</v>
      </c>
      <c r="H319" s="7" t="s">
        <v>28</v>
      </c>
      <c r="I319" s="7" t="s">
        <v>311</v>
      </c>
      <c r="J319" s="7" t="s">
        <v>293</v>
      </c>
      <c r="K319" s="7" t="s">
        <v>527</v>
      </c>
      <c r="L319" s="7" t="s">
        <v>7743</v>
      </c>
      <c r="M319" s="7">
        <v>3.17</v>
      </c>
      <c r="N319" s="7">
        <v>10.547110999999999</v>
      </c>
      <c r="O319" s="7" t="s">
        <v>23</v>
      </c>
      <c r="P319" s="3"/>
      <c r="Q319" s="3"/>
      <c r="R319" s="3"/>
    </row>
    <row r="320" spans="1:18" x14ac:dyDescent="0.25">
      <c r="A320" s="2">
        <v>1289</v>
      </c>
      <c r="B320" s="7" t="s">
        <v>629</v>
      </c>
      <c r="C320" s="7" t="s">
        <v>630</v>
      </c>
      <c r="D320" s="7" t="s">
        <v>629</v>
      </c>
      <c r="E320" s="7" t="s">
        <v>250</v>
      </c>
      <c r="F320" s="7" t="s">
        <v>631</v>
      </c>
      <c r="G320" s="17" t="s">
        <v>7747</v>
      </c>
      <c r="H320" s="7" t="s">
        <v>28</v>
      </c>
      <c r="I320" s="7" t="s">
        <v>269</v>
      </c>
      <c r="J320" s="7" t="s">
        <v>270</v>
      </c>
      <c r="K320" s="7" t="s">
        <v>303</v>
      </c>
      <c r="L320" s="7" t="s">
        <v>7743</v>
      </c>
      <c r="M320" s="7">
        <v>2.369596</v>
      </c>
      <c r="N320" s="7">
        <v>10.628916</v>
      </c>
      <c r="O320" s="7" t="s">
        <v>23</v>
      </c>
      <c r="P320" s="3"/>
      <c r="Q320" s="3"/>
      <c r="R320" s="3"/>
    </row>
    <row r="321" spans="1:18" x14ac:dyDescent="0.25">
      <c r="A321" s="2">
        <v>1290</v>
      </c>
      <c r="B321" s="7" t="s">
        <v>663</v>
      </c>
      <c r="C321" s="7" t="s">
        <v>664</v>
      </c>
      <c r="D321" s="7" t="s">
        <v>663</v>
      </c>
      <c r="E321" s="7" t="s">
        <v>250</v>
      </c>
      <c r="F321" s="7" t="s">
        <v>665</v>
      </c>
      <c r="G321" s="17" t="s">
        <v>7747</v>
      </c>
      <c r="H321" s="7" t="s">
        <v>28</v>
      </c>
      <c r="I321" s="7" t="s">
        <v>269</v>
      </c>
      <c r="J321" s="7" t="s">
        <v>270</v>
      </c>
      <c r="K321" s="7" t="s">
        <v>666</v>
      </c>
      <c r="L321" s="7" t="s">
        <v>7743</v>
      </c>
      <c r="M321" s="7">
        <v>2.1936149999999999</v>
      </c>
      <c r="N321" s="7">
        <v>11.339465000000001</v>
      </c>
      <c r="O321" s="7" t="s">
        <v>23</v>
      </c>
      <c r="P321" s="3"/>
      <c r="Q321" s="3"/>
      <c r="R321" s="3"/>
    </row>
    <row r="322" spans="1:18" x14ac:dyDescent="0.25">
      <c r="A322" s="2">
        <v>1293</v>
      </c>
      <c r="B322" s="7" t="s">
        <v>1186</v>
      </c>
      <c r="C322" s="7" t="s">
        <v>1187</v>
      </c>
      <c r="D322" s="7" t="s">
        <v>1186</v>
      </c>
      <c r="E322" s="7" t="s">
        <v>250</v>
      </c>
      <c r="F322" s="7" t="s">
        <v>1188</v>
      </c>
      <c r="G322" s="17" t="s">
        <v>7747</v>
      </c>
      <c r="H322" s="7" t="s">
        <v>28</v>
      </c>
      <c r="I322" s="7" t="s">
        <v>269</v>
      </c>
      <c r="J322" s="7" t="s">
        <v>270</v>
      </c>
      <c r="K322" s="7" t="s">
        <v>1189</v>
      </c>
      <c r="L322" s="7" t="s">
        <v>7743</v>
      </c>
      <c r="M322" s="7">
        <v>2.8360829999999999</v>
      </c>
      <c r="N322" s="7">
        <v>10.552861</v>
      </c>
      <c r="O322" s="7" t="s">
        <v>23</v>
      </c>
      <c r="P322" s="3"/>
      <c r="Q322" s="3"/>
      <c r="R322" s="3"/>
    </row>
    <row r="323" spans="1:18" x14ac:dyDescent="0.25">
      <c r="A323" s="2">
        <v>1294</v>
      </c>
      <c r="B323" s="7" t="s">
        <v>1197</v>
      </c>
      <c r="C323" s="7" t="s">
        <v>1198</v>
      </c>
      <c r="D323" s="7" t="s">
        <v>1197</v>
      </c>
      <c r="E323" s="7" t="s">
        <v>250</v>
      </c>
      <c r="F323" s="7" t="s">
        <v>1199</v>
      </c>
      <c r="G323" s="17" t="s">
        <v>7747</v>
      </c>
      <c r="H323" s="7" t="s">
        <v>28</v>
      </c>
      <c r="I323" s="7" t="s">
        <v>311</v>
      </c>
      <c r="J323" s="7" t="s">
        <v>293</v>
      </c>
      <c r="K323" s="7" t="s">
        <v>1200</v>
      </c>
      <c r="L323" s="7" t="s">
        <v>7743</v>
      </c>
      <c r="M323" s="7">
        <v>3.0334140000000001</v>
      </c>
      <c r="N323" s="7">
        <v>10.859489999999999</v>
      </c>
      <c r="O323" s="7" t="s">
        <v>23</v>
      </c>
      <c r="P323" s="3"/>
      <c r="Q323" s="3"/>
      <c r="R323" s="3"/>
    </row>
    <row r="324" spans="1:18" x14ac:dyDescent="0.25">
      <c r="A324" s="2">
        <v>1315</v>
      </c>
      <c r="B324" s="7" t="s">
        <v>6096</v>
      </c>
      <c r="C324" s="7" t="s">
        <v>6097</v>
      </c>
      <c r="D324" s="7" t="s">
        <v>6096</v>
      </c>
      <c r="E324" s="7" t="s">
        <v>250</v>
      </c>
      <c r="F324" s="7" t="s">
        <v>6098</v>
      </c>
      <c r="G324" s="17" t="s">
        <v>7747</v>
      </c>
      <c r="H324" s="7" t="s">
        <v>28</v>
      </c>
      <c r="I324" s="7" t="s">
        <v>269</v>
      </c>
      <c r="J324" s="7" t="s">
        <v>270</v>
      </c>
      <c r="K324" s="7" t="s">
        <v>6099</v>
      </c>
      <c r="L324" s="7" t="s">
        <v>7743</v>
      </c>
      <c r="M324" s="7">
        <v>2.5191759999999999</v>
      </c>
      <c r="N324" s="7">
        <v>11.142772000000001</v>
      </c>
      <c r="O324" s="7" t="s">
        <v>23</v>
      </c>
      <c r="P324" s="3"/>
      <c r="Q324" s="3"/>
      <c r="R324" s="3"/>
    </row>
    <row r="325" spans="1:18" x14ac:dyDescent="0.25">
      <c r="A325" s="2">
        <v>1317</v>
      </c>
      <c r="B325" s="7" t="s">
        <v>6117</v>
      </c>
      <c r="C325" s="7" t="s">
        <v>6118</v>
      </c>
      <c r="D325" s="7" t="s">
        <v>6117</v>
      </c>
      <c r="E325" s="7" t="s">
        <v>250</v>
      </c>
      <c r="F325" s="7" t="s">
        <v>6119</v>
      </c>
      <c r="G325" s="17" t="s">
        <v>7747</v>
      </c>
      <c r="H325" s="7" t="s">
        <v>28</v>
      </c>
      <c r="I325" s="7" t="s">
        <v>269</v>
      </c>
      <c r="J325" s="7" t="s">
        <v>270</v>
      </c>
      <c r="K325" s="7" t="s">
        <v>6099</v>
      </c>
      <c r="L325" s="7" t="s">
        <v>7743</v>
      </c>
      <c r="M325" s="7">
        <v>2.6486230000000002</v>
      </c>
      <c r="N325" s="7">
        <v>11.064057</v>
      </c>
      <c r="O325" s="7" t="s">
        <v>23</v>
      </c>
      <c r="P325" s="3"/>
      <c r="Q325" s="3"/>
      <c r="R325" s="3"/>
    </row>
    <row r="326" spans="1:18" x14ac:dyDescent="0.25">
      <c r="A326" s="2">
        <v>1318</v>
      </c>
      <c r="B326" s="7" t="s">
        <v>6290</v>
      </c>
      <c r="C326" s="7" t="s">
        <v>6291</v>
      </c>
      <c r="D326" s="7" t="s">
        <v>6290</v>
      </c>
      <c r="E326" s="7" t="s">
        <v>250</v>
      </c>
      <c r="F326" s="7" t="s">
        <v>6292</v>
      </c>
      <c r="G326" s="17" t="s">
        <v>7747</v>
      </c>
      <c r="H326" s="7" t="s">
        <v>19</v>
      </c>
      <c r="I326" s="7" t="s">
        <v>269</v>
      </c>
      <c r="J326" s="7" t="s">
        <v>270</v>
      </c>
      <c r="K326" s="7" t="s">
        <v>6099</v>
      </c>
      <c r="L326" s="7" t="s">
        <v>7743</v>
      </c>
      <c r="M326" s="7">
        <v>2.5399440000000002</v>
      </c>
      <c r="N326" s="7">
        <v>11.024027999999999</v>
      </c>
      <c r="O326" s="7" t="s">
        <v>23</v>
      </c>
      <c r="P326" s="3"/>
      <c r="Q326" s="3"/>
      <c r="R326" s="3"/>
    </row>
    <row r="327" spans="1:18" x14ac:dyDescent="0.25">
      <c r="A327" s="2">
        <v>1319</v>
      </c>
      <c r="B327" s="7" t="s">
        <v>6379</v>
      </c>
      <c r="C327" s="7" t="s">
        <v>6380</v>
      </c>
      <c r="D327" s="7" t="s">
        <v>6379</v>
      </c>
      <c r="E327" s="7" t="s">
        <v>250</v>
      </c>
      <c r="F327" s="7" t="s">
        <v>6381</v>
      </c>
      <c r="G327" s="17" t="s">
        <v>7747</v>
      </c>
      <c r="H327" s="7" t="s">
        <v>19</v>
      </c>
      <c r="I327" s="7" t="s">
        <v>269</v>
      </c>
      <c r="J327" s="7" t="s">
        <v>270</v>
      </c>
      <c r="K327" s="7" t="s">
        <v>6382</v>
      </c>
      <c r="L327" s="7" t="s">
        <v>7743</v>
      </c>
      <c r="M327" s="7">
        <v>2.1808000000000001</v>
      </c>
      <c r="N327" s="7">
        <v>11.335184</v>
      </c>
      <c r="O327" s="7" t="s">
        <v>23</v>
      </c>
      <c r="P327" s="3"/>
      <c r="Q327" s="3"/>
      <c r="R327" s="3"/>
    </row>
    <row r="328" spans="1:18" x14ac:dyDescent="0.25">
      <c r="A328" s="2">
        <v>1320</v>
      </c>
      <c r="B328" s="7" t="s">
        <v>6383</v>
      </c>
      <c r="C328" s="7" t="s">
        <v>6384</v>
      </c>
      <c r="D328" s="7" t="s">
        <v>6383</v>
      </c>
      <c r="E328" s="7" t="s">
        <v>250</v>
      </c>
      <c r="F328" s="7" t="s">
        <v>6385</v>
      </c>
      <c r="G328" s="17" t="s">
        <v>7747</v>
      </c>
      <c r="H328" s="7" t="s">
        <v>28</v>
      </c>
      <c r="I328" s="7" t="s">
        <v>269</v>
      </c>
      <c r="J328" s="7" t="s">
        <v>270</v>
      </c>
      <c r="K328" s="7" t="s">
        <v>6382</v>
      </c>
      <c r="L328" s="7" t="s">
        <v>7743</v>
      </c>
      <c r="M328" s="7">
        <v>2.1819109999999999</v>
      </c>
      <c r="N328" s="7">
        <v>11.334358</v>
      </c>
      <c r="O328" s="7" t="s">
        <v>23</v>
      </c>
      <c r="P328" s="3"/>
      <c r="Q328" s="3"/>
      <c r="R328" s="3"/>
    </row>
    <row r="329" spans="1:18" x14ac:dyDescent="0.25">
      <c r="A329" s="2">
        <v>1322</v>
      </c>
      <c r="B329" s="7" t="s">
        <v>6536</v>
      </c>
      <c r="C329" s="7" t="s">
        <v>6537</v>
      </c>
      <c r="D329" s="7" t="s">
        <v>6536</v>
      </c>
      <c r="E329" s="7" t="s">
        <v>250</v>
      </c>
      <c r="F329" s="7" t="s">
        <v>6538</v>
      </c>
      <c r="G329" s="17" t="s">
        <v>7747</v>
      </c>
      <c r="H329" s="7" t="s">
        <v>28</v>
      </c>
      <c r="I329" s="7" t="s">
        <v>311</v>
      </c>
      <c r="J329" s="7" t="s">
        <v>293</v>
      </c>
      <c r="K329" s="7" t="s">
        <v>6538</v>
      </c>
      <c r="L329" s="7" t="s">
        <v>7743</v>
      </c>
      <c r="M329" s="7">
        <v>3.0897999999999999</v>
      </c>
      <c r="N329" s="7">
        <v>10.412788000000001</v>
      </c>
      <c r="O329" s="7" t="s">
        <v>23</v>
      </c>
      <c r="P329" s="3"/>
      <c r="Q329" s="3"/>
      <c r="R329" s="3"/>
    </row>
    <row r="330" spans="1:18" x14ac:dyDescent="0.25">
      <c r="A330" s="2">
        <v>1324</v>
      </c>
      <c r="B330" s="7" t="s">
        <v>6785</v>
      </c>
      <c r="C330" s="7" t="s">
        <v>6786</v>
      </c>
      <c r="D330" s="7" t="s">
        <v>6785</v>
      </c>
      <c r="E330" s="7" t="s">
        <v>250</v>
      </c>
      <c r="F330" s="7" t="s">
        <v>6787</v>
      </c>
      <c r="G330" s="17" t="s">
        <v>7747</v>
      </c>
      <c r="H330" s="7" t="s">
        <v>28</v>
      </c>
      <c r="I330" s="7" t="s">
        <v>269</v>
      </c>
      <c r="J330" s="7" t="s">
        <v>270</v>
      </c>
      <c r="K330" s="7" t="s">
        <v>303</v>
      </c>
      <c r="L330" s="7" t="s">
        <v>7743</v>
      </c>
      <c r="M330" s="7">
        <v>2.4319999999999999</v>
      </c>
      <c r="N330" s="7">
        <v>10.521583</v>
      </c>
      <c r="O330" s="7" t="s">
        <v>23</v>
      </c>
      <c r="P330" s="3"/>
      <c r="Q330" s="3"/>
      <c r="R330" s="3"/>
    </row>
    <row r="331" spans="1:18" x14ac:dyDescent="0.25">
      <c r="A331" s="2">
        <v>1328</v>
      </c>
      <c r="B331" s="7" t="s">
        <v>6912</v>
      </c>
      <c r="C331" s="7" t="s">
        <v>6913</v>
      </c>
      <c r="D331" s="7" t="s">
        <v>6912</v>
      </c>
      <c r="E331" s="7" t="s">
        <v>250</v>
      </c>
      <c r="F331" s="7" t="s">
        <v>6099</v>
      </c>
      <c r="G331" s="17" t="s">
        <v>7747</v>
      </c>
      <c r="H331" s="7" t="s">
        <v>19</v>
      </c>
      <c r="I331" s="7" t="s">
        <v>269</v>
      </c>
      <c r="J331" s="7" t="s">
        <v>270</v>
      </c>
      <c r="K331" s="7" t="s">
        <v>269</v>
      </c>
      <c r="L331" s="7" t="s">
        <v>7743</v>
      </c>
      <c r="M331" s="7">
        <v>2.3863270000000001</v>
      </c>
      <c r="N331" s="7">
        <v>11.264132</v>
      </c>
      <c r="O331" s="7" t="s">
        <v>23</v>
      </c>
      <c r="P331" s="3"/>
      <c r="Q331" s="3"/>
      <c r="R331" s="3"/>
    </row>
    <row r="332" spans="1:18" ht="45" x14ac:dyDescent="0.25">
      <c r="A332" s="2">
        <v>1333</v>
      </c>
      <c r="B332" s="7" t="s">
        <v>7701</v>
      </c>
      <c r="C332" s="7" t="s">
        <v>7702</v>
      </c>
      <c r="D332" s="7" t="s">
        <v>7701</v>
      </c>
      <c r="E332" s="7" t="s">
        <v>7703</v>
      </c>
      <c r="F332" s="11" t="s">
        <v>7704</v>
      </c>
      <c r="G332" s="17" t="s">
        <v>7747</v>
      </c>
      <c r="H332" s="7" t="s">
        <v>28</v>
      </c>
      <c r="I332" s="7"/>
      <c r="J332" s="7" t="s">
        <v>293</v>
      </c>
      <c r="K332" s="7" t="s">
        <v>7705</v>
      </c>
      <c r="L332" s="7" t="s">
        <v>7743</v>
      </c>
      <c r="M332" s="12">
        <v>2.9628230000000002</v>
      </c>
      <c r="N332" s="12">
        <v>9.9211899999999993</v>
      </c>
      <c r="O332" s="7" t="s">
        <v>23</v>
      </c>
      <c r="P332" s="3"/>
      <c r="Q332" s="3"/>
      <c r="R332" s="3"/>
    </row>
    <row r="333" spans="1:18" x14ac:dyDescent="0.25">
      <c r="A333" s="2">
        <v>1479</v>
      </c>
      <c r="B333" s="7" t="s">
        <v>56</v>
      </c>
      <c r="C333" s="7" t="s">
        <v>57</v>
      </c>
      <c r="D333" s="7" t="s">
        <v>56</v>
      </c>
      <c r="E333" s="7" t="s">
        <v>16</v>
      </c>
      <c r="F333" s="7" t="s">
        <v>58</v>
      </c>
      <c r="G333" s="17" t="s">
        <v>7747</v>
      </c>
      <c r="H333" s="7" t="s">
        <v>28</v>
      </c>
      <c r="I333" s="7" t="s">
        <v>59</v>
      </c>
      <c r="J333" s="7" t="s">
        <v>60</v>
      </c>
      <c r="K333" s="7" t="s">
        <v>58</v>
      </c>
      <c r="L333" s="7" t="s">
        <v>61</v>
      </c>
      <c r="M333" s="7">
        <v>10.068</v>
      </c>
      <c r="N333" s="7">
        <v>15.218400000000001</v>
      </c>
      <c r="O333" s="7" t="s">
        <v>23</v>
      </c>
      <c r="P333" s="3"/>
      <c r="Q333" s="3"/>
      <c r="R333" s="3"/>
    </row>
    <row r="334" spans="1:18" x14ac:dyDescent="0.25">
      <c r="A334" s="2">
        <v>1480</v>
      </c>
      <c r="B334" s="7" t="s">
        <v>67</v>
      </c>
      <c r="C334" s="7" t="s">
        <v>68</v>
      </c>
      <c r="D334" s="7" t="s">
        <v>67</v>
      </c>
      <c r="E334" s="7" t="s">
        <v>16</v>
      </c>
      <c r="F334" s="7" t="s">
        <v>69</v>
      </c>
      <c r="G334" s="17" t="s">
        <v>7747</v>
      </c>
      <c r="H334" s="7" t="s">
        <v>28</v>
      </c>
      <c r="I334" s="7" t="s">
        <v>59</v>
      </c>
      <c r="J334" s="7" t="s">
        <v>70</v>
      </c>
      <c r="K334" s="7" t="s">
        <v>71</v>
      </c>
      <c r="L334" s="7" t="s">
        <v>61</v>
      </c>
      <c r="M334" s="7">
        <v>10.18041</v>
      </c>
      <c r="N334" s="7">
        <v>14.835649999999999</v>
      </c>
      <c r="O334" s="7" t="s">
        <v>23</v>
      </c>
      <c r="P334" s="3"/>
      <c r="Q334" s="3"/>
      <c r="R334" s="3"/>
    </row>
    <row r="335" spans="1:18" x14ac:dyDescent="0.25">
      <c r="A335" s="2">
        <v>1481</v>
      </c>
      <c r="B335" s="7" t="s">
        <v>223</v>
      </c>
      <c r="C335" s="7" t="s">
        <v>224</v>
      </c>
      <c r="D335" s="7" t="s">
        <v>223</v>
      </c>
      <c r="E335" s="7" t="s">
        <v>16</v>
      </c>
      <c r="F335" s="7" t="s">
        <v>225</v>
      </c>
      <c r="G335" s="17" t="s">
        <v>7747</v>
      </c>
      <c r="H335" s="7" t="s">
        <v>28</v>
      </c>
      <c r="I335" s="7" t="s">
        <v>59</v>
      </c>
      <c r="J335" s="7" t="s">
        <v>226</v>
      </c>
      <c r="K335" s="7" t="s">
        <v>227</v>
      </c>
      <c r="L335" s="7" t="s">
        <v>61</v>
      </c>
      <c r="M335" s="7">
        <v>10.75975</v>
      </c>
      <c r="N335" s="7">
        <v>13.967943999999999</v>
      </c>
      <c r="O335" s="7" t="s">
        <v>23</v>
      </c>
      <c r="P335" s="3"/>
      <c r="Q335" s="3"/>
      <c r="R335" s="3"/>
    </row>
    <row r="336" spans="1:18" x14ac:dyDescent="0.25">
      <c r="A336" s="2">
        <v>1482</v>
      </c>
      <c r="B336" s="7" t="s">
        <v>425</v>
      </c>
      <c r="C336" s="7" t="s">
        <v>426</v>
      </c>
      <c r="D336" s="7" t="s">
        <v>425</v>
      </c>
      <c r="E336" s="7" t="s">
        <v>16</v>
      </c>
      <c r="F336" s="7" t="s">
        <v>427</v>
      </c>
      <c r="G336" s="17" t="s">
        <v>7747</v>
      </c>
      <c r="H336" s="7" t="s">
        <v>28</v>
      </c>
      <c r="I336" s="7" t="s">
        <v>59</v>
      </c>
      <c r="J336" s="7" t="s">
        <v>226</v>
      </c>
      <c r="K336" s="7" t="s">
        <v>427</v>
      </c>
      <c r="L336" s="7" t="s">
        <v>61</v>
      </c>
      <c r="M336" s="7">
        <v>10.278333</v>
      </c>
      <c r="N336" s="7">
        <v>14.036917000000001</v>
      </c>
      <c r="O336" s="7" t="s">
        <v>23</v>
      </c>
      <c r="P336" s="3"/>
      <c r="Q336" s="3"/>
      <c r="R336" s="3"/>
    </row>
    <row r="337" spans="1:18" x14ac:dyDescent="0.25">
      <c r="A337" s="2">
        <v>1483</v>
      </c>
      <c r="B337" s="7" t="s">
        <v>460</v>
      </c>
      <c r="C337" s="7" t="s">
        <v>461</v>
      </c>
      <c r="D337" s="7" t="s">
        <v>460</v>
      </c>
      <c r="E337" s="7" t="s">
        <v>170</v>
      </c>
      <c r="F337" s="7" t="s">
        <v>462</v>
      </c>
      <c r="G337" s="17" t="s">
        <v>7747</v>
      </c>
      <c r="H337" s="7" t="s">
        <v>28</v>
      </c>
      <c r="I337" s="7" t="s">
        <v>172</v>
      </c>
      <c r="J337" s="7" t="s">
        <v>173</v>
      </c>
      <c r="K337" s="7" t="s">
        <v>174</v>
      </c>
      <c r="L337" s="7" t="s">
        <v>61</v>
      </c>
      <c r="M337" s="7">
        <v>10.89456</v>
      </c>
      <c r="N337" s="7">
        <v>13.89456</v>
      </c>
      <c r="O337" s="7" t="s">
        <v>23</v>
      </c>
      <c r="P337" s="3"/>
      <c r="Q337" s="3"/>
      <c r="R337" s="3"/>
    </row>
    <row r="338" spans="1:18" x14ac:dyDescent="0.25">
      <c r="A338" s="2">
        <v>1484</v>
      </c>
      <c r="B338" s="7" t="s">
        <v>463</v>
      </c>
      <c r="C338" s="7" t="s">
        <v>464</v>
      </c>
      <c r="D338" s="7" t="s">
        <v>463</v>
      </c>
      <c r="E338" s="7" t="s">
        <v>16</v>
      </c>
      <c r="F338" s="7" t="s">
        <v>465</v>
      </c>
      <c r="G338" s="17" t="s">
        <v>7747</v>
      </c>
      <c r="H338" s="7" t="s">
        <v>28</v>
      </c>
      <c r="I338" s="7" t="s">
        <v>59</v>
      </c>
      <c r="J338" s="7" t="s">
        <v>226</v>
      </c>
      <c r="K338" s="7" t="s">
        <v>466</v>
      </c>
      <c r="L338" s="7" t="s">
        <v>61</v>
      </c>
      <c r="M338" s="7">
        <v>10.42773</v>
      </c>
      <c r="N338" s="7">
        <v>13.566520000000001</v>
      </c>
      <c r="O338" s="7" t="s">
        <v>23</v>
      </c>
      <c r="P338" s="3"/>
      <c r="Q338" s="3"/>
      <c r="R338" s="3"/>
    </row>
    <row r="339" spans="1:18" x14ac:dyDescent="0.25">
      <c r="A339" s="2">
        <v>1485</v>
      </c>
      <c r="B339" s="7" t="s">
        <v>467</v>
      </c>
      <c r="C339" s="7" t="s">
        <v>468</v>
      </c>
      <c r="D339" s="7" t="s">
        <v>467</v>
      </c>
      <c r="E339" s="7" t="s">
        <v>16</v>
      </c>
      <c r="F339" s="7" t="s">
        <v>469</v>
      </c>
      <c r="G339" s="17" t="s">
        <v>7747</v>
      </c>
      <c r="H339" s="7" t="s">
        <v>28</v>
      </c>
      <c r="I339" s="7" t="s">
        <v>59</v>
      </c>
      <c r="J339" s="7" t="s">
        <v>70</v>
      </c>
      <c r="K339" s="7" t="s">
        <v>470</v>
      </c>
      <c r="L339" s="7" t="s">
        <v>61</v>
      </c>
      <c r="M339" s="7">
        <v>10.358115</v>
      </c>
      <c r="N339" s="7">
        <v>14.232395</v>
      </c>
      <c r="O339" s="7" t="s">
        <v>23</v>
      </c>
      <c r="P339" s="3"/>
      <c r="Q339" s="3"/>
      <c r="R339" s="3"/>
    </row>
    <row r="340" spans="1:18" x14ac:dyDescent="0.25">
      <c r="A340" s="2">
        <v>1486</v>
      </c>
      <c r="B340" s="7" t="s">
        <v>471</v>
      </c>
      <c r="C340" s="7" t="s">
        <v>472</v>
      </c>
      <c r="D340" s="7" t="s">
        <v>471</v>
      </c>
      <c r="E340" s="7" t="s">
        <v>16</v>
      </c>
      <c r="F340" s="7" t="s">
        <v>473</v>
      </c>
      <c r="G340" s="17" t="s">
        <v>7747</v>
      </c>
      <c r="H340" s="7" t="s">
        <v>28</v>
      </c>
      <c r="I340" s="7" t="s">
        <v>59</v>
      </c>
      <c r="J340" s="7" t="s">
        <v>70</v>
      </c>
      <c r="K340" s="7" t="s">
        <v>474</v>
      </c>
      <c r="L340" s="7" t="s">
        <v>61</v>
      </c>
      <c r="M340" s="7">
        <v>10.595139</v>
      </c>
      <c r="N340" s="7">
        <v>13.994444</v>
      </c>
      <c r="O340" s="7" t="s">
        <v>23</v>
      </c>
      <c r="P340" s="3"/>
      <c r="Q340" s="3"/>
      <c r="R340" s="3"/>
    </row>
    <row r="341" spans="1:18" x14ac:dyDescent="0.25">
      <c r="A341" s="2">
        <v>1487</v>
      </c>
      <c r="B341" s="7" t="s">
        <v>502</v>
      </c>
      <c r="C341" s="7" t="s">
        <v>503</v>
      </c>
      <c r="D341" s="7" t="s">
        <v>502</v>
      </c>
      <c r="E341" s="7" t="s">
        <v>16</v>
      </c>
      <c r="F341" s="7" t="s">
        <v>504</v>
      </c>
      <c r="G341" s="17" t="s">
        <v>7747</v>
      </c>
      <c r="H341" s="7" t="s">
        <v>28</v>
      </c>
      <c r="I341" s="7" t="s">
        <v>61</v>
      </c>
      <c r="J341" s="7" t="s">
        <v>505</v>
      </c>
      <c r="K341" s="7" t="s">
        <v>506</v>
      </c>
      <c r="L341" s="7" t="s">
        <v>61</v>
      </c>
      <c r="M341" s="7">
        <v>10.564</v>
      </c>
      <c r="N341" s="7">
        <v>14.271000000000001</v>
      </c>
      <c r="O341" s="7" t="s">
        <v>23</v>
      </c>
      <c r="P341" s="3"/>
      <c r="Q341" s="3"/>
      <c r="R341" s="3"/>
    </row>
    <row r="342" spans="1:18" x14ac:dyDescent="0.25">
      <c r="A342" s="2">
        <v>1488</v>
      </c>
      <c r="B342" s="7" t="s">
        <v>510</v>
      </c>
      <c r="C342" s="7" t="s">
        <v>511</v>
      </c>
      <c r="D342" s="7" t="s">
        <v>510</v>
      </c>
      <c r="E342" s="7" t="s">
        <v>16</v>
      </c>
      <c r="F342" s="7" t="s">
        <v>512</v>
      </c>
      <c r="G342" s="17" t="s">
        <v>7747</v>
      </c>
      <c r="H342" s="7" t="s">
        <v>28</v>
      </c>
      <c r="I342" s="7" t="s">
        <v>61</v>
      </c>
      <c r="J342" s="7" t="s">
        <v>513</v>
      </c>
      <c r="K342" s="7" t="s">
        <v>514</v>
      </c>
      <c r="L342" s="7" t="s">
        <v>61</v>
      </c>
      <c r="M342" s="7">
        <v>10.970418</v>
      </c>
      <c r="N342" s="7">
        <v>14.232792</v>
      </c>
      <c r="O342" s="7" t="s">
        <v>23</v>
      </c>
      <c r="P342" s="3"/>
      <c r="Q342" s="3"/>
      <c r="R342" s="3"/>
    </row>
    <row r="343" spans="1:18" x14ac:dyDescent="0.25">
      <c r="A343" s="2">
        <v>1489</v>
      </c>
      <c r="B343" s="7" t="s">
        <v>570</v>
      </c>
      <c r="C343" s="7" t="s">
        <v>571</v>
      </c>
      <c r="D343" s="7" t="s">
        <v>570</v>
      </c>
      <c r="E343" s="7" t="s">
        <v>16</v>
      </c>
      <c r="F343" s="7" t="s">
        <v>572</v>
      </c>
      <c r="G343" s="17" t="s">
        <v>7747</v>
      </c>
      <c r="H343" s="7" t="s">
        <v>28</v>
      </c>
      <c r="I343" s="7" t="s">
        <v>59</v>
      </c>
      <c r="J343" s="7" t="s">
        <v>226</v>
      </c>
      <c r="K343" s="7" t="s">
        <v>573</v>
      </c>
      <c r="L343" s="7" t="s">
        <v>61</v>
      </c>
      <c r="M343" s="7">
        <v>10.283970999999999</v>
      </c>
      <c r="N343" s="7">
        <v>13.867554999999999</v>
      </c>
      <c r="O343" s="7" t="s">
        <v>23</v>
      </c>
      <c r="P343" s="3"/>
      <c r="Q343" s="3"/>
      <c r="R343" s="3"/>
    </row>
    <row r="344" spans="1:18" x14ac:dyDescent="0.25">
      <c r="A344" s="2">
        <v>1490</v>
      </c>
      <c r="B344" s="7" t="s">
        <v>581</v>
      </c>
      <c r="C344" s="7" t="s">
        <v>582</v>
      </c>
      <c r="D344" s="7" t="s">
        <v>581</v>
      </c>
      <c r="E344" s="7" t="s">
        <v>16</v>
      </c>
      <c r="F344" s="7" t="s">
        <v>583</v>
      </c>
      <c r="G344" s="17" t="s">
        <v>7747</v>
      </c>
      <c r="H344" s="7" t="s">
        <v>28</v>
      </c>
      <c r="I344" s="7" t="s">
        <v>61</v>
      </c>
      <c r="J344" s="7" t="s">
        <v>505</v>
      </c>
      <c r="K344" s="7" t="s">
        <v>506</v>
      </c>
      <c r="L344" s="7" t="s">
        <v>61</v>
      </c>
      <c r="M344" s="7">
        <v>10.589971999999999</v>
      </c>
      <c r="N344" s="7">
        <v>14.324583000000001</v>
      </c>
      <c r="O344" s="7" t="s">
        <v>23</v>
      </c>
      <c r="P344" s="3"/>
      <c r="Q344" s="3"/>
      <c r="R344" s="3"/>
    </row>
    <row r="345" spans="1:18" x14ac:dyDescent="0.25">
      <c r="A345" s="2">
        <v>1491</v>
      </c>
      <c r="B345" s="7" t="s">
        <v>591</v>
      </c>
      <c r="C345" s="7" t="s">
        <v>592</v>
      </c>
      <c r="D345" s="7" t="s">
        <v>591</v>
      </c>
      <c r="E345" s="7" t="s">
        <v>170</v>
      </c>
      <c r="F345" s="7" t="s">
        <v>593</v>
      </c>
      <c r="G345" s="17" t="s">
        <v>7747</v>
      </c>
      <c r="H345" s="7" t="s">
        <v>28</v>
      </c>
      <c r="I345" s="7" t="s">
        <v>172</v>
      </c>
      <c r="J345" s="7" t="s">
        <v>173</v>
      </c>
      <c r="K345" s="7" t="s">
        <v>474</v>
      </c>
      <c r="L345" s="7" t="s">
        <v>61</v>
      </c>
      <c r="M345" s="7">
        <v>10.144028</v>
      </c>
      <c r="N345" s="7">
        <v>13.704943999999999</v>
      </c>
      <c r="O345" s="7" t="s">
        <v>23</v>
      </c>
      <c r="P345" s="3"/>
      <c r="Q345" s="3"/>
      <c r="R345" s="3"/>
    </row>
    <row r="346" spans="1:18" x14ac:dyDescent="0.25">
      <c r="A346" s="2">
        <v>1492</v>
      </c>
      <c r="B346" s="7" t="s">
        <v>617</v>
      </c>
      <c r="C346" s="7" t="s">
        <v>618</v>
      </c>
      <c r="D346" s="7" t="s">
        <v>617</v>
      </c>
      <c r="E346" s="7" t="s">
        <v>16</v>
      </c>
      <c r="F346" s="7" t="s">
        <v>619</v>
      </c>
      <c r="G346" s="17" t="s">
        <v>7747</v>
      </c>
      <c r="H346" s="7" t="s">
        <v>28</v>
      </c>
      <c r="I346" s="7" t="s">
        <v>59</v>
      </c>
      <c r="J346" s="7" t="s">
        <v>70</v>
      </c>
      <c r="K346" s="7" t="s">
        <v>620</v>
      </c>
      <c r="L346" s="7" t="s">
        <v>61</v>
      </c>
      <c r="M346" s="7">
        <v>10.106323</v>
      </c>
      <c r="N346" s="7">
        <v>14.185765999999999</v>
      </c>
      <c r="O346" s="7" t="s">
        <v>23</v>
      </c>
      <c r="P346" s="3"/>
      <c r="Q346" s="3"/>
      <c r="R346" s="3"/>
    </row>
    <row r="347" spans="1:18" x14ac:dyDescent="0.25">
      <c r="A347" s="2">
        <v>1493</v>
      </c>
      <c r="B347" s="7" t="s">
        <v>659</v>
      </c>
      <c r="C347" s="7" t="s">
        <v>660</v>
      </c>
      <c r="D347" s="7" t="s">
        <v>659</v>
      </c>
      <c r="E347" s="7" t="s">
        <v>16</v>
      </c>
      <c r="F347" s="7" t="s">
        <v>661</v>
      </c>
      <c r="G347" s="17" t="s">
        <v>7747</v>
      </c>
      <c r="H347" s="7" t="s">
        <v>28</v>
      </c>
      <c r="I347" s="7" t="s">
        <v>59</v>
      </c>
      <c r="J347" s="7" t="s">
        <v>70</v>
      </c>
      <c r="K347" s="7" t="s">
        <v>662</v>
      </c>
      <c r="L347" s="7" t="s">
        <v>61</v>
      </c>
      <c r="M347" s="7">
        <v>10.177004999999999</v>
      </c>
      <c r="N347" s="7">
        <v>14.511312</v>
      </c>
      <c r="O347" s="7" t="s">
        <v>23</v>
      </c>
      <c r="P347" s="3"/>
      <c r="Q347" s="3"/>
      <c r="R347" s="3"/>
    </row>
    <row r="348" spans="1:18" x14ac:dyDescent="0.25">
      <c r="A348" s="2">
        <v>1494</v>
      </c>
      <c r="B348" s="7" t="s">
        <v>699</v>
      </c>
      <c r="C348" s="7" t="s">
        <v>700</v>
      </c>
      <c r="D348" s="7" t="s">
        <v>699</v>
      </c>
      <c r="E348" s="7" t="s">
        <v>16</v>
      </c>
      <c r="F348" s="7" t="s">
        <v>701</v>
      </c>
      <c r="G348" s="17" t="s">
        <v>7747</v>
      </c>
      <c r="H348" s="7" t="s">
        <v>28</v>
      </c>
      <c r="I348" s="7" t="s">
        <v>59</v>
      </c>
      <c r="J348" s="7" t="s">
        <v>226</v>
      </c>
      <c r="K348" s="7" t="s">
        <v>466</v>
      </c>
      <c r="L348" s="7" t="s">
        <v>61</v>
      </c>
      <c r="M348" s="7">
        <v>10.568894</v>
      </c>
      <c r="N348" s="7">
        <v>13.663093999999999</v>
      </c>
      <c r="O348" s="7" t="s">
        <v>23</v>
      </c>
      <c r="P348" s="3"/>
      <c r="Q348" s="3"/>
      <c r="R348" s="3"/>
    </row>
    <row r="349" spans="1:18" x14ac:dyDescent="0.25">
      <c r="A349" s="2">
        <v>1495</v>
      </c>
      <c r="B349" s="7" t="s">
        <v>716</v>
      </c>
      <c r="C349" s="7" t="s">
        <v>717</v>
      </c>
      <c r="D349" s="7" t="s">
        <v>716</v>
      </c>
      <c r="E349" s="7" t="s">
        <v>16</v>
      </c>
      <c r="F349" s="7" t="s">
        <v>718</v>
      </c>
      <c r="G349" s="17" t="s">
        <v>7747</v>
      </c>
      <c r="H349" s="7" t="s">
        <v>28</v>
      </c>
      <c r="I349" s="7" t="s">
        <v>59</v>
      </c>
      <c r="J349" s="7" t="s">
        <v>60</v>
      </c>
      <c r="K349" s="7" t="s">
        <v>718</v>
      </c>
      <c r="L349" s="7" t="s">
        <v>61</v>
      </c>
      <c r="M349" s="7">
        <v>10.290722000000001</v>
      </c>
      <c r="N349" s="7">
        <v>14.929278</v>
      </c>
      <c r="O349" s="7" t="s">
        <v>23</v>
      </c>
      <c r="P349" s="3"/>
      <c r="Q349" s="3"/>
      <c r="R349" s="3"/>
    </row>
    <row r="350" spans="1:18" x14ac:dyDescent="0.25">
      <c r="A350" s="2">
        <v>1496</v>
      </c>
      <c r="B350" s="7" t="s">
        <v>734</v>
      </c>
      <c r="C350" s="7" t="s">
        <v>735</v>
      </c>
      <c r="D350" s="7" t="s">
        <v>734</v>
      </c>
      <c r="E350" s="7" t="s">
        <v>16</v>
      </c>
      <c r="F350" s="7" t="s">
        <v>736</v>
      </c>
      <c r="G350" s="17" t="s">
        <v>7747</v>
      </c>
      <c r="H350" s="7" t="s">
        <v>28</v>
      </c>
      <c r="I350" s="7" t="s">
        <v>59</v>
      </c>
      <c r="J350" s="7" t="s">
        <v>226</v>
      </c>
      <c r="K350" s="7" t="s">
        <v>737</v>
      </c>
      <c r="L350" s="7" t="s">
        <v>61</v>
      </c>
      <c r="M350" s="7">
        <v>10.339729999999999</v>
      </c>
      <c r="N350" s="7">
        <v>13.5503</v>
      </c>
      <c r="O350" s="7" t="s">
        <v>23</v>
      </c>
      <c r="P350" s="3"/>
      <c r="Q350" s="3"/>
      <c r="R350" s="3"/>
    </row>
    <row r="351" spans="1:18" x14ac:dyDescent="0.25">
      <c r="A351" s="2">
        <v>1497</v>
      </c>
      <c r="B351" s="7" t="s">
        <v>738</v>
      </c>
      <c r="C351" s="7" t="s">
        <v>739</v>
      </c>
      <c r="D351" s="7" t="s">
        <v>738</v>
      </c>
      <c r="E351" s="7" t="s">
        <v>16</v>
      </c>
      <c r="F351" s="7" t="s">
        <v>740</v>
      </c>
      <c r="G351" s="17" t="s">
        <v>7747</v>
      </c>
      <c r="H351" s="7" t="s">
        <v>28</v>
      </c>
      <c r="I351" s="7" t="s">
        <v>59</v>
      </c>
      <c r="J351" s="7" t="s">
        <v>60</v>
      </c>
      <c r="K351" s="7" t="s">
        <v>741</v>
      </c>
      <c r="L351" s="7" t="s">
        <v>61</v>
      </c>
      <c r="M351" s="7">
        <v>10.028869</v>
      </c>
      <c r="N351" s="7">
        <v>15.262480999999999</v>
      </c>
      <c r="O351" s="7" t="s">
        <v>23</v>
      </c>
      <c r="P351" s="3"/>
      <c r="Q351" s="3"/>
      <c r="R351" s="3"/>
    </row>
    <row r="352" spans="1:18" x14ac:dyDescent="0.25">
      <c r="A352" s="2">
        <v>1498</v>
      </c>
      <c r="B352" s="7" t="s">
        <v>742</v>
      </c>
      <c r="C352" s="7" t="s">
        <v>743</v>
      </c>
      <c r="D352" s="7" t="s">
        <v>742</v>
      </c>
      <c r="E352" s="7" t="s">
        <v>16</v>
      </c>
      <c r="F352" s="7" t="s">
        <v>741</v>
      </c>
      <c r="G352" s="17" t="s">
        <v>7747</v>
      </c>
      <c r="H352" s="7" t="s">
        <v>28</v>
      </c>
      <c r="I352" s="7" t="s">
        <v>59</v>
      </c>
      <c r="J352" s="7" t="s">
        <v>60</v>
      </c>
      <c r="K352" s="7" t="s">
        <v>741</v>
      </c>
      <c r="L352" s="7" t="s">
        <v>61</v>
      </c>
      <c r="M352" s="7">
        <v>10.022746</v>
      </c>
      <c r="N352" s="7">
        <v>15.253399999999999</v>
      </c>
      <c r="O352" s="7" t="s">
        <v>23</v>
      </c>
      <c r="P352" s="3"/>
      <c r="Q352" s="3"/>
      <c r="R352" s="3"/>
    </row>
    <row r="353" spans="1:18" x14ac:dyDescent="0.25">
      <c r="A353" s="2">
        <v>1499</v>
      </c>
      <c r="B353" s="7" t="s">
        <v>755</v>
      </c>
      <c r="C353" s="7" t="s">
        <v>756</v>
      </c>
      <c r="D353" s="7" t="s">
        <v>755</v>
      </c>
      <c r="E353" s="7" t="s">
        <v>16</v>
      </c>
      <c r="F353" s="7" t="s">
        <v>757</v>
      </c>
      <c r="G353" s="17" t="s">
        <v>7747</v>
      </c>
      <c r="H353" s="7" t="s">
        <v>28</v>
      </c>
      <c r="I353" s="7" t="s">
        <v>59</v>
      </c>
      <c r="J353" s="7" t="s">
        <v>226</v>
      </c>
      <c r="K353" s="7" t="s">
        <v>573</v>
      </c>
      <c r="L353" s="7" t="s">
        <v>61</v>
      </c>
      <c r="M353" s="7">
        <v>10.296290000000001</v>
      </c>
      <c r="N353" s="7">
        <v>13.751669</v>
      </c>
      <c r="O353" s="7" t="s">
        <v>23</v>
      </c>
      <c r="P353" s="3"/>
      <c r="Q353" s="3"/>
      <c r="R353" s="3"/>
    </row>
    <row r="354" spans="1:18" x14ac:dyDescent="0.25">
      <c r="A354" s="2">
        <v>1500</v>
      </c>
      <c r="B354" s="7" t="s">
        <v>777</v>
      </c>
      <c r="C354" s="7" t="s">
        <v>778</v>
      </c>
      <c r="D354" s="7" t="s">
        <v>777</v>
      </c>
      <c r="E354" s="7" t="s">
        <v>16</v>
      </c>
      <c r="F354" s="7" t="s">
        <v>779</v>
      </c>
      <c r="G354" s="17" t="s">
        <v>7747</v>
      </c>
      <c r="H354" s="7" t="s">
        <v>28</v>
      </c>
      <c r="I354" s="7" t="s">
        <v>59</v>
      </c>
      <c r="J354" s="7" t="s">
        <v>226</v>
      </c>
      <c r="K354" s="7" t="s">
        <v>573</v>
      </c>
      <c r="L354" s="7" t="s">
        <v>61</v>
      </c>
      <c r="M354" s="7">
        <v>10.273361</v>
      </c>
      <c r="N354" s="7">
        <v>13.892944999999999</v>
      </c>
      <c r="O354" s="7" t="s">
        <v>23</v>
      </c>
      <c r="P354" s="3"/>
      <c r="Q354" s="3"/>
      <c r="R354" s="3"/>
    </row>
    <row r="355" spans="1:18" x14ac:dyDescent="0.25">
      <c r="A355" s="2">
        <v>1501</v>
      </c>
      <c r="B355" s="7" t="s">
        <v>844</v>
      </c>
      <c r="C355" s="7" t="s">
        <v>845</v>
      </c>
      <c r="D355" s="7" t="s">
        <v>844</v>
      </c>
      <c r="E355" s="7" t="s">
        <v>16</v>
      </c>
      <c r="F355" s="7" t="s">
        <v>846</v>
      </c>
      <c r="G355" s="17" t="s">
        <v>7747</v>
      </c>
      <c r="H355" s="7" t="s">
        <v>28</v>
      </c>
      <c r="I355" s="7" t="s">
        <v>59</v>
      </c>
      <c r="J355" s="7" t="s">
        <v>70</v>
      </c>
      <c r="K355" s="7" t="s">
        <v>846</v>
      </c>
      <c r="L355" s="7" t="s">
        <v>61</v>
      </c>
      <c r="M355" s="7">
        <v>10.010778</v>
      </c>
      <c r="N355" s="7">
        <v>14.782527999999999</v>
      </c>
      <c r="O355" s="7" t="s">
        <v>23</v>
      </c>
      <c r="P355" s="3"/>
      <c r="Q355" s="3"/>
      <c r="R355" s="3"/>
    </row>
    <row r="356" spans="1:18" x14ac:dyDescent="0.25">
      <c r="A356" s="2">
        <v>1502</v>
      </c>
      <c r="B356" s="7" t="s">
        <v>851</v>
      </c>
      <c r="C356" s="7" t="s">
        <v>852</v>
      </c>
      <c r="D356" s="7" t="s">
        <v>851</v>
      </c>
      <c r="E356" s="7" t="s">
        <v>170</v>
      </c>
      <c r="F356" s="7" t="s">
        <v>853</v>
      </c>
      <c r="G356" s="17" t="s">
        <v>7747</v>
      </c>
      <c r="H356" s="7" t="s">
        <v>28</v>
      </c>
      <c r="I356" s="7" t="s">
        <v>172</v>
      </c>
      <c r="J356" s="7" t="s">
        <v>173</v>
      </c>
      <c r="K356" s="7" t="s">
        <v>174</v>
      </c>
      <c r="L356" s="7" t="s">
        <v>61</v>
      </c>
      <c r="M356" s="7">
        <v>10.098383999999999</v>
      </c>
      <c r="N356" s="7">
        <v>13.756466</v>
      </c>
      <c r="O356" s="7" t="s">
        <v>23</v>
      </c>
      <c r="P356" s="3"/>
      <c r="Q356" s="3"/>
      <c r="R356" s="3"/>
    </row>
    <row r="357" spans="1:18" x14ac:dyDescent="0.25">
      <c r="A357" s="2">
        <v>1503</v>
      </c>
      <c r="B357" s="7" t="s">
        <v>867</v>
      </c>
      <c r="C357" s="7" t="s">
        <v>868</v>
      </c>
      <c r="D357" s="7" t="s">
        <v>867</v>
      </c>
      <c r="E357" s="7" t="s">
        <v>16</v>
      </c>
      <c r="F357" s="7" t="s">
        <v>869</v>
      </c>
      <c r="G357" s="17" t="s">
        <v>7747</v>
      </c>
      <c r="H357" s="7" t="s">
        <v>28</v>
      </c>
      <c r="I357" s="7" t="s">
        <v>59</v>
      </c>
      <c r="J357" s="7" t="s">
        <v>60</v>
      </c>
      <c r="K357" s="7" t="s">
        <v>870</v>
      </c>
      <c r="L357" s="7" t="s">
        <v>61</v>
      </c>
      <c r="M357" s="7">
        <v>10.567206000000001</v>
      </c>
      <c r="N357" s="7">
        <v>15.135158000000001</v>
      </c>
      <c r="O357" s="7" t="s">
        <v>23</v>
      </c>
      <c r="P357" s="3"/>
      <c r="Q357" s="3"/>
      <c r="R357" s="3"/>
    </row>
    <row r="358" spans="1:18" x14ac:dyDescent="0.25">
      <c r="A358" s="2">
        <v>1504</v>
      </c>
      <c r="B358" s="7" t="s">
        <v>874</v>
      </c>
      <c r="C358" s="7" t="s">
        <v>875</v>
      </c>
      <c r="D358" s="7" t="s">
        <v>874</v>
      </c>
      <c r="E358" s="7" t="s">
        <v>16</v>
      </c>
      <c r="F358" s="7" t="s">
        <v>876</v>
      </c>
      <c r="G358" s="17" t="s">
        <v>7747</v>
      </c>
      <c r="H358" s="7" t="s">
        <v>28</v>
      </c>
      <c r="I358" s="7" t="s">
        <v>61</v>
      </c>
      <c r="J358" s="7" t="s">
        <v>505</v>
      </c>
      <c r="K358" s="7" t="s">
        <v>877</v>
      </c>
      <c r="L358" s="7" t="s">
        <v>61</v>
      </c>
      <c r="M358" s="7">
        <v>10.794422000000001</v>
      </c>
      <c r="N358" s="7">
        <v>14.311173</v>
      </c>
      <c r="O358" s="7" t="s">
        <v>23</v>
      </c>
      <c r="P358" s="3"/>
      <c r="Q358" s="3"/>
      <c r="R358" s="3"/>
    </row>
    <row r="359" spans="1:18" x14ac:dyDescent="0.25">
      <c r="A359" s="2">
        <v>1505</v>
      </c>
      <c r="B359" s="7" t="s">
        <v>933</v>
      </c>
      <c r="C359" s="7" t="s">
        <v>934</v>
      </c>
      <c r="D359" s="7" t="s">
        <v>933</v>
      </c>
      <c r="E359" s="7" t="s">
        <v>16</v>
      </c>
      <c r="F359" s="7" t="s">
        <v>935</v>
      </c>
      <c r="G359" s="17" t="s">
        <v>7747</v>
      </c>
      <c r="H359" s="7" t="s">
        <v>28</v>
      </c>
      <c r="I359" s="7" t="s">
        <v>59</v>
      </c>
      <c r="J359" s="7" t="s">
        <v>60</v>
      </c>
      <c r="K359" s="7" t="s">
        <v>936</v>
      </c>
      <c r="L359" s="7" t="s">
        <v>61</v>
      </c>
      <c r="M359" s="7">
        <v>10.06081</v>
      </c>
      <c r="N359" s="7">
        <v>15.526540000000001</v>
      </c>
      <c r="O359" s="7" t="s">
        <v>23</v>
      </c>
      <c r="P359" s="3"/>
      <c r="Q359" s="3"/>
      <c r="R359" s="3"/>
    </row>
    <row r="360" spans="1:18" x14ac:dyDescent="0.25">
      <c r="A360" s="2">
        <v>1506</v>
      </c>
      <c r="B360" s="7" t="s">
        <v>937</v>
      </c>
      <c r="C360" s="7" t="s">
        <v>938</v>
      </c>
      <c r="D360" s="7" t="s">
        <v>937</v>
      </c>
      <c r="E360" s="7" t="s">
        <v>170</v>
      </c>
      <c r="F360" s="7" t="s">
        <v>939</v>
      </c>
      <c r="G360" s="17" t="s">
        <v>7747</v>
      </c>
      <c r="H360" s="7" t="s">
        <v>28</v>
      </c>
      <c r="I360" s="7" t="s">
        <v>61</v>
      </c>
      <c r="J360" s="7" t="s">
        <v>173</v>
      </c>
      <c r="K360" s="7" t="s">
        <v>174</v>
      </c>
      <c r="L360" s="7" t="s">
        <v>61</v>
      </c>
      <c r="M360" s="7">
        <v>9.9999870000000008</v>
      </c>
      <c r="N360" s="7">
        <v>14.173457000000001</v>
      </c>
      <c r="O360" s="7" t="s">
        <v>23</v>
      </c>
      <c r="P360" s="3"/>
      <c r="Q360" s="3"/>
      <c r="R360" s="3"/>
    </row>
    <row r="361" spans="1:18" x14ac:dyDescent="0.25">
      <c r="A361" s="2">
        <v>1507</v>
      </c>
      <c r="B361" s="7" t="s">
        <v>983</v>
      </c>
      <c r="C361" s="7" t="s">
        <v>984</v>
      </c>
      <c r="D361" s="7" t="s">
        <v>983</v>
      </c>
      <c r="E361" s="7" t="s">
        <v>170</v>
      </c>
      <c r="F361" s="7" t="s">
        <v>985</v>
      </c>
      <c r="G361" s="17" t="s">
        <v>7747</v>
      </c>
      <c r="H361" s="7" t="s">
        <v>19</v>
      </c>
      <c r="I361" s="7" t="s">
        <v>172</v>
      </c>
      <c r="J361" s="7" t="s">
        <v>173</v>
      </c>
      <c r="K361" s="7" t="s">
        <v>803</v>
      </c>
      <c r="L361" s="7" t="s">
        <v>61</v>
      </c>
      <c r="M361" s="7">
        <v>9.9139099999999996</v>
      </c>
      <c r="N361" s="7">
        <v>14.08046</v>
      </c>
      <c r="O361" s="7" t="s">
        <v>23</v>
      </c>
      <c r="P361" s="3"/>
      <c r="Q361" s="3"/>
      <c r="R361" s="3"/>
    </row>
    <row r="362" spans="1:18" x14ac:dyDescent="0.25">
      <c r="A362" s="2">
        <v>1508</v>
      </c>
      <c r="B362" s="7" t="s">
        <v>1033</v>
      </c>
      <c r="C362" s="7" t="s">
        <v>1034</v>
      </c>
      <c r="D362" s="7" t="s">
        <v>1033</v>
      </c>
      <c r="E362" s="7" t="s">
        <v>16</v>
      </c>
      <c r="F362" s="7" t="s">
        <v>1035</v>
      </c>
      <c r="G362" s="17" t="s">
        <v>7747</v>
      </c>
      <c r="H362" s="7" t="s">
        <v>28</v>
      </c>
      <c r="I362" s="7" t="s">
        <v>59</v>
      </c>
      <c r="J362" s="7" t="s">
        <v>226</v>
      </c>
      <c r="K362" s="7" t="s">
        <v>466</v>
      </c>
      <c r="L362" s="7" t="s">
        <v>61</v>
      </c>
      <c r="M362" s="7">
        <v>10.583349999999999</v>
      </c>
      <c r="N362" s="7">
        <v>13.76606</v>
      </c>
      <c r="O362" s="7" t="s">
        <v>23</v>
      </c>
      <c r="P362" s="3"/>
      <c r="Q362" s="3"/>
      <c r="R362" s="3"/>
    </row>
    <row r="363" spans="1:18" x14ac:dyDescent="0.25">
      <c r="A363" s="2">
        <v>1509</v>
      </c>
      <c r="B363" s="7" t="s">
        <v>1060</v>
      </c>
      <c r="C363" s="7" t="s">
        <v>1061</v>
      </c>
      <c r="D363" s="7" t="s">
        <v>1060</v>
      </c>
      <c r="E363" s="7" t="s">
        <v>16</v>
      </c>
      <c r="F363" s="7" t="s">
        <v>1062</v>
      </c>
      <c r="G363" s="17" t="s">
        <v>7747</v>
      </c>
      <c r="H363" s="7" t="s">
        <v>28</v>
      </c>
      <c r="I363" s="7" t="s">
        <v>59</v>
      </c>
      <c r="J363" s="7" t="s">
        <v>60</v>
      </c>
      <c r="K363" s="7" t="s">
        <v>59</v>
      </c>
      <c r="L363" s="7" t="s">
        <v>61</v>
      </c>
      <c r="M363" s="7">
        <v>10.226008</v>
      </c>
      <c r="N363" s="7">
        <v>15.319925</v>
      </c>
      <c r="O363" s="7" t="s">
        <v>23</v>
      </c>
      <c r="P363" s="3"/>
      <c r="Q363" s="3"/>
      <c r="R363" s="3"/>
    </row>
    <row r="364" spans="1:18" x14ac:dyDescent="0.25">
      <c r="A364" s="2">
        <v>1510</v>
      </c>
      <c r="B364" s="7" t="s">
        <v>1153</v>
      </c>
      <c r="C364" s="7" t="s">
        <v>1154</v>
      </c>
      <c r="D364" s="7" t="s">
        <v>1153</v>
      </c>
      <c r="E364" s="7" t="s">
        <v>16</v>
      </c>
      <c r="F364" s="7" t="s">
        <v>1155</v>
      </c>
      <c r="G364" s="17" t="s">
        <v>7747</v>
      </c>
      <c r="H364" s="7" t="s">
        <v>28</v>
      </c>
      <c r="I364" s="7" t="s">
        <v>59</v>
      </c>
      <c r="J364" s="7" t="s">
        <v>70</v>
      </c>
      <c r="K364" s="7" t="s">
        <v>1156</v>
      </c>
      <c r="L364" s="7" t="s">
        <v>61</v>
      </c>
      <c r="M364" s="7">
        <v>10.334054999999999</v>
      </c>
      <c r="N364" s="7">
        <v>14.66319</v>
      </c>
      <c r="O364" s="7" t="s">
        <v>23</v>
      </c>
      <c r="P364" s="3"/>
      <c r="Q364" s="3"/>
      <c r="R364" s="3"/>
    </row>
    <row r="365" spans="1:18" x14ac:dyDescent="0.25">
      <c r="A365" s="2">
        <v>1511</v>
      </c>
      <c r="B365" s="7" t="s">
        <v>1171</v>
      </c>
      <c r="C365" s="7" t="s">
        <v>1172</v>
      </c>
      <c r="D365" s="7" t="s">
        <v>1171</v>
      </c>
      <c r="E365" s="7" t="s">
        <v>16</v>
      </c>
      <c r="F365" s="7" t="s">
        <v>1173</v>
      </c>
      <c r="G365" s="17" t="s">
        <v>7747</v>
      </c>
      <c r="H365" s="7" t="s">
        <v>28</v>
      </c>
      <c r="I365" s="7" t="s">
        <v>61</v>
      </c>
      <c r="J365" s="7" t="s">
        <v>1174</v>
      </c>
      <c r="K365" s="7" t="s">
        <v>514</v>
      </c>
      <c r="L365" s="7" t="s">
        <v>61</v>
      </c>
      <c r="M365" s="7">
        <v>11.246333</v>
      </c>
      <c r="N365" s="7">
        <v>14.141222000000001</v>
      </c>
      <c r="O365" s="7" t="s">
        <v>23</v>
      </c>
      <c r="P365" s="3"/>
      <c r="Q365" s="3"/>
      <c r="R365" s="3"/>
    </row>
    <row r="366" spans="1:18" x14ac:dyDescent="0.25">
      <c r="A366" s="2">
        <v>1512</v>
      </c>
      <c r="B366" s="7" t="s">
        <v>1210</v>
      </c>
      <c r="C366" s="7" t="s">
        <v>1211</v>
      </c>
      <c r="D366" s="7" t="s">
        <v>1210</v>
      </c>
      <c r="E366" s="7" t="s">
        <v>16</v>
      </c>
      <c r="F366" s="7" t="s">
        <v>1212</v>
      </c>
      <c r="G366" s="17" t="s">
        <v>7747</v>
      </c>
      <c r="H366" s="7" t="s">
        <v>28</v>
      </c>
      <c r="I366" s="7" t="s">
        <v>59</v>
      </c>
      <c r="J366" s="7" t="s">
        <v>226</v>
      </c>
      <c r="K366" s="7" t="s">
        <v>573</v>
      </c>
      <c r="L366" s="7" t="s">
        <v>61</v>
      </c>
      <c r="M366" s="7">
        <v>10.250033999999999</v>
      </c>
      <c r="N366" s="7">
        <v>13.916611</v>
      </c>
      <c r="O366" s="7" t="s">
        <v>23</v>
      </c>
      <c r="P366" s="3"/>
      <c r="Q366" s="3"/>
      <c r="R366" s="3"/>
    </row>
    <row r="367" spans="1:18" x14ac:dyDescent="0.25">
      <c r="A367" s="2">
        <v>1513</v>
      </c>
      <c r="B367" s="7" t="s">
        <v>1213</v>
      </c>
      <c r="C367" s="7" t="s">
        <v>1214</v>
      </c>
      <c r="D367" s="7" t="s">
        <v>1213</v>
      </c>
      <c r="E367" s="7" t="s">
        <v>16</v>
      </c>
      <c r="F367" s="7" t="s">
        <v>1215</v>
      </c>
      <c r="G367" s="17" t="s">
        <v>7747</v>
      </c>
      <c r="H367" s="7" t="s">
        <v>28</v>
      </c>
      <c r="I367" s="7" t="s">
        <v>59</v>
      </c>
      <c r="J367" s="7" t="s">
        <v>226</v>
      </c>
      <c r="K367" s="7" t="s">
        <v>474</v>
      </c>
      <c r="L367" s="7" t="s">
        <v>61</v>
      </c>
      <c r="M367" s="7">
        <v>10.713881000000001</v>
      </c>
      <c r="N367" s="7">
        <v>13.82799</v>
      </c>
      <c r="O367" s="7" t="s">
        <v>23</v>
      </c>
      <c r="P367" s="3"/>
      <c r="Q367" s="3"/>
      <c r="R367" s="3"/>
    </row>
    <row r="368" spans="1:18" x14ac:dyDescent="0.25">
      <c r="A368" s="2">
        <v>1514</v>
      </c>
      <c r="B368" s="7" t="s">
        <v>1216</v>
      </c>
      <c r="C368" s="7" t="s">
        <v>1217</v>
      </c>
      <c r="D368" s="7" t="s">
        <v>1216</v>
      </c>
      <c r="E368" s="7" t="s">
        <v>16</v>
      </c>
      <c r="F368" s="7" t="s">
        <v>1218</v>
      </c>
      <c r="G368" s="17" t="s">
        <v>7747</v>
      </c>
      <c r="H368" s="7" t="s">
        <v>28</v>
      </c>
      <c r="I368" s="7" t="s">
        <v>59</v>
      </c>
      <c r="J368" s="7" t="s">
        <v>226</v>
      </c>
      <c r="K368" s="7" t="s">
        <v>474</v>
      </c>
      <c r="L368" s="7" t="s">
        <v>61</v>
      </c>
      <c r="M368" s="7">
        <v>10.487731</v>
      </c>
      <c r="N368" s="7">
        <v>13.953222999999999</v>
      </c>
      <c r="O368" s="7" t="s">
        <v>23</v>
      </c>
      <c r="P368" s="3"/>
      <c r="Q368" s="3"/>
      <c r="R368" s="3"/>
    </row>
    <row r="369" spans="1:18" x14ac:dyDescent="0.25">
      <c r="A369" s="2">
        <v>1515</v>
      </c>
      <c r="B369" s="7" t="s">
        <v>1219</v>
      </c>
      <c r="C369" s="7" t="s">
        <v>1220</v>
      </c>
      <c r="D369" s="7" t="s">
        <v>1219</v>
      </c>
      <c r="E369" s="7" t="s">
        <v>16</v>
      </c>
      <c r="F369" s="7" t="s">
        <v>1221</v>
      </c>
      <c r="G369" s="17" t="s">
        <v>7747</v>
      </c>
      <c r="H369" s="7" t="s">
        <v>28</v>
      </c>
      <c r="I369" s="7" t="s">
        <v>59</v>
      </c>
      <c r="J369" s="7" t="s">
        <v>70</v>
      </c>
      <c r="K369" s="7" t="s">
        <v>620</v>
      </c>
      <c r="L369" s="7" t="s">
        <v>61</v>
      </c>
      <c r="M369" s="7">
        <v>10.04734</v>
      </c>
      <c r="N369" s="7">
        <v>14.521877999999999</v>
      </c>
      <c r="O369" s="7" t="s">
        <v>23</v>
      </c>
      <c r="P369" s="3"/>
      <c r="Q369" s="3"/>
      <c r="R369" s="3"/>
    </row>
    <row r="370" spans="1:18" x14ac:dyDescent="0.25">
      <c r="A370" s="2">
        <v>1516</v>
      </c>
      <c r="B370" s="7" t="s">
        <v>1234</v>
      </c>
      <c r="C370" s="7" t="s">
        <v>1235</v>
      </c>
      <c r="D370" s="7" t="s">
        <v>1234</v>
      </c>
      <c r="E370" s="7" t="s">
        <v>16</v>
      </c>
      <c r="F370" s="7" t="s">
        <v>1236</v>
      </c>
      <c r="G370" s="17" t="s">
        <v>7747</v>
      </c>
      <c r="H370" s="7" t="s">
        <v>28</v>
      </c>
      <c r="I370" s="7" t="s">
        <v>59</v>
      </c>
      <c r="J370" s="7" t="s">
        <v>226</v>
      </c>
      <c r="K370" s="7" t="s">
        <v>474</v>
      </c>
      <c r="L370" s="7" t="s">
        <v>61</v>
      </c>
      <c r="M370" s="7">
        <v>10.560693000000001</v>
      </c>
      <c r="N370" s="7">
        <v>13.850013000000001</v>
      </c>
      <c r="O370" s="7" t="s">
        <v>23</v>
      </c>
      <c r="P370" s="3"/>
      <c r="Q370" s="3"/>
      <c r="R370" s="3"/>
    </row>
    <row r="371" spans="1:18" x14ac:dyDescent="0.25">
      <c r="A371" s="2">
        <v>1517</v>
      </c>
      <c r="B371" s="7" t="s">
        <v>1247</v>
      </c>
      <c r="C371" s="7" t="s">
        <v>1248</v>
      </c>
      <c r="D371" s="7" t="s">
        <v>1247</v>
      </c>
      <c r="E371" s="7" t="s">
        <v>16</v>
      </c>
      <c r="F371" s="7" t="s">
        <v>1249</v>
      </c>
      <c r="G371" s="17" t="s">
        <v>7747</v>
      </c>
      <c r="H371" s="7" t="s">
        <v>28</v>
      </c>
      <c r="I371" s="7" t="s">
        <v>61</v>
      </c>
      <c r="J371" s="7" t="s">
        <v>505</v>
      </c>
      <c r="K371" s="7" t="s">
        <v>506</v>
      </c>
      <c r="L371" s="7" t="s">
        <v>61</v>
      </c>
      <c r="M371" s="7">
        <v>10.597708000000001</v>
      </c>
      <c r="N371" s="7">
        <v>14.305595</v>
      </c>
      <c r="O371" s="7" t="s">
        <v>23</v>
      </c>
      <c r="P371" s="3"/>
      <c r="Q371" s="3"/>
      <c r="R371" s="3"/>
    </row>
    <row r="372" spans="1:18" x14ac:dyDescent="0.25">
      <c r="A372" s="2">
        <v>1518</v>
      </c>
      <c r="B372" s="7" t="s">
        <v>1250</v>
      </c>
      <c r="C372" s="7" t="s">
        <v>1251</v>
      </c>
      <c r="D372" s="7" t="s">
        <v>1250</v>
      </c>
      <c r="E372" s="7" t="s">
        <v>16</v>
      </c>
      <c r="F372" s="7" t="s">
        <v>1252</v>
      </c>
      <c r="G372" s="17" t="s">
        <v>7747</v>
      </c>
      <c r="H372" s="7" t="s">
        <v>28</v>
      </c>
      <c r="I372" s="7" t="s">
        <v>61</v>
      </c>
      <c r="J372" s="7" t="s">
        <v>505</v>
      </c>
      <c r="K372" s="7" t="s">
        <v>1253</v>
      </c>
      <c r="L372" s="7" t="s">
        <v>61</v>
      </c>
      <c r="M372" s="7">
        <v>10.606389999999999</v>
      </c>
      <c r="N372" s="7">
        <v>14.352209999999999</v>
      </c>
      <c r="O372" s="7" t="s">
        <v>23</v>
      </c>
      <c r="P372" s="3"/>
      <c r="Q372" s="3"/>
      <c r="R372" s="3"/>
    </row>
    <row r="373" spans="1:18" x14ac:dyDescent="0.25">
      <c r="A373" s="2">
        <v>1519</v>
      </c>
      <c r="B373" s="7" t="s">
        <v>1254</v>
      </c>
      <c r="C373" s="7" t="s">
        <v>1255</v>
      </c>
      <c r="D373" s="7" t="s">
        <v>1254</v>
      </c>
      <c r="E373" s="7" t="s">
        <v>16</v>
      </c>
      <c r="F373" s="7" t="s">
        <v>1256</v>
      </c>
      <c r="G373" s="17" t="s">
        <v>7747</v>
      </c>
      <c r="H373" s="7" t="s">
        <v>28</v>
      </c>
      <c r="I373" s="7" t="s">
        <v>61</v>
      </c>
      <c r="J373" s="7" t="s">
        <v>505</v>
      </c>
      <c r="K373" s="7" t="s">
        <v>1253</v>
      </c>
      <c r="L373" s="7" t="s">
        <v>61</v>
      </c>
      <c r="M373" s="7">
        <v>10.614827999999999</v>
      </c>
      <c r="N373" s="7">
        <v>14.366872000000001</v>
      </c>
      <c r="O373" s="7" t="s">
        <v>23</v>
      </c>
      <c r="P373" s="3"/>
      <c r="Q373" s="3"/>
      <c r="R373" s="3"/>
    </row>
    <row r="374" spans="1:18" x14ac:dyDescent="0.25">
      <c r="A374" s="2">
        <v>1520</v>
      </c>
      <c r="B374" s="7" t="s">
        <v>1269</v>
      </c>
      <c r="C374" s="7" t="s">
        <v>1270</v>
      </c>
      <c r="D374" s="7" t="s">
        <v>1269</v>
      </c>
      <c r="E374" s="7" t="s">
        <v>16</v>
      </c>
      <c r="F374" s="7" t="s">
        <v>1271</v>
      </c>
      <c r="G374" s="17" t="s">
        <v>7747</v>
      </c>
      <c r="H374" s="7" t="s">
        <v>28</v>
      </c>
      <c r="I374" s="7" t="s">
        <v>59</v>
      </c>
      <c r="J374" s="7" t="s">
        <v>226</v>
      </c>
      <c r="K374" s="7" t="s">
        <v>573</v>
      </c>
      <c r="L374" s="7" t="s">
        <v>61</v>
      </c>
      <c r="M374" s="7">
        <v>10.292047999999999</v>
      </c>
      <c r="N374" s="7">
        <v>13.830394999999999</v>
      </c>
      <c r="O374" s="7" t="s">
        <v>23</v>
      </c>
      <c r="P374" s="3"/>
      <c r="Q374" s="3"/>
      <c r="R374" s="3"/>
    </row>
    <row r="375" spans="1:18" x14ac:dyDescent="0.25">
      <c r="A375" s="2">
        <v>1521</v>
      </c>
      <c r="B375" s="7" t="s">
        <v>1296</v>
      </c>
      <c r="C375" s="7" t="s">
        <v>1297</v>
      </c>
      <c r="D375" s="7" t="s">
        <v>1296</v>
      </c>
      <c r="E375" s="7" t="s">
        <v>16</v>
      </c>
      <c r="F375" s="7" t="s">
        <v>1298</v>
      </c>
      <c r="G375" s="17" t="s">
        <v>7747</v>
      </c>
      <c r="H375" s="7" t="s">
        <v>28</v>
      </c>
      <c r="I375" s="7" t="s">
        <v>61</v>
      </c>
      <c r="J375" s="7" t="s">
        <v>505</v>
      </c>
      <c r="K375" s="7" t="s">
        <v>506</v>
      </c>
      <c r="L375" s="7" t="s">
        <v>61</v>
      </c>
      <c r="M375" s="7">
        <v>10.574059999999999</v>
      </c>
      <c r="N375" s="7">
        <v>14.27586</v>
      </c>
      <c r="O375" s="7" t="s">
        <v>23</v>
      </c>
      <c r="P375" s="3"/>
      <c r="Q375" s="3"/>
      <c r="R375" s="3"/>
    </row>
    <row r="376" spans="1:18" x14ac:dyDescent="0.25">
      <c r="A376" s="2">
        <v>1522</v>
      </c>
      <c r="B376" s="7" t="s">
        <v>1525</v>
      </c>
      <c r="C376" s="7" t="s">
        <v>1526</v>
      </c>
      <c r="D376" s="7" t="s">
        <v>1525</v>
      </c>
      <c r="E376" s="7" t="s">
        <v>16</v>
      </c>
      <c r="F376" s="7" t="s">
        <v>1527</v>
      </c>
      <c r="G376" s="17" t="s">
        <v>7747</v>
      </c>
      <c r="H376" s="7" t="s">
        <v>19</v>
      </c>
      <c r="I376" s="7" t="s">
        <v>61</v>
      </c>
      <c r="J376" s="7" t="s">
        <v>505</v>
      </c>
      <c r="K376" s="7" t="s">
        <v>877</v>
      </c>
      <c r="L376" s="7" t="s">
        <v>61</v>
      </c>
      <c r="M376" s="7">
        <v>10.685</v>
      </c>
      <c r="N376" s="7">
        <v>14.279</v>
      </c>
      <c r="O376" s="7" t="s">
        <v>23</v>
      </c>
      <c r="P376" s="3"/>
      <c r="Q376" s="3"/>
      <c r="R376" s="3"/>
    </row>
    <row r="377" spans="1:18" x14ac:dyDescent="0.25">
      <c r="A377" s="2">
        <v>1523</v>
      </c>
      <c r="B377" s="7" t="s">
        <v>1607</v>
      </c>
      <c r="C377" s="7" t="s">
        <v>1608</v>
      </c>
      <c r="D377" s="7" t="s">
        <v>1607</v>
      </c>
      <c r="E377" s="7" t="s">
        <v>16</v>
      </c>
      <c r="F377" s="7" t="s">
        <v>1609</v>
      </c>
      <c r="G377" s="17" t="s">
        <v>7747</v>
      </c>
      <c r="H377" s="7" t="s">
        <v>19</v>
      </c>
      <c r="I377" s="7" t="s">
        <v>61</v>
      </c>
      <c r="J377" s="7" t="s">
        <v>505</v>
      </c>
      <c r="K377" s="7" t="s">
        <v>877</v>
      </c>
      <c r="L377" s="7" t="s">
        <v>61</v>
      </c>
      <c r="M377" s="7">
        <v>10.603999999999999</v>
      </c>
      <c r="N377" s="7">
        <v>14.308999999999999</v>
      </c>
      <c r="O377" s="7" t="s">
        <v>23</v>
      </c>
      <c r="P377" s="3"/>
      <c r="Q377" s="3"/>
      <c r="R377" s="3"/>
    </row>
    <row r="378" spans="1:18" x14ac:dyDescent="0.25">
      <c r="A378" s="2">
        <v>1524</v>
      </c>
      <c r="B378" s="7" t="s">
        <v>1638</v>
      </c>
      <c r="C378" s="7" t="s">
        <v>1639</v>
      </c>
      <c r="D378" s="7" t="s">
        <v>1638</v>
      </c>
      <c r="E378" s="7" t="s">
        <v>16</v>
      </c>
      <c r="F378" s="7" t="s">
        <v>1640</v>
      </c>
      <c r="G378" s="17" t="s">
        <v>7747</v>
      </c>
      <c r="H378" s="7" t="s">
        <v>28</v>
      </c>
      <c r="I378" s="7" t="s">
        <v>61</v>
      </c>
      <c r="J378" s="7" t="s">
        <v>505</v>
      </c>
      <c r="K378" s="7" t="s">
        <v>506</v>
      </c>
      <c r="L378" s="7" t="s">
        <v>61</v>
      </c>
      <c r="M378" s="7">
        <v>10.586779999999999</v>
      </c>
      <c r="N378" s="7">
        <v>14.2944</v>
      </c>
      <c r="O378" s="7" t="s">
        <v>23</v>
      </c>
      <c r="P378" s="3"/>
      <c r="Q378" s="3"/>
      <c r="R378" s="3"/>
    </row>
    <row r="379" spans="1:18" x14ac:dyDescent="0.25">
      <c r="A379" s="2">
        <v>1525</v>
      </c>
      <c r="B379" s="7" t="s">
        <v>1704</v>
      </c>
      <c r="C379" s="7" t="s">
        <v>1705</v>
      </c>
      <c r="D379" s="7" t="s">
        <v>1704</v>
      </c>
      <c r="E379" s="7" t="s">
        <v>16</v>
      </c>
      <c r="F379" s="7" t="s">
        <v>1706</v>
      </c>
      <c r="G379" s="17" t="s">
        <v>7747</v>
      </c>
      <c r="H379" s="7" t="s">
        <v>28</v>
      </c>
      <c r="I379" s="7" t="s">
        <v>61</v>
      </c>
      <c r="J379" s="7" t="s">
        <v>505</v>
      </c>
      <c r="K379" s="7" t="s">
        <v>1707</v>
      </c>
      <c r="L379" s="7" t="s">
        <v>61</v>
      </c>
      <c r="M379" s="7">
        <v>10.589513999999999</v>
      </c>
      <c r="N379" s="7">
        <v>14.319290000000001</v>
      </c>
      <c r="O379" s="7" t="s">
        <v>613</v>
      </c>
      <c r="P379" s="3"/>
      <c r="Q379" s="3"/>
      <c r="R379" s="3"/>
    </row>
    <row r="380" spans="1:18" x14ac:dyDescent="0.25">
      <c r="A380" s="2">
        <v>1526</v>
      </c>
      <c r="B380" s="7" t="s">
        <v>1728</v>
      </c>
      <c r="C380" s="7" t="s">
        <v>1729</v>
      </c>
      <c r="D380" s="7" t="s">
        <v>1728</v>
      </c>
      <c r="E380" s="7" t="s">
        <v>16</v>
      </c>
      <c r="F380" s="7" t="s">
        <v>1730</v>
      </c>
      <c r="G380" s="17" t="s">
        <v>7747</v>
      </c>
      <c r="H380" s="7" t="s">
        <v>19</v>
      </c>
      <c r="I380" s="7" t="s">
        <v>61</v>
      </c>
      <c r="J380" s="7" t="s">
        <v>505</v>
      </c>
      <c r="K380" s="7" t="s">
        <v>506</v>
      </c>
      <c r="L380" s="7" t="s">
        <v>61</v>
      </c>
      <c r="M380" s="7">
        <v>10.584474999999999</v>
      </c>
      <c r="N380" s="7">
        <v>14.312806</v>
      </c>
      <c r="O380" s="7" t="s">
        <v>23</v>
      </c>
      <c r="P380" s="3"/>
      <c r="Q380" s="3"/>
      <c r="R380" s="3"/>
    </row>
    <row r="381" spans="1:18" x14ac:dyDescent="0.25">
      <c r="A381" s="2">
        <v>1527</v>
      </c>
      <c r="B381" s="7" t="s">
        <v>1769</v>
      </c>
      <c r="C381" s="7" t="s">
        <v>1770</v>
      </c>
      <c r="D381" s="7" t="s">
        <v>1769</v>
      </c>
      <c r="E381" s="7" t="s">
        <v>16</v>
      </c>
      <c r="F381" s="7" t="s">
        <v>1771</v>
      </c>
      <c r="G381" s="17" t="s">
        <v>7747</v>
      </c>
      <c r="H381" s="7" t="s">
        <v>28</v>
      </c>
      <c r="I381" s="7" t="s">
        <v>61</v>
      </c>
      <c r="J381" s="7" t="s">
        <v>505</v>
      </c>
      <c r="K381" s="7" t="s">
        <v>506</v>
      </c>
      <c r="L381" s="7" t="s">
        <v>61</v>
      </c>
      <c r="M381" s="7">
        <v>10.586472000000001</v>
      </c>
      <c r="N381" s="7">
        <v>14.268416999999999</v>
      </c>
      <c r="O381" s="7" t="s">
        <v>23</v>
      </c>
      <c r="P381" s="3"/>
      <c r="Q381" s="3"/>
      <c r="R381" s="3"/>
    </row>
    <row r="382" spans="1:18" x14ac:dyDescent="0.25">
      <c r="A382" s="2">
        <v>1528</v>
      </c>
      <c r="B382" s="7" t="s">
        <v>1772</v>
      </c>
      <c r="C382" s="7" t="s">
        <v>1773</v>
      </c>
      <c r="D382" s="7" t="s">
        <v>1772</v>
      </c>
      <c r="E382" s="7" t="s">
        <v>16</v>
      </c>
      <c r="F382" s="7" t="s">
        <v>1774</v>
      </c>
      <c r="G382" s="17" t="s">
        <v>7747</v>
      </c>
      <c r="H382" s="7" t="s">
        <v>28</v>
      </c>
      <c r="I382" s="7" t="s">
        <v>59</v>
      </c>
      <c r="J382" s="7" t="s">
        <v>226</v>
      </c>
      <c r="K382" s="7" t="s">
        <v>474</v>
      </c>
      <c r="L382" s="7" t="s">
        <v>61</v>
      </c>
      <c r="M382" s="7">
        <v>10.582833000000001</v>
      </c>
      <c r="N382" s="7">
        <v>13.913917</v>
      </c>
      <c r="O382" s="7" t="s">
        <v>23</v>
      </c>
      <c r="P382" s="3"/>
      <c r="Q382" s="3"/>
      <c r="R382" s="3"/>
    </row>
    <row r="383" spans="1:18" x14ac:dyDescent="0.25">
      <c r="A383" s="2">
        <v>1529</v>
      </c>
      <c r="B383" s="7" t="s">
        <v>1784</v>
      </c>
      <c r="C383" s="7" t="s">
        <v>1785</v>
      </c>
      <c r="D383" s="7" t="s">
        <v>1784</v>
      </c>
      <c r="E383" s="7" t="s">
        <v>16</v>
      </c>
      <c r="F383" s="7" t="s">
        <v>1786</v>
      </c>
      <c r="G383" s="17" t="s">
        <v>7747</v>
      </c>
      <c r="H383" s="7" t="s">
        <v>28</v>
      </c>
      <c r="I383" s="7" t="s">
        <v>59</v>
      </c>
      <c r="J383" s="7" t="s">
        <v>226</v>
      </c>
      <c r="K383" s="7" t="s">
        <v>227</v>
      </c>
      <c r="L383" s="7" t="s">
        <v>61</v>
      </c>
      <c r="M383" s="7">
        <v>10.778556</v>
      </c>
      <c r="N383" s="7">
        <v>13.990138999999999</v>
      </c>
      <c r="O383" s="7" t="s">
        <v>23</v>
      </c>
      <c r="P383" s="3"/>
      <c r="Q383" s="3"/>
      <c r="R383" s="3"/>
    </row>
    <row r="384" spans="1:18" x14ac:dyDescent="0.25">
      <c r="A384" s="2">
        <v>1530</v>
      </c>
      <c r="B384" s="7" t="s">
        <v>1787</v>
      </c>
      <c r="C384" s="7" t="s">
        <v>1788</v>
      </c>
      <c r="D384" s="7" t="s">
        <v>1787</v>
      </c>
      <c r="E384" s="7" t="s">
        <v>16</v>
      </c>
      <c r="F384" s="7" t="s">
        <v>1789</v>
      </c>
      <c r="G384" s="17" t="s">
        <v>7747</v>
      </c>
      <c r="H384" s="7" t="s">
        <v>28</v>
      </c>
      <c r="I384" s="7" t="s">
        <v>61</v>
      </c>
      <c r="J384" s="7" t="s">
        <v>1790</v>
      </c>
      <c r="K384" s="7" t="s">
        <v>1791</v>
      </c>
      <c r="L384" s="7" t="s">
        <v>61</v>
      </c>
      <c r="M384" s="7">
        <v>10.847571</v>
      </c>
      <c r="N384" s="7">
        <v>15.051062999999999</v>
      </c>
      <c r="O384" s="7" t="s">
        <v>23</v>
      </c>
      <c r="P384" s="3"/>
      <c r="Q384" s="3"/>
      <c r="R384" s="3"/>
    </row>
    <row r="385" spans="1:18" x14ac:dyDescent="0.25">
      <c r="A385" s="2">
        <v>1531</v>
      </c>
      <c r="B385" s="7" t="s">
        <v>1871</v>
      </c>
      <c r="C385" s="7" t="s">
        <v>1872</v>
      </c>
      <c r="D385" s="7" t="s">
        <v>1871</v>
      </c>
      <c r="E385" s="7" t="s">
        <v>16</v>
      </c>
      <c r="F385" s="7" t="s">
        <v>1873</v>
      </c>
      <c r="G385" s="17" t="s">
        <v>7747</v>
      </c>
      <c r="H385" s="7" t="s">
        <v>28</v>
      </c>
      <c r="I385" s="7" t="s">
        <v>61</v>
      </c>
      <c r="J385" s="7" t="s">
        <v>513</v>
      </c>
      <c r="K385" s="7" t="s">
        <v>514</v>
      </c>
      <c r="L385" s="7" t="s">
        <v>61</v>
      </c>
      <c r="M385" s="7">
        <v>11.049433000000001</v>
      </c>
      <c r="N385" s="7">
        <v>14.12865</v>
      </c>
      <c r="O385" s="7" t="s">
        <v>23</v>
      </c>
      <c r="P385" s="3"/>
      <c r="Q385" s="3"/>
      <c r="R385" s="3"/>
    </row>
    <row r="386" spans="1:18" x14ac:dyDescent="0.25">
      <c r="A386" s="2">
        <v>1532</v>
      </c>
      <c r="B386" s="7" t="s">
        <v>1877</v>
      </c>
      <c r="C386" s="7" t="s">
        <v>1878</v>
      </c>
      <c r="D386" s="7" t="s">
        <v>1877</v>
      </c>
      <c r="E386" s="7" t="s">
        <v>16</v>
      </c>
      <c r="F386" s="7" t="s">
        <v>1879</v>
      </c>
      <c r="G386" s="17" t="s">
        <v>7747</v>
      </c>
      <c r="H386" s="7" t="s">
        <v>28</v>
      </c>
      <c r="I386" s="7" t="s">
        <v>61</v>
      </c>
      <c r="J386" s="7" t="s">
        <v>505</v>
      </c>
      <c r="K386" s="7" t="s">
        <v>1253</v>
      </c>
      <c r="L386" s="7" t="s">
        <v>61</v>
      </c>
      <c r="M386" s="7">
        <v>10.629144</v>
      </c>
      <c r="N386" s="7">
        <v>14.391306</v>
      </c>
      <c r="O386" s="7" t="s">
        <v>23</v>
      </c>
      <c r="P386" s="3"/>
      <c r="Q386" s="3"/>
      <c r="R386" s="3"/>
    </row>
    <row r="387" spans="1:18" x14ac:dyDescent="0.25">
      <c r="A387" s="2">
        <v>1533</v>
      </c>
      <c r="B387" s="7" t="s">
        <v>1880</v>
      </c>
      <c r="C387" s="7" t="s">
        <v>1881</v>
      </c>
      <c r="D387" s="7" t="s">
        <v>1880</v>
      </c>
      <c r="E387" s="7" t="s">
        <v>16</v>
      </c>
      <c r="F387" s="7" t="s">
        <v>1882</v>
      </c>
      <c r="G387" s="17" t="s">
        <v>7747</v>
      </c>
      <c r="H387" s="7" t="s">
        <v>28</v>
      </c>
      <c r="I387" s="7" t="s">
        <v>61</v>
      </c>
      <c r="J387" s="7" t="s">
        <v>505</v>
      </c>
      <c r="K387" s="7" t="s">
        <v>506</v>
      </c>
      <c r="L387" s="7" t="s">
        <v>61</v>
      </c>
      <c r="M387" s="7">
        <v>10.590265</v>
      </c>
      <c r="N387" s="7">
        <v>14.332952000000001</v>
      </c>
      <c r="O387" s="7" t="s">
        <v>23</v>
      </c>
      <c r="P387" s="3"/>
      <c r="Q387" s="3"/>
      <c r="R387" s="3"/>
    </row>
    <row r="388" spans="1:18" x14ac:dyDescent="0.25">
      <c r="A388" s="2">
        <v>1534</v>
      </c>
      <c r="B388" s="7" t="s">
        <v>1883</v>
      </c>
      <c r="C388" s="7" t="s">
        <v>1884</v>
      </c>
      <c r="D388" s="7" t="s">
        <v>1883</v>
      </c>
      <c r="E388" s="7" t="s">
        <v>16</v>
      </c>
      <c r="F388" s="7" t="s">
        <v>1885</v>
      </c>
      <c r="G388" s="17" t="s">
        <v>7747</v>
      </c>
      <c r="H388" s="7" t="s">
        <v>28</v>
      </c>
      <c r="I388" s="7" t="s">
        <v>61</v>
      </c>
      <c r="J388" s="7" t="s">
        <v>505</v>
      </c>
      <c r="K388" s="7" t="s">
        <v>1886</v>
      </c>
      <c r="L388" s="7" t="s">
        <v>61</v>
      </c>
      <c r="M388" s="7">
        <v>10.610666999999999</v>
      </c>
      <c r="N388" s="7">
        <v>14.347360999999999</v>
      </c>
      <c r="O388" s="7" t="s">
        <v>23</v>
      </c>
      <c r="P388" s="3"/>
      <c r="Q388" s="3"/>
      <c r="R388" s="3"/>
    </row>
    <row r="389" spans="1:18" x14ac:dyDescent="0.25">
      <c r="A389" s="2">
        <v>1535</v>
      </c>
      <c r="B389" s="7" t="s">
        <v>1887</v>
      </c>
      <c r="C389" s="7" t="s">
        <v>1888</v>
      </c>
      <c r="D389" s="7" t="s">
        <v>1887</v>
      </c>
      <c r="E389" s="7" t="s">
        <v>16</v>
      </c>
      <c r="F389" s="7" t="s">
        <v>1889</v>
      </c>
      <c r="G389" s="17" t="s">
        <v>7747</v>
      </c>
      <c r="H389" s="7" t="s">
        <v>28</v>
      </c>
      <c r="I389" s="7" t="s">
        <v>61</v>
      </c>
      <c r="J389" s="7" t="s">
        <v>505</v>
      </c>
      <c r="K389" s="7" t="s">
        <v>1890</v>
      </c>
      <c r="L389" s="7" t="s">
        <v>61</v>
      </c>
      <c r="M389" s="7">
        <v>10.627761</v>
      </c>
      <c r="N389" s="7">
        <v>14.327464000000001</v>
      </c>
      <c r="O389" s="7" t="s">
        <v>23</v>
      </c>
      <c r="P389" s="3"/>
      <c r="Q389" s="3"/>
      <c r="R389" s="3"/>
    </row>
    <row r="390" spans="1:18" x14ac:dyDescent="0.25">
      <c r="A390" s="2">
        <v>1536</v>
      </c>
      <c r="B390" s="7" t="s">
        <v>1891</v>
      </c>
      <c r="C390" s="7" t="s">
        <v>1892</v>
      </c>
      <c r="D390" s="7" t="s">
        <v>1891</v>
      </c>
      <c r="E390" s="7" t="s">
        <v>16</v>
      </c>
      <c r="F390" s="7" t="s">
        <v>1893</v>
      </c>
      <c r="G390" s="17" t="s">
        <v>7747</v>
      </c>
      <c r="H390" s="7" t="s">
        <v>28</v>
      </c>
      <c r="I390" s="7" t="s">
        <v>61</v>
      </c>
      <c r="J390" s="7" t="s">
        <v>505</v>
      </c>
      <c r="K390" s="7" t="s">
        <v>877</v>
      </c>
      <c r="L390" s="7" t="s">
        <v>61</v>
      </c>
      <c r="M390" s="7">
        <v>10.602361</v>
      </c>
      <c r="N390" s="7">
        <v>14.317289000000001</v>
      </c>
      <c r="O390" s="7" t="s">
        <v>23</v>
      </c>
      <c r="P390" s="3"/>
      <c r="Q390" s="3"/>
      <c r="R390" s="3"/>
    </row>
    <row r="391" spans="1:18" x14ac:dyDescent="0.25">
      <c r="A391" s="2">
        <v>1537</v>
      </c>
      <c r="B391" s="7" t="s">
        <v>1894</v>
      </c>
      <c r="C391" s="7" t="s">
        <v>1895</v>
      </c>
      <c r="D391" s="7" t="s">
        <v>1894</v>
      </c>
      <c r="E391" s="7" t="s">
        <v>16</v>
      </c>
      <c r="F391" s="7" t="s">
        <v>1896</v>
      </c>
      <c r="G391" s="17" t="s">
        <v>7747</v>
      </c>
      <c r="H391" s="7" t="s">
        <v>28</v>
      </c>
      <c r="I391" s="7" t="s">
        <v>61</v>
      </c>
      <c r="J391" s="7" t="s">
        <v>1790</v>
      </c>
      <c r="K391" s="7" t="s">
        <v>1791</v>
      </c>
      <c r="L391" s="7" t="s">
        <v>61</v>
      </c>
      <c r="M391" s="7">
        <v>10.857651000000001</v>
      </c>
      <c r="N391" s="7">
        <v>14.97532</v>
      </c>
      <c r="O391" s="7" t="s">
        <v>23</v>
      </c>
      <c r="P391" s="3"/>
      <c r="Q391" s="3"/>
      <c r="R391" s="3"/>
    </row>
    <row r="392" spans="1:18" x14ac:dyDescent="0.25">
      <c r="A392" s="2">
        <v>1538</v>
      </c>
      <c r="B392" s="7" t="s">
        <v>1900</v>
      </c>
      <c r="C392" s="7" t="s">
        <v>1901</v>
      </c>
      <c r="D392" s="7" t="s">
        <v>1900</v>
      </c>
      <c r="E392" s="7" t="s">
        <v>16</v>
      </c>
      <c r="F392" s="7" t="s">
        <v>661</v>
      </c>
      <c r="G392" s="17" t="s">
        <v>7747</v>
      </c>
      <c r="H392" s="7" t="s">
        <v>28</v>
      </c>
      <c r="I392" s="7" t="s">
        <v>59</v>
      </c>
      <c r="J392" s="7" t="s">
        <v>70</v>
      </c>
      <c r="K392" s="7" t="s">
        <v>662</v>
      </c>
      <c r="L392" s="7" t="s">
        <v>61</v>
      </c>
      <c r="M392" s="7">
        <v>10.174187999999999</v>
      </c>
      <c r="N392" s="7">
        <v>14.522304999999999</v>
      </c>
      <c r="O392" s="7" t="s">
        <v>23</v>
      </c>
      <c r="P392" s="3"/>
      <c r="Q392" s="3"/>
      <c r="R392" s="3"/>
    </row>
    <row r="393" spans="1:18" x14ac:dyDescent="0.25">
      <c r="A393" s="2">
        <v>1539</v>
      </c>
      <c r="B393" s="7" t="s">
        <v>1928</v>
      </c>
      <c r="C393" s="7" t="s">
        <v>1929</v>
      </c>
      <c r="D393" s="7" t="s">
        <v>1928</v>
      </c>
      <c r="E393" s="7" t="s">
        <v>16</v>
      </c>
      <c r="F393" s="7" t="s">
        <v>1930</v>
      </c>
      <c r="G393" s="17" t="s">
        <v>7747</v>
      </c>
      <c r="H393" s="7" t="s">
        <v>28</v>
      </c>
      <c r="I393" s="7" t="s">
        <v>59</v>
      </c>
      <c r="J393" s="7" t="s">
        <v>70</v>
      </c>
      <c r="K393" s="7" t="s">
        <v>620</v>
      </c>
      <c r="L393" s="7" t="s">
        <v>61</v>
      </c>
      <c r="M393" s="7">
        <v>10.028881999999999</v>
      </c>
      <c r="N393" s="7">
        <v>14.326362</v>
      </c>
      <c r="O393" s="7" t="s">
        <v>23</v>
      </c>
      <c r="P393" s="3"/>
      <c r="Q393" s="3"/>
      <c r="R393" s="3"/>
    </row>
    <row r="394" spans="1:18" x14ac:dyDescent="0.25">
      <c r="A394" s="2">
        <v>1540</v>
      </c>
      <c r="B394" s="7" t="s">
        <v>1947</v>
      </c>
      <c r="C394" s="7" t="s">
        <v>1948</v>
      </c>
      <c r="D394" s="7" t="s">
        <v>1947</v>
      </c>
      <c r="E394" s="7" t="s">
        <v>16</v>
      </c>
      <c r="F394" s="7" t="s">
        <v>846</v>
      </c>
      <c r="G394" s="17" t="s">
        <v>7747</v>
      </c>
      <c r="H394" s="7" t="s">
        <v>28</v>
      </c>
      <c r="I394" s="7" t="s">
        <v>59</v>
      </c>
      <c r="J394" s="7" t="s">
        <v>70</v>
      </c>
      <c r="K394" s="7" t="s">
        <v>846</v>
      </c>
      <c r="L394" s="7" t="s">
        <v>61</v>
      </c>
      <c r="M394" s="7">
        <v>10.015412</v>
      </c>
      <c r="N394" s="7">
        <v>14.790951</v>
      </c>
      <c r="O394" s="7" t="s">
        <v>23</v>
      </c>
      <c r="P394" s="3"/>
      <c r="Q394" s="3"/>
      <c r="R394" s="3"/>
    </row>
    <row r="395" spans="1:18" x14ac:dyDescent="0.25">
      <c r="A395" s="2">
        <v>1541</v>
      </c>
      <c r="B395" s="7" t="s">
        <v>1959</v>
      </c>
      <c r="C395" s="7" t="s">
        <v>1960</v>
      </c>
      <c r="D395" s="7" t="s">
        <v>1959</v>
      </c>
      <c r="E395" s="7" t="s">
        <v>16</v>
      </c>
      <c r="F395" s="7" t="s">
        <v>1961</v>
      </c>
      <c r="G395" s="17" t="s">
        <v>7747</v>
      </c>
      <c r="H395" s="7" t="s">
        <v>28</v>
      </c>
      <c r="I395" s="7" t="s">
        <v>61</v>
      </c>
      <c r="J395" s="7" t="s">
        <v>505</v>
      </c>
      <c r="K395" s="7" t="s">
        <v>1961</v>
      </c>
      <c r="L395" s="7" t="s">
        <v>61</v>
      </c>
      <c r="M395" s="7">
        <v>10.531055</v>
      </c>
      <c r="N395" s="7">
        <v>14.605961000000001</v>
      </c>
      <c r="O395" s="7" t="s">
        <v>23</v>
      </c>
      <c r="P395" s="3"/>
      <c r="Q395" s="3"/>
      <c r="R395" s="3"/>
    </row>
    <row r="396" spans="1:18" x14ac:dyDescent="0.25">
      <c r="A396" s="2">
        <v>1542</v>
      </c>
      <c r="B396" s="7" t="s">
        <v>2063</v>
      </c>
      <c r="C396" s="7" t="s">
        <v>2064</v>
      </c>
      <c r="D396" s="7" t="s">
        <v>2063</v>
      </c>
      <c r="E396" s="7" t="s">
        <v>16</v>
      </c>
      <c r="F396" s="7" t="s">
        <v>2065</v>
      </c>
      <c r="G396" s="17" t="s">
        <v>7747</v>
      </c>
      <c r="H396" s="7" t="s">
        <v>19</v>
      </c>
      <c r="I396" s="7" t="s">
        <v>61</v>
      </c>
      <c r="J396" s="7" t="s">
        <v>513</v>
      </c>
      <c r="K396" s="7" t="s">
        <v>514</v>
      </c>
      <c r="L396" s="7" t="s">
        <v>61</v>
      </c>
      <c r="M396" s="7">
        <v>11.032</v>
      </c>
      <c r="N396" s="7">
        <v>14.169</v>
      </c>
      <c r="O396" s="7" t="s">
        <v>23</v>
      </c>
      <c r="P396" s="3"/>
      <c r="Q396" s="3"/>
      <c r="R396" s="3"/>
    </row>
    <row r="397" spans="1:18" x14ac:dyDescent="0.25">
      <c r="A397" s="2">
        <v>1543</v>
      </c>
      <c r="B397" s="7" t="s">
        <v>2089</v>
      </c>
      <c r="C397" s="7" t="s">
        <v>2090</v>
      </c>
      <c r="D397" s="7" t="s">
        <v>2089</v>
      </c>
      <c r="E397" s="7" t="s">
        <v>16</v>
      </c>
      <c r="F397" s="7" t="s">
        <v>2091</v>
      </c>
      <c r="G397" s="17" t="s">
        <v>7747</v>
      </c>
      <c r="H397" s="7" t="s">
        <v>19</v>
      </c>
      <c r="I397" s="7" t="s">
        <v>61</v>
      </c>
      <c r="J397" s="7" t="s">
        <v>513</v>
      </c>
      <c r="K397" s="7" t="s">
        <v>514</v>
      </c>
      <c r="L397" s="7" t="s">
        <v>61</v>
      </c>
      <c r="M397" s="7">
        <v>11.163</v>
      </c>
      <c r="N397" s="7">
        <v>14.022</v>
      </c>
      <c r="O397" s="7" t="s">
        <v>23</v>
      </c>
      <c r="P397" s="3"/>
      <c r="Q397" s="3"/>
      <c r="R397" s="3"/>
    </row>
    <row r="398" spans="1:18" x14ac:dyDescent="0.25">
      <c r="A398" s="2">
        <v>1544</v>
      </c>
      <c r="B398" s="7" t="s">
        <v>2095</v>
      </c>
      <c r="C398" s="7" t="s">
        <v>2096</v>
      </c>
      <c r="D398" s="7" t="s">
        <v>2095</v>
      </c>
      <c r="E398" s="7" t="s">
        <v>16</v>
      </c>
      <c r="F398" s="7" t="s">
        <v>2097</v>
      </c>
      <c r="G398" s="17" t="s">
        <v>7747</v>
      </c>
      <c r="H398" s="7" t="s">
        <v>28</v>
      </c>
      <c r="I398" s="7" t="s">
        <v>61</v>
      </c>
      <c r="J398" s="7" t="s">
        <v>505</v>
      </c>
      <c r="K398" s="7" t="s">
        <v>506</v>
      </c>
      <c r="L398" s="7" t="s">
        <v>61</v>
      </c>
      <c r="M398" s="7">
        <v>10.59282</v>
      </c>
      <c r="N398" s="7">
        <v>14.33338</v>
      </c>
      <c r="O398" s="7" t="s">
        <v>23</v>
      </c>
      <c r="P398" s="3"/>
      <c r="Q398" s="3"/>
      <c r="R398" s="3"/>
    </row>
    <row r="399" spans="1:18" x14ac:dyDescent="0.25">
      <c r="A399" s="2">
        <v>1545</v>
      </c>
      <c r="B399" s="7" t="s">
        <v>2098</v>
      </c>
      <c r="C399" s="7" t="s">
        <v>2099</v>
      </c>
      <c r="D399" s="7" t="s">
        <v>2098</v>
      </c>
      <c r="E399" s="7" t="s">
        <v>16</v>
      </c>
      <c r="F399" s="7" t="s">
        <v>2100</v>
      </c>
      <c r="G399" s="17" t="s">
        <v>7747</v>
      </c>
      <c r="H399" s="7" t="s">
        <v>19</v>
      </c>
      <c r="I399" s="7" t="s">
        <v>59</v>
      </c>
      <c r="J399" s="7" t="s">
        <v>70</v>
      </c>
      <c r="K399" s="7" t="s">
        <v>2100</v>
      </c>
      <c r="L399" s="7" t="s">
        <v>61</v>
      </c>
      <c r="M399" s="7">
        <v>10.135228</v>
      </c>
      <c r="N399" s="7">
        <v>14.704224999999999</v>
      </c>
      <c r="O399" s="7" t="s">
        <v>23</v>
      </c>
      <c r="P399" s="3"/>
      <c r="Q399" s="3"/>
      <c r="R399" s="3"/>
    </row>
    <row r="400" spans="1:18" x14ac:dyDescent="0.25">
      <c r="A400" s="2">
        <v>1546</v>
      </c>
      <c r="B400" s="7" t="s">
        <v>2136</v>
      </c>
      <c r="C400" s="7" t="s">
        <v>2137</v>
      </c>
      <c r="D400" s="7" t="s">
        <v>2136</v>
      </c>
      <c r="E400" s="7" t="s">
        <v>16</v>
      </c>
      <c r="F400" s="7" t="s">
        <v>2138</v>
      </c>
      <c r="G400" s="17" t="s">
        <v>7747</v>
      </c>
      <c r="H400" s="7" t="s">
        <v>19</v>
      </c>
      <c r="I400" s="7" t="s">
        <v>61</v>
      </c>
      <c r="J400" s="7" t="s">
        <v>505</v>
      </c>
      <c r="K400" s="7" t="s">
        <v>1890</v>
      </c>
      <c r="L400" s="7" t="s">
        <v>61</v>
      </c>
      <c r="M400" s="7">
        <v>10.617194</v>
      </c>
      <c r="N400" s="7">
        <v>14.324972000000001</v>
      </c>
      <c r="O400" s="7" t="s">
        <v>23</v>
      </c>
      <c r="P400" s="3"/>
      <c r="Q400" s="3"/>
      <c r="R400" s="3"/>
    </row>
    <row r="401" spans="1:18" x14ac:dyDescent="0.25">
      <c r="A401" s="2">
        <v>1547</v>
      </c>
      <c r="B401" s="7" t="s">
        <v>2182</v>
      </c>
      <c r="C401" s="7" t="s">
        <v>2183</v>
      </c>
      <c r="D401" s="7" t="s">
        <v>2182</v>
      </c>
      <c r="E401" s="7" t="s">
        <v>16</v>
      </c>
      <c r="F401" s="7" t="s">
        <v>2184</v>
      </c>
      <c r="G401" s="17" t="s">
        <v>7747</v>
      </c>
      <c r="H401" s="7" t="s">
        <v>19</v>
      </c>
      <c r="I401" s="7" t="s">
        <v>61</v>
      </c>
      <c r="J401" s="7" t="s">
        <v>513</v>
      </c>
      <c r="K401" s="7" t="s">
        <v>514</v>
      </c>
      <c r="L401" s="7" t="s">
        <v>61</v>
      </c>
      <c r="M401" s="7">
        <v>11.241794000000001</v>
      </c>
      <c r="N401" s="7">
        <v>14.153111000000001</v>
      </c>
      <c r="O401" s="7" t="s">
        <v>23</v>
      </c>
      <c r="P401" s="3"/>
      <c r="Q401" s="3"/>
      <c r="R401" s="3"/>
    </row>
    <row r="402" spans="1:18" x14ac:dyDescent="0.25">
      <c r="A402" s="2">
        <v>1548</v>
      </c>
      <c r="B402" s="7" t="s">
        <v>2194</v>
      </c>
      <c r="C402" s="7" t="s">
        <v>2195</v>
      </c>
      <c r="D402" s="7" t="s">
        <v>2194</v>
      </c>
      <c r="E402" s="7" t="s">
        <v>16</v>
      </c>
      <c r="F402" s="7" t="s">
        <v>2196</v>
      </c>
      <c r="G402" s="17" t="s">
        <v>7747</v>
      </c>
      <c r="H402" s="7" t="s">
        <v>19</v>
      </c>
      <c r="I402" s="7" t="s">
        <v>61</v>
      </c>
      <c r="J402" s="7" t="s">
        <v>513</v>
      </c>
      <c r="K402" s="7" t="s">
        <v>514</v>
      </c>
      <c r="L402" s="7" t="s">
        <v>61</v>
      </c>
      <c r="M402" s="7">
        <v>11.030443999999999</v>
      </c>
      <c r="N402" s="7">
        <v>14.168028</v>
      </c>
      <c r="O402" s="7" t="s">
        <v>23</v>
      </c>
      <c r="P402" s="3"/>
      <c r="Q402" s="3"/>
      <c r="R402" s="3"/>
    </row>
    <row r="403" spans="1:18" x14ac:dyDescent="0.25">
      <c r="A403" s="2">
        <v>1549</v>
      </c>
      <c r="B403" s="7" t="s">
        <v>2241</v>
      </c>
      <c r="C403" s="7" t="s">
        <v>2242</v>
      </c>
      <c r="D403" s="7" t="s">
        <v>2241</v>
      </c>
      <c r="E403" s="7" t="s">
        <v>16</v>
      </c>
      <c r="F403" s="7" t="s">
        <v>2243</v>
      </c>
      <c r="G403" s="17" t="s">
        <v>7747</v>
      </c>
      <c r="H403" s="7" t="s">
        <v>19</v>
      </c>
      <c r="I403" s="7" t="s">
        <v>61</v>
      </c>
      <c r="J403" s="7" t="s">
        <v>513</v>
      </c>
      <c r="K403" s="7" t="s">
        <v>2243</v>
      </c>
      <c r="L403" s="7" t="s">
        <v>61</v>
      </c>
      <c r="M403" s="7">
        <v>10.868194000000001</v>
      </c>
      <c r="N403" s="7">
        <v>14.147500000000001</v>
      </c>
      <c r="O403" s="7" t="s">
        <v>23</v>
      </c>
      <c r="P403" s="3"/>
      <c r="Q403" s="3"/>
      <c r="R403" s="3"/>
    </row>
    <row r="404" spans="1:18" x14ac:dyDescent="0.25">
      <c r="A404" s="2">
        <v>1550</v>
      </c>
      <c r="B404" s="7" t="s">
        <v>2455</v>
      </c>
      <c r="C404" s="7" t="s">
        <v>2456</v>
      </c>
      <c r="D404" s="7" t="s">
        <v>2455</v>
      </c>
      <c r="E404" s="7" t="s">
        <v>16</v>
      </c>
      <c r="F404" s="7" t="s">
        <v>2457</v>
      </c>
      <c r="G404" s="17" t="s">
        <v>7747</v>
      </c>
      <c r="H404" s="7" t="s">
        <v>28</v>
      </c>
      <c r="I404" s="7" t="s">
        <v>61</v>
      </c>
      <c r="J404" s="7" t="s">
        <v>505</v>
      </c>
      <c r="K404" s="7" t="s">
        <v>1253</v>
      </c>
      <c r="L404" s="7" t="s">
        <v>61</v>
      </c>
      <c r="M404" s="7">
        <v>10.6238031</v>
      </c>
      <c r="N404" s="7">
        <v>14.3734555</v>
      </c>
      <c r="O404" s="7" t="s">
        <v>23</v>
      </c>
      <c r="P404" s="3"/>
      <c r="Q404" s="3"/>
      <c r="R404" s="3"/>
    </row>
    <row r="405" spans="1:18" x14ac:dyDescent="0.25">
      <c r="A405" s="2">
        <v>1551</v>
      </c>
      <c r="B405" s="7" t="s">
        <v>2525</v>
      </c>
      <c r="C405" s="7" t="s">
        <v>2526</v>
      </c>
      <c r="D405" s="7" t="s">
        <v>2525</v>
      </c>
      <c r="E405" s="7" t="s">
        <v>16</v>
      </c>
      <c r="F405" s="7" t="s">
        <v>514</v>
      </c>
      <c r="G405" s="17" t="s">
        <v>7747</v>
      </c>
      <c r="H405" s="7" t="s">
        <v>19</v>
      </c>
      <c r="I405" s="7" t="s">
        <v>61</v>
      </c>
      <c r="J405" s="7" t="s">
        <v>513</v>
      </c>
      <c r="K405" s="7" t="s">
        <v>514</v>
      </c>
      <c r="L405" s="7" t="s">
        <v>61</v>
      </c>
      <c r="M405" s="7">
        <v>11.047000000000001</v>
      </c>
      <c r="N405" s="7">
        <v>14.138999999999999</v>
      </c>
      <c r="O405" s="7" t="s">
        <v>23</v>
      </c>
      <c r="P405" s="3"/>
      <c r="Q405" s="3"/>
      <c r="R405" s="3"/>
    </row>
    <row r="406" spans="1:18" x14ac:dyDescent="0.25">
      <c r="A406" s="2">
        <v>1552</v>
      </c>
      <c r="B406" s="7" t="s">
        <v>2536</v>
      </c>
      <c r="C406" s="7" t="s">
        <v>2537</v>
      </c>
      <c r="D406" s="7" t="s">
        <v>2536</v>
      </c>
      <c r="E406" s="7" t="s">
        <v>16</v>
      </c>
      <c r="F406" s="7" t="s">
        <v>2538</v>
      </c>
      <c r="G406" s="17" t="s">
        <v>7747</v>
      </c>
      <c r="H406" s="7" t="s">
        <v>28</v>
      </c>
      <c r="I406" s="7" t="s">
        <v>59</v>
      </c>
      <c r="J406" s="7" t="s">
        <v>60</v>
      </c>
      <c r="K406" s="7" t="s">
        <v>59</v>
      </c>
      <c r="L406" s="7" t="s">
        <v>61</v>
      </c>
      <c r="M406" s="7">
        <v>10.35008</v>
      </c>
      <c r="N406" s="7">
        <v>15.232710000000001</v>
      </c>
      <c r="O406" s="7" t="s">
        <v>23</v>
      </c>
      <c r="P406" s="3"/>
      <c r="Q406" s="3"/>
      <c r="R406" s="3"/>
    </row>
    <row r="407" spans="1:18" x14ac:dyDescent="0.25">
      <c r="A407" s="2">
        <v>1553</v>
      </c>
      <c r="B407" s="7" t="s">
        <v>2622</v>
      </c>
      <c r="C407" s="7" t="s">
        <v>2623</v>
      </c>
      <c r="D407" s="7" t="s">
        <v>2622</v>
      </c>
      <c r="E407" s="7" t="s">
        <v>16</v>
      </c>
      <c r="F407" s="7" t="s">
        <v>2624</v>
      </c>
      <c r="G407" s="17" t="s">
        <v>7747</v>
      </c>
      <c r="H407" s="7" t="s">
        <v>28</v>
      </c>
      <c r="I407" s="7" t="s">
        <v>61</v>
      </c>
      <c r="J407" s="7" t="s">
        <v>505</v>
      </c>
      <c r="K407" s="7" t="s">
        <v>506</v>
      </c>
      <c r="L407" s="7" t="s">
        <v>61</v>
      </c>
      <c r="M407" s="7">
        <v>10.60263</v>
      </c>
      <c r="N407" s="7">
        <v>14.29466</v>
      </c>
      <c r="O407" s="7" t="s">
        <v>23</v>
      </c>
      <c r="P407" s="3"/>
      <c r="Q407" s="3"/>
      <c r="R407" s="3"/>
    </row>
    <row r="408" spans="1:18" x14ac:dyDescent="0.25">
      <c r="A408" s="2">
        <v>1554</v>
      </c>
      <c r="B408" s="7" t="s">
        <v>2632</v>
      </c>
      <c r="C408" s="7" t="s">
        <v>2633</v>
      </c>
      <c r="D408" s="7" t="s">
        <v>2632</v>
      </c>
      <c r="E408" s="7" t="s">
        <v>16</v>
      </c>
      <c r="F408" s="7" t="s">
        <v>2634</v>
      </c>
      <c r="G408" s="17" t="s">
        <v>7747</v>
      </c>
      <c r="H408" s="7" t="s">
        <v>28</v>
      </c>
      <c r="I408" s="7" t="s">
        <v>61</v>
      </c>
      <c r="J408" s="7" t="s">
        <v>505</v>
      </c>
      <c r="K408" s="7" t="s">
        <v>506</v>
      </c>
      <c r="L408" s="7" t="s">
        <v>61</v>
      </c>
      <c r="M408" s="7">
        <v>10.596139000000001</v>
      </c>
      <c r="N408" s="7">
        <v>14.321284</v>
      </c>
      <c r="O408" s="7" t="s">
        <v>23</v>
      </c>
      <c r="P408" s="3"/>
      <c r="Q408" s="3"/>
      <c r="R408" s="3"/>
    </row>
    <row r="409" spans="1:18" x14ac:dyDescent="0.25">
      <c r="A409" s="2">
        <v>1555</v>
      </c>
      <c r="B409" s="7" t="s">
        <v>2757</v>
      </c>
      <c r="C409" s="7" t="s">
        <v>2758</v>
      </c>
      <c r="D409" s="7" t="s">
        <v>2757</v>
      </c>
      <c r="E409" s="7" t="s">
        <v>16</v>
      </c>
      <c r="F409" s="7" t="s">
        <v>2243</v>
      </c>
      <c r="G409" s="17" t="s">
        <v>7747</v>
      </c>
      <c r="H409" s="7" t="s">
        <v>19</v>
      </c>
      <c r="I409" s="7" t="s">
        <v>61</v>
      </c>
      <c r="J409" s="7" t="s">
        <v>513</v>
      </c>
      <c r="K409" s="7" t="s">
        <v>2243</v>
      </c>
      <c r="L409" s="7" t="s">
        <v>61</v>
      </c>
      <c r="M409" s="7">
        <v>10.86726</v>
      </c>
      <c r="N409" s="7">
        <v>14.14254</v>
      </c>
      <c r="O409" s="7" t="s">
        <v>23</v>
      </c>
      <c r="P409" s="3"/>
      <c r="Q409" s="3"/>
      <c r="R409" s="3"/>
    </row>
    <row r="410" spans="1:18" x14ac:dyDescent="0.25">
      <c r="A410" s="2">
        <v>1556</v>
      </c>
      <c r="B410" s="7" t="s">
        <v>2808</v>
      </c>
      <c r="C410" s="7" t="s">
        <v>2809</v>
      </c>
      <c r="D410" s="7" t="s">
        <v>2808</v>
      </c>
      <c r="E410" s="7" t="s">
        <v>16</v>
      </c>
      <c r="F410" s="7" t="s">
        <v>2810</v>
      </c>
      <c r="G410" s="17" t="s">
        <v>7747</v>
      </c>
      <c r="H410" s="7" t="s">
        <v>19</v>
      </c>
      <c r="I410" s="7" t="s">
        <v>59</v>
      </c>
      <c r="J410" s="7" t="s">
        <v>226</v>
      </c>
      <c r="K410" s="7" t="s">
        <v>474</v>
      </c>
      <c r="L410" s="7" t="s">
        <v>61</v>
      </c>
      <c r="M410" s="7">
        <v>10.77037</v>
      </c>
      <c r="N410" s="7">
        <v>13.81625</v>
      </c>
      <c r="O410" s="7" t="s">
        <v>23</v>
      </c>
      <c r="P410" s="3"/>
      <c r="Q410" s="3"/>
      <c r="R410" s="3"/>
    </row>
    <row r="411" spans="1:18" x14ac:dyDescent="0.25">
      <c r="A411" s="2">
        <v>1557</v>
      </c>
      <c r="B411" s="7" t="s">
        <v>2827</v>
      </c>
      <c r="C411" s="7" t="s">
        <v>2828</v>
      </c>
      <c r="D411" s="7" t="s">
        <v>2827</v>
      </c>
      <c r="E411" s="7" t="s">
        <v>16</v>
      </c>
      <c r="F411" s="7" t="s">
        <v>2829</v>
      </c>
      <c r="G411" s="17" t="s">
        <v>7747</v>
      </c>
      <c r="H411" s="7" t="s">
        <v>28</v>
      </c>
      <c r="I411" s="7" t="s">
        <v>61</v>
      </c>
      <c r="J411" s="7" t="s">
        <v>505</v>
      </c>
      <c r="K411" s="7" t="s">
        <v>1707</v>
      </c>
      <c r="L411" s="7" t="s">
        <v>61</v>
      </c>
      <c r="M411" s="7">
        <v>10.596080000000001</v>
      </c>
      <c r="N411" s="7">
        <v>14.31574</v>
      </c>
      <c r="O411" s="7" t="s">
        <v>23</v>
      </c>
      <c r="P411" s="3"/>
      <c r="Q411" s="3"/>
      <c r="R411" s="3"/>
    </row>
    <row r="412" spans="1:18" x14ac:dyDescent="0.25">
      <c r="A412" s="2">
        <v>1558</v>
      </c>
      <c r="B412" s="7" t="s">
        <v>2848</v>
      </c>
      <c r="C412" s="7" t="s">
        <v>2849</v>
      </c>
      <c r="D412" s="7" t="s">
        <v>2848</v>
      </c>
      <c r="E412" s="7" t="s">
        <v>16</v>
      </c>
      <c r="F412" s="7" t="s">
        <v>2850</v>
      </c>
      <c r="G412" s="17" t="s">
        <v>7747</v>
      </c>
      <c r="H412" s="7" t="s">
        <v>19</v>
      </c>
      <c r="I412" s="7" t="s">
        <v>61</v>
      </c>
      <c r="J412" s="7" t="s">
        <v>505</v>
      </c>
      <c r="K412" s="7" t="s">
        <v>506</v>
      </c>
      <c r="L412" s="7" t="s">
        <v>61</v>
      </c>
      <c r="M412" s="7">
        <v>10.52327</v>
      </c>
      <c r="N412" s="7">
        <v>14.206329999999999</v>
      </c>
      <c r="O412" s="7" t="s">
        <v>23</v>
      </c>
      <c r="P412" s="3"/>
      <c r="Q412" s="3"/>
      <c r="R412" s="3"/>
    </row>
    <row r="413" spans="1:18" x14ac:dyDescent="0.25">
      <c r="A413" s="2">
        <v>1559</v>
      </c>
      <c r="B413" s="7" t="s">
        <v>2858</v>
      </c>
      <c r="C413" s="7" t="s">
        <v>2859</v>
      </c>
      <c r="D413" s="7" t="s">
        <v>2858</v>
      </c>
      <c r="E413" s="7" t="s">
        <v>182</v>
      </c>
      <c r="F413" s="7" t="s">
        <v>2860</v>
      </c>
      <c r="G413" s="17" t="s">
        <v>7747</v>
      </c>
      <c r="H413" s="7" t="s">
        <v>28</v>
      </c>
      <c r="I413" s="7" t="s">
        <v>184</v>
      </c>
      <c r="J413" s="7" t="s">
        <v>185</v>
      </c>
      <c r="K413" s="7" t="s">
        <v>1435</v>
      </c>
      <c r="L413" s="7" t="s">
        <v>61</v>
      </c>
      <c r="M413" s="7">
        <v>10.114731000000001</v>
      </c>
      <c r="N413" s="7">
        <v>14.445518</v>
      </c>
      <c r="O413" s="7" t="s">
        <v>23</v>
      </c>
      <c r="P413" s="3"/>
      <c r="Q413" s="3"/>
      <c r="R413" s="3"/>
    </row>
    <row r="414" spans="1:18" x14ac:dyDescent="0.25">
      <c r="A414" s="2">
        <v>1560</v>
      </c>
      <c r="B414" s="7" t="s">
        <v>2861</v>
      </c>
      <c r="C414" s="7" t="s">
        <v>2862</v>
      </c>
      <c r="D414" s="7" t="s">
        <v>2861</v>
      </c>
      <c r="E414" s="7" t="s">
        <v>16</v>
      </c>
      <c r="F414" s="7" t="s">
        <v>2863</v>
      </c>
      <c r="G414" s="17" t="s">
        <v>7747</v>
      </c>
      <c r="H414" s="7" t="s">
        <v>28</v>
      </c>
      <c r="I414" s="7" t="s">
        <v>59</v>
      </c>
      <c r="J414" s="7" t="s">
        <v>60</v>
      </c>
      <c r="K414" s="7" t="s">
        <v>2864</v>
      </c>
      <c r="L414" s="7" t="s">
        <v>61</v>
      </c>
      <c r="M414" s="7">
        <v>10.344360999999999</v>
      </c>
      <c r="N414" s="7">
        <v>15.224667</v>
      </c>
      <c r="O414" s="7" t="s">
        <v>23</v>
      </c>
      <c r="P414" s="3"/>
      <c r="Q414" s="3"/>
      <c r="R414" s="3"/>
    </row>
    <row r="415" spans="1:18" x14ac:dyDescent="0.25">
      <c r="A415" s="2">
        <v>1561</v>
      </c>
      <c r="B415" s="7" t="s">
        <v>2865</v>
      </c>
      <c r="C415" s="7" t="s">
        <v>2866</v>
      </c>
      <c r="D415" s="7" t="s">
        <v>2865</v>
      </c>
      <c r="E415" s="7" t="s">
        <v>16</v>
      </c>
      <c r="F415" s="7" t="s">
        <v>2867</v>
      </c>
      <c r="G415" s="17" t="s">
        <v>7747</v>
      </c>
      <c r="H415" s="7" t="s">
        <v>19</v>
      </c>
      <c r="I415" s="7" t="s">
        <v>61</v>
      </c>
      <c r="J415" s="7" t="s">
        <v>505</v>
      </c>
      <c r="K415" s="7" t="s">
        <v>506</v>
      </c>
      <c r="L415" s="7" t="s">
        <v>61</v>
      </c>
      <c r="M415" s="7">
        <v>10.459709</v>
      </c>
      <c r="N415" s="7">
        <v>14.258283</v>
      </c>
      <c r="O415" s="7" t="s">
        <v>613</v>
      </c>
      <c r="P415" s="3"/>
      <c r="Q415" s="3"/>
      <c r="R415" s="3"/>
    </row>
    <row r="416" spans="1:18" x14ac:dyDescent="0.25">
      <c r="A416" s="2">
        <v>1562</v>
      </c>
      <c r="B416" s="7" t="s">
        <v>2871</v>
      </c>
      <c r="C416" s="7" t="s">
        <v>2872</v>
      </c>
      <c r="D416" s="7" t="s">
        <v>2871</v>
      </c>
      <c r="E416" s="7" t="s">
        <v>16</v>
      </c>
      <c r="F416" s="7" t="s">
        <v>2873</v>
      </c>
      <c r="G416" s="17" t="s">
        <v>7747</v>
      </c>
      <c r="H416" s="7" t="s">
        <v>19</v>
      </c>
      <c r="I416" s="7" t="s">
        <v>59</v>
      </c>
      <c r="J416" s="7" t="s">
        <v>226</v>
      </c>
      <c r="K416" s="7" t="s">
        <v>2873</v>
      </c>
      <c r="L416" s="7" t="s">
        <v>61</v>
      </c>
      <c r="M416" s="7">
        <v>10.872859999999999</v>
      </c>
      <c r="N416" s="7">
        <v>13.88374</v>
      </c>
      <c r="O416" s="7" t="s">
        <v>23</v>
      </c>
      <c r="P416" s="3"/>
      <c r="Q416" s="3"/>
      <c r="R416" s="3"/>
    </row>
    <row r="417" spans="1:18" x14ac:dyDescent="0.25">
      <c r="A417" s="2">
        <v>1563</v>
      </c>
      <c r="B417" s="7" t="s">
        <v>2900</v>
      </c>
      <c r="C417" s="7" t="s">
        <v>2901</v>
      </c>
      <c r="D417" s="7" t="s">
        <v>2900</v>
      </c>
      <c r="E417" s="7" t="s">
        <v>16</v>
      </c>
      <c r="F417" s="7" t="s">
        <v>2902</v>
      </c>
      <c r="G417" s="17" t="s">
        <v>7747</v>
      </c>
      <c r="H417" s="7" t="s">
        <v>19</v>
      </c>
      <c r="I417" s="7" t="s">
        <v>61</v>
      </c>
      <c r="J417" s="7" t="s">
        <v>505</v>
      </c>
      <c r="K417" s="7" t="s">
        <v>2902</v>
      </c>
      <c r="L417" s="7" t="s">
        <v>61</v>
      </c>
      <c r="M417" s="7">
        <v>10.736986</v>
      </c>
      <c r="N417" s="7">
        <v>14.616889</v>
      </c>
      <c r="O417" s="7" t="s">
        <v>23</v>
      </c>
      <c r="P417" s="3"/>
      <c r="Q417" s="3"/>
      <c r="R417" s="3"/>
    </row>
    <row r="418" spans="1:18" x14ac:dyDescent="0.25">
      <c r="A418" s="2">
        <v>1564</v>
      </c>
      <c r="B418" s="7" t="s">
        <v>2926</v>
      </c>
      <c r="C418" s="7" t="s">
        <v>2927</v>
      </c>
      <c r="D418" s="7" t="s">
        <v>2926</v>
      </c>
      <c r="E418" s="7" t="s">
        <v>170</v>
      </c>
      <c r="F418" s="7" t="s">
        <v>2928</v>
      </c>
      <c r="G418" s="17" t="s">
        <v>7747</v>
      </c>
      <c r="H418" s="7" t="s">
        <v>28</v>
      </c>
      <c r="I418" s="7" t="s">
        <v>172</v>
      </c>
      <c r="J418" s="7" t="s">
        <v>173</v>
      </c>
      <c r="K418" s="7" t="s">
        <v>174</v>
      </c>
      <c r="L418" s="7" t="s">
        <v>61</v>
      </c>
      <c r="M418" s="7">
        <v>9.9434719999999999</v>
      </c>
      <c r="N418" s="7">
        <v>13.9435</v>
      </c>
      <c r="O418" s="7" t="s">
        <v>23</v>
      </c>
      <c r="P418" s="3"/>
      <c r="Q418" s="3"/>
      <c r="R418" s="3"/>
    </row>
    <row r="419" spans="1:18" x14ac:dyDescent="0.25">
      <c r="A419" s="2">
        <v>1565</v>
      </c>
      <c r="B419" s="7" t="s">
        <v>2956</v>
      </c>
      <c r="C419" s="7" t="s">
        <v>2957</v>
      </c>
      <c r="D419" s="7" t="s">
        <v>2956</v>
      </c>
      <c r="E419" s="7" t="s">
        <v>16</v>
      </c>
      <c r="F419" s="7" t="s">
        <v>2958</v>
      </c>
      <c r="G419" s="17" t="s">
        <v>7747</v>
      </c>
      <c r="H419" s="7" t="s">
        <v>28</v>
      </c>
      <c r="I419" s="7" t="s">
        <v>61</v>
      </c>
      <c r="J419" s="7" t="s">
        <v>505</v>
      </c>
      <c r="K419" s="7" t="s">
        <v>1253</v>
      </c>
      <c r="L419" s="7" t="s">
        <v>61</v>
      </c>
      <c r="M419" s="7">
        <v>10.606139000000001</v>
      </c>
      <c r="N419" s="7">
        <v>14.343028</v>
      </c>
      <c r="O419" s="7" t="s">
        <v>23</v>
      </c>
      <c r="P419" s="3"/>
      <c r="Q419" s="3"/>
      <c r="R419" s="3"/>
    </row>
    <row r="420" spans="1:18" x14ac:dyDescent="0.25">
      <c r="A420" s="2">
        <v>1566</v>
      </c>
      <c r="B420" s="7" t="s">
        <v>3040</v>
      </c>
      <c r="C420" s="7" t="s">
        <v>3041</v>
      </c>
      <c r="D420" s="7" t="s">
        <v>3040</v>
      </c>
      <c r="E420" s="7" t="s">
        <v>16</v>
      </c>
      <c r="F420" s="7" t="s">
        <v>3042</v>
      </c>
      <c r="G420" s="17" t="s">
        <v>7747</v>
      </c>
      <c r="H420" s="7" t="s">
        <v>28</v>
      </c>
      <c r="I420" s="7" t="s">
        <v>61</v>
      </c>
      <c r="J420" s="7" t="s">
        <v>505</v>
      </c>
      <c r="K420" s="7" t="s">
        <v>506</v>
      </c>
      <c r="L420" s="7" t="s">
        <v>61</v>
      </c>
      <c r="M420" s="7">
        <v>10.583328</v>
      </c>
      <c r="N420" s="7">
        <v>14.28251</v>
      </c>
      <c r="O420" s="7" t="s">
        <v>23</v>
      </c>
      <c r="P420" s="3"/>
      <c r="Q420" s="3"/>
      <c r="R420" s="3"/>
    </row>
    <row r="421" spans="1:18" x14ac:dyDescent="0.25">
      <c r="A421" s="2">
        <v>1567</v>
      </c>
      <c r="B421" s="7" t="s">
        <v>3055</v>
      </c>
      <c r="C421" s="7" t="s">
        <v>3056</v>
      </c>
      <c r="D421" s="7" t="s">
        <v>3055</v>
      </c>
      <c r="E421" s="7" t="s">
        <v>16</v>
      </c>
      <c r="F421" s="7" t="s">
        <v>3057</v>
      </c>
      <c r="G421" s="17" t="s">
        <v>7747</v>
      </c>
      <c r="H421" s="7" t="s">
        <v>28</v>
      </c>
      <c r="I421" s="7" t="s">
        <v>61</v>
      </c>
      <c r="J421" s="7" t="s">
        <v>505</v>
      </c>
      <c r="K421" s="7" t="s">
        <v>1707</v>
      </c>
      <c r="L421" s="7" t="s">
        <v>61</v>
      </c>
      <c r="M421" s="7">
        <v>10.593056000000001</v>
      </c>
      <c r="N421" s="7">
        <v>14.300611</v>
      </c>
      <c r="O421" s="7" t="s">
        <v>23</v>
      </c>
      <c r="P421" s="3"/>
      <c r="Q421" s="3"/>
      <c r="R421" s="3"/>
    </row>
    <row r="422" spans="1:18" x14ac:dyDescent="0.25">
      <c r="A422" s="2">
        <v>1568</v>
      </c>
      <c r="B422" s="7" t="s">
        <v>3061</v>
      </c>
      <c r="C422" s="7" t="s">
        <v>3062</v>
      </c>
      <c r="D422" s="7" t="s">
        <v>3061</v>
      </c>
      <c r="E422" s="7" t="s">
        <v>16</v>
      </c>
      <c r="F422" s="7" t="s">
        <v>3063</v>
      </c>
      <c r="G422" s="17" t="s">
        <v>7747</v>
      </c>
      <c r="H422" s="7" t="s">
        <v>28</v>
      </c>
      <c r="I422" s="7" t="s">
        <v>61</v>
      </c>
      <c r="J422" s="7" t="s">
        <v>505</v>
      </c>
      <c r="K422" s="7" t="s">
        <v>1886</v>
      </c>
      <c r="L422" s="7" t="s">
        <v>61</v>
      </c>
      <c r="M422" s="7">
        <v>10.600332999999999</v>
      </c>
      <c r="N422" s="7">
        <v>14.335528</v>
      </c>
      <c r="O422" s="7" t="s">
        <v>23</v>
      </c>
      <c r="P422" s="3"/>
      <c r="Q422" s="3"/>
      <c r="R422" s="3"/>
    </row>
    <row r="423" spans="1:18" x14ac:dyDescent="0.25">
      <c r="A423" s="2">
        <v>1569</v>
      </c>
      <c r="B423" s="7" t="s">
        <v>3073</v>
      </c>
      <c r="C423" s="7" t="s">
        <v>3074</v>
      </c>
      <c r="D423" s="7" t="s">
        <v>3073</v>
      </c>
      <c r="E423" s="7" t="s">
        <v>16</v>
      </c>
      <c r="F423" s="7" t="s">
        <v>3075</v>
      </c>
      <c r="G423" s="17" t="s">
        <v>7747</v>
      </c>
      <c r="H423" s="7" t="s">
        <v>28</v>
      </c>
      <c r="I423" s="7" t="s">
        <v>59</v>
      </c>
      <c r="J423" s="7" t="s">
        <v>70</v>
      </c>
      <c r="K423" s="7" t="s">
        <v>620</v>
      </c>
      <c r="L423" s="7" t="s">
        <v>61</v>
      </c>
      <c r="M423" s="7">
        <v>10.095280000000001</v>
      </c>
      <c r="N423" s="7">
        <v>14.426674</v>
      </c>
      <c r="O423" s="7" t="s">
        <v>23</v>
      </c>
      <c r="P423" s="3"/>
      <c r="Q423" s="3"/>
      <c r="R423" s="3"/>
    </row>
    <row r="424" spans="1:18" x14ac:dyDescent="0.25">
      <c r="A424" s="2">
        <v>1570</v>
      </c>
      <c r="B424" s="7" t="s">
        <v>3078</v>
      </c>
      <c r="C424" s="7" t="s">
        <v>3079</v>
      </c>
      <c r="D424" s="7" t="s">
        <v>3078</v>
      </c>
      <c r="E424" s="7" t="s">
        <v>16</v>
      </c>
      <c r="F424" s="7" t="s">
        <v>3080</v>
      </c>
      <c r="G424" s="17" t="s">
        <v>7747</v>
      </c>
      <c r="H424" s="7" t="s">
        <v>19</v>
      </c>
      <c r="I424" s="7" t="s">
        <v>61</v>
      </c>
      <c r="J424" s="7" t="s">
        <v>505</v>
      </c>
      <c r="K424" s="7" t="s">
        <v>1253</v>
      </c>
      <c r="L424" s="7" t="s">
        <v>61</v>
      </c>
      <c r="M424" s="7">
        <v>10.606978</v>
      </c>
      <c r="N424" s="7">
        <v>14.357969000000001</v>
      </c>
      <c r="O424" s="7" t="s">
        <v>23</v>
      </c>
      <c r="P424" s="3"/>
      <c r="Q424" s="3"/>
      <c r="R424" s="3"/>
    </row>
    <row r="425" spans="1:18" x14ac:dyDescent="0.25">
      <c r="A425" s="2">
        <v>1571</v>
      </c>
      <c r="B425" s="7" t="s">
        <v>3090</v>
      </c>
      <c r="C425" s="7" t="s">
        <v>3091</v>
      </c>
      <c r="D425" s="7" t="s">
        <v>3090</v>
      </c>
      <c r="E425" s="7" t="s">
        <v>16</v>
      </c>
      <c r="F425" s="7" t="s">
        <v>3092</v>
      </c>
      <c r="G425" s="17" t="s">
        <v>7747</v>
      </c>
      <c r="H425" s="7" t="s">
        <v>28</v>
      </c>
      <c r="I425" s="7" t="s">
        <v>61</v>
      </c>
      <c r="J425" s="7" t="s">
        <v>513</v>
      </c>
      <c r="K425" s="7" t="s">
        <v>514</v>
      </c>
      <c r="L425" s="7" t="s">
        <v>61</v>
      </c>
      <c r="M425" s="7">
        <v>11.056367</v>
      </c>
      <c r="N425" s="7">
        <v>14.125545000000001</v>
      </c>
      <c r="O425" s="7" t="s">
        <v>23</v>
      </c>
      <c r="P425" s="3"/>
      <c r="Q425" s="3"/>
      <c r="R425" s="3"/>
    </row>
    <row r="426" spans="1:18" x14ac:dyDescent="0.25">
      <c r="A426" s="2">
        <v>1572</v>
      </c>
      <c r="B426" s="7" t="s">
        <v>3123</v>
      </c>
      <c r="C426" s="7" t="s">
        <v>3124</v>
      </c>
      <c r="D426" s="7" t="s">
        <v>3123</v>
      </c>
      <c r="E426" s="7" t="s">
        <v>16</v>
      </c>
      <c r="F426" s="7" t="s">
        <v>3125</v>
      </c>
      <c r="G426" s="17" t="s">
        <v>7747</v>
      </c>
      <c r="H426" s="7" t="s">
        <v>28</v>
      </c>
      <c r="I426" s="7" t="s">
        <v>61</v>
      </c>
      <c r="J426" s="7" t="s">
        <v>505</v>
      </c>
      <c r="K426" s="7" t="s">
        <v>877</v>
      </c>
      <c r="L426" s="7" t="s">
        <v>61</v>
      </c>
      <c r="M426" s="7">
        <v>10.606444</v>
      </c>
      <c r="N426" s="7">
        <v>14.326222</v>
      </c>
      <c r="O426" s="7" t="s">
        <v>23</v>
      </c>
      <c r="P426" s="3"/>
      <c r="Q426" s="3"/>
      <c r="R426" s="3"/>
    </row>
    <row r="427" spans="1:18" x14ac:dyDescent="0.25">
      <c r="A427" s="2">
        <v>1573</v>
      </c>
      <c r="B427" s="7" t="s">
        <v>3151</v>
      </c>
      <c r="C427" s="7" t="s">
        <v>3152</v>
      </c>
      <c r="D427" s="7" t="s">
        <v>3151</v>
      </c>
      <c r="E427" s="7" t="s">
        <v>16</v>
      </c>
      <c r="F427" s="7" t="s">
        <v>3153</v>
      </c>
      <c r="G427" s="17" t="s">
        <v>7747</v>
      </c>
      <c r="H427" s="7" t="s">
        <v>28</v>
      </c>
      <c r="I427" s="7" t="s">
        <v>59</v>
      </c>
      <c r="J427" s="7" t="s">
        <v>60</v>
      </c>
      <c r="K427" s="7" t="s">
        <v>59</v>
      </c>
      <c r="L427" s="7" t="s">
        <v>61</v>
      </c>
      <c r="M427" s="7">
        <v>10.343389</v>
      </c>
      <c r="N427" s="7">
        <v>15.232222</v>
      </c>
      <c r="O427" s="7" t="s">
        <v>23</v>
      </c>
      <c r="P427" s="3"/>
      <c r="Q427" s="3"/>
      <c r="R427" s="3"/>
    </row>
    <row r="428" spans="1:18" x14ac:dyDescent="0.25">
      <c r="A428" s="2">
        <v>1574</v>
      </c>
      <c r="B428" s="7" t="s">
        <v>3169</v>
      </c>
      <c r="C428" s="7" t="s">
        <v>3170</v>
      </c>
      <c r="D428" s="7" t="s">
        <v>3169</v>
      </c>
      <c r="E428" s="7" t="s">
        <v>16</v>
      </c>
      <c r="F428" s="7" t="s">
        <v>3171</v>
      </c>
      <c r="G428" s="17" t="s">
        <v>7747</v>
      </c>
      <c r="H428" s="7" t="s">
        <v>28</v>
      </c>
      <c r="I428" s="7" t="s">
        <v>61</v>
      </c>
      <c r="J428" s="7" t="s">
        <v>505</v>
      </c>
      <c r="K428" s="7" t="s">
        <v>506</v>
      </c>
      <c r="L428" s="7" t="s">
        <v>61</v>
      </c>
      <c r="M428" s="7">
        <v>10.6028</v>
      </c>
      <c r="N428" s="7">
        <v>14.299277999999999</v>
      </c>
      <c r="O428" s="7" t="s">
        <v>23</v>
      </c>
      <c r="P428" s="3"/>
      <c r="Q428" s="3"/>
      <c r="R428" s="3"/>
    </row>
    <row r="429" spans="1:18" x14ac:dyDescent="0.25">
      <c r="A429" s="2">
        <v>1575</v>
      </c>
      <c r="B429" s="7" t="s">
        <v>3172</v>
      </c>
      <c r="C429" s="7" t="s">
        <v>3173</v>
      </c>
      <c r="D429" s="7" t="s">
        <v>3172</v>
      </c>
      <c r="E429" s="7" t="s">
        <v>16</v>
      </c>
      <c r="F429" s="7" t="s">
        <v>3174</v>
      </c>
      <c r="G429" s="17" t="s">
        <v>7747</v>
      </c>
      <c r="H429" s="7" t="s">
        <v>28</v>
      </c>
      <c r="I429" s="7" t="s">
        <v>59</v>
      </c>
      <c r="J429" s="7" t="s">
        <v>226</v>
      </c>
      <c r="K429" s="7" t="s">
        <v>3175</v>
      </c>
      <c r="L429" s="7" t="s">
        <v>61</v>
      </c>
      <c r="M429" s="7">
        <v>10.536694000000001</v>
      </c>
      <c r="N429" s="7">
        <v>14.133694</v>
      </c>
      <c r="O429" s="7" t="s">
        <v>23</v>
      </c>
      <c r="P429" s="3"/>
      <c r="Q429" s="3"/>
      <c r="R429" s="3"/>
    </row>
    <row r="430" spans="1:18" x14ac:dyDescent="0.25">
      <c r="A430" s="2">
        <v>1576</v>
      </c>
      <c r="B430" s="7" t="s">
        <v>3179</v>
      </c>
      <c r="C430" s="7" t="s">
        <v>3180</v>
      </c>
      <c r="D430" s="7" t="s">
        <v>3179</v>
      </c>
      <c r="E430" s="7" t="s">
        <v>16</v>
      </c>
      <c r="F430" s="7" t="s">
        <v>3181</v>
      </c>
      <c r="G430" s="17" t="s">
        <v>7747</v>
      </c>
      <c r="H430" s="7" t="s">
        <v>28</v>
      </c>
      <c r="I430" s="7" t="s">
        <v>59</v>
      </c>
      <c r="J430" s="7" t="s">
        <v>70</v>
      </c>
      <c r="K430" s="7" t="s">
        <v>620</v>
      </c>
      <c r="L430" s="7" t="s">
        <v>61</v>
      </c>
      <c r="M430" s="7">
        <v>10.114744</v>
      </c>
      <c r="N430" s="7">
        <v>14.445538000000001</v>
      </c>
      <c r="O430" s="7" t="s">
        <v>23</v>
      </c>
      <c r="P430" s="3"/>
      <c r="Q430" s="3"/>
      <c r="R430" s="3"/>
    </row>
    <row r="431" spans="1:18" x14ac:dyDescent="0.25">
      <c r="A431" s="2">
        <v>1577</v>
      </c>
      <c r="B431" s="7" t="s">
        <v>3268</v>
      </c>
      <c r="C431" s="7" t="s">
        <v>3269</v>
      </c>
      <c r="D431" s="7" t="s">
        <v>3268</v>
      </c>
      <c r="E431" s="7" t="s">
        <v>16</v>
      </c>
      <c r="F431" s="7" t="s">
        <v>59</v>
      </c>
      <c r="G431" s="17" t="s">
        <v>7747</v>
      </c>
      <c r="H431" s="7" t="s">
        <v>19</v>
      </c>
      <c r="I431" s="7" t="s">
        <v>59</v>
      </c>
      <c r="J431" s="7" t="s">
        <v>60</v>
      </c>
      <c r="K431" s="7" t="s">
        <v>59</v>
      </c>
      <c r="L431" s="7" t="s">
        <v>61</v>
      </c>
      <c r="M431" s="7">
        <v>10.324242999999999</v>
      </c>
      <c r="N431" s="7">
        <v>15.237147999999999</v>
      </c>
      <c r="O431" s="7" t="s">
        <v>23</v>
      </c>
      <c r="P431" s="3"/>
      <c r="Q431" s="3"/>
      <c r="R431" s="3"/>
    </row>
    <row r="432" spans="1:18" x14ac:dyDescent="0.25">
      <c r="A432" s="2">
        <v>1578</v>
      </c>
      <c r="B432" s="7" t="s">
        <v>3282</v>
      </c>
      <c r="C432" s="7" t="s">
        <v>3283</v>
      </c>
      <c r="D432" s="7" t="s">
        <v>3282</v>
      </c>
      <c r="E432" s="7" t="s">
        <v>16</v>
      </c>
      <c r="F432" s="7" t="s">
        <v>3284</v>
      </c>
      <c r="G432" s="17" t="s">
        <v>7747</v>
      </c>
      <c r="H432" s="7" t="s">
        <v>28</v>
      </c>
      <c r="I432" s="7" t="s">
        <v>61</v>
      </c>
      <c r="J432" s="7" t="s">
        <v>1790</v>
      </c>
      <c r="K432" s="7" t="s">
        <v>1791</v>
      </c>
      <c r="L432" s="7" t="s">
        <v>61</v>
      </c>
      <c r="M432" s="7">
        <v>10.883027999999999</v>
      </c>
      <c r="N432" s="7">
        <v>14.830861000000001</v>
      </c>
      <c r="O432" s="7" t="s">
        <v>23</v>
      </c>
      <c r="P432" s="3"/>
      <c r="Q432" s="3"/>
      <c r="R432" s="3"/>
    </row>
    <row r="433" spans="1:18" x14ac:dyDescent="0.25">
      <c r="A433" s="2">
        <v>1579</v>
      </c>
      <c r="B433" s="7" t="s">
        <v>3285</v>
      </c>
      <c r="C433" s="7" t="s">
        <v>3286</v>
      </c>
      <c r="D433" s="7" t="s">
        <v>3285</v>
      </c>
      <c r="E433" s="7" t="s">
        <v>16</v>
      </c>
      <c r="F433" s="7" t="s">
        <v>3287</v>
      </c>
      <c r="G433" s="17" t="s">
        <v>7747</v>
      </c>
      <c r="H433" s="7" t="s">
        <v>28</v>
      </c>
      <c r="I433" s="7" t="s">
        <v>61</v>
      </c>
      <c r="J433" s="7" t="s">
        <v>505</v>
      </c>
      <c r="K433" s="7" t="s">
        <v>506</v>
      </c>
      <c r="L433" s="7" t="s">
        <v>61</v>
      </c>
      <c r="M433" s="7">
        <v>10.589737</v>
      </c>
      <c r="N433" s="7">
        <v>14.309298</v>
      </c>
      <c r="O433" s="7" t="s">
        <v>23</v>
      </c>
      <c r="P433" s="3"/>
      <c r="Q433" s="3"/>
      <c r="R433" s="3"/>
    </row>
    <row r="434" spans="1:18" x14ac:dyDescent="0.25">
      <c r="A434" s="2">
        <v>1580</v>
      </c>
      <c r="B434" s="7" t="s">
        <v>3427</v>
      </c>
      <c r="C434" s="7" t="s">
        <v>3428</v>
      </c>
      <c r="D434" s="7" t="s">
        <v>3427</v>
      </c>
      <c r="E434" s="7" t="s">
        <v>16</v>
      </c>
      <c r="F434" s="7" t="s">
        <v>3429</v>
      </c>
      <c r="G434" s="17" t="s">
        <v>7747</v>
      </c>
      <c r="H434" s="7" t="s">
        <v>28</v>
      </c>
      <c r="I434" s="7" t="s">
        <v>59</v>
      </c>
      <c r="J434" s="7" t="s">
        <v>226</v>
      </c>
      <c r="K434" s="7" t="s">
        <v>474</v>
      </c>
      <c r="L434" s="7" t="s">
        <v>61</v>
      </c>
      <c r="M434" s="7">
        <v>10.735528</v>
      </c>
      <c r="N434" s="7">
        <v>13.797416999999999</v>
      </c>
      <c r="O434" s="7" t="s">
        <v>23</v>
      </c>
      <c r="P434" s="3"/>
      <c r="Q434" s="3"/>
      <c r="R434" s="3"/>
    </row>
    <row r="435" spans="1:18" x14ac:dyDescent="0.25">
      <c r="A435" s="2">
        <v>1581</v>
      </c>
      <c r="B435" s="7" t="s">
        <v>3508</v>
      </c>
      <c r="C435" s="7" t="s">
        <v>3509</v>
      </c>
      <c r="D435" s="7" t="s">
        <v>3508</v>
      </c>
      <c r="E435" s="7" t="s">
        <v>16</v>
      </c>
      <c r="F435" s="7" t="s">
        <v>620</v>
      </c>
      <c r="G435" s="17" t="s">
        <v>7747</v>
      </c>
      <c r="H435" s="7" t="s">
        <v>19</v>
      </c>
      <c r="I435" s="7" t="s">
        <v>59</v>
      </c>
      <c r="J435" s="7" t="s">
        <v>70</v>
      </c>
      <c r="K435" s="7" t="s">
        <v>620</v>
      </c>
      <c r="L435" s="7" t="s">
        <v>61</v>
      </c>
      <c r="M435" s="7">
        <v>10.107937</v>
      </c>
      <c r="N435" s="7">
        <v>14.460948</v>
      </c>
      <c r="O435" s="7" t="s">
        <v>23</v>
      </c>
      <c r="P435" s="3"/>
      <c r="Q435" s="3"/>
      <c r="R435" s="3"/>
    </row>
    <row r="436" spans="1:18" x14ac:dyDescent="0.25">
      <c r="A436" s="2">
        <v>1582</v>
      </c>
      <c r="B436" s="7" t="s">
        <v>3550</v>
      </c>
      <c r="C436" s="7" t="s">
        <v>3551</v>
      </c>
      <c r="D436" s="7" t="s">
        <v>3550</v>
      </c>
      <c r="E436" s="7" t="s">
        <v>16</v>
      </c>
      <c r="F436" s="7" t="s">
        <v>3552</v>
      </c>
      <c r="G436" s="17" t="s">
        <v>7747</v>
      </c>
      <c r="H436" s="7" t="s">
        <v>28</v>
      </c>
      <c r="I436" s="7" t="s">
        <v>59</v>
      </c>
      <c r="J436" s="7" t="s">
        <v>226</v>
      </c>
      <c r="K436" s="7" t="s">
        <v>474</v>
      </c>
      <c r="L436" s="7" t="s">
        <v>61</v>
      </c>
      <c r="M436" s="7">
        <v>10.743758</v>
      </c>
      <c r="N436" s="7">
        <v>13.8028</v>
      </c>
      <c r="O436" s="7" t="s">
        <v>23</v>
      </c>
      <c r="P436" s="3"/>
      <c r="Q436" s="3"/>
      <c r="R436" s="3"/>
    </row>
    <row r="437" spans="1:18" x14ac:dyDescent="0.25">
      <c r="A437" s="2">
        <v>1583</v>
      </c>
      <c r="B437" s="7" t="s">
        <v>3994</v>
      </c>
      <c r="C437" s="7" t="s">
        <v>3995</v>
      </c>
      <c r="D437" s="7" t="s">
        <v>3994</v>
      </c>
      <c r="E437" s="7" t="s">
        <v>170</v>
      </c>
      <c r="F437" s="7" t="s">
        <v>3996</v>
      </c>
      <c r="G437" s="17" t="s">
        <v>7747</v>
      </c>
      <c r="H437" s="7" t="s">
        <v>28</v>
      </c>
      <c r="I437" s="7" t="s">
        <v>172</v>
      </c>
      <c r="J437" s="7" t="s">
        <v>173</v>
      </c>
      <c r="K437" s="7" t="s">
        <v>174</v>
      </c>
      <c r="L437" s="7" t="s">
        <v>61</v>
      </c>
      <c r="M437" s="7">
        <v>9.9311799999999995</v>
      </c>
      <c r="N437" s="7">
        <v>13.943388000000001</v>
      </c>
      <c r="O437" s="7" t="s">
        <v>23</v>
      </c>
      <c r="P437" s="3"/>
      <c r="Q437" s="3"/>
      <c r="R437" s="3"/>
    </row>
    <row r="438" spans="1:18" x14ac:dyDescent="0.25">
      <c r="A438" s="2">
        <v>1584</v>
      </c>
      <c r="B438" s="7" t="s">
        <v>4062</v>
      </c>
      <c r="C438" s="7" t="s">
        <v>4063</v>
      </c>
      <c r="D438" s="7" t="s">
        <v>4062</v>
      </c>
      <c r="E438" s="7" t="s">
        <v>16</v>
      </c>
      <c r="F438" s="7" t="s">
        <v>2100</v>
      </c>
      <c r="G438" s="17" t="s">
        <v>7747</v>
      </c>
      <c r="H438" s="7" t="s">
        <v>19</v>
      </c>
      <c r="I438" s="7" t="s">
        <v>59</v>
      </c>
      <c r="J438" s="7" t="s">
        <v>70</v>
      </c>
      <c r="K438" s="7" t="s">
        <v>2100</v>
      </c>
      <c r="L438" s="7" t="s">
        <v>61</v>
      </c>
      <c r="M438" s="7">
        <v>10.141780000000001</v>
      </c>
      <c r="N438" s="7">
        <v>14.703192</v>
      </c>
      <c r="O438" s="7" t="s">
        <v>23</v>
      </c>
      <c r="P438" s="3"/>
      <c r="Q438" s="3"/>
      <c r="R438" s="3"/>
    </row>
    <row r="439" spans="1:18" x14ac:dyDescent="0.25">
      <c r="A439" s="2">
        <v>1585</v>
      </c>
      <c r="B439" s="7" t="s">
        <v>4064</v>
      </c>
      <c r="C439" s="7" t="s">
        <v>4065</v>
      </c>
      <c r="D439" s="7" t="s">
        <v>4064</v>
      </c>
      <c r="E439" s="7" t="s">
        <v>16</v>
      </c>
      <c r="F439" s="7" t="s">
        <v>4066</v>
      </c>
      <c r="G439" s="17" t="s">
        <v>7747</v>
      </c>
      <c r="H439" s="7" t="s">
        <v>19</v>
      </c>
      <c r="I439" s="7" t="s">
        <v>59</v>
      </c>
      <c r="J439" s="7" t="s">
        <v>70</v>
      </c>
      <c r="K439" s="7" t="s">
        <v>4066</v>
      </c>
      <c r="L439" s="7" t="s">
        <v>61</v>
      </c>
      <c r="M439" s="7">
        <v>10.055694000000001</v>
      </c>
      <c r="N439" s="7">
        <v>14.913417000000001</v>
      </c>
      <c r="O439" s="7" t="s">
        <v>23</v>
      </c>
      <c r="P439" s="3"/>
      <c r="Q439" s="3"/>
      <c r="R439" s="3"/>
    </row>
    <row r="440" spans="1:18" x14ac:dyDescent="0.25">
      <c r="A440" s="2">
        <v>1586</v>
      </c>
      <c r="B440" s="7" t="s">
        <v>4494</v>
      </c>
      <c r="C440" s="7" t="s">
        <v>4495</v>
      </c>
      <c r="D440" s="7" t="s">
        <v>4494</v>
      </c>
      <c r="E440" s="7" t="s">
        <v>16</v>
      </c>
      <c r="F440" s="7" t="s">
        <v>718</v>
      </c>
      <c r="G440" s="17" t="s">
        <v>7747</v>
      </c>
      <c r="H440" s="7" t="s">
        <v>19</v>
      </c>
      <c r="I440" s="7" t="s">
        <v>59</v>
      </c>
      <c r="J440" s="7" t="s">
        <v>60</v>
      </c>
      <c r="K440" s="7" t="s">
        <v>718</v>
      </c>
      <c r="L440" s="7" t="s">
        <v>61</v>
      </c>
      <c r="M440" s="7">
        <v>10.288489999999999</v>
      </c>
      <c r="N440" s="7">
        <v>14.9352</v>
      </c>
      <c r="O440" s="7" t="s">
        <v>23</v>
      </c>
      <c r="P440" s="3"/>
      <c r="Q440" s="3"/>
      <c r="R440" s="3"/>
    </row>
    <row r="441" spans="1:18" x14ac:dyDescent="0.25">
      <c r="A441" s="2">
        <v>1587</v>
      </c>
      <c r="B441" s="7" t="s">
        <v>4634</v>
      </c>
      <c r="C441" s="7" t="s">
        <v>4635</v>
      </c>
      <c r="D441" s="7" t="s">
        <v>4634</v>
      </c>
      <c r="E441" s="7" t="s">
        <v>16</v>
      </c>
      <c r="F441" s="7" t="s">
        <v>620</v>
      </c>
      <c r="G441" s="17" t="s">
        <v>7747</v>
      </c>
      <c r="H441" s="7" t="s">
        <v>19</v>
      </c>
      <c r="I441" s="7" t="s">
        <v>59</v>
      </c>
      <c r="J441" s="7" t="s">
        <v>70</v>
      </c>
      <c r="K441" s="7" t="s">
        <v>620</v>
      </c>
      <c r="L441" s="7" t="s">
        <v>61</v>
      </c>
      <c r="M441" s="7">
        <v>10.098636000000001</v>
      </c>
      <c r="N441" s="7">
        <v>14.454416999999999</v>
      </c>
      <c r="O441" s="7" t="s">
        <v>23</v>
      </c>
      <c r="P441" s="3"/>
      <c r="Q441" s="3"/>
      <c r="R441" s="3"/>
    </row>
    <row r="442" spans="1:18" x14ac:dyDescent="0.25">
      <c r="A442" s="2">
        <v>1588</v>
      </c>
      <c r="B442" s="7" t="s">
        <v>4672</v>
      </c>
      <c r="C442" s="7" t="s">
        <v>4673</v>
      </c>
      <c r="D442" s="7" t="s">
        <v>4672</v>
      </c>
      <c r="E442" s="7" t="s">
        <v>16</v>
      </c>
      <c r="F442" s="7" t="s">
        <v>470</v>
      </c>
      <c r="G442" s="17" t="s">
        <v>7747</v>
      </c>
      <c r="H442" s="7" t="s">
        <v>19</v>
      </c>
      <c r="I442" s="7" t="s">
        <v>59</v>
      </c>
      <c r="J442" s="7" t="s">
        <v>70</v>
      </c>
      <c r="K442" s="7" t="s">
        <v>470</v>
      </c>
      <c r="L442" s="7" t="s">
        <v>61</v>
      </c>
      <c r="M442" s="7">
        <v>10.20096</v>
      </c>
      <c r="N442" s="7">
        <v>14.177390000000001</v>
      </c>
      <c r="O442" s="7" t="s">
        <v>23</v>
      </c>
      <c r="P442" s="3"/>
      <c r="Q442" s="3"/>
      <c r="R442" s="3"/>
    </row>
    <row r="443" spans="1:18" x14ac:dyDescent="0.25">
      <c r="A443" s="2">
        <v>1589</v>
      </c>
      <c r="B443" s="7" t="s">
        <v>4763</v>
      </c>
      <c r="C443" s="7" t="s">
        <v>4764</v>
      </c>
      <c r="D443" s="7" t="s">
        <v>4763</v>
      </c>
      <c r="E443" s="7" t="s">
        <v>16</v>
      </c>
      <c r="F443" s="7" t="s">
        <v>4765</v>
      </c>
      <c r="G443" s="17" t="s">
        <v>7747</v>
      </c>
      <c r="H443" s="7" t="s">
        <v>28</v>
      </c>
      <c r="I443" s="7" t="s">
        <v>61</v>
      </c>
      <c r="J443" s="7" t="s">
        <v>505</v>
      </c>
      <c r="K443" s="7" t="s">
        <v>877</v>
      </c>
      <c r="L443" s="7" t="s">
        <v>61</v>
      </c>
      <c r="M443" s="7">
        <v>10.602259999999999</v>
      </c>
      <c r="N443" s="7">
        <v>14.33018</v>
      </c>
      <c r="O443" s="7" t="s">
        <v>613</v>
      </c>
      <c r="P443" s="3"/>
      <c r="Q443" s="3"/>
      <c r="R443" s="3"/>
    </row>
    <row r="444" spans="1:18" x14ac:dyDescent="0.25">
      <c r="A444" s="2">
        <v>1590</v>
      </c>
      <c r="B444" s="7" t="s">
        <v>4769</v>
      </c>
      <c r="C444" s="7" t="s">
        <v>4770</v>
      </c>
      <c r="D444" s="7" t="s">
        <v>4769</v>
      </c>
      <c r="E444" s="7" t="s">
        <v>16</v>
      </c>
      <c r="F444" s="7" t="s">
        <v>4771</v>
      </c>
      <c r="G444" s="17" t="s">
        <v>7747</v>
      </c>
      <c r="H444" s="7" t="s">
        <v>19</v>
      </c>
      <c r="I444" s="7" t="s">
        <v>61</v>
      </c>
      <c r="J444" s="7" t="s">
        <v>505</v>
      </c>
      <c r="K444" s="7" t="s">
        <v>1253</v>
      </c>
      <c r="L444" s="7" t="s">
        <v>61</v>
      </c>
      <c r="M444" s="7">
        <v>10.605667</v>
      </c>
      <c r="N444" s="7">
        <v>14.336888999999999</v>
      </c>
      <c r="O444" s="7" t="s">
        <v>23</v>
      </c>
      <c r="P444" s="3"/>
      <c r="Q444" s="3"/>
      <c r="R444" s="3"/>
    </row>
    <row r="445" spans="1:18" x14ac:dyDescent="0.25">
      <c r="A445" s="2">
        <v>1591</v>
      </c>
      <c r="B445" s="7" t="s">
        <v>4775</v>
      </c>
      <c r="C445" s="7" t="s">
        <v>4776</v>
      </c>
      <c r="D445" s="7" t="s">
        <v>4775</v>
      </c>
      <c r="E445" s="7" t="s">
        <v>16</v>
      </c>
      <c r="F445" s="7" t="s">
        <v>4777</v>
      </c>
      <c r="G445" s="17" t="s">
        <v>7747</v>
      </c>
      <c r="H445" s="7" t="s">
        <v>19</v>
      </c>
      <c r="I445" s="7" t="s">
        <v>61</v>
      </c>
      <c r="J445" s="7" t="s">
        <v>513</v>
      </c>
      <c r="K445" s="7" t="s">
        <v>2243</v>
      </c>
      <c r="L445" s="7" t="s">
        <v>61</v>
      </c>
      <c r="M445" s="7">
        <v>10.87032</v>
      </c>
      <c r="N445" s="7">
        <v>14.24578</v>
      </c>
      <c r="O445" s="7" t="s">
        <v>23</v>
      </c>
      <c r="P445" s="3"/>
      <c r="Q445" s="3"/>
      <c r="R445" s="3"/>
    </row>
    <row r="446" spans="1:18" x14ac:dyDescent="0.25">
      <c r="A446" s="2">
        <v>1592</v>
      </c>
      <c r="B446" s="7" t="s">
        <v>4815</v>
      </c>
      <c r="C446" s="7" t="s">
        <v>4816</v>
      </c>
      <c r="D446" s="7" t="s">
        <v>4815</v>
      </c>
      <c r="E446" s="7" t="s">
        <v>170</v>
      </c>
      <c r="F446" s="7" t="s">
        <v>4817</v>
      </c>
      <c r="G446" s="17" t="s">
        <v>7747</v>
      </c>
      <c r="H446" s="7" t="s">
        <v>19</v>
      </c>
      <c r="I446" s="7" t="s">
        <v>172</v>
      </c>
      <c r="J446" s="7" t="s">
        <v>173</v>
      </c>
      <c r="K446" s="7" t="s">
        <v>737</v>
      </c>
      <c r="L446" s="7" t="s">
        <v>61</v>
      </c>
      <c r="M446" s="7">
        <v>10.253</v>
      </c>
      <c r="N446" s="7">
        <v>13.516400000000001</v>
      </c>
      <c r="O446" s="7" t="s">
        <v>23</v>
      </c>
      <c r="P446" s="3"/>
      <c r="Q446" s="3"/>
      <c r="R446" s="3"/>
    </row>
    <row r="447" spans="1:18" x14ac:dyDescent="0.25">
      <c r="A447" s="2">
        <v>1593</v>
      </c>
      <c r="B447" s="7" t="s">
        <v>4818</v>
      </c>
      <c r="C447" s="7" t="s">
        <v>4819</v>
      </c>
      <c r="D447" s="7" t="s">
        <v>4818</v>
      </c>
      <c r="E447" s="7" t="s">
        <v>16</v>
      </c>
      <c r="F447" s="7" t="s">
        <v>4820</v>
      </c>
      <c r="G447" s="17" t="s">
        <v>7747</v>
      </c>
      <c r="H447" s="7" t="s">
        <v>28</v>
      </c>
      <c r="I447" s="7" t="s">
        <v>61</v>
      </c>
      <c r="J447" s="7" t="s">
        <v>505</v>
      </c>
      <c r="K447" s="7" t="s">
        <v>1253</v>
      </c>
      <c r="L447" s="7" t="s">
        <v>61</v>
      </c>
      <c r="M447" s="7">
        <v>10.620557</v>
      </c>
      <c r="N447" s="7">
        <v>14.382971</v>
      </c>
      <c r="O447" s="7" t="s">
        <v>23</v>
      </c>
      <c r="P447" s="3"/>
      <c r="Q447" s="3"/>
      <c r="R447" s="3"/>
    </row>
    <row r="448" spans="1:18" x14ac:dyDescent="0.25">
      <c r="A448" s="2">
        <v>1594</v>
      </c>
      <c r="B448" s="7" t="s">
        <v>4821</v>
      </c>
      <c r="C448" s="7" t="s">
        <v>4822</v>
      </c>
      <c r="D448" s="7" t="s">
        <v>4821</v>
      </c>
      <c r="E448" s="7" t="s">
        <v>16</v>
      </c>
      <c r="F448" s="7" t="s">
        <v>2902</v>
      </c>
      <c r="G448" s="17" t="s">
        <v>7747</v>
      </c>
      <c r="H448" s="7" t="s">
        <v>28</v>
      </c>
      <c r="I448" s="7" t="s">
        <v>61</v>
      </c>
      <c r="J448" s="7" t="s">
        <v>505</v>
      </c>
      <c r="K448" s="7" t="s">
        <v>2902</v>
      </c>
      <c r="L448" s="7" t="s">
        <v>61</v>
      </c>
      <c r="M448" s="7">
        <v>10.734609000000001</v>
      </c>
      <c r="N448" s="7">
        <v>14.600436</v>
      </c>
      <c r="O448" s="7" t="s">
        <v>23</v>
      </c>
      <c r="P448" s="3"/>
      <c r="Q448" s="3"/>
      <c r="R448" s="3"/>
    </row>
    <row r="449" spans="1:18" x14ac:dyDescent="0.25">
      <c r="A449" s="2">
        <v>1595</v>
      </c>
      <c r="B449" s="7" t="s">
        <v>4823</v>
      </c>
      <c r="C449" s="7" t="s">
        <v>4824</v>
      </c>
      <c r="D449" s="7" t="s">
        <v>4823</v>
      </c>
      <c r="E449" s="7" t="s">
        <v>16</v>
      </c>
      <c r="F449" s="7" t="s">
        <v>1791</v>
      </c>
      <c r="G449" s="17" t="s">
        <v>7747</v>
      </c>
      <c r="H449" s="7" t="s">
        <v>19</v>
      </c>
      <c r="I449" s="7" t="s">
        <v>61</v>
      </c>
      <c r="J449" s="7" t="s">
        <v>1790</v>
      </c>
      <c r="K449" s="7" t="s">
        <v>1791</v>
      </c>
      <c r="L449" s="7" t="s">
        <v>61</v>
      </c>
      <c r="M449" s="7">
        <v>10.840889000000001</v>
      </c>
      <c r="N449" s="7">
        <v>14.944667000000001</v>
      </c>
      <c r="O449" s="7" t="s">
        <v>23</v>
      </c>
      <c r="P449" s="3"/>
      <c r="Q449" s="3"/>
      <c r="R449" s="3"/>
    </row>
    <row r="450" spans="1:18" x14ac:dyDescent="0.25">
      <c r="A450" s="2">
        <v>1596</v>
      </c>
      <c r="B450" s="7" t="s">
        <v>4834</v>
      </c>
      <c r="C450" s="7" t="s">
        <v>4835</v>
      </c>
      <c r="D450" s="7" t="s">
        <v>4834</v>
      </c>
      <c r="E450" s="7" t="s">
        <v>16</v>
      </c>
      <c r="F450" s="7" t="s">
        <v>4836</v>
      </c>
      <c r="G450" s="17" t="s">
        <v>7747</v>
      </c>
      <c r="H450" s="7" t="s">
        <v>28</v>
      </c>
      <c r="I450" s="7" t="s">
        <v>59</v>
      </c>
      <c r="J450" s="7" t="s">
        <v>70</v>
      </c>
      <c r="K450" s="7" t="s">
        <v>4836</v>
      </c>
      <c r="L450" s="7" t="s">
        <v>61</v>
      </c>
      <c r="M450" s="7">
        <v>10.404639</v>
      </c>
      <c r="N450" s="7">
        <v>14.441917</v>
      </c>
      <c r="O450" s="7" t="s">
        <v>23</v>
      </c>
      <c r="P450" s="3"/>
      <c r="Q450" s="3"/>
      <c r="R450" s="3"/>
    </row>
    <row r="451" spans="1:18" x14ac:dyDescent="0.25">
      <c r="A451" s="2">
        <v>1597</v>
      </c>
      <c r="B451" s="7" t="s">
        <v>4856</v>
      </c>
      <c r="C451" s="7" t="s">
        <v>4857</v>
      </c>
      <c r="D451" s="7" t="s">
        <v>4856</v>
      </c>
      <c r="E451" s="7" t="s">
        <v>16</v>
      </c>
      <c r="F451" s="7" t="s">
        <v>4858</v>
      </c>
      <c r="G451" s="17" t="s">
        <v>7747</v>
      </c>
      <c r="H451" s="7" t="s">
        <v>28</v>
      </c>
      <c r="I451" s="7" t="s">
        <v>61</v>
      </c>
      <c r="J451" s="7" t="s">
        <v>505</v>
      </c>
      <c r="K451" s="7" t="s">
        <v>506</v>
      </c>
      <c r="L451" s="7" t="s">
        <v>61</v>
      </c>
      <c r="M451" s="7">
        <v>10.6045</v>
      </c>
      <c r="N451" s="7">
        <v>14.283972</v>
      </c>
      <c r="O451" s="7" t="s">
        <v>23</v>
      </c>
      <c r="P451" s="3"/>
      <c r="Q451" s="3"/>
      <c r="R451" s="3"/>
    </row>
    <row r="452" spans="1:18" x14ac:dyDescent="0.25">
      <c r="A452" s="2">
        <v>1598</v>
      </c>
      <c r="B452" s="7" t="s">
        <v>4864</v>
      </c>
      <c r="C452" s="7" t="s">
        <v>4865</v>
      </c>
      <c r="D452" s="7" t="s">
        <v>4864</v>
      </c>
      <c r="E452" s="7" t="s">
        <v>16</v>
      </c>
      <c r="F452" s="7" t="s">
        <v>4866</v>
      </c>
      <c r="G452" s="17" t="s">
        <v>7747</v>
      </c>
      <c r="H452" s="7" t="s">
        <v>28</v>
      </c>
      <c r="I452" s="7" t="s">
        <v>59</v>
      </c>
      <c r="J452" s="7" t="s">
        <v>226</v>
      </c>
      <c r="K452" s="7" t="s">
        <v>466</v>
      </c>
      <c r="L452" s="7" t="s">
        <v>61</v>
      </c>
      <c r="M452" s="7">
        <v>10.515280000000001</v>
      </c>
      <c r="N452" s="7">
        <v>13.60042</v>
      </c>
      <c r="O452" s="7" t="s">
        <v>23</v>
      </c>
      <c r="P452" s="3"/>
      <c r="Q452" s="3"/>
      <c r="R452" s="3"/>
    </row>
    <row r="453" spans="1:18" x14ac:dyDescent="0.25">
      <c r="A453" s="2">
        <v>1599</v>
      </c>
      <c r="B453" s="7" t="s">
        <v>4882</v>
      </c>
      <c r="C453" s="7" t="s">
        <v>4883</v>
      </c>
      <c r="D453" s="7" t="s">
        <v>4882</v>
      </c>
      <c r="E453" s="7" t="s">
        <v>16</v>
      </c>
      <c r="F453" s="7" t="s">
        <v>4884</v>
      </c>
      <c r="G453" s="17" t="s">
        <v>7747</v>
      </c>
      <c r="H453" s="7" t="s">
        <v>28</v>
      </c>
      <c r="I453" s="7" t="s">
        <v>61</v>
      </c>
      <c r="J453" s="7" t="s">
        <v>505</v>
      </c>
      <c r="K453" s="7" t="s">
        <v>4884</v>
      </c>
      <c r="L453" s="7" t="s">
        <v>61</v>
      </c>
      <c r="M453" s="7">
        <v>10.766166999999999</v>
      </c>
      <c r="N453" s="7">
        <v>14.128583000000001</v>
      </c>
      <c r="O453" s="7" t="s">
        <v>23</v>
      </c>
      <c r="P453" s="3"/>
      <c r="Q453" s="3"/>
      <c r="R453" s="3"/>
    </row>
    <row r="454" spans="1:18" x14ac:dyDescent="0.25">
      <c r="A454" s="2">
        <v>1600</v>
      </c>
      <c r="B454" s="7" t="s">
        <v>4885</v>
      </c>
      <c r="C454" s="7" t="s">
        <v>4886</v>
      </c>
      <c r="D454" s="7" t="s">
        <v>4885</v>
      </c>
      <c r="E454" s="7" t="s">
        <v>16</v>
      </c>
      <c r="F454" s="7" t="s">
        <v>4887</v>
      </c>
      <c r="G454" s="17" t="s">
        <v>7747</v>
      </c>
      <c r="H454" s="7" t="s">
        <v>28</v>
      </c>
      <c r="I454" s="7" t="s">
        <v>61</v>
      </c>
      <c r="J454" s="7" t="s">
        <v>505</v>
      </c>
      <c r="K454" s="7" t="s">
        <v>506</v>
      </c>
      <c r="L454" s="7" t="s">
        <v>61</v>
      </c>
      <c r="M454" s="7">
        <v>10.593778</v>
      </c>
      <c r="N454" s="7">
        <v>14.337</v>
      </c>
      <c r="O454" s="7" t="s">
        <v>23</v>
      </c>
      <c r="P454" s="3"/>
      <c r="Q454" s="3"/>
      <c r="R454" s="3"/>
    </row>
    <row r="455" spans="1:18" x14ac:dyDescent="0.25">
      <c r="A455" s="2">
        <v>1601</v>
      </c>
      <c r="B455" s="7" t="s">
        <v>4913</v>
      </c>
      <c r="C455" s="7" t="s">
        <v>4914</v>
      </c>
      <c r="D455" s="7" t="s">
        <v>4913</v>
      </c>
      <c r="E455" s="7" t="s">
        <v>16</v>
      </c>
      <c r="F455" s="7" t="s">
        <v>4915</v>
      </c>
      <c r="G455" s="17" t="s">
        <v>7747</v>
      </c>
      <c r="H455" s="7" t="s">
        <v>28</v>
      </c>
      <c r="I455" s="7" t="s">
        <v>61</v>
      </c>
      <c r="J455" s="7" t="s">
        <v>505</v>
      </c>
      <c r="K455" s="7" t="s">
        <v>1253</v>
      </c>
      <c r="L455" s="7" t="s">
        <v>61</v>
      </c>
      <c r="M455" s="7">
        <v>10.604153</v>
      </c>
      <c r="N455" s="7">
        <v>14.359123</v>
      </c>
      <c r="O455" s="7" t="s">
        <v>23</v>
      </c>
      <c r="P455" s="3"/>
      <c r="Q455" s="3"/>
      <c r="R455" s="3"/>
    </row>
    <row r="456" spans="1:18" x14ac:dyDescent="0.25">
      <c r="A456" s="2">
        <v>1602</v>
      </c>
      <c r="B456" s="7" t="s">
        <v>4962</v>
      </c>
      <c r="C456" s="7" t="s">
        <v>4963</v>
      </c>
      <c r="D456" s="7" t="s">
        <v>4962</v>
      </c>
      <c r="E456" s="7" t="s">
        <v>16</v>
      </c>
      <c r="F456" s="7" t="s">
        <v>4964</v>
      </c>
      <c r="G456" s="17" t="s">
        <v>7747</v>
      </c>
      <c r="H456" s="7" t="s">
        <v>28</v>
      </c>
      <c r="I456" s="7" t="s">
        <v>61</v>
      </c>
      <c r="J456" s="7" t="s">
        <v>505</v>
      </c>
      <c r="K456" s="7" t="s">
        <v>877</v>
      </c>
      <c r="L456" s="7" t="s">
        <v>61</v>
      </c>
      <c r="M456" s="7">
        <v>10.608879999999999</v>
      </c>
      <c r="N456" s="7">
        <v>14.324437</v>
      </c>
      <c r="O456" s="7" t="s">
        <v>23</v>
      </c>
      <c r="P456" s="3"/>
      <c r="Q456" s="3"/>
      <c r="R456" s="3"/>
    </row>
    <row r="457" spans="1:18" x14ac:dyDescent="0.25">
      <c r="A457" s="2">
        <v>1603</v>
      </c>
      <c r="B457" s="7" t="s">
        <v>4994</v>
      </c>
      <c r="C457" s="7" t="s">
        <v>4995</v>
      </c>
      <c r="D457" s="7" t="s">
        <v>4994</v>
      </c>
      <c r="E457" s="7" t="s">
        <v>16</v>
      </c>
      <c r="F457" s="7" t="s">
        <v>4996</v>
      </c>
      <c r="G457" s="17" t="s">
        <v>7747</v>
      </c>
      <c r="H457" s="7" t="s">
        <v>28</v>
      </c>
      <c r="I457" s="7" t="s">
        <v>61</v>
      </c>
      <c r="J457" s="7" t="s">
        <v>505</v>
      </c>
      <c r="K457" s="7" t="s">
        <v>877</v>
      </c>
      <c r="L457" s="7" t="s">
        <v>61</v>
      </c>
      <c r="M457" s="7">
        <v>10.612261</v>
      </c>
      <c r="N457" s="7">
        <v>14.335153</v>
      </c>
      <c r="O457" s="7" t="s">
        <v>23</v>
      </c>
      <c r="P457" s="3"/>
      <c r="Q457" s="3"/>
      <c r="R457" s="3"/>
    </row>
    <row r="458" spans="1:18" x14ac:dyDescent="0.25">
      <c r="A458" s="2">
        <v>1604</v>
      </c>
      <c r="B458" s="7" t="s">
        <v>5123</v>
      </c>
      <c r="C458" s="7" t="s">
        <v>5124</v>
      </c>
      <c r="D458" s="7" t="s">
        <v>5123</v>
      </c>
      <c r="E458" s="7" t="s">
        <v>16</v>
      </c>
      <c r="F458" s="7" t="s">
        <v>5125</v>
      </c>
      <c r="G458" s="17" t="s">
        <v>7747</v>
      </c>
      <c r="H458" s="7" t="s">
        <v>28</v>
      </c>
      <c r="I458" s="7" t="s">
        <v>61</v>
      </c>
      <c r="J458" s="7" t="s">
        <v>505</v>
      </c>
      <c r="K458" s="7" t="s">
        <v>1890</v>
      </c>
      <c r="L458" s="7" t="s">
        <v>61</v>
      </c>
      <c r="M458" s="7">
        <v>10.608499999999999</v>
      </c>
      <c r="N458" s="7">
        <v>14.330194000000001</v>
      </c>
      <c r="O458" s="7" t="s">
        <v>613</v>
      </c>
      <c r="P458" s="3"/>
      <c r="Q458" s="3"/>
      <c r="R458" s="3"/>
    </row>
    <row r="459" spans="1:18" x14ac:dyDescent="0.25">
      <c r="A459" s="2">
        <v>1605</v>
      </c>
      <c r="B459" s="7" t="s">
        <v>5171</v>
      </c>
      <c r="C459" s="7" t="s">
        <v>5172</v>
      </c>
      <c r="D459" s="7" t="s">
        <v>5171</v>
      </c>
      <c r="E459" s="7" t="s">
        <v>16</v>
      </c>
      <c r="F459" s="7" t="s">
        <v>5173</v>
      </c>
      <c r="G459" s="17" t="s">
        <v>7747</v>
      </c>
      <c r="H459" s="7" t="s">
        <v>28</v>
      </c>
      <c r="I459" s="7" t="s">
        <v>61</v>
      </c>
      <c r="J459" s="7" t="s">
        <v>505</v>
      </c>
      <c r="K459" s="7" t="s">
        <v>1253</v>
      </c>
      <c r="L459" s="7" t="s">
        <v>61</v>
      </c>
      <c r="M459" s="7">
        <v>10.601741000000001</v>
      </c>
      <c r="N459" s="7">
        <v>14.349188</v>
      </c>
      <c r="O459" s="7" t="s">
        <v>23</v>
      </c>
      <c r="P459" s="3"/>
      <c r="Q459" s="3"/>
      <c r="R459" s="3"/>
    </row>
    <row r="460" spans="1:18" x14ac:dyDescent="0.25">
      <c r="A460" s="2">
        <v>1606</v>
      </c>
      <c r="B460" s="7" t="s">
        <v>5201</v>
      </c>
      <c r="C460" s="7" t="s">
        <v>5202</v>
      </c>
      <c r="D460" s="7" t="s">
        <v>5201</v>
      </c>
      <c r="E460" s="7" t="s">
        <v>16</v>
      </c>
      <c r="F460" s="7" t="s">
        <v>5203</v>
      </c>
      <c r="G460" s="17" t="s">
        <v>7747</v>
      </c>
      <c r="H460" s="7" t="s">
        <v>28</v>
      </c>
      <c r="I460" s="7" t="s">
        <v>61</v>
      </c>
      <c r="J460" s="7" t="s">
        <v>505</v>
      </c>
      <c r="K460" s="7" t="s">
        <v>1707</v>
      </c>
      <c r="L460" s="7" t="s">
        <v>61</v>
      </c>
      <c r="M460" s="7">
        <v>10.595389000000001</v>
      </c>
      <c r="N460" s="7">
        <v>14.330667</v>
      </c>
      <c r="O460" s="7" t="s">
        <v>613</v>
      </c>
      <c r="P460" s="3"/>
      <c r="Q460" s="3"/>
      <c r="R460" s="3"/>
    </row>
    <row r="461" spans="1:18" x14ac:dyDescent="0.25">
      <c r="A461" s="2">
        <v>1607</v>
      </c>
      <c r="B461" s="7" t="s">
        <v>5204</v>
      </c>
      <c r="C461" s="7" t="s">
        <v>5205</v>
      </c>
      <c r="D461" s="7" t="s">
        <v>5204</v>
      </c>
      <c r="E461" s="7" t="s">
        <v>16</v>
      </c>
      <c r="F461" s="7" t="s">
        <v>5206</v>
      </c>
      <c r="G461" s="17" t="s">
        <v>7747</v>
      </c>
      <c r="H461" s="7" t="s">
        <v>28</v>
      </c>
      <c r="I461" s="7" t="s">
        <v>61</v>
      </c>
      <c r="J461" s="7" t="s">
        <v>505</v>
      </c>
      <c r="K461" s="7" t="s">
        <v>877</v>
      </c>
      <c r="L461" s="7" t="s">
        <v>61</v>
      </c>
      <c r="M461" s="7">
        <v>10.603417</v>
      </c>
      <c r="N461" s="7">
        <v>14.332000000000001</v>
      </c>
      <c r="O461" s="7" t="s">
        <v>613</v>
      </c>
      <c r="P461" s="3"/>
      <c r="Q461" s="3"/>
      <c r="R461" s="3"/>
    </row>
    <row r="462" spans="1:18" x14ac:dyDescent="0.25">
      <c r="A462" s="2">
        <v>1608</v>
      </c>
      <c r="B462" s="7" t="s">
        <v>5216</v>
      </c>
      <c r="C462" s="7" t="s">
        <v>5217</v>
      </c>
      <c r="D462" s="7" t="s">
        <v>5216</v>
      </c>
      <c r="E462" s="7" t="s">
        <v>16</v>
      </c>
      <c r="F462" s="7" t="s">
        <v>5218</v>
      </c>
      <c r="G462" s="17" t="s">
        <v>7747</v>
      </c>
      <c r="H462" s="7" t="s">
        <v>28</v>
      </c>
      <c r="I462" s="7" t="s">
        <v>61</v>
      </c>
      <c r="J462" s="7" t="s">
        <v>505</v>
      </c>
      <c r="K462" s="7" t="s">
        <v>506</v>
      </c>
      <c r="L462" s="7" t="s">
        <v>61</v>
      </c>
      <c r="M462" s="7">
        <v>10.589722999999999</v>
      </c>
      <c r="N462" s="7">
        <v>14.319608000000001</v>
      </c>
      <c r="O462" s="7" t="s">
        <v>613</v>
      </c>
      <c r="P462" s="3"/>
      <c r="Q462" s="3"/>
      <c r="R462" s="3"/>
    </row>
    <row r="463" spans="1:18" x14ac:dyDescent="0.25">
      <c r="A463" s="2">
        <v>1609</v>
      </c>
      <c r="B463" s="7" t="s">
        <v>5868</v>
      </c>
      <c r="C463" s="7" t="s">
        <v>5869</v>
      </c>
      <c r="D463" s="7" t="s">
        <v>5868</v>
      </c>
      <c r="E463" s="7" t="s">
        <v>16</v>
      </c>
      <c r="F463" s="7" t="s">
        <v>5870</v>
      </c>
      <c r="G463" s="17" t="s">
        <v>7747</v>
      </c>
      <c r="H463" s="7" t="s">
        <v>28</v>
      </c>
      <c r="I463" s="7" t="s">
        <v>61</v>
      </c>
      <c r="J463" s="7" t="s">
        <v>505</v>
      </c>
      <c r="K463" s="7" t="s">
        <v>506</v>
      </c>
      <c r="L463" s="7" t="s">
        <v>61</v>
      </c>
      <c r="M463" s="7">
        <v>10.448142000000001</v>
      </c>
      <c r="N463" s="7">
        <v>14.234572</v>
      </c>
      <c r="O463" s="7" t="s">
        <v>23</v>
      </c>
      <c r="P463" s="3"/>
      <c r="Q463" s="3"/>
      <c r="R463" s="3"/>
    </row>
    <row r="464" spans="1:18" x14ac:dyDescent="0.25">
      <c r="A464" s="2">
        <v>1610</v>
      </c>
      <c r="B464" s="7" t="s">
        <v>6012</v>
      </c>
      <c r="C464" s="7" t="s">
        <v>6013</v>
      </c>
      <c r="D464" s="7" t="s">
        <v>6012</v>
      </c>
      <c r="E464" s="7" t="s">
        <v>16</v>
      </c>
      <c r="F464" s="7" t="s">
        <v>6014</v>
      </c>
      <c r="G464" s="17" t="s">
        <v>7747</v>
      </c>
      <c r="H464" s="7" t="s">
        <v>28</v>
      </c>
      <c r="I464" s="7" t="s">
        <v>20</v>
      </c>
      <c r="J464" s="7" t="s">
        <v>21</v>
      </c>
      <c r="K464" s="7" t="s">
        <v>6015</v>
      </c>
      <c r="L464" s="7" t="s">
        <v>61</v>
      </c>
      <c r="M464" s="7">
        <v>11.22386</v>
      </c>
      <c r="N464" s="7">
        <v>14.2963</v>
      </c>
      <c r="O464" s="7" t="s">
        <v>23</v>
      </c>
      <c r="P464" s="3"/>
      <c r="Q464" s="3"/>
      <c r="R464" s="3"/>
    </row>
    <row r="465" spans="1:18" x14ac:dyDescent="0.25">
      <c r="A465" s="2">
        <v>1611</v>
      </c>
      <c r="B465" s="7" t="s">
        <v>6033</v>
      </c>
      <c r="C465" s="7" t="s">
        <v>6034</v>
      </c>
      <c r="D465" s="7" t="s">
        <v>6033</v>
      </c>
      <c r="E465" s="7" t="s">
        <v>16</v>
      </c>
      <c r="F465" s="7" t="s">
        <v>6035</v>
      </c>
      <c r="G465" s="17" t="s">
        <v>7747</v>
      </c>
      <c r="H465" s="7" t="s">
        <v>28</v>
      </c>
      <c r="I465" s="7" t="s">
        <v>59</v>
      </c>
      <c r="J465" s="7" t="s">
        <v>60</v>
      </c>
      <c r="K465" s="7" t="s">
        <v>6036</v>
      </c>
      <c r="L465" s="7" t="s">
        <v>61</v>
      </c>
      <c r="M465" s="7">
        <v>10.01136</v>
      </c>
      <c r="N465" s="7">
        <v>15.13386</v>
      </c>
      <c r="O465" s="7" t="s">
        <v>23</v>
      </c>
      <c r="P465" s="3"/>
      <c r="Q465" s="3"/>
      <c r="R465" s="3"/>
    </row>
    <row r="466" spans="1:18" x14ac:dyDescent="0.25">
      <c r="A466" s="2">
        <v>1612</v>
      </c>
      <c r="B466" s="7" t="s">
        <v>6190</v>
      </c>
      <c r="C466" s="7" t="s">
        <v>6191</v>
      </c>
      <c r="D466" s="7" t="s">
        <v>6190</v>
      </c>
      <c r="E466" s="7" t="s">
        <v>16</v>
      </c>
      <c r="F466" s="7" t="s">
        <v>6192</v>
      </c>
      <c r="G466" s="17" t="s">
        <v>7747</v>
      </c>
      <c r="H466" s="7" t="s">
        <v>28</v>
      </c>
      <c r="I466" s="7" t="s">
        <v>59</v>
      </c>
      <c r="J466" s="7" t="s">
        <v>6193</v>
      </c>
      <c r="K466" s="7" t="s">
        <v>227</v>
      </c>
      <c r="L466" s="7" t="s">
        <v>61</v>
      </c>
      <c r="M466" s="7">
        <v>10.750249999999999</v>
      </c>
      <c r="N466" s="7">
        <v>13.911111</v>
      </c>
      <c r="O466" s="7" t="s">
        <v>23</v>
      </c>
      <c r="P466" s="3"/>
      <c r="Q466" s="3"/>
      <c r="R466" s="3"/>
    </row>
    <row r="467" spans="1:18" x14ac:dyDescent="0.25">
      <c r="A467" s="2">
        <v>1613</v>
      </c>
      <c r="B467" s="7" t="s">
        <v>6257</v>
      </c>
      <c r="C467" s="7" t="s">
        <v>6258</v>
      </c>
      <c r="D467" s="7" t="s">
        <v>6257</v>
      </c>
      <c r="E467" s="7" t="s">
        <v>16</v>
      </c>
      <c r="F467" s="7" t="s">
        <v>6259</v>
      </c>
      <c r="G467" s="17" t="s">
        <v>7747</v>
      </c>
      <c r="H467" s="7" t="s">
        <v>28</v>
      </c>
      <c r="I467" s="7" t="s">
        <v>59</v>
      </c>
      <c r="J467" s="7" t="s">
        <v>226</v>
      </c>
      <c r="K467" s="7" t="s">
        <v>6259</v>
      </c>
      <c r="L467" s="7" t="s">
        <v>61</v>
      </c>
      <c r="M467" s="7">
        <v>10.959139</v>
      </c>
      <c r="N467" s="7">
        <v>13.906556</v>
      </c>
      <c r="O467" s="7" t="s">
        <v>23</v>
      </c>
      <c r="P467" s="3"/>
      <c r="Q467" s="3"/>
      <c r="R467" s="3"/>
    </row>
    <row r="468" spans="1:18" x14ac:dyDescent="0.25">
      <c r="A468" s="2">
        <v>1614</v>
      </c>
      <c r="B468" s="7" t="s">
        <v>6260</v>
      </c>
      <c r="C468" s="7" t="s">
        <v>6261</v>
      </c>
      <c r="D468" s="7" t="s">
        <v>6260</v>
      </c>
      <c r="E468" s="7" t="s">
        <v>16</v>
      </c>
      <c r="F468" s="7" t="s">
        <v>1156</v>
      </c>
      <c r="G468" s="17" t="s">
        <v>7747</v>
      </c>
      <c r="H468" s="7" t="s">
        <v>28</v>
      </c>
      <c r="I468" s="7" t="s">
        <v>59</v>
      </c>
      <c r="J468" s="7" t="s">
        <v>60</v>
      </c>
      <c r="K468" s="7" t="s">
        <v>1156</v>
      </c>
      <c r="L468" s="7" t="s">
        <v>61</v>
      </c>
      <c r="M468" s="7">
        <v>10.407313</v>
      </c>
      <c r="N468" s="7">
        <v>14.860675000000001</v>
      </c>
      <c r="O468" s="7" t="s">
        <v>23</v>
      </c>
      <c r="P468" s="3"/>
      <c r="Q468" s="3"/>
      <c r="R468" s="3"/>
    </row>
    <row r="469" spans="1:18" x14ac:dyDescent="0.25">
      <c r="A469" s="2">
        <v>1615</v>
      </c>
      <c r="B469" s="7" t="s">
        <v>6262</v>
      </c>
      <c r="C469" s="7" t="s">
        <v>6263</v>
      </c>
      <c r="D469" s="7" t="s">
        <v>6262</v>
      </c>
      <c r="E469" s="7" t="s">
        <v>16</v>
      </c>
      <c r="F469" s="7" t="s">
        <v>6264</v>
      </c>
      <c r="G469" s="17" t="s">
        <v>7747</v>
      </c>
      <c r="H469" s="7" t="s">
        <v>28</v>
      </c>
      <c r="I469" s="7" t="s">
        <v>59</v>
      </c>
      <c r="J469" s="7" t="s">
        <v>226</v>
      </c>
      <c r="K469" s="7" t="s">
        <v>6259</v>
      </c>
      <c r="L469" s="7" t="s">
        <v>61</v>
      </c>
      <c r="M469" s="7">
        <v>10.94225</v>
      </c>
      <c r="N469" s="7">
        <v>13.866528000000001</v>
      </c>
      <c r="O469" s="7" t="s">
        <v>23</v>
      </c>
      <c r="P469" s="3"/>
      <c r="Q469" s="3"/>
      <c r="R469" s="3"/>
    </row>
    <row r="470" spans="1:18" x14ac:dyDescent="0.25">
      <c r="A470" s="2">
        <v>1616</v>
      </c>
      <c r="B470" s="7" t="s">
        <v>6269</v>
      </c>
      <c r="C470" s="7" t="s">
        <v>6270</v>
      </c>
      <c r="D470" s="7" t="s">
        <v>6269</v>
      </c>
      <c r="E470" s="7" t="s">
        <v>16</v>
      </c>
      <c r="F470" s="7" t="s">
        <v>466</v>
      </c>
      <c r="G470" s="17" t="s">
        <v>7747</v>
      </c>
      <c r="H470" s="7" t="s">
        <v>28</v>
      </c>
      <c r="I470" s="7" t="s">
        <v>59</v>
      </c>
      <c r="J470" s="7" t="s">
        <v>226</v>
      </c>
      <c r="K470" s="7" t="s">
        <v>466</v>
      </c>
      <c r="L470" s="7" t="s">
        <v>61</v>
      </c>
      <c r="M470" s="7">
        <v>10.614833000000001</v>
      </c>
      <c r="N470" s="7">
        <v>13.572333</v>
      </c>
      <c r="O470" s="7" t="s">
        <v>23</v>
      </c>
      <c r="P470" s="3"/>
      <c r="Q470" s="3"/>
      <c r="R470" s="3"/>
    </row>
    <row r="471" spans="1:18" x14ac:dyDescent="0.25">
      <c r="A471" s="2">
        <v>1617</v>
      </c>
      <c r="B471" s="7" t="s">
        <v>6386</v>
      </c>
      <c r="C471" s="7" t="s">
        <v>6387</v>
      </c>
      <c r="D471" s="7" t="s">
        <v>6386</v>
      </c>
      <c r="E471" s="7" t="s">
        <v>170</v>
      </c>
      <c r="F471" s="7" t="s">
        <v>6388</v>
      </c>
      <c r="G471" s="17" t="s">
        <v>7747</v>
      </c>
      <c r="H471" s="7" t="s">
        <v>28</v>
      </c>
      <c r="I471" s="7" t="s">
        <v>61</v>
      </c>
      <c r="J471" s="7" t="s">
        <v>173</v>
      </c>
      <c r="K471" s="7" t="s">
        <v>174</v>
      </c>
      <c r="L471" s="7" t="s">
        <v>61</v>
      </c>
      <c r="M471" s="7">
        <v>10.042376000000001</v>
      </c>
      <c r="N471" s="7">
        <v>14.177223</v>
      </c>
      <c r="O471" s="7" t="s">
        <v>23</v>
      </c>
      <c r="P471" s="3"/>
      <c r="Q471" s="3"/>
      <c r="R471" s="3"/>
    </row>
    <row r="472" spans="1:18" x14ac:dyDescent="0.25">
      <c r="A472" s="2">
        <v>1618</v>
      </c>
      <c r="B472" s="7" t="s">
        <v>6401</v>
      </c>
      <c r="C472" s="7" t="s">
        <v>6402</v>
      </c>
      <c r="D472" s="7" t="s">
        <v>6401</v>
      </c>
      <c r="E472" s="7" t="s">
        <v>16</v>
      </c>
      <c r="F472" s="7" t="s">
        <v>6403</v>
      </c>
      <c r="G472" s="17" t="s">
        <v>7747</v>
      </c>
      <c r="H472" s="7" t="s">
        <v>28</v>
      </c>
      <c r="I472" s="7" t="s">
        <v>59</v>
      </c>
      <c r="J472" s="7" t="s">
        <v>60</v>
      </c>
      <c r="K472" s="7" t="s">
        <v>6404</v>
      </c>
      <c r="L472" s="7" t="s">
        <v>61</v>
      </c>
      <c r="M472" s="7">
        <v>10.667611000000001</v>
      </c>
      <c r="N472" s="7">
        <v>15.023083</v>
      </c>
      <c r="O472" s="7" t="s">
        <v>23</v>
      </c>
      <c r="P472" s="3"/>
      <c r="Q472" s="3"/>
      <c r="R472" s="3"/>
    </row>
    <row r="473" spans="1:18" x14ac:dyDescent="0.25">
      <c r="A473" s="2">
        <v>1619</v>
      </c>
      <c r="B473" s="7" t="s">
        <v>6415</v>
      </c>
      <c r="C473" s="7" t="s">
        <v>6416</v>
      </c>
      <c r="D473" s="7" t="s">
        <v>6415</v>
      </c>
      <c r="E473" s="7" t="s">
        <v>16</v>
      </c>
      <c r="F473" s="7" t="s">
        <v>573</v>
      </c>
      <c r="G473" s="17" t="s">
        <v>7747</v>
      </c>
      <c r="H473" s="7" t="s">
        <v>28</v>
      </c>
      <c r="I473" s="7" t="s">
        <v>59</v>
      </c>
      <c r="J473" s="7" t="s">
        <v>226</v>
      </c>
      <c r="K473" s="7" t="s">
        <v>573</v>
      </c>
      <c r="L473" s="7" t="s">
        <v>61</v>
      </c>
      <c r="M473" s="7">
        <v>10.376773999999999</v>
      </c>
      <c r="N473" s="7">
        <v>13.858157</v>
      </c>
      <c r="O473" s="7" t="s">
        <v>23</v>
      </c>
      <c r="P473" s="3"/>
      <c r="Q473" s="3"/>
      <c r="R473" s="3"/>
    </row>
    <row r="474" spans="1:18" x14ac:dyDescent="0.25">
      <c r="A474" s="2">
        <v>1620</v>
      </c>
      <c r="B474" s="7" t="s">
        <v>6420</v>
      </c>
      <c r="C474" s="7" t="s">
        <v>6421</v>
      </c>
      <c r="D474" s="7" t="s">
        <v>6420</v>
      </c>
      <c r="E474" s="7" t="s">
        <v>16</v>
      </c>
      <c r="F474" s="7" t="s">
        <v>6422</v>
      </c>
      <c r="G474" s="17" t="s">
        <v>7747</v>
      </c>
      <c r="H474" s="7" t="s">
        <v>28</v>
      </c>
      <c r="I474" s="7" t="s">
        <v>59</v>
      </c>
      <c r="J474" s="7" t="s">
        <v>60</v>
      </c>
      <c r="K474" s="7" t="s">
        <v>870</v>
      </c>
      <c r="L474" s="7" t="s">
        <v>61</v>
      </c>
      <c r="M474" s="7">
        <v>10.494361</v>
      </c>
      <c r="N474" s="7">
        <v>15.196721999999999</v>
      </c>
      <c r="O474" s="7" t="s">
        <v>23</v>
      </c>
      <c r="P474" s="3"/>
      <c r="Q474" s="3"/>
      <c r="R474" s="3"/>
    </row>
    <row r="475" spans="1:18" x14ac:dyDescent="0.25">
      <c r="A475" s="2">
        <v>1621</v>
      </c>
      <c r="B475" s="7" t="s">
        <v>6432</v>
      </c>
      <c r="C475" s="7" t="s">
        <v>6433</v>
      </c>
      <c r="D475" s="7" t="s">
        <v>6432</v>
      </c>
      <c r="E475" s="7" t="s">
        <v>16</v>
      </c>
      <c r="F475" s="7" t="s">
        <v>936</v>
      </c>
      <c r="G475" s="17" t="s">
        <v>7747</v>
      </c>
      <c r="H475" s="7" t="s">
        <v>28</v>
      </c>
      <c r="I475" s="7" t="s">
        <v>59</v>
      </c>
      <c r="J475" s="7" t="s">
        <v>60</v>
      </c>
      <c r="K475" s="7" t="s">
        <v>936</v>
      </c>
      <c r="L475" s="7" t="s">
        <v>61</v>
      </c>
      <c r="M475" s="7">
        <v>10.006167</v>
      </c>
      <c r="N475" s="7">
        <v>15.425083000000001</v>
      </c>
      <c r="O475" s="7" t="s">
        <v>23</v>
      </c>
      <c r="P475" s="3"/>
      <c r="Q475" s="3"/>
      <c r="R475" s="3"/>
    </row>
    <row r="476" spans="1:18" x14ac:dyDescent="0.25">
      <c r="A476" s="2">
        <v>1622</v>
      </c>
      <c r="B476" s="7" t="s">
        <v>6495</v>
      </c>
      <c r="C476" s="7" t="s">
        <v>6496</v>
      </c>
      <c r="D476" s="7" t="s">
        <v>6495</v>
      </c>
      <c r="E476" s="7" t="s">
        <v>16</v>
      </c>
      <c r="F476" s="7" t="s">
        <v>6036</v>
      </c>
      <c r="G476" s="17" t="s">
        <v>7747</v>
      </c>
      <c r="H476" s="7" t="s">
        <v>28</v>
      </c>
      <c r="I476" s="7" t="s">
        <v>59</v>
      </c>
      <c r="J476" s="7" t="s">
        <v>60</v>
      </c>
      <c r="K476" s="7" t="s">
        <v>6497</v>
      </c>
      <c r="L476" s="7" t="s">
        <v>61</v>
      </c>
      <c r="M476" s="7">
        <v>10.012028000000001</v>
      </c>
      <c r="N476" s="7">
        <v>15.106472</v>
      </c>
      <c r="O476" s="7" t="s">
        <v>23</v>
      </c>
      <c r="P476" s="3"/>
      <c r="Q476" s="3"/>
      <c r="R476" s="3"/>
    </row>
    <row r="477" spans="1:18" x14ac:dyDescent="0.25">
      <c r="A477" s="2">
        <v>1623</v>
      </c>
      <c r="B477" s="7" t="s">
        <v>6548</v>
      </c>
      <c r="C477" s="7" t="s">
        <v>6549</v>
      </c>
      <c r="D477" s="7" t="s">
        <v>6548</v>
      </c>
      <c r="E477" s="7" t="s">
        <v>16</v>
      </c>
      <c r="F477" s="7" t="s">
        <v>6550</v>
      </c>
      <c r="G477" s="17" t="s">
        <v>7747</v>
      </c>
      <c r="H477" s="7" t="s">
        <v>28</v>
      </c>
      <c r="I477" s="7" t="s">
        <v>61</v>
      </c>
      <c r="J477" s="7" t="s">
        <v>505</v>
      </c>
      <c r="K477" s="7" t="s">
        <v>506</v>
      </c>
      <c r="L477" s="7" t="s">
        <v>61</v>
      </c>
      <c r="M477" s="7">
        <v>10.567306</v>
      </c>
      <c r="N477" s="7">
        <v>14.260667</v>
      </c>
      <c r="O477" s="7" t="s">
        <v>23</v>
      </c>
      <c r="P477" s="3"/>
      <c r="Q477" s="3"/>
      <c r="R477" s="3"/>
    </row>
    <row r="478" spans="1:18" x14ac:dyDescent="0.25">
      <c r="A478" s="2">
        <v>1624</v>
      </c>
      <c r="B478" s="7" t="s">
        <v>6566</v>
      </c>
      <c r="C478" s="7" t="s">
        <v>6567</v>
      </c>
      <c r="D478" s="7" t="s">
        <v>6566</v>
      </c>
      <c r="E478" s="7" t="s">
        <v>16</v>
      </c>
      <c r="F478" s="7" t="s">
        <v>6568</v>
      </c>
      <c r="G478" s="17" t="s">
        <v>7747</v>
      </c>
      <c r="H478" s="7" t="s">
        <v>28</v>
      </c>
      <c r="I478" s="7" t="s">
        <v>61</v>
      </c>
      <c r="J478" s="7" t="s">
        <v>505</v>
      </c>
      <c r="K478" s="7" t="s">
        <v>1253</v>
      </c>
      <c r="L478" s="7" t="s">
        <v>61</v>
      </c>
      <c r="M478" s="7">
        <v>10.695971999999999</v>
      </c>
      <c r="N478" s="7">
        <v>14.478139000000001</v>
      </c>
      <c r="O478" s="7" t="s">
        <v>23</v>
      </c>
      <c r="P478" s="3"/>
      <c r="Q478" s="3"/>
      <c r="R478" s="3"/>
    </row>
    <row r="479" spans="1:18" x14ac:dyDescent="0.25">
      <c r="A479" s="2">
        <v>1625</v>
      </c>
      <c r="B479" s="7" t="s">
        <v>6601</v>
      </c>
      <c r="C479" s="7" t="s">
        <v>6602</v>
      </c>
      <c r="D479" s="7" t="s">
        <v>6601</v>
      </c>
      <c r="E479" s="7" t="s">
        <v>16</v>
      </c>
      <c r="F479" s="7" t="s">
        <v>6603</v>
      </c>
      <c r="G479" s="17" t="s">
        <v>7747</v>
      </c>
      <c r="H479" s="7" t="s">
        <v>28</v>
      </c>
      <c r="I479" s="7" t="s">
        <v>59</v>
      </c>
      <c r="J479" s="7" t="s">
        <v>60</v>
      </c>
      <c r="K479" s="7" t="s">
        <v>6604</v>
      </c>
      <c r="L479" s="7" t="s">
        <v>61</v>
      </c>
      <c r="M479" s="7">
        <v>10.105111000000001</v>
      </c>
      <c r="N479" s="7">
        <v>14.968667</v>
      </c>
      <c r="O479" s="7" t="s">
        <v>23</v>
      </c>
      <c r="P479" s="3"/>
      <c r="Q479" s="3"/>
      <c r="R479" s="3"/>
    </row>
    <row r="480" spans="1:18" x14ac:dyDescent="0.25">
      <c r="A480" s="2">
        <v>1626</v>
      </c>
      <c r="B480" s="7" t="s">
        <v>6723</v>
      </c>
      <c r="C480" s="7" t="s">
        <v>6724</v>
      </c>
      <c r="D480" s="7" t="s">
        <v>6723</v>
      </c>
      <c r="E480" s="7" t="s">
        <v>16</v>
      </c>
      <c r="F480" s="7" t="s">
        <v>6725</v>
      </c>
      <c r="G480" s="17" t="s">
        <v>7747</v>
      </c>
      <c r="H480" s="7" t="s">
        <v>28</v>
      </c>
      <c r="I480" s="7" t="s">
        <v>59</v>
      </c>
      <c r="J480" s="7" t="s">
        <v>70</v>
      </c>
      <c r="K480" s="7" t="s">
        <v>661</v>
      </c>
      <c r="L480" s="7" t="s">
        <v>61</v>
      </c>
      <c r="M480" s="7">
        <v>10.270930999999999</v>
      </c>
      <c r="N480" s="7">
        <v>14.644629</v>
      </c>
      <c r="O480" s="7" t="s">
        <v>23</v>
      </c>
      <c r="P480" s="3"/>
      <c r="Q480" s="3"/>
      <c r="R480" s="3"/>
    </row>
    <row r="481" spans="1:18" x14ac:dyDescent="0.25">
      <c r="A481" s="2">
        <v>1627</v>
      </c>
      <c r="B481" s="7" t="s">
        <v>6726</v>
      </c>
      <c r="C481" s="7" t="s">
        <v>6727</v>
      </c>
      <c r="D481" s="7" t="s">
        <v>6726</v>
      </c>
      <c r="E481" s="7" t="s">
        <v>16</v>
      </c>
      <c r="F481" s="7" t="s">
        <v>6728</v>
      </c>
      <c r="G481" s="17" t="s">
        <v>7747</v>
      </c>
      <c r="H481" s="7" t="s">
        <v>28</v>
      </c>
      <c r="I481" s="7" t="s">
        <v>59</v>
      </c>
      <c r="J481" s="7" t="s">
        <v>60</v>
      </c>
      <c r="K481" s="7" t="s">
        <v>1156</v>
      </c>
      <c r="L481" s="7" t="s">
        <v>61</v>
      </c>
      <c r="M481" s="7">
        <v>10.460739</v>
      </c>
      <c r="N481" s="7">
        <v>14.714650000000001</v>
      </c>
      <c r="O481" s="7" t="s">
        <v>23</v>
      </c>
      <c r="P481" s="3"/>
      <c r="Q481" s="3"/>
      <c r="R481" s="3"/>
    </row>
    <row r="482" spans="1:18" x14ac:dyDescent="0.25">
      <c r="A482" s="2">
        <v>1628</v>
      </c>
      <c r="B482" s="7" t="s">
        <v>6732</v>
      </c>
      <c r="C482" s="7" t="s">
        <v>6733</v>
      </c>
      <c r="D482" s="7" t="s">
        <v>6732</v>
      </c>
      <c r="E482" s="7" t="s">
        <v>16</v>
      </c>
      <c r="F482" s="7" t="s">
        <v>6734</v>
      </c>
      <c r="G482" s="17" t="s">
        <v>7747</v>
      </c>
      <c r="H482" s="7" t="s">
        <v>28</v>
      </c>
      <c r="I482" s="7" t="s">
        <v>20</v>
      </c>
      <c r="J482" s="7" t="s">
        <v>21</v>
      </c>
      <c r="K482" s="7" t="s">
        <v>6735</v>
      </c>
      <c r="L482" s="7" t="s">
        <v>61</v>
      </c>
      <c r="M482" s="7">
        <v>11.15605</v>
      </c>
      <c r="N482" s="7">
        <v>15.042439</v>
      </c>
      <c r="O482" s="7" t="s">
        <v>23</v>
      </c>
      <c r="P482" s="3"/>
      <c r="Q482" s="3"/>
      <c r="R482" s="3"/>
    </row>
    <row r="483" spans="1:18" x14ac:dyDescent="0.25">
      <c r="A483" s="2">
        <v>1629</v>
      </c>
      <c r="B483" s="7" t="s">
        <v>6742</v>
      </c>
      <c r="C483" s="7" t="s">
        <v>6743</v>
      </c>
      <c r="D483" s="7" t="s">
        <v>6742</v>
      </c>
      <c r="E483" s="7" t="s">
        <v>16</v>
      </c>
      <c r="F483" s="7" t="s">
        <v>6744</v>
      </c>
      <c r="G483" s="17" t="s">
        <v>7747</v>
      </c>
      <c r="H483" s="7" t="s">
        <v>28</v>
      </c>
      <c r="I483" s="7" t="s">
        <v>59</v>
      </c>
      <c r="J483" s="7" t="s">
        <v>226</v>
      </c>
      <c r="K483" s="7" t="s">
        <v>466</v>
      </c>
      <c r="L483" s="7" t="s">
        <v>61</v>
      </c>
      <c r="M483" s="7">
        <v>10.70402</v>
      </c>
      <c r="N483" s="7">
        <v>13.621629</v>
      </c>
      <c r="O483" s="7" t="s">
        <v>23</v>
      </c>
      <c r="P483" s="3"/>
      <c r="Q483" s="3"/>
      <c r="R483" s="3"/>
    </row>
    <row r="484" spans="1:18" x14ac:dyDescent="0.25">
      <c r="A484" s="2">
        <v>1630</v>
      </c>
      <c r="B484" s="7" t="s">
        <v>6788</v>
      </c>
      <c r="C484" s="7" t="s">
        <v>6789</v>
      </c>
      <c r="D484" s="7" t="s">
        <v>6788</v>
      </c>
      <c r="E484" s="7" t="s">
        <v>16</v>
      </c>
      <c r="F484" s="7" t="s">
        <v>6790</v>
      </c>
      <c r="G484" s="17" t="s">
        <v>7747</v>
      </c>
      <c r="H484" s="7" t="s">
        <v>28</v>
      </c>
      <c r="I484" s="7" t="s">
        <v>61</v>
      </c>
      <c r="J484" s="7" t="s">
        <v>505</v>
      </c>
      <c r="K484" s="7" t="s">
        <v>877</v>
      </c>
      <c r="L484" s="7" t="s">
        <v>61</v>
      </c>
      <c r="M484" s="7">
        <v>10.72085</v>
      </c>
      <c r="N484" s="7">
        <v>14.232561</v>
      </c>
      <c r="O484" s="7" t="s">
        <v>23</v>
      </c>
      <c r="P484" s="3"/>
      <c r="Q484" s="3"/>
      <c r="R484" s="3"/>
    </row>
    <row r="485" spans="1:18" x14ac:dyDescent="0.25">
      <c r="A485" s="2">
        <v>1631</v>
      </c>
      <c r="B485" s="7" t="s">
        <v>6795</v>
      </c>
      <c r="C485" s="7" t="s">
        <v>6796</v>
      </c>
      <c r="D485" s="7" t="s">
        <v>6795</v>
      </c>
      <c r="E485" s="7" t="s">
        <v>16</v>
      </c>
      <c r="F485" s="7" t="s">
        <v>6797</v>
      </c>
      <c r="G485" s="17" t="s">
        <v>7747</v>
      </c>
      <c r="H485" s="7" t="s">
        <v>28</v>
      </c>
      <c r="I485" s="7" t="s">
        <v>59</v>
      </c>
      <c r="J485" s="7" t="s">
        <v>60</v>
      </c>
      <c r="K485" s="7" t="s">
        <v>718</v>
      </c>
      <c r="L485" s="7" t="s">
        <v>61</v>
      </c>
      <c r="M485" s="7">
        <v>10.179299</v>
      </c>
      <c r="N485" s="7">
        <v>14.947343</v>
      </c>
      <c r="O485" s="7" t="s">
        <v>23</v>
      </c>
      <c r="P485" s="3"/>
      <c r="Q485" s="3"/>
      <c r="R485" s="3"/>
    </row>
    <row r="486" spans="1:18" x14ac:dyDescent="0.25">
      <c r="A486" s="2">
        <v>1632</v>
      </c>
      <c r="B486" s="7" t="s">
        <v>6804</v>
      </c>
      <c r="C486" s="7" t="s">
        <v>6805</v>
      </c>
      <c r="D486" s="7" t="s">
        <v>6804</v>
      </c>
      <c r="E486" s="7" t="s">
        <v>16</v>
      </c>
      <c r="F486" s="7" t="s">
        <v>6806</v>
      </c>
      <c r="G486" s="17" t="s">
        <v>7747</v>
      </c>
      <c r="H486" s="7" t="s">
        <v>28</v>
      </c>
      <c r="I486" s="7" t="s">
        <v>61</v>
      </c>
      <c r="J486" s="7" t="s">
        <v>505</v>
      </c>
      <c r="K486" s="7" t="s">
        <v>877</v>
      </c>
      <c r="L486" s="7" t="s">
        <v>61</v>
      </c>
      <c r="M486" s="7">
        <v>10.660450000000001</v>
      </c>
      <c r="N486" s="7">
        <v>14.276263999999999</v>
      </c>
      <c r="O486" s="7" t="s">
        <v>23</v>
      </c>
      <c r="P486" s="3"/>
      <c r="Q486" s="3"/>
      <c r="R486" s="3"/>
    </row>
    <row r="487" spans="1:18" x14ac:dyDescent="0.25">
      <c r="A487" s="2">
        <v>1633</v>
      </c>
      <c r="B487" s="7" t="s">
        <v>6847</v>
      </c>
      <c r="C487" s="7" t="s">
        <v>6848</v>
      </c>
      <c r="D487" s="7" t="s">
        <v>6847</v>
      </c>
      <c r="E487" s="7" t="s">
        <v>16</v>
      </c>
      <c r="F487" s="7" t="s">
        <v>6849</v>
      </c>
      <c r="G487" s="17" t="s">
        <v>7747</v>
      </c>
      <c r="H487" s="7" t="s">
        <v>28</v>
      </c>
      <c r="I487" s="7" t="s">
        <v>61</v>
      </c>
      <c r="J487" s="7" t="s">
        <v>505</v>
      </c>
      <c r="K487" s="7" t="s">
        <v>877</v>
      </c>
      <c r="L487" s="7" t="s">
        <v>61</v>
      </c>
      <c r="M487" s="7">
        <v>10.7875</v>
      </c>
      <c r="N487" s="7">
        <v>14.395799999999999</v>
      </c>
      <c r="O487" s="7" t="s">
        <v>23</v>
      </c>
      <c r="P487" s="3"/>
      <c r="Q487" s="3"/>
      <c r="R487" s="3"/>
    </row>
    <row r="488" spans="1:18" x14ac:dyDescent="0.25">
      <c r="A488" s="2">
        <v>1634</v>
      </c>
      <c r="B488" s="7" t="s">
        <v>6850</v>
      </c>
      <c r="C488" s="7" t="s">
        <v>6851</v>
      </c>
      <c r="D488" s="7" t="s">
        <v>6850</v>
      </c>
      <c r="E488" s="7" t="s">
        <v>16</v>
      </c>
      <c r="F488" s="7" t="s">
        <v>6852</v>
      </c>
      <c r="G488" s="17" t="s">
        <v>7747</v>
      </c>
      <c r="H488" s="7" t="s">
        <v>28</v>
      </c>
      <c r="I488" s="7" t="s">
        <v>59</v>
      </c>
      <c r="J488" s="7" t="s">
        <v>60</v>
      </c>
      <c r="K488" s="7" t="s">
        <v>6604</v>
      </c>
      <c r="L488" s="7" t="s">
        <v>61</v>
      </c>
      <c r="M488" s="7">
        <v>10.145799999999999</v>
      </c>
      <c r="N488" s="7">
        <v>15.0634</v>
      </c>
      <c r="O488" s="7" t="s">
        <v>23</v>
      </c>
      <c r="P488" s="3"/>
      <c r="Q488" s="3"/>
      <c r="R488" s="3"/>
    </row>
    <row r="489" spans="1:18" x14ac:dyDescent="0.25">
      <c r="A489" s="2">
        <v>1635</v>
      </c>
      <c r="B489" s="7" t="s">
        <v>6853</v>
      </c>
      <c r="C489" s="7" t="s">
        <v>6854</v>
      </c>
      <c r="D489" s="7" t="s">
        <v>6853</v>
      </c>
      <c r="E489" s="7" t="s">
        <v>16</v>
      </c>
      <c r="F489" s="7" t="s">
        <v>6855</v>
      </c>
      <c r="G489" s="17" t="s">
        <v>7747</v>
      </c>
      <c r="H489" s="7" t="s">
        <v>28</v>
      </c>
      <c r="I489" s="7" t="s">
        <v>59</v>
      </c>
      <c r="J489" s="7" t="s">
        <v>6193</v>
      </c>
      <c r="K489" s="7" t="s">
        <v>6856</v>
      </c>
      <c r="L489" s="7" t="s">
        <v>61</v>
      </c>
      <c r="M489" s="7">
        <v>10.112500000000001</v>
      </c>
      <c r="N489" s="7">
        <v>14.029199999999999</v>
      </c>
      <c r="O489" s="7" t="s">
        <v>23</v>
      </c>
      <c r="P489" s="3"/>
      <c r="Q489" s="3"/>
      <c r="R489" s="3"/>
    </row>
    <row r="490" spans="1:18" x14ac:dyDescent="0.25">
      <c r="A490" s="2">
        <v>1636</v>
      </c>
      <c r="B490" s="7" t="s">
        <v>6857</v>
      </c>
      <c r="C490" s="7" t="s">
        <v>6858</v>
      </c>
      <c r="D490" s="7" t="s">
        <v>6857</v>
      </c>
      <c r="E490" s="7" t="s">
        <v>16</v>
      </c>
      <c r="F490" s="7" t="s">
        <v>6859</v>
      </c>
      <c r="G490" s="17" t="s">
        <v>7747</v>
      </c>
      <c r="H490" s="7" t="s">
        <v>28</v>
      </c>
      <c r="I490" s="7" t="s">
        <v>59</v>
      </c>
      <c r="J490" s="7" t="s">
        <v>60</v>
      </c>
      <c r="K490" s="7" t="s">
        <v>59</v>
      </c>
      <c r="L490" s="7" t="s">
        <v>61</v>
      </c>
      <c r="M490" s="7">
        <v>10.470800000000001</v>
      </c>
      <c r="N490" s="7">
        <v>15.0875</v>
      </c>
      <c r="O490" s="7" t="s">
        <v>23</v>
      </c>
      <c r="P490" s="3"/>
      <c r="Q490" s="3"/>
      <c r="R490" s="3"/>
    </row>
    <row r="491" spans="1:18" x14ac:dyDescent="0.25">
      <c r="A491" s="2">
        <v>1637</v>
      </c>
      <c r="B491" s="7" t="s">
        <v>6866</v>
      </c>
      <c r="C491" s="7" t="s">
        <v>6867</v>
      </c>
      <c r="D491" s="7" t="s">
        <v>6866</v>
      </c>
      <c r="E491" s="7" t="s">
        <v>16</v>
      </c>
      <c r="F491" s="7" t="s">
        <v>6868</v>
      </c>
      <c r="G491" s="17" t="s">
        <v>7747</v>
      </c>
      <c r="H491" s="7" t="s">
        <v>28</v>
      </c>
      <c r="I491" s="7" t="s">
        <v>61</v>
      </c>
      <c r="J491" s="7" t="s">
        <v>505</v>
      </c>
      <c r="K491" s="7" t="s">
        <v>1961</v>
      </c>
      <c r="L491" s="7" t="s">
        <v>61</v>
      </c>
      <c r="M491" s="7">
        <v>10.520799999999999</v>
      </c>
      <c r="N491" s="7">
        <v>14.495799999999999</v>
      </c>
      <c r="O491" s="7" t="s">
        <v>23</v>
      </c>
      <c r="P491" s="3"/>
      <c r="Q491" s="3"/>
      <c r="R491" s="3"/>
    </row>
    <row r="492" spans="1:18" x14ac:dyDescent="0.25">
      <c r="A492" s="2">
        <v>1638</v>
      </c>
      <c r="B492" s="7" t="s">
        <v>6869</v>
      </c>
      <c r="C492" s="7" t="s">
        <v>6870</v>
      </c>
      <c r="D492" s="7" t="s">
        <v>6869</v>
      </c>
      <c r="E492" s="7" t="s">
        <v>16</v>
      </c>
      <c r="F492" s="7" t="s">
        <v>6871</v>
      </c>
      <c r="G492" s="17" t="s">
        <v>7747</v>
      </c>
      <c r="H492" s="7" t="s">
        <v>28</v>
      </c>
      <c r="I492" s="7" t="s">
        <v>59</v>
      </c>
      <c r="J492" s="7" t="s">
        <v>60</v>
      </c>
      <c r="K492" s="7" t="s">
        <v>1156</v>
      </c>
      <c r="L492" s="7" t="s">
        <v>61</v>
      </c>
      <c r="M492" s="7">
        <v>10.5792</v>
      </c>
      <c r="N492" s="7">
        <v>14.8292</v>
      </c>
      <c r="O492" s="7" t="s">
        <v>23</v>
      </c>
      <c r="P492" s="3"/>
      <c r="Q492" s="3"/>
      <c r="R492" s="3"/>
    </row>
    <row r="493" spans="1:18" x14ac:dyDescent="0.25">
      <c r="A493" s="2">
        <v>1639</v>
      </c>
      <c r="B493" s="7" t="s">
        <v>6878</v>
      </c>
      <c r="C493" s="7" t="s">
        <v>6879</v>
      </c>
      <c r="D493" s="7" t="s">
        <v>6878</v>
      </c>
      <c r="E493" s="7" t="s">
        <v>16</v>
      </c>
      <c r="F493" s="7" t="s">
        <v>6880</v>
      </c>
      <c r="G493" s="17" t="s">
        <v>7747</v>
      </c>
      <c r="H493" s="7" t="s">
        <v>28</v>
      </c>
      <c r="I493" s="7" t="s">
        <v>61</v>
      </c>
      <c r="J493" s="7" t="s">
        <v>505</v>
      </c>
      <c r="K493" s="7" t="s">
        <v>1961</v>
      </c>
      <c r="L493" s="7" t="s">
        <v>61</v>
      </c>
      <c r="M493" s="7">
        <v>10.671319</v>
      </c>
      <c r="N493" s="7">
        <v>14.729955</v>
      </c>
      <c r="O493" s="7" t="s">
        <v>23</v>
      </c>
      <c r="P493" s="3"/>
      <c r="Q493" s="3"/>
      <c r="R493" s="3"/>
    </row>
    <row r="494" spans="1:18" x14ac:dyDescent="0.25">
      <c r="A494" s="2">
        <v>1640</v>
      </c>
      <c r="B494" s="7" t="s">
        <v>7183</v>
      </c>
      <c r="C494" s="7" t="s">
        <v>7184</v>
      </c>
      <c r="D494" s="7" t="s">
        <v>7183</v>
      </c>
      <c r="E494" s="7" t="s">
        <v>7122</v>
      </c>
      <c r="F494" s="7" t="s">
        <v>7185</v>
      </c>
      <c r="G494" s="8" t="s">
        <v>18</v>
      </c>
      <c r="H494" s="7" t="s">
        <v>28</v>
      </c>
      <c r="I494" s="7" t="s">
        <v>20</v>
      </c>
      <c r="J494" s="7" t="s">
        <v>21</v>
      </c>
      <c r="K494" s="7" t="s">
        <v>22</v>
      </c>
      <c r="L494" s="7" t="s">
        <v>61</v>
      </c>
      <c r="M494" s="7">
        <v>11.327747199999999</v>
      </c>
      <c r="N494" s="7">
        <v>14.4548694</v>
      </c>
      <c r="O494" s="7" t="s">
        <v>23</v>
      </c>
      <c r="P494" s="3"/>
      <c r="Q494" s="3"/>
      <c r="R494" s="3"/>
    </row>
    <row r="495" spans="1:18" x14ac:dyDescent="0.25">
      <c r="A495" s="2">
        <v>1641</v>
      </c>
      <c r="B495" s="7" t="s">
        <v>7281</v>
      </c>
      <c r="C495" s="7" t="s">
        <v>7282</v>
      </c>
      <c r="D495" s="7" t="s">
        <v>7281</v>
      </c>
      <c r="E495" s="7" t="s">
        <v>16</v>
      </c>
      <c r="F495" s="7" t="s">
        <v>7283</v>
      </c>
      <c r="G495" s="17" t="s">
        <v>7747</v>
      </c>
      <c r="H495" s="7" t="s">
        <v>28</v>
      </c>
      <c r="I495" s="7" t="s">
        <v>59</v>
      </c>
      <c r="J495" s="7" t="s">
        <v>6193</v>
      </c>
      <c r="K495" s="7" t="s">
        <v>573</v>
      </c>
      <c r="L495" s="7" t="s">
        <v>61</v>
      </c>
      <c r="M495" s="7">
        <v>10.474830000000001</v>
      </c>
      <c r="N495" s="7">
        <v>13.88869</v>
      </c>
      <c r="O495" s="7" t="s">
        <v>23</v>
      </c>
      <c r="P495" s="3"/>
      <c r="Q495" s="3"/>
      <c r="R495" s="3"/>
    </row>
    <row r="496" spans="1:18" x14ac:dyDescent="0.25">
      <c r="A496" s="2">
        <v>1642</v>
      </c>
      <c r="B496" s="7" t="s">
        <v>7287</v>
      </c>
      <c r="C496" s="7" t="s">
        <v>7288</v>
      </c>
      <c r="D496" s="7" t="s">
        <v>7287</v>
      </c>
      <c r="E496" s="7" t="s">
        <v>16</v>
      </c>
      <c r="F496" s="7" t="s">
        <v>7289</v>
      </c>
      <c r="G496" s="17" t="s">
        <v>7747</v>
      </c>
      <c r="H496" s="7" t="s">
        <v>28</v>
      </c>
      <c r="I496" s="7" t="s">
        <v>59</v>
      </c>
      <c r="J496" s="7" t="s">
        <v>6193</v>
      </c>
      <c r="K496" s="7" t="s">
        <v>573</v>
      </c>
      <c r="L496" s="7" t="s">
        <v>61</v>
      </c>
      <c r="M496" s="7">
        <v>10.48517</v>
      </c>
      <c r="N496" s="7">
        <v>13.815149999999999</v>
      </c>
      <c r="O496" s="7" t="s">
        <v>23</v>
      </c>
      <c r="P496" s="3"/>
      <c r="Q496" s="3"/>
      <c r="R496" s="3"/>
    </row>
    <row r="497" spans="1:18" x14ac:dyDescent="0.25">
      <c r="A497" s="2">
        <v>1643</v>
      </c>
      <c r="B497" s="7" t="s">
        <v>7290</v>
      </c>
      <c r="C497" s="7" t="s">
        <v>7291</v>
      </c>
      <c r="D497" s="7" t="s">
        <v>7290</v>
      </c>
      <c r="E497" s="7" t="s">
        <v>16</v>
      </c>
      <c r="F497" s="7" t="s">
        <v>7292</v>
      </c>
      <c r="G497" s="17" t="s">
        <v>7747</v>
      </c>
      <c r="H497" s="7" t="s">
        <v>28</v>
      </c>
      <c r="I497" s="7" t="s">
        <v>61</v>
      </c>
      <c r="J497" s="7" t="s">
        <v>59</v>
      </c>
      <c r="K497" s="7" t="s">
        <v>70</v>
      </c>
      <c r="L497" s="7" t="s">
        <v>61</v>
      </c>
      <c r="M497" s="7">
        <v>10.91858</v>
      </c>
      <c r="N497" s="7">
        <v>14.59545</v>
      </c>
      <c r="O497" s="7" t="s">
        <v>23</v>
      </c>
      <c r="P497" s="3"/>
      <c r="Q497" s="3"/>
      <c r="R497" s="3"/>
    </row>
    <row r="498" spans="1:18" x14ac:dyDescent="0.25">
      <c r="A498" s="2">
        <v>1644</v>
      </c>
      <c r="B498" s="7" t="s">
        <v>7293</v>
      </c>
      <c r="C498" s="7" t="s">
        <v>7294</v>
      </c>
      <c r="D498" s="7" t="s">
        <v>7293</v>
      </c>
      <c r="E498" s="7" t="s">
        <v>16</v>
      </c>
      <c r="F498" s="7" t="s">
        <v>7295</v>
      </c>
      <c r="G498" s="8" t="s">
        <v>18</v>
      </c>
      <c r="H498" s="7" t="s">
        <v>28</v>
      </c>
      <c r="I498" s="7" t="s">
        <v>20</v>
      </c>
      <c r="J498" s="7" t="s">
        <v>21</v>
      </c>
      <c r="K498" s="7" t="s">
        <v>22</v>
      </c>
      <c r="L498" s="7" t="s">
        <v>61</v>
      </c>
      <c r="M498" s="7">
        <v>11.0436</v>
      </c>
      <c r="N498" s="7">
        <v>14.43723</v>
      </c>
      <c r="O498" s="7" t="s">
        <v>23</v>
      </c>
      <c r="P498" s="3"/>
      <c r="Q498" s="3"/>
      <c r="R498" s="3"/>
    </row>
    <row r="499" spans="1:18" x14ac:dyDescent="0.25">
      <c r="A499" s="2">
        <v>1645</v>
      </c>
      <c r="B499" s="7" t="s">
        <v>7296</v>
      </c>
      <c r="C499" s="7" t="s">
        <v>7297</v>
      </c>
      <c r="D499" s="7" t="s">
        <v>7296</v>
      </c>
      <c r="E499" s="7" t="s">
        <v>16</v>
      </c>
      <c r="F499" s="7" t="s">
        <v>7298</v>
      </c>
      <c r="G499" s="17" t="s">
        <v>7747</v>
      </c>
      <c r="H499" s="7" t="s">
        <v>28</v>
      </c>
      <c r="I499" s="7" t="s">
        <v>59</v>
      </c>
      <c r="J499" s="7" t="s">
        <v>7299</v>
      </c>
      <c r="K499" s="7" t="s">
        <v>7300</v>
      </c>
      <c r="L499" s="7" t="s">
        <v>61</v>
      </c>
      <c r="M499" s="7">
        <v>10.491669999999999</v>
      </c>
      <c r="N499" s="7">
        <v>14.39686</v>
      </c>
      <c r="O499" s="7" t="s">
        <v>23</v>
      </c>
      <c r="P499" s="3"/>
      <c r="Q499" s="3"/>
      <c r="R499" s="3"/>
    </row>
    <row r="500" spans="1:18" x14ac:dyDescent="0.25">
      <c r="A500" s="2">
        <v>1646</v>
      </c>
      <c r="B500" s="7" t="s">
        <v>7301</v>
      </c>
      <c r="C500" s="7" t="s">
        <v>7302</v>
      </c>
      <c r="D500" s="7" t="s">
        <v>7301</v>
      </c>
      <c r="E500" s="7" t="s">
        <v>16</v>
      </c>
      <c r="F500" s="7" t="s">
        <v>7303</v>
      </c>
      <c r="G500" s="17" t="s">
        <v>7747</v>
      </c>
      <c r="H500" s="7" t="s">
        <v>28</v>
      </c>
      <c r="I500" s="7" t="s">
        <v>61</v>
      </c>
      <c r="J500" s="7" t="s">
        <v>1790</v>
      </c>
      <c r="K500" s="7" t="s">
        <v>1791</v>
      </c>
      <c r="L500" s="7" t="s">
        <v>61</v>
      </c>
      <c r="M500" s="7">
        <v>10.91582</v>
      </c>
      <c r="N500" s="7">
        <v>15.00109</v>
      </c>
      <c r="O500" s="7" t="s">
        <v>23</v>
      </c>
      <c r="P500" s="3"/>
      <c r="Q500" s="3"/>
      <c r="R500" s="3"/>
    </row>
    <row r="501" spans="1:18" x14ac:dyDescent="0.25">
      <c r="A501" s="2">
        <v>1647</v>
      </c>
      <c r="B501" s="7" t="s">
        <v>7307</v>
      </c>
      <c r="C501" s="7" t="s">
        <v>7308</v>
      </c>
      <c r="D501" s="7" t="s">
        <v>7307</v>
      </c>
      <c r="E501" s="7" t="s">
        <v>16</v>
      </c>
      <c r="F501" s="7" t="s">
        <v>7309</v>
      </c>
      <c r="G501" s="17" t="s">
        <v>7747</v>
      </c>
      <c r="H501" s="7" t="s">
        <v>28</v>
      </c>
      <c r="I501" s="7" t="s">
        <v>61</v>
      </c>
      <c r="J501" s="7" t="s">
        <v>505</v>
      </c>
      <c r="K501" s="7" t="s">
        <v>1961</v>
      </c>
      <c r="L501" s="7" t="s">
        <v>61</v>
      </c>
      <c r="M501" s="7">
        <v>10.77286</v>
      </c>
      <c r="N501" s="7">
        <v>14.70856</v>
      </c>
      <c r="O501" s="7" t="s">
        <v>23</v>
      </c>
      <c r="P501" s="3"/>
      <c r="Q501" s="3"/>
      <c r="R501" s="3"/>
    </row>
    <row r="502" spans="1:18" x14ac:dyDescent="0.25">
      <c r="A502" s="2">
        <v>1648</v>
      </c>
      <c r="B502" s="7" t="s">
        <v>7657</v>
      </c>
      <c r="C502" s="7" t="s">
        <v>7658</v>
      </c>
      <c r="D502" s="7" t="s">
        <v>7657</v>
      </c>
      <c r="E502" s="7" t="s">
        <v>16</v>
      </c>
      <c r="F502" s="7" t="s">
        <v>7659</v>
      </c>
      <c r="G502" s="17" t="s">
        <v>7747</v>
      </c>
      <c r="H502" s="7" t="s">
        <v>28</v>
      </c>
      <c r="I502" s="7" t="s">
        <v>61</v>
      </c>
      <c r="J502" s="7" t="s">
        <v>513</v>
      </c>
      <c r="K502" s="7" t="s">
        <v>514</v>
      </c>
      <c r="L502" s="7" t="s">
        <v>61</v>
      </c>
      <c r="M502" s="10">
        <v>11.04204</v>
      </c>
      <c r="N502" s="10">
        <v>14.131913000000001</v>
      </c>
      <c r="O502" s="7" t="s">
        <v>23</v>
      </c>
      <c r="P502" s="3"/>
      <c r="Q502" s="3"/>
      <c r="R502" s="3"/>
    </row>
    <row r="503" spans="1:18" x14ac:dyDescent="0.25">
      <c r="A503" s="2">
        <v>1649</v>
      </c>
      <c r="B503" s="7" t="s">
        <v>7660</v>
      </c>
      <c r="C503" s="7" t="s">
        <v>7661</v>
      </c>
      <c r="D503" s="7" t="s">
        <v>7660</v>
      </c>
      <c r="E503" s="7" t="s">
        <v>16</v>
      </c>
      <c r="F503" s="7" t="s">
        <v>7662</v>
      </c>
      <c r="G503" s="17" t="s">
        <v>7747</v>
      </c>
      <c r="H503" s="7" t="s">
        <v>28</v>
      </c>
      <c r="I503" s="7" t="s">
        <v>172</v>
      </c>
      <c r="J503" s="7" t="s">
        <v>173</v>
      </c>
      <c r="K503" s="7" t="s">
        <v>174</v>
      </c>
      <c r="L503" s="7" t="s">
        <v>61</v>
      </c>
      <c r="M503" s="10">
        <v>9.9226489999999998</v>
      </c>
      <c r="N503" s="10">
        <v>13.948767</v>
      </c>
      <c r="O503" s="7" t="s">
        <v>23</v>
      </c>
      <c r="P503" s="3"/>
      <c r="Q503" s="3"/>
      <c r="R503" s="3"/>
    </row>
    <row r="504" spans="1:18" x14ac:dyDescent="0.25">
      <c r="A504" s="2">
        <v>1650</v>
      </c>
      <c r="B504" s="7" t="s">
        <v>40</v>
      </c>
      <c r="C504" s="7" t="s">
        <v>41</v>
      </c>
      <c r="D504" s="7" t="s">
        <v>40</v>
      </c>
      <c r="E504" s="7" t="s">
        <v>42</v>
      </c>
      <c r="F504" s="7" t="s">
        <v>43</v>
      </c>
      <c r="G504" s="17" t="s">
        <v>7747</v>
      </c>
      <c r="H504" s="7" t="s">
        <v>28</v>
      </c>
      <c r="I504" s="7" t="s">
        <v>44</v>
      </c>
      <c r="J504" s="7" t="s">
        <v>45</v>
      </c>
      <c r="K504" s="7" t="s">
        <v>46</v>
      </c>
      <c r="L504" s="7" t="s">
        <v>47</v>
      </c>
      <c r="M504" s="7">
        <v>7.0131810000000003</v>
      </c>
      <c r="N504" s="7">
        <v>14.976239</v>
      </c>
      <c r="O504" s="7" t="s">
        <v>23</v>
      </c>
      <c r="P504" s="3"/>
      <c r="Q504" s="3"/>
      <c r="R504" s="3"/>
    </row>
    <row r="505" spans="1:18" x14ac:dyDescent="0.25">
      <c r="A505" s="2">
        <v>1651</v>
      </c>
      <c r="B505" s="7" t="s">
        <v>411</v>
      </c>
      <c r="C505" s="7" t="s">
        <v>412</v>
      </c>
      <c r="D505" s="7" t="s">
        <v>411</v>
      </c>
      <c r="E505" s="7" t="s">
        <v>42</v>
      </c>
      <c r="F505" s="7" t="s">
        <v>413</v>
      </c>
      <c r="G505" s="17" t="s">
        <v>7747</v>
      </c>
      <c r="H505" s="7" t="s">
        <v>28</v>
      </c>
      <c r="I505" s="7" t="s">
        <v>47</v>
      </c>
      <c r="J505" s="7" t="s">
        <v>45</v>
      </c>
      <c r="K505" s="7" t="s">
        <v>46</v>
      </c>
      <c r="L505" s="7" t="s">
        <v>47</v>
      </c>
      <c r="M505" s="7">
        <v>6.7493059999999998</v>
      </c>
      <c r="N505" s="7">
        <v>14.580722</v>
      </c>
      <c r="O505" s="7" t="s">
        <v>23</v>
      </c>
      <c r="P505" s="3"/>
      <c r="Q505" s="3"/>
      <c r="R505" s="3"/>
    </row>
    <row r="506" spans="1:18" x14ac:dyDescent="0.25">
      <c r="A506" s="2">
        <v>1652</v>
      </c>
      <c r="B506" s="7" t="s">
        <v>945</v>
      </c>
      <c r="C506" s="7" t="s">
        <v>946</v>
      </c>
      <c r="D506" s="7" t="s">
        <v>945</v>
      </c>
      <c r="E506" s="7" t="s">
        <v>74</v>
      </c>
      <c r="F506" s="7" t="s">
        <v>947</v>
      </c>
      <c r="G506" s="17" t="s">
        <v>7747</v>
      </c>
      <c r="H506" s="7" t="s">
        <v>28</v>
      </c>
      <c r="I506" s="7" t="s">
        <v>76</v>
      </c>
      <c r="J506" s="7" t="s">
        <v>904</v>
      </c>
      <c r="K506" s="7" t="s">
        <v>76</v>
      </c>
      <c r="L506" s="7" t="s">
        <v>47</v>
      </c>
      <c r="M506" s="7">
        <v>5.9833769999999999</v>
      </c>
      <c r="N506" s="7">
        <v>14.439457000000001</v>
      </c>
      <c r="O506" s="7" t="s">
        <v>23</v>
      </c>
      <c r="P506" s="3"/>
      <c r="Q506" s="3"/>
      <c r="R506" s="3"/>
    </row>
    <row r="507" spans="1:18" x14ac:dyDescent="0.25">
      <c r="A507" s="2">
        <v>1653</v>
      </c>
      <c r="B507" s="7" t="s">
        <v>990</v>
      </c>
      <c r="C507" s="7" t="s">
        <v>991</v>
      </c>
      <c r="D507" s="7" t="s">
        <v>990</v>
      </c>
      <c r="E507" s="7" t="s">
        <v>74</v>
      </c>
      <c r="F507" s="7" t="s">
        <v>992</v>
      </c>
      <c r="G507" s="17" t="s">
        <v>7747</v>
      </c>
      <c r="H507" s="7" t="s">
        <v>28</v>
      </c>
      <c r="I507" s="7" t="s">
        <v>76</v>
      </c>
      <c r="J507" s="7" t="s">
        <v>904</v>
      </c>
      <c r="K507" s="7" t="s">
        <v>993</v>
      </c>
      <c r="L507" s="7" t="s">
        <v>47</v>
      </c>
      <c r="M507" s="7">
        <v>5.5891359999999999</v>
      </c>
      <c r="N507" s="7">
        <v>14.085990000000001</v>
      </c>
      <c r="O507" s="7" t="s">
        <v>23</v>
      </c>
      <c r="P507" s="3"/>
      <c r="Q507" s="3"/>
      <c r="R507" s="3"/>
    </row>
    <row r="508" spans="1:18" x14ac:dyDescent="0.25">
      <c r="A508" s="2">
        <v>1654</v>
      </c>
      <c r="B508" s="7" t="s">
        <v>1003</v>
      </c>
      <c r="C508" s="7" t="s">
        <v>1004</v>
      </c>
      <c r="D508" s="7" t="s">
        <v>1003</v>
      </c>
      <c r="E508" s="7" t="s">
        <v>170</v>
      </c>
      <c r="F508" s="7" t="s">
        <v>1005</v>
      </c>
      <c r="G508" s="17" t="s">
        <v>7747</v>
      </c>
      <c r="H508" s="7" t="s">
        <v>19</v>
      </c>
      <c r="I508" s="7" t="s">
        <v>234</v>
      </c>
      <c r="J508" s="7" t="s">
        <v>732</v>
      </c>
      <c r="K508" s="7" t="s">
        <v>1006</v>
      </c>
      <c r="L508" s="7" t="s">
        <v>47</v>
      </c>
      <c r="M508" s="7">
        <v>7.3103889999999998</v>
      </c>
      <c r="N508" s="7">
        <v>15.160111000000001</v>
      </c>
      <c r="O508" s="7" t="s">
        <v>23</v>
      </c>
      <c r="P508" s="3"/>
      <c r="Q508" s="3"/>
      <c r="R508" s="3"/>
    </row>
    <row r="509" spans="1:18" x14ac:dyDescent="0.25">
      <c r="A509" s="2">
        <v>1655</v>
      </c>
      <c r="B509" s="7" t="s">
        <v>1015</v>
      </c>
      <c r="C509" s="7" t="s">
        <v>1016</v>
      </c>
      <c r="D509" s="7" t="s">
        <v>1015</v>
      </c>
      <c r="E509" s="7" t="s">
        <v>42</v>
      </c>
      <c r="F509" s="7" t="s">
        <v>1017</v>
      </c>
      <c r="G509" s="17" t="s">
        <v>7747</v>
      </c>
      <c r="H509" s="7" t="s">
        <v>28</v>
      </c>
      <c r="I509" s="7" t="s">
        <v>47</v>
      </c>
      <c r="J509" s="7" t="s">
        <v>45</v>
      </c>
      <c r="K509" s="7" t="s">
        <v>1018</v>
      </c>
      <c r="L509" s="7" t="s">
        <v>47</v>
      </c>
      <c r="M509" s="7">
        <v>6.3286939999999996</v>
      </c>
      <c r="N509" s="7">
        <v>14.725</v>
      </c>
      <c r="O509" s="7" t="s">
        <v>23</v>
      </c>
      <c r="P509" s="3"/>
      <c r="Q509" s="3"/>
      <c r="R509" s="3"/>
    </row>
    <row r="510" spans="1:18" x14ac:dyDescent="0.25">
      <c r="A510" s="2">
        <v>1656</v>
      </c>
      <c r="B510" s="7" t="s">
        <v>1129</v>
      </c>
      <c r="C510" s="7" t="s">
        <v>1130</v>
      </c>
      <c r="D510" s="7" t="s">
        <v>1129</v>
      </c>
      <c r="E510" s="7" t="s">
        <v>42</v>
      </c>
      <c r="F510" s="7" t="s">
        <v>1131</v>
      </c>
      <c r="G510" s="17" t="s">
        <v>7747</v>
      </c>
      <c r="H510" s="7" t="s">
        <v>28</v>
      </c>
      <c r="I510" s="7" t="s">
        <v>47</v>
      </c>
      <c r="J510" s="7" t="s">
        <v>47</v>
      </c>
      <c r="K510" s="7" t="s">
        <v>1132</v>
      </c>
      <c r="L510" s="7" t="s">
        <v>47</v>
      </c>
      <c r="M510" s="7">
        <v>6.4254319999999998</v>
      </c>
      <c r="N510" s="7">
        <v>13.386085</v>
      </c>
      <c r="O510" s="7" t="s">
        <v>23</v>
      </c>
      <c r="P510" s="3"/>
      <c r="Q510" s="3"/>
      <c r="R510" s="3"/>
    </row>
    <row r="511" spans="1:18" x14ac:dyDescent="0.25">
      <c r="A511" s="2">
        <v>1658</v>
      </c>
      <c r="B511" s="7" t="s">
        <v>1416</v>
      </c>
      <c r="C511" s="7" t="s">
        <v>1417</v>
      </c>
      <c r="D511" s="7" t="s">
        <v>1416</v>
      </c>
      <c r="E511" s="7" t="s">
        <v>74</v>
      </c>
      <c r="F511" s="7" t="s">
        <v>1418</v>
      </c>
      <c r="G511" s="17" t="s">
        <v>7747</v>
      </c>
      <c r="H511" s="7" t="s">
        <v>28</v>
      </c>
      <c r="I511" s="7" t="s">
        <v>76</v>
      </c>
      <c r="J511" s="7" t="s">
        <v>77</v>
      </c>
      <c r="K511" s="7" t="s">
        <v>76</v>
      </c>
      <c r="L511" s="7" t="s">
        <v>47</v>
      </c>
      <c r="M511" s="7">
        <v>5.8921169999999998</v>
      </c>
      <c r="N511" s="7">
        <v>14.557543000000001</v>
      </c>
      <c r="O511" s="7" t="s">
        <v>23</v>
      </c>
      <c r="P511" s="3"/>
      <c r="Q511" s="3"/>
      <c r="R511" s="3"/>
    </row>
    <row r="512" spans="1:18" x14ac:dyDescent="0.25">
      <c r="A512" s="2">
        <v>1659</v>
      </c>
      <c r="B512" s="7" t="s">
        <v>1625</v>
      </c>
      <c r="C512" s="7" t="s">
        <v>1626</v>
      </c>
      <c r="D512" s="7" t="s">
        <v>1625</v>
      </c>
      <c r="E512" s="7" t="s">
        <v>42</v>
      </c>
      <c r="F512" s="7" t="s">
        <v>1627</v>
      </c>
      <c r="G512" s="17" t="s">
        <v>7747</v>
      </c>
      <c r="H512" s="7" t="s">
        <v>28</v>
      </c>
      <c r="I512" s="7" t="s">
        <v>47</v>
      </c>
      <c r="J512" s="7" t="s">
        <v>45</v>
      </c>
      <c r="K512" s="7" t="s">
        <v>1018</v>
      </c>
      <c r="L512" s="7" t="s">
        <v>47</v>
      </c>
      <c r="M512" s="7">
        <v>6.5196480000000001</v>
      </c>
      <c r="N512" s="7">
        <v>14.298069999999999</v>
      </c>
      <c r="O512" s="7" t="s">
        <v>23</v>
      </c>
      <c r="P512" s="3"/>
      <c r="Q512" s="3"/>
      <c r="R512" s="3"/>
    </row>
    <row r="513" spans="1:18" x14ac:dyDescent="0.25">
      <c r="A513" s="2">
        <v>1660</v>
      </c>
      <c r="B513" s="7" t="s">
        <v>1628</v>
      </c>
      <c r="C513" s="7" t="s">
        <v>1629</v>
      </c>
      <c r="D513" s="7" t="s">
        <v>1628</v>
      </c>
      <c r="E513" s="7" t="s">
        <v>170</v>
      </c>
      <c r="F513" s="7" t="s">
        <v>1630</v>
      </c>
      <c r="G513" s="17" t="s">
        <v>7747</v>
      </c>
      <c r="H513" s="7" t="s">
        <v>19</v>
      </c>
      <c r="I513" s="7" t="s">
        <v>234</v>
      </c>
      <c r="J513" s="7" t="s">
        <v>732</v>
      </c>
      <c r="K513" s="7" t="s">
        <v>1006</v>
      </c>
      <c r="L513" s="7" t="s">
        <v>47</v>
      </c>
      <c r="M513" s="7">
        <v>7.5566222219999997</v>
      </c>
      <c r="N513" s="7">
        <v>15.394305559999999</v>
      </c>
      <c r="O513" s="7" t="s">
        <v>23</v>
      </c>
      <c r="P513" s="3"/>
      <c r="Q513" s="3"/>
      <c r="R513" s="3"/>
    </row>
    <row r="514" spans="1:18" x14ac:dyDescent="0.25">
      <c r="A514" s="2">
        <v>1661</v>
      </c>
      <c r="B514" s="7" t="s">
        <v>1952</v>
      </c>
      <c r="C514" s="7" t="s">
        <v>1953</v>
      </c>
      <c r="D514" s="7" t="s">
        <v>1952</v>
      </c>
      <c r="E514" s="7" t="s">
        <v>42</v>
      </c>
      <c r="F514" s="7" t="s">
        <v>1954</v>
      </c>
      <c r="G514" s="17" t="s">
        <v>7747</v>
      </c>
      <c r="H514" s="7" t="s">
        <v>28</v>
      </c>
      <c r="I514" s="7" t="s">
        <v>47</v>
      </c>
      <c r="J514" s="7" t="s">
        <v>45</v>
      </c>
      <c r="K514" s="7" t="s">
        <v>46</v>
      </c>
      <c r="L514" s="7" t="s">
        <v>47</v>
      </c>
      <c r="M514" s="7">
        <v>6.8366670000000003</v>
      </c>
      <c r="N514" s="7">
        <v>14.679194000000001</v>
      </c>
      <c r="O514" s="7" t="s">
        <v>23</v>
      </c>
      <c r="P514" s="3"/>
      <c r="Q514" s="3"/>
      <c r="R514" s="3"/>
    </row>
    <row r="515" spans="1:18" x14ac:dyDescent="0.25">
      <c r="A515" s="2">
        <v>1662</v>
      </c>
      <c r="B515" s="7" t="s">
        <v>2576</v>
      </c>
      <c r="C515" s="7" t="s">
        <v>2577</v>
      </c>
      <c r="D515" s="7" t="s">
        <v>2576</v>
      </c>
      <c r="E515" s="7" t="s">
        <v>74</v>
      </c>
      <c r="F515" s="7" t="s">
        <v>2578</v>
      </c>
      <c r="G515" s="17" t="s">
        <v>7747</v>
      </c>
      <c r="H515" s="7" t="s">
        <v>28</v>
      </c>
      <c r="I515" s="7" t="s">
        <v>76</v>
      </c>
      <c r="J515" s="7" t="s">
        <v>77</v>
      </c>
      <c r="K515" s="7" t="s">
        <v>76</v>
      </c>
      <c r="L515" s="7" t="s">
        <v>47</v>
      </c>
      <c r="M515" s="7">
        <v>5.8949569999999998</v>
      </c>
      <c r="N515" s="7">
        <v>14.549227999999999</v>
      </c>
      <c r="O515" s="7" t="s">
        <v>23</v>
      </c>
      <c r="P515" s="3"/>
      <c r="Q515" s="3"/>
      <c r="R515" s="3"/>
    </row>
    <row r="516" spans="1:18" x14ac:dyDescent="0.25">
      <c r="A516" s="2">
        <v>1663</v>
      </c>
      <c r="B516" s="7" t="s">
        <v>2722</v>
      </c>
      <c r="C516" s="7" t="s">
        <v>2723</v>
      </c>
      <c r="D516" s="7" t="s">
        <v>2722</v>
      </c>
      <c r="E516" s="7" t="s">
        <v>42</v>
      </c>
      <c r="F516" s="7" t="s">
        <v>2724</v>
      </c>
      <c r="G516" s="17" t="s">
        <v>7747</v>
      </c>
      <c r="H516" s="7" t="s">
        <v>19</v>
      </c>
      <c r="I516" s="7" t="s">
        <v>47</v>
      </c>
      <c r="J516" s="7" t="s">
        <v>45</v>
      </c>
      <c r="K516" s="7" t="s">
        <v>1018</v>
      </c>
      <c r="L516" s="7" t="s">
        <v>47</v>
      </c>
      <c r="M516" s="7">
        <v>6.5581149999999999</v>
      </c>
      <c r="N516" s="7">
        <v>14.257445000000001</v>
      </c>
      <c r="O516" s="7" t="s">
        <v>23</v>
      </c>
      <c r="P516" s="3"/>
      <c r="Q516" s="3"/>
      <c r="R516" s="3"/>
    </row>
    <row r="517" spans="1:18" x14ac:dyDescent="0.25">
      <c r="A517" s="2">
        <v>1664</v>
      </c>
      <c r="B517" s="7" t="s">
        <v>2770</v>
      </c>
      <c r="C517" s="7" t="s">
        <v>2771</v>
      </c>
      <c r="D517" s="7" t="s">
        <v>2770</v>
      </c>
      <c r="E517" s="7" t="s">
        <v>42</v>
      </c>
      <c r="F517" s="7" t="s">
        <v>2772</v>
      </c>
      <c r="G517" s="17" t="s">
        <v>7747</v>
      </c>
      <c r="H517" s="7" t="s">
        <v>19</v>
      </c>
      <c r="I517" s="7" t="s">
        <v>47</v>
      </c>
      <c r="J517" s="7" t="s">
        <v>45</v>
      </c>
      <c r="K517" s="7" t="s">
        <v>1018</v>
      </c>
      <c r="L517" s="7" t="s">
        <v>47</v>
      </c>
      <c r="M517" s="7">
        <v>6.8434340000000002</v>
      </c>
      <c r="N517" s="7">
        <v>14.151503</v>
      </c>
      <c r="O517" s="7" t="s">
        <v>23</v>
      </c>
      <c r="P517" s="3"/>
      <c r="Q517" s="3"/>
      <c r="R517" s="3"/>
    </row>
    <row r="518" spans="1:18" x14ac:dyDescent="0.25">
      <c r="A518" s="2">
        <v>1665</v>
      </c>
      <c r="B518" s="7" t="s">
        <v>2773</v>
      </c>
      <c r="C518" s="7" t="s">
        <v>2774</v>
      </c>
      <c r="D518" s="7" t="s">
        <v>2773</v>
      </c>
      <c r="E518" s="7" t="s">
        <v>42</v>
      </c>
      <c r="F518" s="7" t="s">
        <v>2775</v>
      </c>
      <c r="G518" s="17" t="s">
        <v>7747</v>
      </c>
      <c r="H518" s="7" t="s">
        <v>19</v>
      </c>
      <c r="I518" s="7" t="s">
        <v>47</v>
      </c>
      <c r="J518" s="7" t="s">
        <v>45</v>
      </c>
      <c r="K518" s="7" t="s">
        <v>1018</v>
      </c>
      <c r="L518" s="7" t="s">
        <v>47</v>
      </c>
      <c r="M518" s="7">
        <v>6.5585889999999996</v>
      </c>
      <c r="N518" s="7">
        <v>14.257821</v>
      </c>
      <c r="O518" s="7" t="s">
        <v>23</v>
      </c>
      <c r="P518" s="3"/>
      <c r="Q518" s="3"/>
      <c r="R518" s="3"/>
    </row>
    <row r="519" spans="1:18" x14ac:dyDescent="0.25">
      <c r="A519" s="2">
        <v>1666</v>
      </c>
      <c r="B519" s="7" t="s">
        <v>3025</v>
      </c>
      <c r="C519" s="7" t="s">
        <v>3026</v>
      </c>
      <c r="D519" s="7" t="s">
        <v>3025</v>
      </c>
      <c r="E519" s="7" t="s">
        <v>42</v>
      </c>
      <c r="F519" s="7" t="s">
        <v>3027</v>
      </c>
      <c r="G519" s="17" t="s">
        <v>7747</v>
      </c>
      <c r="H519" s="7" t="s">
        <v>28</v>
      </c>
      <c r="I519" s="7" t="s">
        <v>47</v>
      </c>
      <c r="J519" s="7" t="s">
        <v>45</v>
      </c>
      <c r="K519" s="7" t="s">
        <v>1018</v>
      </c>
      <c r="L519" s="7" t="s">
        <v>47</v>
      </c>
      <c r="M519" s="7">
        <v>6.5129200000000003</v>
      </c>
      <c r="N519" s="7">
        <v>14.28619</v>
      </c>
      <c r="O519" s="7" t="s">
        <v>23</v>
      </c>
      <c r="P519" s="3"/>
      <c r="Q519" s="3"/>
      <c r="R519" s="3"/>
    </row>
    <row r="520" spans="1:18" x14ac:dyDescent="0.25">
      <c r="A520" s="2">
        <v>1667</v>
      </c>
      <c r="B520" s="7" t="s">
        <v>3132</v>
      </c>
      <c r="C520" s="7" t="s">
        <v>3133</v>
      </c>
      <c r="D520" s="7" t="s">
        <v>3132</v>
      </c>
      <c r="E520" s="7" t="s">
        <v>42</v>
      </c>
      <c r="F520" s="7" t="s">
        <v>3134</v>
      </c>
      <c r="G520" s="17" t="s">
        <v>7747</v>
      </c>
      <c r="H520" s="7" t="s">
        <v>28</v>
      </c>
      <c r="I520" s="7" t="s">
        <v>47</v>
      </c>
      <c r="J520" s="7" t="s">
        <v>45</v>
      </c>
      <c r="K520" s="7" t="s">
        <v>1018</v>
      </c>
      <c r="L520" s="7" t="s">
        <v>47</v>
      </c>
      <c r="M520" s="7">
        <v>6.5198330000000002</v>
      </c>
      <c r="N520" s="7">
        <v>14.291221999999999</v>
      </c>
      <c r="O520" s="7" t="s">
        <v>23</v>
      </c>
      <c r="P520" s="3"/>
      <c r="Q520" s="3"/>
      <c r="R520" s="3"/>
    </row>
    <row r="521" spans="1:18" x14ac:dyDescent="0.25">
      <c r="A521" s="2">
        <v>1668</v>
      </c>
      <c r="B521" s="7" t="s">
        <v>4428</v>
      </c>
      <c r="C521" s="7" t="s">
        <v>4429</v>
      </c>
      <c r="D521" s="7" t="s">
        <v>4428</v>
      </c>
      <c r="E521" s="7" t="s">
        <v>74</v>
      </c>
      <c r="F521" s="7" t="s">
        <v>76</v>
      </c>
      <c r="G521" s="17" t="s">
        <v>7747</v>
      </c>
      <c r="H521" s="7" t="s">
        <v>19</v>
      </c>
      <c r="I521" s="7" t="s">
        <v>76</v>
      </c>
      <c r="J521" s="7" t="s">
        <v>77</v>
      </c>
      <c r="K521" s="7" t="s">
        <v>76</v>
      </c>
      <c r="L521" s="7" t="s">
        <v>47</v>
      </c>
      <c r="M521" s="7">
        <v>5.8836750000000002</v>
      </c>
      <c r="N521" s="7">
        <v>14.547117999999999</v>
      </c>
      <c r="O521" s="7" t="s">
        <v>23</v>
      </c>
      <c r="P521" s="3"/>
      <c r="Q521" s="3"/>
      <c r="R521" s="3"/>
    </row>
    <row r="522" spans="1:18" x14ac:dyDescent="0.25">
      <c r="A522" s="2">
        <v>1669</v>
      </c>
      <c r="B522" s="7" t="s">
        <v>5914</v>
      </c>
      <c r="C522" s="7" t="s">
        <v>5915</v>
      </c>
      <c r="D522" s="7" t="s">
        <v>5914</v>
      </c>
      <c r="E522" s="7" t="s">
        <v>42</v>
      </c>
      <c r="F522" s="7" t="s">
        <v>5916</v>
      </c>
      <c r="G522" s="17" t="s">
        <v>7747</v>
      </c>
      <c r="H522" s="7" t="s">
        <v>28</v>
      </c>
      <c r="I522" s="7" t="s">
        <v>47</v>
      </c>
      <c r="J522" s="7" t="s">
        <v>45</v>
      </c>
      <c r="K522" s="7" t="s">
        <v>5917</v>
      </c>
      <c r="L522" s="7" t="s">
        <v>47</v>
      </c>
      <c r="M522" s="7">
        <v>6.7425800000000002</v>
      </c>
      <c r="N522" s="7">
        <v>14.95933</v>
      </c>
      <c r="O522" s="7" t="s">
        <v>23</v>
      </c>
      <c r="P522" s="3"/>
      <c r="Q522" s="3"/>
      <c r="R522" s="3"/>
    </row>
    <row r="523" spans="1:18" x14ac:dyDescent="0.25">
      <c r="A523" s="2">
        <v>1670</v>
      </c>
      <c r="B523" s="7" t="s">
        <v>5936</v>
      </c>
      <c r="C523" s="7" t="s">
        <v>5937</v>
      </c>
      <c r="D523" s="7" t="s">
        <v>5936</v>
      </c>
      <c r="E523" s="7" t="s">
        <v>42</v>
      </c>
      <c r="F523" s="7" t="s">
        <v>5938</v>
      </c>
      <c r="G523" s="17" t="s">
        <v>7747</v>
      </c>
      <c r="H523" s="7" t="s">
        <v>28</v>
      </c>
      <c r="I523" s="7" t="s">
        <v>47</v>
      </c>
      <c r="J523" s="7" t="s">
        <v>45</v>
      </c>
      <c r="K523" s="7" t="s">
        <v>1018</v>
      </c>
      <c r="L523" s="7" t="s">
        <v>47</v>
      </c>
      <c r="M523" s="7">
        <v>6.4134599999999997</v>
      </c>
      <c r="N523" s="7">
        <v>14.21979</v>
      </c>
      <c r="O523" s="7" t="s">
        <v>23</v>
      </c>
      <c r="P523" s="3"/>
      <c r="Q523" s="3"/>
      <c r="R523" s="3"/>
    </row>
    <row r="524" spans="1:18" x14ac:dyDescent="0.25">
      <c r="A524" s="2">
        <v>1671</v>
      </c>
      <c r="B524" s="7" t="s">
        <v>5951</v>
      </c>
      <c r="C524" s="7" t="s">
        <v>5952</v>
      </c>
      <c r="D524" s="7" t="s">
        <v>5951</v>
      </c>
      <c r="E524" s="7" t="s">
        <v>42</v>
      </c>
      <c r="F524" s="7" t="s">
        <v>45</v>
      </c>
      <c r="G524" s="17" t="s">
        <v>7747</v>
      </c>
      <c r="H524" s="7" t="s">
        <v>28</v>
      </c>
      <c r="I524" s="7" t="s">
        <v>47</v>
      </c>
      <c r="J524" s="7" t="s">
        <v>235</v>
      </c>
      <c r="K524" s="7" t="s">
        <v>4037</v>
      </c>
      <c r="L524" s="7" t="s">
        <v>47</v>
      </c>
      <c r="M524" s="7">
        <v>6.9688629999999998</v>
      </c>
      <c r="N524" s="7">
        <v>14.051608999999999</v>
      </c>
      <c r="O524" s="7" t="s">
        <v>23</v>
      </c>
      <c r="P524" s="3"/>
      <c r="Q524" s="3"/>
      <c r="R524" s="3"/>
    </row>
    <row r="525" spans="1:18" x14ac:dyDescent="0.25">
      <c r="A525" s="2">
        <v>1672</v>
      </c>
      <c r="B525" s="7" t="s">
        <v>6016</v>
      </c>
      <c r="C525" s="7" t="s">
        <v>6017</v>
      </c>
      <c r="D525" s="7" t="s">
        <v>6016</v>
      </c>
      <c r="E525" s="7" t="s">
        <v>42</v>
      </c>
      <c r="F525" s="7" t="s">
        <v>6018</v>
      </c>
      <c r="G525" s="17" t="s">
        <v>7747</v>
      </c>
      <c r="H525" s="7" t="s">
        <v>28</v>
      </c>
      <c r="I525" s="7" t="s">
        <v>47</v>
      </c>
      <c r="J525" s="7" t="s">
        <v>45</v>
      </c>
      <c r="K525" s="7" t="s">
        <v>1018</v>
      </c>
      <c r="L525" s="7" t="s">
        <v>47</v>
      </c>
      <c r="M525" s="7">
        <v>6.70906</v>
      </c>
      <c r="N525" s="7">
        <v>14.20514</v>
      </c>
      <c r="O525" s="7" t="s">
        <v>23</v>
      </c>
      <c r="P525" s="3"/>
      <c r="Q525" s="3"/>
      <c r="R525" s="3"/>
    </row>
    <row r="526" spans="1:18" x14ac:dyDescent="0.25">
      <c r="A526" s="2">
        <v>1673</v>
      </c>
      <c r="B526" s="7" t="s">
        <v>6141</v>
      </c>
      <c r="C526" s="7" t="s">
        <v>6142</v>
      </c>
      <c r="D526" s="7" t="s">
        <v>6141</v>
      </c>
      <c r="E526" s="7" t="s">
        <v>74</v>
      </c>
      <c r="F526" s="7" t="s">
        <v>6143</v>
      </c>
      <c r="G526" s="17" t="s">
        <v>7747</v>
      </c>
      <c r="H526" s="7" t="s">
        <v>28</v>
      </c>
      <c r="I526" s="7" t="s">
        <v>76</v>
      </c>
      <c r="J526" s="7" t="s">
        <v>77</v>
      </c>
      <c r="K526" s="7" t="s">
        <v>76</v>
      </c>
      <c r="L526" s="7" t="s">
        <v>47</v>
      </c>
      <c r="M526" s="7">
        <v>5.6055400000000004</v>
      </c>
      <c r="N526" s="7">
        <v>14.36239</v>
      </c>
      <c r="O526" s="7" t="s">
        <v>23</v>
      </c>
      <c r="P526" s="3"/>
      <c r="Q526" s="3"/>
      <c r="R526" s="3"/>
    </row>
    <row r="527" spans="1:18" x14ac:dyDescent="0.25">
      <c r="A527" s="2">
        <v>1674</v>
      </c>
      <c r="B527" s="7" t="s">
        <v>6155</v>
      </c>
      <c r="C527" s="7" t="s">
        <v>6156</v>
      </c>
      <c r="D527" s="7" t="s">
        <v>6155</v>
      </c>
      <c r="E527" s="7" t="s">
        <v>42</v>
      </c>
      <c r="F527" s="7" t="s">
        <v>6157</v>
      </c>
      <c r="G527" s="17" t="s">
        <v>7747</v>
      </c>
      <c r="H527" s="7" t="s">
        <v>28</v>
      </c>
      <c r="I527" s="7" t="s">
        <v>47</v>
      </c>
      <c r="J527" s="7" t="s">
        <v>45</v>
      </c>
      <c r="K527" s="7" t="s">
        <v>1132</v>
      </c>
      <c r="L527" s="7" t="s">
        <v>47</v>
      </c>
      <c r="M527" s="7">
        <v>6.4114699999999996</v>
      </c>
      <c r="N527" s="7">
        <v>13.87828</v>
      </c>
      <c r="O527" s="7" t="s">
        <v>23</v>
      </c>
      <c r="P527" s="3"/>
      <c r="Q527" s="3"/>
      <c r="R527" s="3"/>
    </row>
    <row r="528" spans="1:18" x14ac:dyDescent="0.25">
      <c r="A528" s="2">
        <v>1675</v>
      </c>
      <c r="B528" s="7" t="s">
        <v>6158</v>
      </c>
      <c r="C528" s="7" t="s">
        <v>6159</v>
      </c>
      <c r="D528" s="7" t="s">
        <v>6158</v>
      </c>
      <c r="E528" s="7" t="s">
        <v>170</v>
      </c>
      <c r="F528" s="7" t="s">
        <v>6160</v>
      </c>
      <c r="G528" s="17" t="s">
        <v>7747</v>
      </c>
      <c r="H528" s="7" t="s">
        <v>19</v>
      </c>
      <c r="I528" s="7" t="s">
        <v>234</v>
      </c>
      <c r="J528" s="7" t="s">
        <v>258</v>
      </c>
      <c r="K528" s="7" t="s">
        <v>1006</v>
      </c>
      <c r="L528" s="7" t="s">
        <v>47</v>
      </c>
      <c r="M528" s="7">
        <v>7.2898870000000002</v>
      </c>
      <c r="N528" s="7">
        <v>15.12289</v>
      </c>
      <c r="O528" s="7" t="s">
        <v>23</v>
      </c>
      <c r="P528" s="3"/>
      <c r="Q528" s="3"/>
      <c r="R528" s="3"/>
    </row>
    <row r="529" spans="1:18" x14ac:dyDescent="0.25">
      <c r="A529" s="2">
        <v>1676</v>
      </c>
      <c r="B529" s="7" t="s">
        <v>6161</v>
      </c>
      <c r="C529" s="7" t="s">
        <v>6162</v>
      </c>
      <c r="D529" s="7" t="s">
        <v>6161</v>
      </c>
      <c r="E529" s="7" t="s">
        <v>42</v>
      </c>
      <c r="F529" s="7" t="s">
        <v>6163</v>
      </c>
      <c r="G529" s="17" t="s">
        <v>7747</v>
      </c>
      <c r="H529" s="7" t="s">
        <v>28</v>
      </c>
      <c r="I529" s="7" t="s">
        <v>47</v>
      </c>
      <c r="J529" s="7" t="s">
        <v>47</v>
      </c>
      <c r="K529" s="7" t="s">
        <v>1132</v>
      </c>
      <c r="L529" s="7" t="s">
        <v>47</v>
      </c>
      <c r="M529" s="7">
        <v>6.3273060000000001</v>
      </c>
      <c r="N529" s="7">
        <v>13.543889</v>
      </c>
      <c r="O529" s="7" t="s">
        <v>23</v>
      </c>
      <c r="P529" s="3"/>
      <c r="Q529" s="3"/>
      <c r="R529" s="3"/>
    </row>
    <row r="530" spans="1:18" x14ac:dyDescent="0.25">
      <c r="A530" s="2">
        <v>1677</v>
      </c>
      <c r="B530" s="7" t="s">
        <v>6243</v>
      </c>
      <c r="C530" s="7" t="s">
        <v>6244</v>
      </c>
      <c r="D530" s="7" t="s">
        <v>6243</v>
      </c>
      <c r="E530" s="7" t="s">
        <v>42</v>
      </c>
      <c r="F530" s="7" t="s">
        <v>6245</v>
      </c>
      <c r="G530" s="17" t="s">
        <v>7747</v>
      </c>
      <c r="H530" s="7" t="s">
        <v>28</v>
      </c>
      <c r="I530" s="7" t="s">
        <v>47</v>
      </c>
      <c r="J530" s="7" t="s">
        <v>45</v>
      </c>
      <c r="K530" s="7" t="s">
        <v>5917</v>
      </c>
      <c r="L530" s="7" t="s">
        <v>47</v>
      </c>
      <c r="M530" s="7">
        <v>6.7486389999999998</v>
      </c>
      <c r="N530" s="7">
        <v>14.948028000000001</v>
      </c>
      <c r="O530" s="7" t="s">
        <v>23</v>
      </c>
      <c r="P530" s="3"/>
      <c r="Q530" s="3"/>
      <c r="R530" s="3"/>
    </row>
    <row r="531" spans="1:18" x14ac:dyDescent="0.25">
      <c r="A531" s="2">
        <v>1678</v>
      </c>
      <c r="B531" s="7" t="s">
        <v>6361</v>
      </c>
      <c r="C531" s="7" t="s">
        <v>6362</v>
      </c>
      <c r="D531" s="7" t="s">
        <v>6361</v>
      </c>
      <c r="E531" s="7" t="s">
        <v>42</v>
      </c>
      <c r="F531" s="7" t="s">
        <v>6363</v>
      </c>
      <c r="G531" s="17" t="s">
        <v>7747</v>
      </c>
      <c r="H531" s="7" t="s">
        <v>28</v>
      </c>
      <c r="I531" s="7" t="s">
        <v>47</v>
      </c>
      <c r="J531" s="7" t="s">
        <v>45</v>
      </c>
      <c r="K531" s="7" t="s">
        <v>1018</v>
      </c>
      <c r="L531" s="7" t="s">
        <v>47</v>
      </c>
      <c r="M531" s="7">
        <v>6.3798880000000002</v>
      </c>
      <c r="N531" s="7">
        <v>14.316743000000001</v>
      </c>
      <c r="O531" s="7" t="s">
        <v>23</v>
      </c>
      <c r="P531" s="3"/>
      <c r="Q531" s="3"/>
      <c r="R531" s="3"/>
    </row>
    <row r="532" spans="1:18" x14ac:dyDescent="0.25">
      <c r="A532" s="2">
        <v>1679</v>
      </c>
      <c r="B532" s="7" t="s">
        <v>6409</v>
      </c>
      <c r="C532" s="7" t="s">
        <v>6410</v>
      </c>
      <c r="D532" s="7" t="s">
        <v>6409</v>
      </c>
      <c r="E532" s="7" t="s">
        <v>42</v>
      </c>
      <c r="F532" s="7" t="s">
        <v>6411</v>
      </c>
      <c r="G532" s="17" t="s">
        <v>7747</v>
      </c>
      <c r="H532" s="7" t="s">
        <v>19</v>
      </c>
      <c r="I532" s="7" t="s">
        <v>47</v>
      </c>
      <c r="J532" s="7" t="s">
        <v>45</v>
      </c>
      <c r="K532" s="7" t="s">
        <v>1018</v>
      </c>
      <c r="L532" s="7" t="s">
        <v>47</v>
      </c>
      <c r="M532" s="7">
        <v>6.5013620000000003</v>
      </c>
      <c r="N532" s="7">
        <v>14.066504999999999</v>
      </c>
      <c r="O532" s="7" t="s">
        <v>23</v>
      </c>
      <c r="P532" s="3"/>
      <c r="Q532" s="3"/>
      <c r="R532" s="3"/>
    </row>
    <row r="533" spans="1:18" x14ac:dyDescent="0.25">
      <c r="A533" s="2">
        <v>1680</v>
      </c>
      <c r="B533" s="7" t="s">
        <v>6448</v>
      </c>
      <c r="C533" s="7" t="s">
        <v>6449</v>
      </c>
      <c r="D533" s="7" t="s">
        <v>6448</v>
      </c>
      <c r="E533" s="7" t="s">
        <v>74</v>
      </c>
      <c r="F533" s="7" t="s">
        <v>6450</v>
      </c>
      <c r="G533" s="17" t="s">
        <v>7747</v>
      </c>
      <c r="H533" s="7" t="s">
        <v>19</v>
      </c>
      <c r="I533" s="7" t="s">
        <v>76</v>
      </c>
      <c r="J533" s="7" t="s">
        <v>77</v>
      </c>
      <c r="K533" s="7" t="s">
        <v>76</v>
      </c>
      <c r="L533" s="7" t="s">
        <v>47</v>
      </c>
      <c r="M533" s="7">
        <v>5.745584</v>
      </c>
      <c r="N533" s="7">
        <v>14.441516</v>
      </c>
      <c r="O533" s="7" t="s">
        <v>23</v>
      </c>
      <c r="P533" s="3"/>
      <c r="Q533" s="3"/>
      <c r="R533" s="3"/>
    </row>
    <row r="534" spans="1:18" x14ac:dyDescent="0.25">
      <c r="A534" s="2">
        <v>1681</v>
      </c>
      <c r="B534" s="7" t="s">
        <v>6451</v>
      </c>
      <c r="C534" s="7" t="s">
        <v>6452</v>
      </c>
      <c r="D534" s="7" t="s">
        <v>6451</v>
      </c>
      <c r="E534" s="7" t="s">
        <v>74</v>
      </c>
      <c r="F534" s="7" t="s">
        <v>6453</v>
      </c>
      <c r="G534" s="17" t="s">
        <v>7747</v>
      </c>
      <c r="H534" s="7" t="s">
        <v>19</v>
      </c>
      <c r="I534" s="7" t="s">
        <v>76</v>
      </c>
      <c r="J534" s="7" t="s">
        <v>77</v>
      </c>
      <c r="K534" s="7" t="s">
        <v>76</v>
      </c>
      <c r="L534" s="7" t="s">
        <v>47</v>
      </c>
      <c r="M534" s="7">
        <v>5.7447889999999999</v>
      </c>
      <c r="N534" s="7">
        <v>14.441345</v>
      </c>
      <c r="O534" s="7" t="s">
        <v>23</v>
      </c>
      <c r="P534" s="3"/>
      <c r="Q534" s="3"/>
      <c r="R534" s="3"/>
    </row>
    <row r="535" spans="1:18" x14ac:dyDescent="0.25">
      <c r="A535" s="2">
        <v>1682</v>
      </c>
      <c r="B535" s="7" t="s">
        <v>6470</v>
      </c>
      <c r="C535" s="7" t="s">
        <v>6471</v>
      </c>
      <c r="D535" s="7" t="s">
        <v>6470</v>
      </c>
      <c r="E535" s="7" t="s">
        <v>42</v>
      </c>
      <c r="F535" s="7" t="s">
        <v>6472</v>
      </c>
      <c r="G535" s="17" t="s">
        <v>7747</v>
      </c>
      <c r="H535" s="7" t="s">
        <v>19</v>
      </c>
      <c r="I535" s="7" t="s">
        <v>47</v>
      </c>
      <c r="J535" s="7" t="s">
        <v>45</v>
      </c>
      <c r="K535" s="7" t="s">
        <v>1132</v>
      </c>
      <c r="L535" s="7" t="s">
        <v>47</v>
      </c>
      <c r="M535" s="7">
        <v>6.3509010000000004</v>
      </c>
      <c r="N535" s="7">
        <v>13.739127</v>
      </c>
      <c r="O535" s="7" t="s">
        <v>23</v>
      </c>
      <c r="P535" s="3"/>
      <c r="Q535" s="3"/>
      <c r="R535" s="3"/>
    </row>
    <row r="536" spans="1:18" x14ac:dyDescent="0.25">
      <c r="A536" s="2">
        <v>1683</v>
      </c>
      <c r="B536" s="7" t="s">
        <v>6473</v>
      </c>
      <c r="C536" s="7" t="s">
        <v>6474</v>
      </c>
      <c r="D536" s="7" t="s">
        <v>6473</v>
      </c>
      <c r="E536" s="7" t="s">
        <v>42</v>
      </c>
      <c r="F536" s="7" t="s">
        <v>1954</v>
      </c>
      <c r="G536" s="17" t="s">
        <v>7747</v>
      </c>
      <c r="H536" s="7" t="s">
        <v>28</v>
      </c>
      <c r="I536" s="7" t="s">
        <v>47</v>
      </c>
      <c r="J536" s="7" t="s">
        <v>45</v>
      </c>
      <c r="K536" s="7" t="s">
        <v>46</v>
      </c>
      <c r="L536" s="7" t="s">
        <v>47</v>
      </c>
      <c r="M536" s="7">
        <v>6.8320559999999997</v>
      </c>
      <c r="N536" s="7">
        <v>14.689667</v>
      </c>
      <c r="O536" s="7" t="s">
        <v>23</v>
      </c>
      <c r="P536" s="3"/>
      <c r="Q536" s="3"/>
      <c r="R536" s="3"/>
    </row>
    <row r="537" spans="1:18" x14ac:dyDescent="0.25">
      <c r="A537" s="2">
        <v>1684</v>
      </c>
      <c r="B537" s="7" t="s">
        <v>6478</v>
      </c>
      <c r="C537" s="7" t="s">
        <v>6479</v>
      </c>
      <c r="D537" s="7" t="s">
        <v>6478</v>
      </c>
      <c r="E537" s="7" t="s">
        <v>42</v>
      </c>
      <c r="F537" s="7" t="s">
        <v>6480</v>
      </c>
      <c r="G537" s="17" t="s">
        <v>7747</v>
      </c>
      <c r="H537" s="7" t="s">
        <v>28</v>
      </c>
      <c r="I537" s="7" t="s">
        <v>47</v>
      </c>
      <c r="J537" s="7" t="s">
        <v>235</v>
      </c>
      <c r="K537" s="7" t="s">
        <v>5860</v>
      </c>
      <c r="L537" s="7" t="s">
        <v>47</v>
      </c>
      <c r="M537" s="7">
        <v>7.11998</v>
      </c>
      <c r="N537" s="7">
        <v>14.328474999999999</v>
      </c>
      <c r="O537" s="7" t="s">
        <v>23</v>
      </c>
      <c r="P537" s="3"/>
      <c r="Q537" s="3"/>
      <c r="R537" s="3"/>
    </row>
    <row r="538" spans="1:18" x14ac:dyDescent="0.25">
      <c r="A538" s="2">
        <v>1685</v>
      </c>
      <c r="B538" s="7" t="s">
        <v>6481</v>
      </c>
      <c r="C538" s="7" t="s">
        <v>6482</v>
      </c>
      <c r="D538" s="7" t="s">
        <v>6481</v>
      </c>
      <c r="E538" s="7" t="s">
        <v>42</v>
      </c>
      <c r="F538" s="7" t="s">
        <v>6163</v>
      </c>
      <c r="G538" s="17" t="s">
        <v>7747</v>
      </c>
      <c r="H538" s="7" t="s">
        <v>28</v>
      </c>
      <c r="I538" s="7" t="s">
        <v>47</v>
      </c>
      <c r="J538" s="7" t="s">
        <v>47</v>
      </c>
      <c r="K538" s="7" t="s">
        <v>1132</v>
      </c>
      <c r="L538" s="7" t="s">
        <v>47</v>
      </c>
      <c r="M538" s="7">
        <v>6.3419169999999996</v>
      </c>
      <c r="N538" s="7">
        <v>13.529059</v>
      </c>
      <c r="O538" s="7" t="s">
        <v>23</v>
      </c>
      <c r="P538" s="3"/>
      <c r="Q538" s="3"/>
      <c r="R538" s="3"/>
    </row>
    <row r="539" spans="1:18" x14ac:dyDescent="0.25">
      <c r="A539" s="2">
        <v>1686</v>
      </c>
      <c r="B539" s="7" t="s">
        <v>6545</v>
      </c>
      <c r="C539" s="7" t="s">
        <v>6546</v>
      </c>
      <c r="D539" s="7" t="s">
        <v>6545</v>
      </c>
      <c r="E539" s="7" t="s">
        <v>74</v>
      </c>
      <c r="F539" s="7" t="s">
        <v>6547</v>
      </c>
      <c r="G539" s="17" t="s">
        <v>7747</v>
      </c>
      <c r="H539" s="7" t="s">
        <v>19</v>
      </c>
      <c r="I539" s="7" t="s">
        <v>76</v>
      </c>
      <c r="J539" s="7" t="s">
        <v>77</v>
      </c>
      <c r="K539" s="7" t="s">
        <v>993</v>
      </c>
      <c r="L539" s="7" t="s">
        <v>47</v>
      </c>
      <c r="M539" s="7">
        <v>5.5631969999999997</v>
      </c>
      <c r="N539" s="7">
        <v>14.087555999999999</v>
      </c>
      <c r="O539" s="7" t="s">
        <v>23</v>
      </c>
      <c r="P539" s="3"/>
      <c r="Q539" s="3"/>
      <c r="R539" s="3"/>
    </row>
    <row r="540" spans="1:18" x14ac:dyDescent="0.25">
      <c r="A540" s="2">
        <v>1687</v>
      </c>
      <c r="B540" s="7" t="s">
        <v>6551</v>
      </c>
      <c r="C540" s="7" t="s">
        <v>6552</v>
      </c>
      <c r="D540" s="7" t="s">
        <v>6551</v>
      </c>
      <c r="E540" s="7" t="s">
        <v>42</v>
      </c>
      <c r="F540" s="7" t="s">
        <v>6553</v>
      </c>
      <c r="G540" s="17" t="s">
        <v>7747</v>
      </c>
      <c r="H540" s="7" t="s">
        <v>28</v>
      </c>
      <c r="I540" s="7" t="s">
        <v>47</v>
      </c>
      <c r="J540" s="7" t="s">
        <v>235</v>
      </c>
      <c r="K540" s="7" t="s">
        <v>5860</v>
      </c>
      <c r="L540" s="7" t="s">
        <v>47</v>
      </c>
      <c r="M540" s="7">
        <v>7.0499299999999998</v>
      </c>
      <c r="N540" s="7">
        <v>14.43802</v>
      </c>
      <c r="O540" s="7" t="s">
        <v>23</v>
      </c>
      <c r="P540" s="3"/>
      <c r="Q540" s="3"/>
      <c r="R540" s="3"/>
    </row>
    <row r="541" spans="1:18" x14ac:dyDescent="0.25">
      <c r="A541" s="2">
        <v>1688</v>
      </c>
      <c r="B541" s="7" t="s">
        <v>6557</v>
      </c>
      <c r="C541" s="7" t="s">
        <v>6558</v>
      </c>
      <c r="D541" s="7" t="s">
        <v>6557</v>
      </c>
      <c r="E541" s="7" t="s">
        <v>42</v>
      </c>
      <c r="F541" s="7" t="s">
        <v>6559</v>
      </c>
      <c r="G541" s="17" t="s">
        <v>7747</v>
      </c>
      <c r="H541" s="7" t="s">
        <v>19</v>
      </c>
      <c r="I541" s="7" t="s">
        <v>47</v>
      </c>
      <c r="J541" s="7" t="s">
        <v>45</v>
      </c>
      <c r="K541" s="7" t="s">
        <v>1018</v>
      </c>
      <c r="L541" s="7" t="s">
        <v>47</v>
      </c>
      <c r="M541" s="7">
        <v>6.1363570000000003</v>
      </c>
      <c r="N541" s="7">
        <v>14.382668000000001</v>
      </c>
      <c r="O541" s="7" t="s">
        <v>23</v>
      </c>
      <c r="P541" s="3"/>
      <c r="Q541" s="3"/>
      <c r="R541" s="3"/>
    </row>
    <row r="542" spans="1:18" x14ac:dyDescent="0.25">
      <c r="A542" s="2">
        <v>1689</v>
      </c>
      <c r="B542" s="7" t="s">
        <v>6577</v>
      </c>
      <c r="C542" s="7" t="s">
        <v>6578</v>
      </c>
      <c r="D542" s="7" t="s">
        <v>6577</v>
      </c>
      <c r="E542" s="7" t="s">
        <v>170</v>
      </c>
      <c r="F542" s="7" t="s">
        <v>6579</v>
      </c>
      <c r="G542" s="17" t="s">
        <v>7747</v>
      </c>
      <c r="H542" s="7" t="s">
        <v>19</v>
      </c>
      <c r="I542" s="7" t="s">
        <v>234</v>
      </c>
      <c r="J542" s="7" t="s">
        <v>732</v>
      </c>
      <c r="K542" s="7" t="s">
        <v>1006</v>
      </c>
      <c r="L542" s="7" t="s">
        <v>47</v>
      </c>
      <c r="M542" s="7">
        <v>7.5524440000000004</v>
      </c>
      <c r="N542" s="7">
        <v>15.438361</v>
      </c>
      <c r="O542" s="7" t="s">
        <v>23</v>
      </c>
      <c r="P542" s="3"/>
      <c r="Q542" s="3"/>
      <c r="R542" s="3"/>
    </row>
    <row r="543" spans="1:18" x14ac:dyDescent="0.25">
      <c r="A543" s="2">
        <v>1690</v>
      </c>
      <c r="B543" s="7" t="s">
        <v>6605</v>
      </c>
      <c r="C543" s="7" t="s">
        <v>6606</v>
      </c>
      <c r="D543" s="7" t="s">
        <v>6605</v>
      </c>
      <c r="E543" s="7" t="s">
        <v>42</v>
      </c>
      <c r="F543" s="7" t="s">
        <v>6559</v>
      </c>
      <c r="G543" s="17" t="s">
        <v>7747</v>
      </c>
      <c r="H543" s="7" t="s">
        <v>19</v>
      </c>
      <c r="I543" s="7" t="s">
        <v>47</v>
      </c>
      <c r="J543" s="7" t="s">
        <v>45</v>
      </c>
      <c r="K543" s="7" t="s">
        <v>1018</v>
      </c>
      <c r="L543" s="7" t="s">
        <v>47</v>
      </c>
      <c r="M543" s="7">
        <v>6.1365829999999999</v>
      </c>
      <c r="N543" s="7">
        <v>14.382444</v>
      </c>
      <c r="O543" s="7" t="s">
        <v>23</v>
      </c>
      <c r="P543" s="3"/>
      <c r="Q543" s="3"/>
      <c r="R543" s="3"/>
    </row>
    <row r="544" spans="1:18" x14ac:dyDescent="0.25">
      <c r="A544" s="2">
        <v>1691</v>
      </c>
      <c r="B544" s="7" t="s">
        <v>6607</v>
      </c>
      <c r="C544" s="7" t="s">
        <v>6608</v>
      </c>
      <c r="D544" s="7" t="s">
        <v>6607</v>
      </c>
      <c r="E544" s="7" t="s">
        <v>170</v>
      </c>
      <c r="F544" s="7" t="s">
        <v>6609</v>
      </c>
      <c r="G544" s="17" t="s">
        <v>7747</v>
      </c>
      <c r="H544" s="7" t="s">
        <v>28</v>
      </c>
      <c r="I544" s="7" t="s">
        <v>234</v>
      </c>
      <c r="J544" s="7" t="s">
        <v>732</v>
      </c>
      <c r="K544" s="7" t="s">
        <v>1006</v>
      </c>
      <c r="L544" s="7" t="s">
        <v>47</v>
      </c>
      <c r="M544" s="7">
        <v>7.3462800000000001</v>
      </c>
      <c r="N544" s="7">
        <v>15.296709999999999</v>
      </c>
      <c r="O544" s="7" t="s">
        <v>23</v>
      </c>
      <c r="P544" s="3"/>
      <c r="Q544" s="3"/>
      <c r="R544" s="3"/>
    </row>
    <row r="545" spans="1:18" x14ac:dyDescent="0.25">
      <c r="A545" s="2">
        <v>1692</v>
      </c>
      <c r="B545" s="7" t="s">
        <v>6610</v>
      </c>
      <c r="C545" s="7" t="s">
        <v>6611</v>
      </c>
      <c r="D545" s="7" t="s">
        <v>6610</v>
      </c>
      <c r="E545" s="7" t="s">
        <v>170</v>
      </c>
      <c r="F545" s="7" t="s">
        <v>6612</v>
      </c>
      <c r="G545" s="17" t="s">
        <v>7747</v>
      </c>
      <c r="H545" s="7" t="s">
        <v>28</v>
      </c>
      <c r="I545" s="7" t="s">
        <v>234</v>
      </c>
      <c r="J545" s="7" t="s">
        <v>732</v>
      </c>
      <c r="K545" s="7" t="s">
        <v>1006</v>
      </c>
      <c r="L545" s="7" t="s">
        <v>47</v>
      </c>
      <c r="M545" s="7">
        <v>7.4565900000000003</v>
      </c>
      <c r="N545" s="7">
        <v>15.372479999999999</v>
      </c>
      <c r="O545" s="7" t="s">
        <v>23</v>
      </c>
      <c r="P545" s="3"/>
      <c r="Q545" s="3"/>
      <c r="R545" s="3"/>
    </row>
    <row r="546" spans="1:18" x14ac:dyDescent="0.25">
      <c r="A546" s="2">
        <v>1693</v>
      </c>
      <c r="B546" s="7" t="s">
        <v>6613</v>
      </c>
      <c r="C546" s="7" t="s">
        <v>6614</v>
      </c>
      <c r="D546" s="7" t="s">
        <v>6613</v>
      </c>
      <c r="E546" s="7" t="s">
        <v>170</v>
      </c>
      <c r="F546" s="7" t="s">
        <v>6615</v>
      </c>
      <c r="G546" s="17" t="s">
        <v>7747</v>
      </c>
      <c r="H546" s="7" t="s">
        <v>28</v>
      </c>
      <c r="I546" s="7" t="s">
        <v>234</v>
      </c>
      <c r="J546" s="7" t="s">
        <v>732</v>
      </c>
      <c r="K546" s="7" t="s">
        <v>1006</v>
      </c>
      <c r="L546" s="7" t="s">
        <v>47</v>
      </c>
      <c r="M546" s="7">
        <v>7.1640600000000001</v>
      </c>
      <c r="N546" s="7">
        <v>14.836372000000001</v>
      </c>
      <c r="O546" s="7" t="s">
        <v>23</v>
      </c>
      <c r="P546" s="3"/>
      <c r="Q546" s="3"/>
      <c r="R546" s="3"/>
    </row>
    <row r="547" spans="1:18" x14ac:dyDescent="0.25">
      <c r="A547" s="2">
        <v>1694</v>
      </c>
      <c r="B547" s="7" t="s">
        <v>6767</v>
      </c>
      <c r="C547" s="7" t="s">
        <v>6768</v>
      </c>
      <c r="D547" s="7" t="s">
        <v>6767</v>
      </c>
      <c r="E547" s="7" t="s">
        <v>74</v>
      </c>
      <c r="F547" s="7" t="s">
        <v>6769</v>
      </c>
      <c r="G547" s="17" t="s">
        <v>7747</v>
      </c>
      <c r="H547" s="7" t="s">
        <v>28</v>
      </c>
      <c r="I547" s="7" t="s">
        <v>76</v>
      </c>
      <c r="J547" s="7" t="s">
        <v>77</v>
      </c>
      <c r="K547" s="7" t="s">
        <v>76</v>
      </c>
      <c r="L547" s="7" t="s">
        <v>47</v>
      </c>
      <c r="M547" s="7">
        <v>5.8863719999999997</v>
      </c>
      <c r="N547" s="7">
        <v>14.564285</v>
      </c>
      <c r="O547" s="7" t="s">
        <v>23</v>
      </c>
      <c r="P547" s="3"/>
      <c r="Q547" s="3"/>
      <c r="R547" s="3"/>
    </row>
    <row r="548" spans="1:18" x14ac:dyDescent="0.25">
      <c r="A548" s="2">
        <v>1695</v>
      </c>
      <c r="B548" s="7" t="s">
        <v>7044</v>
      </c>
      <c r="C548" s="7" t="s">
        <v>7045</v>
      </c>
      <c r="D548" s="7" t="s">
        <v>7044</v>
      </c>
      <c r="E548" s="7" t="s">
        <v>170</v>
      </c>
      <c r="F548" s="7" t="s">
        <v>7046</v>
      </c>
      <c r="G548" s="17" t="s">
        <v>7747</v>
      </c>
      <c r="H548" s="7" t="s">
        <v>28</v>
      </c>
      <c r="I548" s="7" t="s">
        <v>172</v>
      </c>
      <c r="J548" s="7" t="s">
        <v>7047</v>
      </c>
      <c r="K548" s="7" t="s">
        <v>1630</v>
      </c>
      <c r="L548" s="7" t="s">
        <v>47</v>
      </c>
      <c r="M548" s="7">
        <v>7.5407900000000003</v>
      </c>
      <c r="N548" s="7">
        <v>15.449840999999999</v>
      </c>
      <c r="O548" s="7" t="s">
        <v>23</v>
      </c>
      <c r="P548" s="3"/>
      <c r="Q548" s="3"/>
      <c r="R548" s="3"/>
    </row>
    <row r="549" spans="1:18" x14ac:dyDescent="0.25">
      <c r="A549" s="2">
        <v>1696</v>
      </c>
      <c r="B549" s="7" t="s">
        <v>7048</v>
      </c>
      <c r="C549" s="7" t="s">
        <v>7049</v>
      </c>
      <c r="D549" s="7" t="s">
        <v>7048</v>
      </c>
      <c r="E549" s="7" t="s">
        <v>42</v>
      </c>
      <c r="F549" s="7" t="s">
        <v>7050</v>
      </c>
      <c r="G549" s="17" t="s">
        <v>7747</v>
      </c>
      <c r="H549" s="7" t="s">
        <v>28</v>
      </c>
      <c r="I549" s="7" t="s">
        <v>47</v>
      </c>
      <c r="J549" s="7" t="s">
        <v>45</v>
      </c>
      <c r="K549" s="7" t="s">
        <v>1018</v>
      </c>
      <c r="L549" s="7" t="s">
        <v>47</v>
      </c>
      <c r="M549" s="7">
        <v>7.1677160000000004</v>
      </c>
      <c r="N549" s="7">
        <v>14.475781</v>
      </c>
      <c r="O549" s="7" t="s">
        <v>23</v>
      </c>
      <c r="P549" s="3"/>
      <c r="Q549" s="3"/>
      <c r="R549" s="3"/>
    </row>
    <row r="550" spans="1:18" x14ac:dyDescent="0.25">
      <c r="A550" s="2">
        <v>1697</v>
      </c>
      <c r="B550" s="7" t="s">
        <v>7077</v>
      </c>
      <c r="C550" s="7" t="s">
        <v>7078</v>
      </c>
      <c r="D550" s="7" t="s">
        <v>7077</v>
      </c>
      <c r="E550" s="7" t="s">
        <v>74</v>
      </c>
      <c r="F550" s="7" t="s">
        <v>7079</v>
      </c>
      <c r="G550" s="17" t="s">
        <v>7747</v>
      </c>
      <c r="H550" s="7" t="s">
        <v>28</v>
      </c>
      <c r="I550" s="7" t="s">
        <v>76</v>
      </c>
      <c r="J550" s="7" t="s">
        <v>7040</v>
      </c>
      <c r="K550" s="7" t="s">
        <v>993</v>
      </c>
      <c r="L550" s="7" t="s">
        <v>47</v>
      </c>
      <c r="M550" s="7">
        <v>5.4982980000000001</v>
      </c>
      <c r="N550" s="7">
        <v>14.299773</v>
      </c>
      <c r="O550" s="7" t="s">
        <v>23</v>
      </c>
      <c r="P550" s="3"/>
      <c r="Q550" s="3"/>
      <c r="R550" s="3"/>
    </row>
    <row r="551" spans="1:18" x14ac:dyDescent="0.25">
      <c r="A551" s="2">
        <v>1698</v>
      </c>
      <c r="B551" s="7" t="s">
        <v>7139</v>
      </c>
      <c r="C551" s="7" t="s">
        <v>7140</v>
      </c>
      <c r="D551" s="7" t="s">
        <v>7139</v>
      </c>
      <c r="E551" s="7" t="s">
        <v>74</v>
      </c>
      <c r="F551" s="7" t="s">
        <v>7141</v>
      </c>
      <c r="G551" s="17" t="s">
        <v>7747</v>
      </c>
      <c r="H551" s="7" t="s">
        <v>28</v>
      </c>
      <c r="I551" s="7" t="s">
        <v>76</v>
      </c>
      <c r="J551" s="7" t="s">
        <v>7040</v>
      </c>
      <c r="K551" s="7" t="s">
        <v>76</v>
      </c>
      <c r="L551" s="7" t="s">
        <v>47</v>
      </c>
      <c r="M551" s="7">
        <v>5.9071100000000003</v>
      </c>
      <c r="N551" s="7">
        <v>14.539350000000001</v>
      </c>
      <c r="O551" s="7" t="s">
        <v>23</v>
      </c>
      <c r="P551" s="3"/>
      <c r="Q551" s="3"/>
      <c r="R551" s="3"/>
    </row>
    <row r="552" spans="1:18" x14ac:dyDescent="0.25">
      <c r="A552" s="2">
        <v>1699</v>
      </c>
      <c r="B552" s="12" t="s">
        <v>7352</v>
      </c>
      <c r="C552" s="7" t="s">
        <v>7353</v>
      </c>
      <c r="D552" s="12" t="s">
        <v>7352</v>
      </c>
      <c r="E552" s="7" t="s">
        <v>42</v>
      </c>
      <c r="F552" s="7" t="s">
        <v>7354</v>
      </c>
      <c r="G552" s="17" t="s">
        <v>7747</v>
      </c>
      <c r="H552" s="7" t="s">
        <v>28</v>
      </c>
      <c r="I552" s="7" t="s">
        <v>47</v>
      </c>
      <c r="J552" s="7" t="s">
        <v>45</v>
      </c>
      <c r="K552" s="7" t="s">
        <v>1018</v>
      </c>
      <c r="L552" s="7" t="s">
        <v>47</v>
      </c>
      <c r="M552" s="7">
        <v>6.5330310000000003</v>
      </c>
      <c r="N552" s="7">
        <v>14.277452</v>
      </c>
      <c r="O552" s="7" t="s">
        <v>23</v>
      </c>
      <c r="P552" s="3"/>
      <c r="Q552" s="3"/>
      <c r="R552" s="3"/>
    </row>
    <row r="553" spans="1:18" x14ac:dyDescent="0.25">
      <c r="A553" s="2">
        <v>1700</v>
      </c>
      <c r="B553" s="7" t="s">
        <v>7467</v>
      </c>
      <c r="C553" s="7" t="s">
        <v>7468</v>
      </c>
      <c r="D553" s="7" t="s">
        <v>7467</v>
      </c>
      <c r="E553" s="7" t="s">
        <v>74</v>
      </c>
      <c r="F553" s="7" t="s">
        <v>7469</v>
      </c>
      <c r="G553" s="17" t="s">
        <v>7747</v>
      </c>
      <c r="H553" s="7" t="s">
        <v>28</v>
      </c>
      <c r="I553" s="7" t="s">
        <v>76</v>
      </c>
      <c r="J553" s="7" t="s">
        <v>904</v>
      </c>
      <c r="K553" s="7" t="s">
        <v>76</v>
      </c>
      <c r="L553" s="7" t="s">
        <v>47</v>
      </c>
      <c r="M553" s="7">
        <v>5.8277340000000004</v>
      </c>
      <c r="N553" s="7">
        <v>14.566141</v>
      </c>
      <c r="O553" s="7" t="s">
        <v>23</v>
      </c>
      <c r="P553" s="3"/>
      <c r="Q553" s="3"/>
      <c r="R553" s="3"/>
    </row>
    <row r="554" spans="1:18" x14ac:dyDescent="0.25">
      <c r="A554" s="2">
        <v>1701</v>
      </c>
      <c r="B554" s="7" t="s">
        <v>7537</v>
      </c>
      <c r="C554" s="7" t="s">
        <v>7538</v>
      </c>
      <c r="D554" s="7" t="s">
        <v>7537</v>
      </c>
      <c r="E554" s="7" t="s">
        <v>42</v>
      </c>
      <c r="F554" s="7" t="s">
        <v>7539</v>
      </c>
      <c r="G554" s="17" t="s">
        <v>7747</v>
      </c>
      <c r="H554" s="7" t="s">
        <v>28</v>
      </c>
      <c r="I554" s="7" t="s">
        <v>47</v>
      </c>
      <c r="J554" s="7" t="s">
        <v>7540</v>
      </c>
      <c r="K554" s="7" t="s">
        <v>1132</v>
      </c>
      <c r="L554" s="7" t="s">
        <v>47</v>
      </c>
      <c r="M554" s="7">
        <v>6.3069170000000003</v>
      </c>
      <c r="N554" s="7">
        <v>13.637361</v>
      </c>
      <c r="O554" s="7" t="s">
        <v>23</v>
      </c>
      <c r="P554" s="3"/>
      <c r="Q554" s="3"/>
      <c r="R554" s="3"/>
    </row>
    <row r="555" spans="1:18" x14ac:dyDescent="0.25">
      <c r="A555" s="2">
        <v>1702</v>
      </c>
      <c r="B555" s="7" t="s">
        <v>7541</v>
      </c>
      <c r="C555" s="7" t="s">
        <v>7542</v>
      </c>
      <c r="D555" s="7" t="s">
        <v>7541</v>
      </c>
      <c r="E555" s="7" t="s">
        <v>42</v>
      </c>
      <c r="F555" s="7" t="s">
        <v>7543</v>
      </c>
      <c r="G555" s="17" t="s">
        <v>7747</v>
      </c>
      <c r="H555" s="7" t="s">
        <v>28</v>
      </c>
      <c r="I555" s="7" t="s">
        <v>47</v>
      </c>
      <c r="J555" s="7" t="s">
        <v>7540</v>
      </c>
      <c r="K555" s="7" t="s">
        <v>1132</v>
      </c>
      <c r="L555" s="7" t="s">
        <v>47</v>
      </c>
      <c r="M555" s="7">
        <v>6.4559530000000001</v>
      </c>
      <c r="N555" s="7">
        <v>13.945722</v>
      </c>
      <c r="O555" s="7" t="s">
        <v>23</v>
      </c>
      <c r="P555" s="3"/>
      <c r="Q555" s="3"/>
      <c r="R555" s="3"/>
    </row>
    <row r="556" spans="1:18" x14ac:dyDescent="0.25">
      <c r="A556" s="2">
        <v>1703</v>
      </c>
      <c r="B556" s="7" t="s">
        <v>7648</v>
      </c>
      <c r="C556" s="7" t="s">
        <v>7649</v>
      </c>
      <c r="D556" s="7" t="s">
        <v>7648</v>
      </c>
      <c r="E556" s="10" t="s">
        <v>170</v>
      </c>
      <c r="F556" s="7" t="s">
        <v>7650</v>
      </c>
      <c r="G556" s="17" t="s">
        <v>7747</v>
      </c>
      <c r="H556" s="7" t="s">
        <v>28</v>
      </c>
      <c r="I556" s="7" t="s">
        <v>234</v>
      </c>
      <c r="J556" s="7" t="s">
        <v>732</v>
      </c>
      <c r="K556" s="7" t="s">
        <v>1006</v>
      </c>
      <c r="L556" s="7" t="s">
        <v>47</v>
      </c>
      <c r="M556" s="10">
        <v>7.7587130000000002</v>
      </c>
      <c r="N556" s="10">
        <v>15.352148</v>
      </c>
      <c r="O556" s="7" t="s">
        <v>23</v>
      </c>
      <c r="P556" s="3"/>
      <c r="Q556" s="3"/>
      <c r="R556" s="3"/>
    </row>
    <row r="557" spans="1:18" x14ac:dyDescent="0.25">
      <c r="A557" s="2">
        <v>1704</v>
      </c>
      <c r="B557" s="7" t="s">
        <v>99</v>
      </c>
      <c r="C557" s="7" t="s">
        <v>100</v>
      </c>
      <c r="D557" s="7" t="s">
        <v>99</v>
      </c>
      <c r="E557" s="7" t="s">
        <v>42</v>
      </c>
      <c r="F557" s="7" t="s">
        <v>101</v>
      </c>
      <c r="G557" s="17" t="s">
        <v>7747</v>
      </c>
      <c r="H557" s="7" t="s">
        <v>28</v>
      </c>
      <c r="I557" s="7" t="s">
        <v>102</v>
      </c>
      <c r="J557" s="7" t="s">
        <v>103</v>
      </c>
      <c r="K557" s="7" t="s">
        <v>104</v>
      </c>
      <c r="L557" s="7" t="s">
        <v>44</v>
      </c>
      <c r="M557" s="7">
        <v>6.8271940000000004</v>
      </c>
      <c r="N557" s="7">
        <v>13.176917</v>
      </c>
      <c r="O557" s="7" t="s">
        <v>23</v>
      </c>
      <c r="P557" s="3"/>
      <c r="Q557" s="3"/>
      <c r="R557" s="3"/>
    </row>
    <row r="558" spans="1:18" x14ac:dyDescent="0.25">
      <c r="A558" s="2">
        <v>1705</v>
      </c>
      <c r="B558" s="7" t="s">
        <v>399</v>
      </c>
      <c r="C558" s="7" t="s">
        <v>400</v>
      </c>
      <c r="D558" s="7" t="s">
        <v>399</v>
      </c>
      <c r="E558" s="7" t="s">
        <v>170</v>
      </c>
      <c r="F558" s="7" t="s">
        <v>401</v>
      </c>
      <c r="G558" s="17" t="s">
        <v>7747</v>
      </c>
      <c r="H558" s="7" t="s">
        <v>28</v>
      </c>
      <c r="I558" s="7" t="s">
        <v>234</v>
      </c>
      <c r="J558" s="7" t="s">
        <v>235</v>
      </c>
      <c r="K558" s="7" t="s">
        <v>402</v>
      </c>
      <c r="L558" s="7" t="s">
        <v>44</v>
      </c>
      <c r="M558" s="7">
        <v>7.9004709999999996</v>
      </c>
      <c r="N558" s="7">
        <v>13.617796</v>
      </c>
      <c r="O558" s="7" t="s">
        <v>23</v>
      </c>
      <c r="P558" s="3"/>
      <c r="Q558" s="3"/>
      <c r="R558" s="3"/>
    </row>
    <row r="559" spans="1:18" x14ac:dyDescent="0.25">
      <c r="A559" s="2">
        <v>1706</v>
      </c>
      <c r="B559" s="7" t="s">
        <v>403</v>
      </c>
      <c r="C559" s="7" t="s">
        <v>404</v>
      </c>
      <c r="D559" s="7" t="s">
        <v>403</v>
      </c>
      <c r="E559" s="7" t="s">
        <v>42</v>
      </c>
      <c r="F559" s="7" t="s">
        <v>405</v>
      </c>
      <c r="G559" s="17" t="s">
        <v>7747</v>
      </c>
      <c r="H559" s="7" t="s">
        <v>19</v>
      </c>
      <c r="I559" s="7" t="s">
        <v>44</v>
      </c>
      <c r="J559" s="7" t="s">
        <v>235</v>
      </c>
      <c r="K559" s="7" t="s">
        <v>406</v>
      </c>
      <c r="L559" s="7" t="s">
        <v>44</v>
      </c>
      <c r="M559" s="7">
        <v>7.4138270000000004</v>
      </c>
      <c r="N559" s="7">
        <v>13.553395</v>
      </c>
      <c r="O559" s="7" t="s">
        <v>23</v>
      </c>
      <c r="P559" s="3"/>
      <c r="Q559" s="3"/>
      <c r="R559" s="3"/>
    </row>
    <row r="560" spans="1:18" x14ac:dyDescent="0.25">
      <c r="A560" s="2">
        <v>1707</v>
      </c>
      <c r="B560" s="7" t="s">
        <v>650</v>
      </c>
      <c r="C560" s="7" t="s">
        <v>651</v>
      </c>
      <c r="D560" s="7" t="s">
        <v>650</v>
      </c>
      <c r="E560" s="7" t="s">
        <v>42</v>
      </c>
      <c r="F560" s="7" t="s">
        <v>652</v>
      </c>
      <c r="G560" s="17" t="s">
        <v>7747</v>
      </c>
      <c r="H560" s="7" t="s">
        <v>19</v>
      </c>
      <c r="I560" s="7" t="s">
        <v>44</v>
      </c>
      <c r="J560" s="7" t="s">
        <v>235</v>
      </c>
      <c r="K560" s="7" t="s">
        <v>406</v>
      </c>
      <c r="L560" s="7" t="s">
        <v>44</v>
      </c>
      <c r="M560" s="7">
        <v>7.5750000000000002</v>
      </c>
      <c r="N560" s="7">
        <v>13.56095</v>
      </c>
      <c r="O560" s="7" t="s">
        <v>23</v>
      </c>
      <c r="P560" s="3"/>
      <c r="Q560" s="3"/>
      <c r="R560" s="3"/>
    </row>
    <row r="561" spans="1:18" x14ac:dyDescent="0.25">
      <c r="A561" s="2">
        <v>1708</v>
      </c>
      <c r="B561" s="7" t="s">
        <v>898</v>
      </c>
      <c r="C561" s="7" t="s">
        <v>899</v>
      </c>
      <c r="D561" s="7" t="s">
        <v>898</v>
      </c>
      <c r="E561" s="7" t="s">
        <v>42</v>
      </c>
      <c r="F561" s="7" t="s">
        <v>900</v>
      </c>
      <c r="G561" s="17" t="s">
        <v>7747</v>
      </c>
      <c r="H561" s="7" t="s">
        <v>28</v>
      </c>
      <c r="I561" s="7" t="s">
        <v>44</v>
      </c>
      <c r="J561" s="7" t="s">
        <v>235</v>
      </c>
      <c r="K561" s="7" t="s">
        <v>406</v>
      </c>
      <c r="L561" s="7" t="s">
        <v>44</v>
      </c>
      <c r="M561" s="7">
        <v>7.5845560000000001</v>
      </c>
      <c r="N561" s="7">
        <v>13.777139</v>
      </c>
      <c r="O561" s="7" t="s">
        <v>23</v>
      </c>
      <c r="P561" s="3"/>
      <c r="Q561" s="3"/>
      <c r="R561" s="3"/>
    </row>
    <row r="562" spans="1:18" x14ac:dyDescent="0.25">
      <c r="A562" s="2">
        <v>1709</v>
      </c>
      <c r="B562" s="7" t="s">
        <v>1011</v>
      </c>
      <c r="C562" s="7" t="s">
        <v>1012</v>
      </c>
      <c r="D562" s="7" t="s">
        <v>1011</v>
      </c>
      <c r="E562" s="7" t="s">
        <v>42</v>
      </c>
      <c r="F562" s="7" t="s">
        <v>1013</v>
      </c>
      <c r="G562" s="17" t="s">
        <v>7747</v>
      </c>
      <c r="H562" s="7" t="s">
        <v>28</v>
      </c>
      <c r="I562" s="7" t="s">
        <v>44</v>
      </c>
      <c r="J562" s="7" t="s">
        <v>235</v>
      </c>
      <c r="K562" s="7" t="s">
        <v>1014</v>
      </c>
      <c r="L562" s="7" t="s">
        <v>44</v>
      </c>
      <c r="M562" s="7">
        <v>7.2202390000000003</v>
      </c>
      <c r="N562" s="7">
        <v>13.357117000000001</v>
      </c>
      <c r="O562" s="7" t="s">
        <v>23</v>
      </c>
      <c r="P562" s="3"/>
      <c r="Q562" s="3"/>
      <c r="R562" s="3"/>
    </row>
    <row r="563" spans="1:18" x14ac:dyDescent="0.25">
      <c r="A563" s="2">
        <v>1710</v>
      </c>
      <c r="B563" s="7" t="s">
        <v>1342</v>
      </c>
      <c r="C563" s="7" t="s">
        <v>1343</v>
      </c>
      <c r="D563" s="7" t="s">
        <v>1342</v>
      </c>
      <c r="E563" s="7" t="s">
        <v>42</v>
      </c>
      <c r="F563" s="7" t="s">
        <v>1344</v>
      </c>
      <c r="G563" s="17" t="s">
        <v>7747</v>
      </c>
      <c r="H563" s="7" t="s">
        <v>28</v>
      </c>
      <c r="I563" s="7" t="s">
        <v>47</v>
      </c>
      <c r="J563" s="7" t="s">
        <v>47</v>
      </c>
      <c r="K563" s="7" t="s">
        <v>104</v>
      </c>
      <c r="L563" s="7" t="s">
        <v>44</v>
      </c>
      <c r="M563" s="7">
        <v>6.4695720000000003</v>
      </c>
      <c r="N563" s="7">
        <v>13.275081999999999</v>
      </c>
      <c r="O563" s="7" t="s">
        <v>23</v>
      </c>
      <c r="P563" s="3"/>
      <c r="Q563" s="3"/>
      <c r="R563" s="3"/>
    </row>
    <row r="564" spans="1:18" x14ac:dyDescent="0.25">
      <c r="A564" s="2">
        <v>1711</v>
      </c>
      <c r="B564" s="7" t="s">
        <v>1428</v>
      </c>
      <c r="C564" s="7" t="s">
        <v>1429</v>
      </c>
      <c r="D564" s="7" t="s">
        <v>1428</v>
      </c>
      <c r="E564" s="7" t="s">
        <v>42</v>
      </c>
      <c r="F564" s="7" t="s">
        <v>1430</v>
      </c>
      <c r="G564" s="17" t="s">
        <v>7747</v>
      </c>
      <c r="H564" s="7" t="s">
        <v>28</v>
      </c>
      <c r="I564" s="7" t="s">
        <v>44</v>
      </c>
      <c r="J564" s="7" t="s">
        <v>235</v>
      </c>
      <c r="K564" s="7" t="s">
        <v>1431</v>
      </c>
      <c r="L564" s="7" t="s">
        <v>44</v>
      </c>
      <c r="M564" s="7">
        <v>7.3185830000000003</v>
      </c>
      <c r="N564" s="7">
        <v>13.586221999999999</v>
      </c>
      <c r="O564" s="7" t="s">
        <v>23</v>
      </c>
      <c r="P564" s="3"/>
      <c r="Q564" s="3"/>
      <c r="R564" s="3"/>
    </row>
    <row r="565" spans="1:18" x14ac:dyDescent="0.25">
      <c r="A565" s="2">
        <v>1712</v>
      </c>
      <c r="B565" s="7" t="s">
        <v>1560</v>
      </c>
      <c r="C565" s="7" t="s">
        <v>1561</v>
      </c>
      <c r="D565" s="7" t="s">
        <v>1560</v>
      </c>
      <c r="E565" s="7" t="s">
        <v>42</v>
      </c>
      <c r="F565" s="7" t="s">
        <v>1562</v>
      </c>
      <c r="G565" s="17" t="s">
        <v>7747</v>
      </c>
      <c r="H565" s="7" t="s">
        <v>28</v>
      </c>
      <c r="I565" s="7" t="s">
        <v>44</v>
      </c>
      <c r="J565" s="7" t="s">
        <v>235</v>
      </c>
      <c r="K565" s="7" t="s">
        <v>1431</v>
      </c>
      <c r="L565" s="7" t="s">
        <v>44</v>
      </c>
      <c r="M565" s="7">
        <v>7.2962400000000001</v>
      </c>
      <c r="N565" s="7">
        <v>13.568860000000001</v>
      </c>
      <c r="O565" s="7" t="s">
        <v>23</v>
      </c>
      <c r="P565" s="3"/>
      <c r="Q565" s="3"/>
      <c r="R565" s="3"/>
    </row>
    <row r="566" spans="1:18" x14ac:dyDescent="0.25">
      <c r="A566" s="2">
        <v>1713</v>
      </c>
      <c r="B566" s="7" t="s">
        <v>1579</v>
      </c>
      <c r="C566" s="7" t="s">
        <v>1580</v>
      </c>
      <c r="D566" s="7" t="s">
        <v>1579</v>
      </c>
      <c r="E566" s="7" t="s">
        <v>42</v>
      </c>
      <c r="F566" s="7" t="s">
        <v>1581</v>
      </c>
      <c r="G566" s="17" t="s">
        <v>7747</v>
      </c>
      <c r="H566" s="7" t="s">
        <v>28</v>
      </c>
      <c r="I566" s="7" t="s">
        <v>44</v>
      </c>
      <c r="J566" s="7" t="s">
        <v>235</v>
      </c>
      <c r="K566" s="7" t="s">
        <v>1431</v>
      </c>
      <c r="L566" s="7" t="s">
        <v>44</v>
      </c>
      <c r="M566" s="7">
        <v>7.3225319999999998</v>
      </c>
      <c r="N566" s="7">
        <v>13.588034</v>
      </c>
      <c r="O566" s="7" t="s">
        <v>23</v>
      </c>
      <c r="P566" s="3"/>
      <c r="Q566" s="3"/>
      <c r="R566" s="3"/>
    </row>
    <row r="567" spans="1:18" x14ac:dyDescent="0.25">
      <c r="A567" s="2">
        <v>1714</v>
      </c>
      <c r="B567" s="7" t="s">
        <v>1834</v>
      </c>
      <c r="C567" s="7" t="s">
        <v>1835</v>
      </c>
      <c r="D567" s="7" t="s">
        <v>1834</v>
      </c>
      <c r="E567" s="7" t="s">
        <v>42</v>
      </c>
      <c r="F567" s="7" t="s">
        <v>1836</v>
      </c>
      <c r="G567" s="17" t="s">
        <v>7747</v>
      </c>
      <c r="H567" s="7" t="s">
        <v>28</v>
      </c>
      <c r="I567" s="7" t="s">
        <v>44</v>
      </c>
      <c r="J567" s="7" t="s">
        <v>235</v>
      </c>
      <c r="K567" s="7" t="s">
        <v>1431</v>
      </c>
      <c r="L567" s="7" t="s">
        <v>44</v>
      </c>
      <c r="M567" s="7">
        <v>7.3346229999999997</v>
      </c>
      <c r="N567" s="7">
        <v>13.576738000000001</v>
      </c>
      <c r="O567" s="7" t="s">
        <v>23</v>
      </c>
      <c r="P567" s="3"/>
      <c r="Q567" s="3"/>
      <c r="R567" s="3"/>
    </row>
    <row r="568" spans="1:18" x14ac:dyDescent="0.25">
      <c r="A568" s="2">
        <v>1715</v>
      </c>
      <c r="B568" s="7" t="s">
        <v>1837</v>
      </c>
      <c r="C568" s="7" t="s">
        <v>1838</v>
      </c>
      <c r="D568" s="7" t="s">
        <v>1837</v>
      </c>
      <c r="E568" s="7" t="s">
        <v>42</v>
      </c>
      <c r="F568" s="7" t="s">
        <v>1839</v>
      </c>
      <c r="G568" s="17" t="s">
        <v>7747</v>
      </c>
      <c r="H568" s="7" t="s">
        <v>28</v>
      </c>
      <c r="I568" s="7" t="s">
        <v>44</v>
      </c>
      <c r="J568" s="7" t="s">
        <v>235</v>
      </c>
      <c r="K568" s="7" t="s">
        <v>1431</v>
      </c>
      <c r="L568" s="7" t="s">
        <v>44</v>
      </c>
      <c r="M568" s="7">
        <v>7.2969080000000002</v>
      </c>
      <c r="N568" s="7">
        <v>13.579713999999999</v>
      </c>
      <c r="O568" s="7" t="s">
        <v>23</v>
      </c>
      <c r="P568" s="3"/>
      <c r="Q568" s="3"/>
      <c r="R568" s="3"/>
    </row>
    <row r="569" spans="1:18" x14ac:dyDescent="0.25">
      <c r="A569" s="2">
        <v>1716</v>
      </c>
      <c r="B569" s="7" t="s">
        <v>1840</v>
      </c>
      <c r="C569" s="7" t="s">
        <v>1841</v>
      </c>
      <c r="D569" s="7" t="s">
        <v>1840</v>
      </c>
      <c r="E569" s="7" t="s">
        <v>42</v>
      </c>
      <c r="F569" s="7" t="s">
        <v>1842</v>
      </c>
      <c r="G569" s="17" t="s">
        <v>7747</v>
      </c>
      <c r="H569" s="7" t="s">
        <v>28</v>
      </c>
      <c r="I569" s="7" t="s">
        <v>44</v>
      </c>
      <c r="J569" s="7" t="s">
        <v>235</v>
      </c>
      <c r="K569" s="7" t="s">
        <v>1431</v>
      </c>
      <c r="L569" s="7" t="s">
        <v>44</v>
      </c>
      <c r="M569" s="7">
        <v>7.4126349999999999</v>
      </c>
      <c r="N569" s="7">
        <v>13.549448</v>
      </c>
      <c r="O569" s="7" t="s">
        <v>23</v>
      </c>
      <c r="P569" s="3"/>
      <c r="Q569" s="3"/>
      <c r="R569" s="3"/>
    </row>
    <row r="570" spans="1:18" x14ac:dyDescent="0.25">
      <c r="A570" s="2">
        <v>1717</v>
      </c>
      <c r="B570" s="7" t="s">
        <v>1843</v>
      </c>
      <c r="C570" s="7" t="s">
        <v>1844</v>
      </c>
      <c r="D570" s="7" t="s">
        <v>1843</v>
      </c>
      <c r="E570" s="7" t="s">
        <v>42</v>
      </c>
      <c r="F570" s="7" t="s">
        <v>1845</v>
      </c>
      <c r="G570" s="17" t="s">
        <v>7747</v>
      </c>
      <c r="H570" s="7" t="s">
        <v>28</v>
      </c>
      <c r="I570" s="7" t="s">
        <v>44</v>
      </c>
      <c r="J570" s="7" t="s">
        <v>235</v>
      </c>
      <c r="K570" s="7" t="s">
        <v>1431</v>
      </c>
      <c r="L570" s="7" t="s">
        <v>44</v>
      </c>
      <c r="M570" s="7">
        <v>7.3296260000000002</v>
      </c>
      <c r="N570" s="7">
        <v>13.578984</v>
      </c>
      <c r="O570" s="7" t="s">
        <v>23</v>
      </c>
      <c r="P570" s="3"/>
      <c r="Q570" s="3"/>
      <c r="R570" s="3"/>
    </row>
    <row r="571" spans="1:18" x14ac:dyDescent="0.25">
      <c r="A571" s="2">
        <v>1718</v>
      </c>
      <c r="B571" s="7" t="s">
        <v>1982</v>
      </c>
      <c r="C571" s="7" t="s">
        <v>1983</v>
      </c>
      <c r="D571" s="7" t="s">
        <v>1982</v>
      </c>
      <c r="E571" s="7" t="s">
        <v>42</v>
      </c>
      <c r="F571" s="7" t="s">
        <v>1984</v>
      </c>
      <c r="G571" s="17" t="s">
        <v>7747</v>
      </c>
      <c r="H571" s="7" t="s">
        <v>28</v>
      </c>
      <c r="I571" s="7" t="s">
        <v>44</v>
      </c>
      <c r="J571" s="7" t="s">
        <v>235</v>
      </c>
      <c r="K571" s="7" t="s">
        <v>1431</v>
      </c>
      <c r="L571" s="7" t="s">
        <v>44</v>
      </c>
      <c r="M571" s="7">
        <v>7.3280500000000002</v>
      </c>
      <c r="N571" s="7">
        <v>13.571440000000001</v>
      </c>
      <c r="O571" s="7" t="s">
        <v>23</v>
      </c>
      <c r="P571" s="3"/>
      <c r="Q571" s="3"/>
      <c r="R571" s="3"/>
    </row>
    <row r="572" spans="1:18" x14ac:dyDescent="0.25">
      <c r="A572" s="2">
        <v>1719</v>
      </c>
      <c r="B572" s="7" t="s">
        <v>2057</v>
      </c>
      <c r="C572" s="7" t="s">
        <v>2058</v>
      </c>
      <c r="D572" s="7" t="s">
        <v>2057</v>
      </c>
      <c r="E572" s="7" t="s">
        <v>42</v>
      </c>
      <c r="F572" s="7" t="s">
        <v>2059</v>
      </c>
      <c r="G572" s="17" t="s">
        <v>7747</v>
      </c>
      <c r="H572" s="7" t="s">
        <v>28</v>
      </c>
      <c r="I572" s="7" t="s">
        <v>44</v>
      </c>
      <c r="J572" s="7" t="s">
        <v>235</v>
      </c>
      <c r="K572" s="7" t="s">
        <v>1431</v>
      </c>
      <c r="L572" s="7" t="s">
        <v>44</v>
      </c>
      <c r="M572" s="7">
        <v>7.2964840000000004</v>
      </c>
      <c r="N572" s="7">
        <v>13.603700999999999</v>
      </c>
      <c r="O572" s="7" t="s">
        <v>23</v>
      </c>
      <c r="P572" s="3"/>
      <c r="Q572" s="3"/>
      <c r="R572" s="3"/>
    </row>
    <row r="573" spans="1:18" x14ac:dyDescent="0.25">
      <c r="A573" s="2">
        <v>1720</v>
      </c>
      <c r="B573" s="7" t="s">
        <v>2080</v>
      </c>
      <c r="C573" s="7" t="s">
        <v>2081</v>
      </c>
      <c r="D573" s="7" t="s">
        <v>2080</v>
      </c>
      <c r="E573" s="7" t="s">
        <v>42</v>
      </c>
      <c r="F573" s="7" t="s">
        <v>2082</v>
      </c>
      <c r="G573" s="17" t="s">
        <v>7747</v>
      </c>
      <c r="H573" s="7" t="s">
        <v>28</v>
      </c>
      <c r="I573" s="7" t="s">
        <v>44</v>
      </c>
      <c r="J573" s="7" t="s">
        <v>235</v>
      </c>
      <c r="K573" s="7" t="s">
        <v>1431</v>
      </c>
      <c r="L573" s="7" t="s">
        <v>44</v>
      </c>
      <c r="M573" s="7">
        <v>7.3870639999999996</v>
      </c>
      <c r="N573" s="7">
        <v>13.549194</v>
      </c>
      <c r="O573" s="7" t="s">
        <v>23</v>
      </c>
      <c r="P573" s="3"/>
      <c r="Q573" s="3"/>
      <c r="R573" s="3"/>
    </row>
    <row r="574" spans="1:18" x14ac:dyDescent="0.25">
      <c r="A574" s="2">
        <v>1721</v>
      </c>
      <c r="B574" s="7" t="s">
        <v>2101</v>
      </c>
      <c r="C574" s="7" t="s">
        <v>2102</v>
      </c>
      <c r="D574" s="7" t="s">
        <v>2101</v>
      </c>
      <c r="E574" s="7" t="s">
        <v>42</v>
      </c>
      <c r="F574" s="7" t="s">
        <v>2103</v>
      </c>
      <c r="G574" s="17" t="s">
        <v>7747</v>
      </c>
      <c r="H574" s="7" t="s">
        <v>28</v>
      </c>
      <c r="I574" s="7" t="s">
        <v>44</v>
      </c>
      <c r="J574" s="7" t="s">
        <v>235</v>
      </c>
      <c r="K574" s="7" t="s">
        <v>1431</v>
      </c>
      <c r="L574" s="7" t="s">
        <v>44</v>
      </c>
      <c r="M574" s="7">
        <v>7.3573700000000004</v>
      </c>
      <c r="N574" s="7">
        <v>13.581490000000001</v>
      </c>
      <c r="O574" s="7" t="s">
        <v>23</v>
      </c>
      <c r="P574" s="3"/>
      <c r="Q574" s="3"/>
      <c r="R574" s="3"/>
    </row>
    <row r="575" spans="1:18" x14ac:dyDescent="0.25">
      <c r="A575" s="2">
        <v>1722</v>
      </c>
      <c r="B575" s="7" t="s">
        <v>2253</v>
      </c>
      <c r="C575" s="7" t="s">
        <v>2254</v>
      </c>
      <c r="D575" s="7" t="s">
        <v>2253</v>
      </c>
      <c r="E575" s="7" t="s">
        <v>42</v>
      </c>
      <c r="F575" s="7" t="s">
        <v>2255</v>
      </c>
      <c r="G575" s="17" t="s">
        <v>7747</v>
      </c>
      <c r="H575" s="7" t="s">
        <v>19</v>
      </c>
      <c r="I575" s="7" t="s">
        <v>44</v>
      </c>
      <c r="J575" s="7" t="s">
        <v>235</v>
      </c>
      <c r="K575" s="7" t="s">
        <v>406</v>
      </c>
      <c r="L575" s="7" t="s">
        <v>44</v>
      </c>
      <c r="M575" s="7">
        <v>7.4183139999999996</v>
      </c>
      <c r="N575" s="7">
        <v>13.551437999999999</v>
      </c>
      <c r="O575" s="7" t="s">
        <v>23</v>
      </c>
      <c r="P575" s="3"/>
      <c r="Q575" s="3"/>
      <c r="R575" s="3"/>
    </row>
    <row r="576" spans="1:18" x14ac:dyDescent="0.25">
      <c r="A576" s="2">
        <v>1723</v>
      </c>
      <c r="B576" s="7" t="s">
        <v>2560</v>
      </c>
      <c r="C576" s="7" t="s">
        <v>2561</v>
      </c>
      <c r="D576" s="7" t="s">
        <v>2560</v>
      </c>
      <c r="E576" s="7" t="s">
        <v>42</v>
      </c>
      <c r="F576" s="7" t="s">
        <v>2562</v>
      </c>
      <c r="G576" s="17" t="s">
        <v>7747</v>
      </c>
      <c r="H576" s="7" t="s">
        <v>28</v>
      </c>
      <c r="I576" s="7" t="s">
        <v>44</v>
      </c>
      <c r="J576" s="7" t="s">
        <v>235</v>
      </c>
      <c r="K576" s="7" t="s">
        <v>1431</v>
      </c>
      <c r="L576" s="7" t="s">
        <v>44</v>
      </c>
      <c r="M576" s="7">
        <v>7.3243609999999997</v>
      </c>
      <c r="N576" s="7">
        <v>13.593556</v>
      </c>
      <c r="O576" s="7" t="s">
        <v>23</v>
      </c>
      <c r="P576" s="3"/>
      <c r="Q576" s="3"/>
      <c r="R576" s="3"/>
    </row>
    <row r="577" spans="1:18" x14ac:dyDescent="0.25">
      <c r="A577" s="2">
        <v>1724</v>
      </c>
      <c r="B577" s="7" t="s">
        <v>2566</v>
      </c>
      <c r="C577" s="7" t="s">
        <v>2567</v>
      </c>
      <c r="D577" s="7" t="s">
        <v>2566</v>
      </c>
      <c r="E577" s="7" t="s">
        <v>42</v>
      </c>
      <c r="F577" s="7" t="s">
        <v>2568</v>
      </c>
      <c r="G577" s="17" t="s">
        <v>7747</v>
      </c>
      <c r="H577" s="7" t="s">
        <v>19</v>
      </c>
      <c r="I577" s="7" t="s">
        <v>102</v>
      </c>
      <c r="J577" s="7" t="s">
        <v>103</v>
      </c>
      <c r="K577" s="7" t="s">
        <v>2569</v>
      </c>
      <c r="L577" s="7" t="s">
        <v>44</v>
      </c>
      <c r="M577" s="7">
        <v>7.3697379999999999</v>
      </c>
      <c r="N577" s="7">
        <v>12.662181</v>
      </c>
      <c r="O577" s="7" t="s">
        <v>23</v>
      </c>
      <c r="P577" s="3"/>
      <c r="Q577" s="3"/>
      <c r="R577" s="3"/>
    </row>
    <row r="578" spans="1:18" x14ac:dyDescent="0.25">
      <c r="A578" s="2">
        <v>1725</v>
      </c>
      <c r="B578" s="7" t="s">
        <v>2725</v>
      </c>
      <c r="C578" s="7" t="s">
        <v>2726</v>
      </c>
      <c r="D578" s="7" t="s">
        <v>2725</v>
      </c>
      <c r="E578" s="7" t="s">
        <v>42</v>
      </c>
      <c r="F578" s="7" t="s">
        <v>2727</v>
      </c>
      <c r="G578" s="17" t="s">
        <v>7747</v>
      </c>
      <c r="H578" s="7" t="s">
        <v>28</v>
      </c>
      <c r="I578" s="7" t="s">
        <v>44</v>
      </c>
      <c r="J578" s="7" t="s">
        <v>235</v>
      </c>
      <c r="K578" s="7" t="s">
        <v>1431</v>
      </c>
      <c r="L578" s="7" t="s">
        <v>44</v>
      </c>
      <c r="M578" s="7">
        <v>7.3109250000000001</v>
      </c>
      <c r="N578" s="7">
        <v>13.547790000000001</v>
      </c>
      <c r="O578" s="7" t="s">
        <v>23</v>
      </c>
      <c r="P578" s="3"/>
      <c r="Q578" s="3"/>
      <c r="R578" s="3"/>
    </row>
    <row r="579" spans="1:18" x14ac:dyDescent="0.25">
      <c r="A579" s="2">
        <v>1726</v>
      </c>
      <c r="B579" s="7" t="s">
        <v>2845</v>
      </c>
      <c r="C579" s="7" t="s">
        <v>2846</v>
      </c>
      <c r="D579" s="7" t="s">
        <v>2845</v>
      </c>
      <c r="E579" s="7" t="s">
        <v>42</v>
      </c>
      <c r="F579" s="7" t="s">
        <v>2847</v>
      </c>
      <c r="G579" s="17" t="s">
        <v>7747</v>
      </c>
      <c r="H579" s="7" t="s">
        <v>28</v>
      </c>
      <c r="I579" s="7" t="s">
        <v>44</v>
      </c>
      <c r="J579" s="7" t="s">
        <v>235</v>
      </c>
      <c r="K579" s="7" t="s">
        <v>1431</v>
      </c>
      <c r="L579" s="7" t="s">
        <v>44</v>
      </c>
      <c r="M579" s="7">
        <v>7.33209</v>
      </c>
      <c r="N579" s="7">
        <v>13.58494</v>
      </c>
      <c r="O579" s="7" t="s">
        <v>23</v>
      </c>
      <c r="P579" s="3"/>
      <c r="Q579" s="3"/>
      <c r="R579" s="3"/>
    </row>
    <row r="580" spans="1:18" x14ac:dyDescent="0.25">
      <c r="A580" s="2">
        <v>1727</v>
      </c>
      <c r="B580" s="7" t="s">
        <v>2854</v>
      </c>
      <c r="C580" s="7" t="s">
        <v>2855</v>
      </c>
      <c r="D580" s="7" t="s">
        <v>2854</v>
      </c>
      <c r="E580" s="7" t="s">
        <v>42</v>
      </c>
      <c r="F580" s="7" t="s">
        <v>2856</v>
      </c>
      <c r="G580" s="17" t="s">
        <v>7747</v>
      </c>
      <c r="H580" s="7" t="s">
        <v>28</v>
      </c>
      <c r="I580" s="7" t="s">
        <v>44</v>
      </c>
      <c r="J580" s="7" t="s">
        <v>235</v>
      </c>
      <c r="K580" s="7" t="s">
        <v>2857</v>
      </c>
      <c r="L580" s="7" t="s">
        <v>44</v>
      </c>
      <c r="M580" s="7">
        <v>7.3095999999999997</v>
      </c>
      <c r="N580" s="7">
        <v>13.598330000000001</v>
      </c>
      <c r="O580" s="7" t="s">
        <v>23</v>
      </c>
      <c r="P580" s="3"/>
      <c r="Q580" s="3"/>
      <c r="R580" s="3"/>
    </row>
    <row r="581" spans="1:18" x14ac:dyDescent="0.25">
      <c r="A581" s="2">
        <v>1728</v>
      </c>
      <c r="B581" s="7" t="s">
        <v>2903</v>
      </c>
      <c r="C581" s="7" t="s">
        <v>2904</v>
      </c>
      <c r="D581" s="7" t="s">
        <v>2903</v>
      </c>
      <c r="E581" s="7" t="s">
        <v>42</v>
      </c>
      <c r="F581" s="7" t="s">
        <v>2905</v>
      </c>
      <c r="G581" s="17" t="s">
        <v>7747</v>
      </c>
      <c r="H581" s="7" t="s">
        <v>19</v>
      </c>
      <c r="I581" s="7" t="s">
        <v>44</v>
      </c>
      <c r="J581" s="7" t="s">
        <v>235</v>
      </c>
      <c r="K581" s="7" t="s">
        <v>2906</v>
      </c>
      <c r="L581" s="7" t="s">
        <v>44</v>
      </c>
      <c r="M581" s="7">
        <v>7.4143749999999997</v>
      </c>
      <c r="N581" s="7">
        <v>13.54744</v>
      </c>
      <c r="O581" s="7" t="s">
        <v>613</v>
      </c>
      <c r="P581" s="3"/>
      <c r="Q581" s="3"/>
      <c r="R581" s="3"/>
    </row>
    <row r="582" spans="1:18" x14ac:dyDescent="0.25">
      <c r="A582" s="2">
        <v>1729</v>
      </c>
      <c r="B582" s="7" t="s">
        <v>3022</v>
      </c>
      <c r="C582" s="7" t="s">
        <v>3023</v>
      </c>
      <c r="D582" s="7" t="s">
        <v>3022</v>
      </c>
      <c r="E582" s="7" t="s">
        <v>42</v>
      </c>
      <c r="F582" s="7" t="s">
        <v>3024</v>
      </c>
      <c r="G582" s="17" t="s">
        <v>7747</v>
      </c>
      <c r="H582" s="7" t="s">
        <v>19</v>
      </c>
      <c r="I582" s="7" t="s">
        <v>44</v>
      </c>
      <c r="J582" s="7" t="s">
        <v>235</v>
      </c>
      <c r="K582" s="7" t="s">
        <v>406</v>
      </c>
      <c r="L582" s="7" t="s">
        <v>44</v>
      </c>
      <c r="M582" s="7">
        <v>7.4322699999999999</v>
      </c>
      <c r="N582" s="7">
        <v>13.557088</v>
      </c>
      <c r="O582" s="7" t="s">
        <v>23</v>
      </c>
      <c r="P582" s="3"/>
      <c r="Q582" s="3"/>
      <c r="R582" s="3"/>
    </row>
    <row r="583" spans="1:18" x14ac:dyDescent="0.25">
      <c r="A583" s="2">
        <v>1730</v>
      </c>
      <c r="B583" s="7" t="s">
        <v>3098</v>
      </c>
      <c r="C583" s="7" t="s">
        <v>3099</v>
      </c>
      <c r="D583" s="7" t="s">
        <v>3098</v>
      </c>
      <c r="E583" s="7" t="s">
        <v>42</v>
      </c>
      <c r="F583" s="7" t="s">
        <v>3100</v>
      </c>
      <c r="G583" s="17" t="s">
        <v>7747</v>
      </c>
      <c r="H583" s="7" t="s">
        <v>28</v>
      </c>
      <c r="I583" s="7" t="s">
        <v>44</v>
      </c>
      <c r="J583" s="7" t="s">
        <v>235</v>
      </c>
      <c r="K583" s="7" t="s">
        <v>3101</v>
      </c>
      <c r="L583" s="7" t="s">
        <v>44</v>
      </c>
      <c r="M583" s="7">
        <v>7.3018900000000002</v>
      </c>
      <c r="N583" s="7">
        <v>13.581160000000001</v>
      </c>
      <c r="O583" s="7" t="s">
        <v>23</v>
      </c>
      <c r="P583" s="3"/>
      <c r="Q583" s="3"/>
      <c r="R583" s="3"/>
    </row>
    <row r="584" spans="1:18" x14ac:dyDescent="0.25">
      <c r="A584" s="2">
        <v>1731</v>
      </c>
      <c r="B584" s="7" t="s">
        <v>3102</v>
      </c>
      <c r="C584" s="7" t="s">
        <v>3103</v>
      </c>
      <c r="D584" s="7" t="s">
        <v>3102</v>
      </c>
      <c r="E584" s="7" t="s">
        <v>42</v>
      </c>
      <c r="F584" s="7" t="s">
        <v>3104</v>
      </c>
      <c r="G584" s="17" t="s">
        <v>7747</v>
      </c>
      <c r="H584" s="7" t="s">
        <v>28</v>
      </c>
      <c r="I584" s="7" t="s">
        <v>44</v>
      </c>
      <c r="J584" s="7" t="s">
        <v>235</v>
      </c>
      <c r="K584" s="7" t="s">
        <v>3101</v>
      </c>
      <c r="L584" s="7" t="s">
        <v>44</v>
      </c>
      <c r="M584" s="7">
        <v>7.329472</v>
      </c>
      <c r="N584" s="7">
        <v>13.568389</v>
      </c>
      <c r="O584" s="7" t="s">
        <v>23</v>
      </c>
      <c r="P584" s="3"/>
      <c r="Q584" s="3"/>
      <c r="R584" s="3"/>
    </row>
    <row r="585" spans="1:18" x14ac:dyDescent="0.25">
      <c r="A585" s="2">
        <v>1732</v>
      </c>
      <c r="B585" s="7" t="s">
        <v>3276</v>
      </c>
      <c r="C585" s="7" t="s">
        <v>3277</v>
      </c>
      <c r="D585" s="7" t="s">
        <v>3276</v>
      </c>
      <c r="E585" s="7" t="s">
        <v>42</v>
      </c>
      <c r="F585" s="7" t="s">
        <v>3278</v>
      </c>
      <c r="G585" s="17" t="s">
        <v>7747</v>
      </c>
      <c r="H585" s="7" t="s">
        <v>28</v>
      </c>
      <c r="I585" s="7" t="s">
        <v>44</v>
      </c>
      <c r="J585" s="7" t="s">
        <v>235</v>
      </c>
      <c r="K585" s="7" t="s">
        <v>3101</v>
      </c>
      <c r="L585" s="7" t="s">
        <v>44</v>
      </c>
      <c r="M585" s="7">
        <v>7.33277</v>
      </c>
      <c r="N585" s="7">
        <v>13.592139</v>
      </c>
      <c r="O585" s="7" t="s">
        <v>23</v>
      </c>
      <c r="P585" s="3"/>
      <c r="Q585" s="3"/>
      <c r="R585" s="3"/>
    </row>
    <row r="586" spans="1:18" x14ac:dyDescent="0.25">
      <c r="A586" s="2">
        <v>1733</v>
      </c>
      <c r="B586" s="7" t="s">
        <v>3374</v>
      </c>
      <c r="C586" s="7" t="s">
        <v>3375</v>
      </c>
      <c r="D586" s="7" t="s">
        <v>3374</v>
      </c>
      <c r="E586" s="7" t="s">
        <v>42</v>
      </c>
      <c r="F586" s="7" t="s">
        <v>3376</v>
      </c>
      <c r="G586" s="17" t="s">
        <v>7747</v>
      </c>
      <c r="H586" s="7" t="s">
        <v>28</v>
      </c>
      <c r="I586" s="7" t="s">
        <v>47</v>
      </c>
      <c r="J586" s="7" t="s">
        <v>47</v>
      </c>
      <c r="K586" s="7" t="s">
        <v>104</v>
      </c>
      <c r="L586" s="7" t="s">
        <v>44</v>
      </c>
      <c r="M586" s="7">
        <v>6.4556069999999997</v>
      </c>
      <c r="N586" s="7">
        <v>13.276820000000001</v>
      </c>
      <c r="O586" s="7" t="s">
        <v>23</v>
      </c>
      <c r="P586" s="3"/>
      <c r="Q586" s="3"/>
      <c r="R586" s="3"/>
    </row>
    <row r="587" spans="1:18" x14ac:dyDescent="0.25">
      <c r="A587" s="2">
        <v>1734</v>
      </c>
      <c r="B587" s="7" t="s">
        <v>3412</v>
      </c>
      <c r="C587" s="7" t="s">
        <v>3413</v>
      </c>
      <c r="D587" s="7" t="s">
        <v>3412</v>
      </c>
      <c r="E587" s="7" t="s">
        <v>42</v>
      </c>
      <c r="F587" s="7" t="s">
        <v>3414</v>
      </c>
      <c r="G587" s="17" t="s">
        <v>7747</v>
      </c>
      <c r="H587" s="7" t="s">
        <v>28</v>
      </c>
      <c r="I587" s="7" t="s">
        <v>44</v>
      </c>
      <c r="J587" s="7" t="s">
        <v>235</v>
      </c>
      <c r="K587" s="7" t="s">
        <v>3101</v>
      </c>
      <c r="L587" s="7" t="s">
        <v>44</v>
      </c>
      <c r="M587" s="7">
        <v>7.3101099999999999</v>
      </c>
      <c r="N587" s="7">
        <v>13.57368</v>
      </c>
      <c r="O587" s="7" t="s">
        <v>23</v>
      </c>
      <c r="P587" s="3"/>
      <c r="Q587" s="3"/>
      <c r="R587" s="3"/>
    </row>
    <row r="588" spans="1:18" x14ac:dyDescent="0.25">
      <c r="A588" s="2">
        <v>1735</v>
      </c>
      <c r="B588" s="7" t="s">
        <v>3491</v>
      </c>
      <c r="C588" s="7" t="s">
        <v>3492</v>
      </c>
      <c r="D588" s="7" t="s">
        <v>3491</v>
      </c>
      <c r="E588" s="7" t="s">
        <v>42</v>
      </c>
      <c r="F588" s="7" t="s">
        <v>3493</v>
      </c>
      <c r="G588" s="17" t="s">
        <v>7747</v>
      </c>
      <c r="H588" s="7" t="s">
        <v>28</v>
      </c>
      <c r="I588" s="7" t="s">
        <v>44</v>
      </c>
      <c r="J588" s="7" t="s">
        <v>235</v>
      </c>
      <c r="K588" s="7" t="s">
        <v>3101</v>
      </c>
      <c r="L588" s="7" t="s">
        <v>44</v>
      </c>
      <c r="M588" s="7">
        <v>7.3309350000000002</v>
      </c>
      <c r="N588" s="7">
        <v>13.590002</v>
      </c>
      <c r="O588" s="7" t="s">
        <v>23</v>
      </c>
      <c r="P588" s="3"/>
      <c r="Q588" s="3"/>
      <c r="R588" s="3"/>
    </row>
    <row r="589" spans="1:18" x14ac:dyDescent="0.25">
      <c r="A589" s="2">
        <v>1736</v>
      </c>
      <c r="B589" s="7" t="s">
        <v>3503</v>
      </c>
      <c r="C589" s="7" t="s">
        <v>3504</v>
      </c>
      <c r="D589" s="7" t="s">
        <v>3503</v>
      </c>
      <c r="E589" s="7" t="s">
        <v>42</v>
      </c>
      <c r="F589" s="7" t="s">
        <v>3505</v>
      </c>
      <c r="G589" s="17" t="s">
        <v>7747</v>
      </c>
      <c r="H589" s="7" t="s">
        <v>28</v>
      </c>
      <c r="I589" s="7" t="s">
        <v>44</v>
      </c>
      <c r="J589" s="7" t="s">
        <v>235</v>
      </c>
      <c r="K589" s="7" t="s">
        <v>3101</v>
      </c>
      <c r="L589" s="7" t="s">
        <v>44</v>
      </c>
      <c r="M589" s="7">
        <v>7.302962</v>
      </c>
      <c r="N589" s="7">
        <v>13.593737000000001</v>
      </c>
      <c r="O589" s="7" t="s">
        <v>23</v>
      </c>
      <c r="P589" s="3"/>
      <c r="Q589" s="3"/>
      <c r="R589" s="3"/>
    </row>
    <row r="590" spans="1:18" x14ac:dyDescent="0.25">
      <c r="A590" s="2">
        <v>1737</v>
      </c>
      <c r="B590" s="7" t="s">
        <v>3506</v>
      </c>
      <c r="C590" s="7" t="s">
        <v>3507</v>
      </c>
      <c r="D590" s="7" t="s">
        <v>3506</v>
      </c>
      <c r="E590" s="7" t="s">
        <v>42</v>
      </c>
      <c r="F590" s="7" t="s">
        <v>2103</v>
      </c>
      <c r="G590" s="17" t="s">
        <v>7747</v>
      </c>
      <c r="H590" s="7" t="s">
        <v>28</v>
      </c>
      <c r="I590" s="7" t="s">
        <v>44</v>
      </c>
      <c r="J590" s="7" t="s">
        <v>235</v>
      </c>
      <c r="K590" s="7" t="s">
        <v>3101</v>
      </c>
      <c r="L590" s="7" t="s">
        <v>44</v>
      </c>
      <c r="M590" s="7">
        <v>7.3402219999999998</v>
      </c>
      <c r="N590" s="7">
        <v>13.576074999999999</v>
      </c>
      <c r="O590" s="7" t="s">
        <v>23</v>
      </c>
      <c r="P590" s="3"/>
      <c r="Q590" s="3"/>
      <c r="R590" s="3"/>
    </row>
    <row r="591" spans="1:18" x14ac:dyDescent="0.25">
      <c r="A591" s="2">
        <v>1738</v>
      </c>
      <c r="B591" s="7" t="s">
        <v>3577</v>
      </c>
      <c r="C591" s="7" t="s">
        <v>3578</v>
      </c>
      <c r="D591" s="7" t="s">
        <v>3577</v>
      </c>
      <c r="E591" s="7" t="s">
        <v>42</v>
      </c>
      <c r="F591" s="7" t="s">
        <v>3579</v>
      </c>
      <c r="G591" s="17" t="s">
        <v>7747</v>
      </c>
      <c r="H591" s="7" t="s">
        <v>28</v>
      </c>
      <c r="I591" s="7" t="s">
        <v>44</v>
      </c>
      <c r="J591" s="7" t="s">
        <v>235</v>
      </c>
      <c r="K591" s="7" t="s">
        <v>3580</v>
      </c>
      <c r="L591" s="7" t="s">
        <v>44</v>
      </c>
      <c r="M591" s="7">
        <v>7.4373060000000004</v>
      </c>
      <c r="N591" s="7">
        <v>13.557667</v>
      </c>
      <c r="O591" s="7" t="s">
        <v>23</v>
      </c>
      <c r="P591" s="3"/>
      <c r="Q591" s="3"/>
      <c r="R591" s="3"/>
    </row>
    <row r="592" spans="1:18" x14ac:dyDescent="0.25">
      <c r="A592" s="2">
        <v>1739</v>
      </c>
      <c r="B592" s="7" t="s">
        <v>3716</v>
      </c>
      <c r="C592" s="7" t="s">
        <v>3717</v>
      </c>
      <c r="D592" s="7" t="s">
        <v>3716</v>
      </c>
      <c r="E592" s="7" t="s">
        <v>42</v>
      </c>
      <c r="F592" s="7" t="s">
        <v>3718</v>
      </c>
      <c r="G592" s="17" t="s">
        <v>7747</v>
      </c>
      <c r="H592" s="7" t="s">
        <v>28</v>
      </c>
      <c r="I592" s="7" t="s">
        <v>44</v>
      </c>
      <c r="J592" s="7" t="s">
        <v>235</v>
      </c>
      <c r="K592" s="7" t="s">
        <v>3101</v>
      </c>
      <c r="L592" s="7" t="s">
        <v>44</v>
      </c>
      <c r="M592" s="7">
        <v>7.3346400000000003</v>
      </c>
      <c r="N592" s="7">
        <v>13.60341</v>
      </c>
      <c r="O592" s="7" t="s">
        <v>23</v>
      </c>
      <c r="P592" s="3"/>
      <c r="Q592" s="3"/>
      <c r="R592" s="3"/>
    </row>
    <row r="593" spans="1:18" x14ac:dyDescent="0.25">
      <c r="A593" s="2">
        <v>1740</v>
      </c>
      <c r="B593" s="7" t="s">
        <v>3719</v>
      </c>
      <c r="C593" s="7" t="s">
        <v>3720</v>
      </c>
      <c r="D593" s="7" t="s">
        <v>3719</v>
      </c>
      <c r="E593" s="7" t="s">
        <v>42</v>
      </c>
      <c r="F593" s="7" t="s">
        <v>3721</v>
      </c>
      <c r="G593" s="17" t="s">
        <v>7747</v>
      </c>
      <c r="H593" s="7" t="s">
        <v>19</v>
      </c>
      <c r="I593" s="7" t="s">
        <v>44</v>
      </c>
      <c r="J593" s="7" t="s">
        <v>235</v>
      </c>
      <c r="K593" s="7" t="s">
        <v>3101</v>
      </c>
      <c r="L593" s="7" t="s">
        <v>44</v>
      </c>
      <c r="M593" s="7">
        <v>7.3216999999999999</v>
      </c>
      <c r="N593" s="7">
        <v>13.5777</v>
      </c>
      <c r="O593" s="7" t="s">
        <v>23</v>
      </c>
      <c r="P593" s="3"/>
      <c r="Q593" s="3"/>
      <c r="R593" s="3"/>
    </row>
    <row r="594" spans="1:18" x14ac:dyDescent="0.25">
      <c r="A594" s="2">
        <v>1741</v>
      </c>
      <c r="B594" s="7" t="s">
        <v>3821</v>
      </c>
      <c r="C594" s="7" t="s">
        <v>3822</v>
      </c>
      <c r="D594" s="7" t="s">
        <v>3821</v>
      </c>
      <c r="E594" s="7" t="s">
        <v>42</v>
      </c>
      <c r="F594" s="7" t="s">
        <v>2568</v>
      </c>
      <c r="G594" s="17" t="s">
        <v>7747</v>
      </c>
      <c r="H594" s="7" t="s">
        <v>28</v>
      </c>
      <c r="I594" s="7" t="s">
        <v>102</v>
      </c>
      <c r="J594" s="7" t="s">
        <v>103</v>
      </c>
      <c r="K594" s="7" t="s">
        <v>2569</v>
      </c>
      <c r="L594" s="7" t="s">
        <v>44</v>
      </c>
      <c r="M594" s="7">
        <v>7.3718490000000001</v>
      </c>
      <c r="N594" s="7">
        <v>12.653734</v>
      </c>
      <c r="O594" s="7" t="s">
        <v>23</v>
      </c>
      <c r="P594" s="3"/>
      <c r="Q594" s="3"/>
      <c r="R594" s="3"/>
    </row>
    <row r="595" spans="1:18" x14ac:dyDescent="0.25">
      <c r="A595" s="2">
        <v>1742</v>
      </c>
      <c r="B595" s="7" t="s">
        <v>3838</v>
      </c>
      <c r="C595" s="7" t="s">
        <v>3839</v>
      </c>
      <c r="D595" s="7" t="s">
        <v>3838</v>
      </c>
      <c r="E595" s="7" t="s">
        <v>42</v>
      </c>
      <c r="F595" s="7" t="s">
        <v>3840</v>
      </c>
      <c r="G595" s="17" t="s">
        <v>7747</v>
      </c>
      <c r="H595" s="7" t="s">
        <v>28</v>
      </c>
      <c r="I595" s="7" t="s">
        <v>44</v>
      </c>
      <c r="J595" s="7" t="s">
        <v>235</v>
      </c>
      <c r="K595" s="7" t="s">
        <v>3101</v>
      </c>
      <c r="L595" s="7" t="s">
        <v>44</v>
      </c>
      <c r="M595" s="7">
        <v>7.2897369999999997</v>
      </c>
      <c r="N595" s="7">
        <v>13.577116999999999</v>
      </c>
      <c r="O595" s="7" t="s">
        <v>23</v>
      </c>
      <c r="P595" s="3"/>
      <c r="Q595" s="3"/>
      <c r="R595" s="3"/>
    </row>
    <row r="596" spans="1:18" x14ac:dyDescent="0.25">
      <c r="A596" s="2">
        <v>1743</v>
      </c>
      <c r="B596" s="7" t="s">
        <v>4022</v>
      </c>
      <c r="C596" s="7" t="s">
        <v>4023</v>
      </c>
      <c r="D596" s="7" t="s">
        <v>4022</v>
      </c>
      <c r="E596" s="7" t="s">
        <v>42</v>
      </c>
      <c r="F596" s="7" t="s">
        <v>4024</v>
      </c>
      <c r="G596" s="17" t="s">
        <v>7747</v>
      </c>
      <c r="H596" s="7" t="s">
        <v>19</v>
      </c>
      <c r="I596" s="7" t="s">
        <v>44</v>
      </c>
      <c r="J596" s="7" t="s">
        <v>235</v>
      </c>
      <c r="K596" s="7" t="s">
        <v>3101</v>
      </c>
      <c r="L596" s="7" t="s">
        <v>44</v>
      </c>
      <c r="M596" s="7">
        <v>7.1550929999999999</v>
      </c>
      <c r="N596" s="7">
        <v>13.719018</v>
      </c>
      <c r="O596" s="7" t="s">
        <v>23</v>
      </c>
      <c r="P596" s="3"/>
      <c r="Q596" s="3"/>
      <c r="R596" s="3"/>
    </row>
    <row r="597" spans="1:18" x14ac:dyDescent="0.25">
      <c r="A597" s="2">
        <v>1744</v>
      </c>
      <c r="B597" s="7" t="s">
        <v>4034</v>
      </c>
      <c r="C597" s="7" t="s">
        <v>4035</v>
      </c>
      <c r="D597" s="7" t="s">
        <v>4034</v>
      </c>
      <c r="E597" s="7" t="s">
        <v>42</v>
      </c>
      <c r="F597" s="7" t="s">
        <v>4036</v>
      </c>
      <c r="G597" s="17" t="s">
        <v>7747</v>
      </c>
      <c r="H597" s="7" t="s">
        <v>19</v>
      </c>
      <c r="I597" s="7" t="s">
        <v>44</v>
      </c>
      <c r="J597" s="7" t="s">
        <v>235</v>
      </c>
      <c r="K597" s="7" t="s">
        <v>4037</v>
      </c>
      <c r="L597" s="7" t="s">
        <v>44</v>
      </c>
      <c r="M597" s="7">
        <v>7.0313540000000003</v>
      </c>
      <c r="N597" s="7">
        <v>13.946262000000001</v>
      </c>
      <c r="O597" s="7" t="s">
        <v>23</v>
      </c>
      <c r="P597" s="3"/>
      <c r="Q597" s="3"/>
      <c r="R597" s="3"/>
    </row>
    <row r="598" spans="1:18" x14ac:dyDescent="0.25">
      <c r="A598" s="2">
        <v>1745</v>
      </c>
      <c r="B598" s="7" t="s">
        <v>4149</v>
      </c>
      <c r="C598" s="7" t="s">
        <v>4150</v>
      </c>
      <c r="D598" s="7" t="s">
        <v>4149</v>
      </c>
      <c r="E598" s="7" t="s">
        <v>42</v>
      </c>
      <c r="F598" s="7" t="s">
        <v>4151</v>
      </c>
      <c r="G598" s="17" t="s">
        <v>7747</v>
      </c>
      <c r="H598" s="7" t="s">
        <v>19</v>
      </c>
      <c r="I598" s="7" t="s">
        <v>44</v>
      </c>
      <c r="J598" s="7" t="s">
        <v>235</v>
      </c>
      <c r="K598" s="7" t="s">
        <v>4037</v>
      </c>
      <c r="L598" s="7" t="s">
        <v>44</v>
      </c>
      <c r="M598" s="7">
        <v>7.0960279999999996</v>
      </c>
      <c r="N598" s="7">
        <v>13.849861000000001</v>
      </c>
      <c r="O598" s="7" t="s">
        <v>23</v>
      </c>
      <c r="P598" s="3"/>
      <c r="Q598" s="3"/>
      <c r="R598" s="3"/>
    </row>
    <row r="599" spans="1:18" x14ac:dyDescent="0.25">
      <c r="A599" s="2">
        <v>1746</v>
      </c>
      <c r="B599" s="7" t="s">
        <v>4674</v>
      </c>
      <c r="C599" s="7" t="s">
        <v>4675</v>
      </c>
      <c r="D599" s="7" t="s">
        <v>4674</v>
      </c>
      <c r="E599" s="7" t="s">
        <v>42</v>
      </c>
      <c r="F599" s="7" t="s">
        <v>4676</v>
      </c>
      <c r="G599" s="17" t="s">
        <v>7747</v>
      </c>
      <c r="H599" s="7" t="s">
        <v>19</v>
      </c>
      <c r="I599" s="7" t="s">
        <v>47</v>
      </c>
      <c r="J599" s="7" t="s">
        <v>47</v>
      </c>
      <c r="K599" s="7" t="s">
        <v>104</v>
      </c>
      <c r="L599" s="7" t="s">
        <v>44</v>
      </c>
      <c r="M599" s="7">
        <v>6.4647220000000001</v>
      </c>
      <c r="N599" s="7">
        <v>13.263265000000001</v>
      </c>
      <c r="O599" s="7" t="s">
        <v>23</v>
      </c>
      <c r="P599" s="3"/>
      <c r="Q599" s="3"/>
      <c r="R599" s="3"/>
    </row>
    <row r="600" spans="1:18" x14ac:dyDescent="0.25">
      <c r="A600" s="2">
        <v>1747</v>
      </c>
      <c r="B600" s="7" t="s">
        <v>4696</v>
      </c>
      <c r="C600" s="7" t="s">
        <v>4697</v>
      </c>
      <c r="D600" s="7" t="s">
        <v>4696</v>
      </c>
      <c r="E600" s="7" t="s">
        <v>42</v>
      </c>
      <c r="F600" s="7" t="s">
        <v>4698</v>
      </c>
      <c r="G600" s="17" t="s">
        <v>7747</v>
      </c>
      <c r="H600" s="7" t="s">
        <v>19</v>
      </c>
      <c r="I600" s="7" t="s">
        <v>44</v>
      </c>
      <c r="J600" s="7" t="s">
        <v>235</v>
      </c>
      <c r="K600" s="7" t="s">
        <v>3101</v>
      </c>
      <c r="L600" s="7" t="s">
        <v>44</v>
      </c>
      <c r="M600" s="7">
        <v>7.3279170000000002</v>
      </c>
      <c r="N600" s="7">
        <v>13.604056</v>
      </c>
      <c r="O600" s="7" t="s">
        <v>23</v>
      </c>
      <c r="P600" s="3"/>
      <c r="Q600" s="3"/>
      <c r="R600" s="3"/>
    </row>
    <row r="601" spans="1:18" x14ac:dyDescent="0.25">
      <c r="A601" s="2">
        <v>1748</v>
      </c>
      <c r="B601" s="7" t="s">
        <v>4699</v>
      </c>
      <c r="C601" s="7" t="s">
        <v>4700</v>
      </c>
      <c r="D601" s="7" t="s">
        <v>4699</v>
      </c>
      <c r="E601" s="7" t="s">
        <v>42</v>
      </c>
      <c r="F601" s="7" t="s">
        <v>4701</v>
      </c>
      <c r="G601" s="17" t="s">
        <v>7747</v>
      </c>
      <c r="H601" s="7" t="s">
        <v>19</v>
      </c>
      <c r="I601" s="7" t="s">
        <v>44</v>
      </c>
      <c r="J601" s="7" t="s">
        <v>235</v>
      </c>
      <c r="K601" s="7" t="s">
        <v>3101</v>
      </c>
      <c r="L601" s="7" t="s">
        <v>44</v>
      </c>
      <c r="M601" s="7">
        <v>7.3210350000000002</v>
      </c>
      <c r="N601" s="7">
        <v>13.593658</v>
      </c>
      <c r="O601" s="7" t="s">
        <v>23</v>
      </c>
      <c r="P601" s="3"/>
      <c r="Q601" s="3"/>
      <c r="R601" s="3"/>
    </row>
    <row r="602" spans="1:18" x14ac:dyDescent="0.25">
      <c r="A602" s="2">
        <v>1749</v>
      </c>
      <c r="B602" s="7" t="s">
        <v>4867</v>
      </c>
      <c r="C602" s="7" t="s">
        <v>4868</v>
      </c>
      <c r="D602" s="7" t="s">
        <v>4867</v>
      </c>
      <c r="E602" s="7" t="s">
        <v>42</v>
      </c>
      <c r="F602" s="7" t="s">
        <v>4869</v>
      </c>
      <c r="G602" s="17" t="s">
        <v>7747</v>
      </c>
      <c r="H602" s="7" t="s">
        <v>28</v>
      </c>
      <c r="I602" s="7" t="s">
        <v>44</v>
      </c>
      <c r="J602" s="7" t="s">
        <v>235</v>
      </c>
      <c r="K602" s="7" t="s">
        <v>3101</v>
      </c>
      <c r="L602" s="7" t="s">
        <v>44</v>
      </c>
      <c r="M602" s="7">
        <v>7.317412</v>
      </c>
      <c r="N602" s="7">
        <v>13.597588999999999</v>
      </c>
      <c r="O602" s="7" t="s">
        <v>23</v>
      </c>
      <c r="P602" s="3"/>
      <c r="Q602" s="3"/>
      <c r="R602" s="3"/>
    </row>
    <row r="603" spans="1:18" x14ac:dyDescent="0.25">
      <c r="A603" s="2">
        <v>1750</v>
      </c>
      <c r="B603" s="7" t="s">
        <v>4888</v>
      </c>
      <c r="C603" s="7" t="s">
        <v>4889</v>
      </c>
      <c r="D603" s="7" t="s">
        <v>4888</v>
      </c>
      <c r="E603" s="7" t="s">
        <v>42</v>
      </c>
      <c r="F603" s="7" t="s">
        <v>4890</v>
      </c>
      <c r="G603" s="17" t="s">
        <v>7747</v>
      </c>
      <c r="H603" s="7" t="s">
        <v>28</v>
      </c>
      <c r="I603" s="7" t="s">
        <v>44</v>
      </c>
      <c r="J603" s="7" t="s">
        <v>235</v>
      </c>
      <c r="K603" s="7" t="s">
        <v>3101</v>
      </c>
      <c r="L603" s="7" t="s">
        <v>44</v>
      </c>
      <c r="M603" s="7">
        <v>7.3099550000000004</v>
      </c>
      <c r="N603" s="7">
        <v>13.599223</v>
      </c>
      <c r="O603" s="7" t="s">
        <v>23</v>
      </c>
      <c r="P603" s="3"/>
      <c r="Q603" s="3"/>
      <c r="R603" s="3"/>
    </row>
    <row r="604" spans="1:18" x14ac:dyDescent="0.25">
      <c r="A604" s="2">
        <v>1751</v>
      </c>
      <c r="B604" s="7" t="s">
        <v>4891</v>
      </c>
      <c r="C604" s="7" t="s">
        <v>4892</v>
      </c>
      <c r="D604" s="7" t="s">
        <v>4891</v>
      </c>
      <c r="E604" s="7" t="s">
        <v>42</v>
      </c>
      <c r="F604" s="7" t="s">
        <v>4893</v>
      </c>
      <c r="G604" s="17" t="s">
        <v>7747</v>
      </c>
      <c r="H604" s="7" t="s">
        <v>28</v>
      </c>
      <c r="I604" s="7" t="s">
        <v>44</v>
      </c>
      <c r="J604" s="7" t="s">
        <v>235</v>
      </c>
      <c r="K604" s="7" t="s">
        <v>4894</v>
      </c>
      <c r="L604" s="7" t="s">
        <v>44</v>
      </c>
      <c r="M604" s="7">
        <v>7.3825560000000001</v>
      </c>
      <c r="N604" s="7">
        <v>13.549333000000001</v>
      </c>
      <c r="O604" s="7" t="s">
        <v>23</v>
      </c>
      <c r="P604" s="3"/>
      <c r="Q604" s="3"/>
      <c r="R604" s="3"/>
    </row>
    <row r="605" spans="1:18" x14ac:dyDescent="0.25">
      <c r="A605" s="2">
        <v>1752</v>
      </c>
      <c r="B605" s="7" t="s">
        <v>5195</v>
      </c>
      <c r="C605" s="7" t="s">
        <v>5196</v>
      </c>
      <c r="D605" s="7" t="s">
        <v>5195</v>
      </c>
      <c r="E605" s="7" t="s">
        <v>42</v>
      </c>
      <c r="F605" s="7" t="s">
        <v>5197</v>
      </c>
      <c r="G605" s="17" t="s">
        <v>7747</v>
      </c>
      <c r="H605" s="7" t="s">
        <v>28</v>
      </c>
      <c r="I605" s="7" t="s">
        <v>44</v>
      </c>
      <c r="J605" s="7" t="s">
        <v>235</v>
      </c>
      <c r="K605" s="7" t="s">
        <v>3101</v>
      </c>
      <c r="L605" s="7" t="s">
        <v>44</v>
      </c>
      <c r="M605" s="7">
        <v>7.4119999999999999</v>
      </c>
      <c r="N605" s="7">
        <v>13.548806000000001</v>
      </c>
      <c r="O605" s="7" t="s">
        <v>613</v>
      </c>
      <c r="P605" s="3"/>
      <c r="Q605" s="3"/>
      <c r="R605" s="3"/>
    </row>
    <row r="606" spans="1:18" x14ac:dyDescent="0.25">
      <c r="A606" s="2">
        <v>1753</v>
      </c>
      <c r="B606" s="7" t="s">
        <v>5267</v>
      </c>
      <c r="C606" s="7" t="s">
        <v>5268</v>
      </c>
      <c r="D606" s="7" t="s">
        <v>5267</v>
      </c>
      <c r="E606" s="7" t="s">
        <v>42</v>
      </c>
      <c r="F606" s="7" t="s">
        <v>5269</v>
      </c>
      <c r="G606" s="17" t="s">
        <v>7747</v>
      </c>
      <c r="H606" s="7" t="s">
        <v>28</v>
      </c>
      <c r="I606" s="7" t="s">
        <v>44</v>
      </c>
      <c r="J606" s="7" t="s">
        <v>235</v>
      </c>
      <c r="K606" s="7" t="s">
        <v>3101</v>
      </c>
      <c r="L606" s="7" t="s">
        <v>44</v>
      </c>
      <c r="M606" s="7">
        <v>7.3262349999999996</v>
      </c>
      <c r="N606" s="7">
        <v>13.585054</v>
      </c>
      <c r="O606" s="7" t="s">
        <v>613</v>
      </c>
      <c r="P606" s="3"/>
      <c r="Q606" s="3"/>
      <c r="R606" s="3"/>
    </row>
    <row r="607" spans="1:18" x14ac:dyDescent="0.25">
      <c r="A607" s="2">
        <v>1754</v>
      </c>
      <c r="B607" s="7" t="s">
        <v>5353</v>
      </c>
      <c r="C607" s="7" t="s">
        <v>5354</v>
      </c>
      <c r="D607" s="7" t="s">
        <v>5353</v>
      </c>
      <c r="E607" s="7" t="s">
        <v>42</v>
      </c>
      <c r="F607" s="7" t="s">
        <v>5355</v>
      </c>
      <c r="G607" s="17" t="s">
        <v>7747</v>
      </c>
      <c r="H607" s="7" t="s">
        <v>28</v>
      </c>
      <c r="I607" s="7" t="s">
        <v>44</v>
      </c>
      <c r="J607" s="7" t="s">
        <v>235</v>
      </c>
      <c r="K607" s="7" t="s">
        <v>3101</v>
      </c>
      <c r="L607" s="7" t="s">
        <v>44</v>
      </c>
      <c r="M607" s="7">
        <v>7.3281080000000003</v>
      </c>
      <c r="N607" s="7">
        <v>13.58263</v>
      </c>
      <c r="O607" s="7" t="s">
        <v>613</v>
      </c>
      <c r="P607" s="3"/>
      <c r="Q607" s="3"/>
      <c r="R607" s="3"/>
    </row>
    <row r="608" spans="1:18" x14ac:dyDescent="0.25">
      <c r="A608" s="2">
        <v>1755</v>
      </c>
      <c r="B608" s="7" t="s">
        <v>5475</v>
      </c>
      <c r="C608" s="7" t="s">
        <v>5476</v>
      </c>
      <c r="D608" s="7" t="s">
        <v>5475</v>
      </c>
      <c r="E608" s="7" t="s">
        <v>42</v>
      </c>
      <c r="F608" s="7" t="s">
        <v>5477</v>
      </c>
      <c r="G608" s="17" t="s">
        <v>7747</v>
      </c>
      <c r="H608" s="7" t="s">
        <v>28</v>
      </c>
      <c r="I608" s="7" t="s">
        <v>44</v>
      </c>
      <c r="J608" s="7" t="s">
        <v>235</v>
      </c>
      <c r="K608" s="7" t="s">
        <v>3101</v>
      </c>
      <c r="L608" s="7" t="s">
        <v>44</v>
      </c>
      <c r="M608" s="7">
        <v>7.3239999999999998</v>
      </c>
      <c r="N608" s="7">
        <v>13.584417</v>
      </c>
      <c r="O608" s="7" t="s">
        <v>613</v>
      </c>
      <c r="P608" s="3"/>
      <c r="Q608" s="3"/>
      <c r="R608" s="3"/>
    </row>
    <row r="609" spans="1:18" x14ac:dyDescent="0.25">
      <c r="A609" s="2">
        <v>1756</v>
      </c>
      <c r="B609" s="7" t="s">
        <v>5656</v>
      </c>
      <c r="C609" s="7" t="s">
        <v>5657</v>
      </c>
      <c r="D609" s="7" t="s">
        <v>5656</v>
      </c>
      <c r="E609" s="7" t="s">
        <v>42</v>
      </c>
      <c r="F609" s="7" t="s">
        <v>5658</v>
      </c>
      <c r="G609" s="17" t="s">
        <v>7747</v>
      </c>
      <c r="H609" s="7" t="s">
        <v>28</v>
      </c>
      <c r="I609" s="7" t="s">
        <v>44</v>
      </c>
      <c r="J609" s="7" t="s">
        <v>235</v>
      </c>
      <c r="K609" s="7" t="s">
        <v>3101</v>
      </c>
      <c r="L609" s="7" t="s">
        <v>44</v>
      </c>
      <c r="M609" s="7">
        <v>7.30375</v>
      </c>
      <c r="N609" s="7">
        <v>13.588778</v>
      </c>
      <c r="O609" s="7" t="s">
        <v>23</v>
      </c>
      <c r="P609" s="3"/>
      <c r="Q609" s="3"/>
      <c r="R609" s="3"/>
    </row>
    <row r="610" spans="1:18" x14ac:dyDescent="0.25">
      <c r="A610" s="2">
        <v>1757</v>
      </c>
      <c r="B610" s="7" t="s">
        <v>5839</v>
      </c>
      <c r="C610" s="7" t="s">
        <v>5840</v>
      </c>
      <c r="D610" s="7" t="s">
        <v>5839</v>
      </c>
      <c r="E610" s="7" t="s">
        <v>42</v>
      </c>
      <c r="F610" s="7" t="s">
        <v>5841</v>
      </c>
      <c r="G610" s="17" t="s">
        <v>7747</v>
      </c>
      <c r="H610" s="7" t="s">
        <v>28</v>
      </c>
      <c r="I610" s="7" t="s">
        <v>44</v>
      </c>
      <c r="J610" s="7" t="s">
        <v>235</v>
      </c>
      <c r="K610" s="7" t="s">
        <v>3101</v>
      </c>
      <c r="L610" s="7" t="s">
        <v>44</v>
      </c>
      <c r="M610" s="7">
        <v>7.2422370000000003</v>
      </c>
      <c r="N610" s="7">
        <v>13.558166999999999</v>
      </c>
      <c r="O610" s="7" t="s">
        <v>23</v>
      </c>
      <c r="P610" s="3"/>
      <c r="Q610" s="3"/>
      <c r="R610" s="3"/>
    </row>
    <row r="611" spans="1:18" x14ac:dyDescent="0.25">
      <c r="A611" s="2">
        <v>1758</v>
      </c>
      <c r="B611" s="7" t="s">
        <v>5857</v>
      </c>
      <c r="C611" s="7" t="s">
        <v>5858</v>
      </c>
      <c r="D611" s="7" t="s">
        <v>5857</v>
      </c>
      <c r="E611" s="7" t="s">
        <v>42</v>
      </c>
      <c r="F611" s="7" t="s">
        <v>5859</v>
      </c>
      <c r="G611" s="17" t="s">
        <v>7747</v>
      </c>
      <c r="H611" s="7" t="s">
        <v>28</v>
      </c>
      <c r="I611" s="7" t="s">
        <v>44</v>
      </c>
      <c r="J611" s="7" t="s">
        <v>235</v>
      </c>
      <c r="K611" s="7" t="s">
        <v>5860</v>
      </c>
      <c r="L611" s="7" t="s">
        <v>44</v>
      </c>
      <c r="M611" s="7">
        <v>7.1790469999999997</v>
      </c>
      <c r="N611" s="7">
        <v>14.148662</v>
      </c>
      <c r="O611" s="7" t="s">
        <v>23</v>
      </c>
      <c r="P611" s="3"/>
      <c r="Q611" s="3"/>
      <c r="R611" s="3"/>
    </row>
    <row r="612" spans="1:18" x14ac:dyDescent="0.25">
      <c r="A612" s="2">
        <v>1759</v>
      </c>
      <c r="B612" s="7" t="s">
        <v>5881</v>
      </c>
      <c r="C612" s="7" t="s">
        <v>5882</v>
      </c>
      <c r="D612" s="7" t="s">
        <v>5881</v>
      </c>
      <c r="E612" s="7" t="s">
        <v>42</v>
      </c>
      <c r="F612" s="7" t="s">
        <v>5883</v>
      </c>
      <c r="G612" s="17" t="s">
        <v>7747</v>
      </c>
      <c r="H612" s="7" t="s">
        <v>28</v>
      </c>
      <c r="I612" s="7" t="s">
        <v>102</v>
      </c>
      <c r="J612" s="7" t="s">
        <v>103</v>
      </c>
      <c r="K612" s="7" t="s">
        <v>1014</v>
      </c>
      <c r="L612" s="7" t="s">
        <v>44</v>
      </c>
      <c r="M612" s="7">
        <v>7.0278929999999997</v>
      </c>
      <c r="N612" s="7">
        <v>12.826055</v>
      </c>
      <c r="O612" s="7" t="s">
        <v>23</v>
      </c>
      <c r="P612" s="3"/>
      <c r="Q612" s="3"/>
      <c r="R612" s="3"/>
    </row>
    <row r="613" spans="1:18" x14ac:dyDescent="0.25">
      <c r="A613" s="2">
        <v>1760</v>
      </c>
      <c r="B613" s="7" t="s">
        <v>5918</v>
      </c>
      <c r="C613" s="7" t="s">
        <v>5919</v>
      </c>
      <c r="D613" s="7" t="s">
        <v>5918</v>
      </c>
      <c r="E613" s="7" t="s">
        <v>42</v>
      </c>
      <c r="F613" s="7" t="s">
        <v>5920</v>
      </c>
      <c r="G613" s="17" t="s">
        <v>7747</v>
      </c>
      <c r="H613" s="7" t="s">
        <v>28</v>
      </c>
      <c r="I613" s="7" t="s">
        <v>44</v>
      </c>
      <c r="J613" s="7" t="s">
        <v>732</v>
      </c>
      <c r="K613" s="7" t="s">
        <v>5920</v>
      </c>
      <c r="L613" s="7" t="s">
        <v>44</v>
      </c>
      <c r="M613" s="7">
        <v>7.4247100000000001</v>
      </c>
      <c r="N613" s="7">
        <v>13.929080000000001</v>
      </c>
      <c r="O613" s="7" t="s">
        <v>23</v>
      </c>
      <c r="P613" s="3"/>
      <c r="Q613" s="3"/>
      <c r="R613" s="3"/>
    </row>
    <row r="614" spans="1:18" x14ac:dyDescent="0.25">
      <c r="A614" s="2">
        <v>1761</v>
      </c>
      <c r="B614" s="7" t="s">
        <v>6046</v>
      </c>
      <c r="C614" s="7" t="s">
        <v>6047</v>
      </c>
      <c r="D614" s="7" t="s">
        <v>6046</v>
      </c>
      <c r="E614" s="7" t="s">
        <v>42</v>
      </c>
      <c r="F614" s="7" t="s">
        <v>6048</v>
      </c>
      <c r="G614" s="17" t="s">
        <v>7747</v>
      </c>
      <c r="H614" s="7" t="s">
        <v>28</v>
      </c>
      <c r="I614" s="7" t="s">
        <v>102</v>
      </c>
      <c r="J614" s="7" t="s">
        <v>103</v>
      </c>
      <c r="K614" s="7" t="s">
        <v>1014</v>
      </c>
      <c r="L614" s="7" t="s">
        <v>44</v>
      </c>
      <c r="M614" s="7">
        <v>6.9945380000000004</v>
      </c>
      <c r="N614" s="7">
        <v>12.999995</v>
      </c>
      <c r="O614" s="7" t="s">
        <v>23</v>
      </c>
      <c r="P614" s="3"/>
      <c r="Q614" s="3"/>
      <c r="R614" s="3"/>
    </row>
    <row r="615" spans="1:18" x14ac:dyDescent="0.25">
      <c r="A615" s="2">
        <v>1762</v>
      </c>
      <c r="B615" s="7" t="s">
        <v>6069</v>
      </c>
      <c r="C615" s="7" t="s">
        <v>6070</v>
      </c>
      <c r="D615" s="7" t="s">
        <v>6069</v>
      </c>
      <c r="E615" s="7" t="s">
        <v>42</v>
      </c>
      <c r="F615" s="7" t="s">
        <v>6071</v>
      </c>
      <c r="G615" s="17" t="s">
        <v>7747</v>
      </c>
      <c r="H615" s="7" t="s">
        <v>28</v>
      </c>
      <c r="I615" s="7" t="s">
        <v>102</v>
      </c>
      <c r="J615" s="7" t="s">
        <v>103</v>
      </c>
      <c r="K615" s="7" t="s">
        <v>1014</v>
      </c>
      <c r="L615" s="7" t="s">
        <v>44</v>
      </c>
      <c r="M615" s="7">
        <v>6.9617100000000001</v>
      </c>
      <c r="N615" s="7">
        <v>12.94182</v>
      </c>
      <c r="O615" s="7" t="s">
        <v>23</v>
      </c>
      <c r="P615" s="3"/>
      <c r="Q615" s="3"/>
      <c r="R615" s="3"/>
    </row>
    <row r="616" spans="1:18" x14ac:dyDescent="0.25">
      <c r="A616" s="2">
        <v>1763</v>
      </c>
      <c r="B616" s="7" t="s">
        <v>6152</v>
      </c>
      <c r="C616" s="7" t="s">
        <v>6153</v>
      </c>
      <c r="D616" s="7" t="s">
        <v>6152</v>
      </c>
      <c r="E616" s="7" t="s">
        <v>42</v>
      </c>
      <c r="F616" s="7" t="s">
        <v>6154</v>
      </c>
      <c r="G616" s="17" t="s">
        <v>7747</v>
      </c>
      <c r="H616" s="7" t="s">
        <v>28</v>
      </c>
      <c r="I616" s="7" t="s">
        <v>102</v>
      </c>
      <c r="J616" s="7" t="s">
        <v>103</v>
      </c>
      <c r="K616" s="7" t="s">
        <v>1014</v>
      </c>
      <c r="L616" s="7" t="s">
        <v>44</v>
      </c>
      <c r="M616" s="7">
        <v>6.8941670000000004</v>
      </c>
      <c r="N616" s="7">
        <v>13.048833</v>
      </c>
      <c r="O616" s="7" t="s">
        <v>23</v>
      </c>
      <c r="P616" s="3"/>
      <c r="Q616" s="3"/>
      <c r="R616" s="3"/>
    </row>
    <row r="617" spans="1:18" x14ac:dyDescent="0.25">
      <c r="A617" s="2">
        <v>1764</v>
      </c>
      <c r="B617" s="7" t="s">
        <v>6178</v>
      </c>
      <c r="C617" s="7" t="s">
        <v>6179</v>
      </c>
      <c r="D617" s="7" t="s">
        <v>6178</v>
      </c>
      <c r="E617" s="7" t="s">
        <v>170</v>
      </c>
      <c r="F617" s="7" t="s">
        <v>6180</v>
      </c>
      <c r="G617" s="17" t="s">
        <v>7747</v>
      </c>
      <c r="H617" s="7" t="s">
        <v>19</v>
      </c>
      <c r="I617" s="7" t="s">
        <v>234</v>
      </c>
      <c r="J617" s="7" t="s">
        <v>732</v>
      </c>
      <c r="K617" s="7" t="s">
        <v>885</v>
      </c>
      <c r="L617" s="7" t="s">
        <v>44</v>
      </c>
      <c r="M617" s="7">
        <v>8.1985480000000006</v>
      </c>
      <c r="N617" s="7">
        <v>13.640499</v>
      </c>
      <c r="O617" s="7" t="s">
        <v>23</v>
      </c>
      <c r="P617" s="3"/>
      <c r="Q617" s="3"/>
      <c r="R617" s="3"/>
    </row>
    <row r="618" spans="1:18" x14ac:dyDescent="0.25">
      <c r="A618" s="2">
        <v>1765</v>
      </c>
      <c r="B618" s="7" t="s">
        <v>6184</v>
      </c>
      <c r="C618" s="7" t="s">
        <v>6185</v>
      </c>
      <c r="D618" s="7" t="s">
        <v>6184</v>
      </c>
      <c r="E618" s="7" t="s">
        <v>42</v>
      </c>
      <c r="F618" s="7" t="s">
        <v>6186</v>
      </c>
      <c r="G618" s="17" t="s">
        <v>7747</v>
      </c>
      <c r="H618" s="7" t="s">
        <v>28</v>
      </c>
      <c r="I618" s="7" t="s">
        <v>44</v>
      </c>
      <c r="J618" s="7" t="s">
        <v>235</v>
      </c>
      <c r="K618" s="7" t="s">
        <v>5860</v>
      </c>
      <c r="L618" s="7" t="s">
        <v>44</v>
      </c>
      <c r="M618" s="7">
        <v>7.2403719999999998</v>
      </c>
      <c r="N618" s="7">
        <v>14.023059999999999</v>
      </c>
      <c r="O618" s="7" t="s">
        <v>23</v>
      </c>
      <c r="P618" s="3"/>
      <c r="Q618" s="3"/>
      <c r="R618" s="3"/>
    </row>
    <row r="619" spans="1:18" x14ac:dyDescent="0.25">
      <c r="A619" s="2">
        <v>1766</v>
      </c>
      <c r="B619" s="7" t="s">
        <v>6187</v>
      </c>
      <c r="C619" s="7" t="s">
        <v>6188</v>
      </c>
      <c r="D619" s="7" t="s">
        <v>6187</v>
      </c>
      <c r="E619" s="7" t="s">
        <v>42</v>
      </c>
      <c r="F619" s="7" t="s">
        <v>6189</v>
      </c>
      <c r="G619" s="17" t="s">
        <v>7747</v>
      </c>
      <c r="H619" s="7" t="s">
        <v>19</v>
      </c>
      <c r="I619" s="7" t="s">
        <v>44</v>
      </c>
      <c r="J619" s="7" t="s">
        <v>235</v>
      </c>
      <c r="K619" s="7" t="s">
        <v>3580</v>
      </c>
      <c r="L619" s="7" t="s">
        <v>44</v>
      </c>
      <c r="M619" s="7">
        <v>7.5756389999999998</v>
      </c>
      <c r="N619" s="7">
        <v>13.562028</v>
      </c>
      <c r="O619" s="7" t="s">
        <v>23</v>
      </c>
      <c r="P619" s="3"/>
      <c r="Q619" s="3"/>
      <c r="R619" s="3"/>
    </row>
    <row r="620" spans="1:18" x14ac:dyDescent="0.25">
      <c r="A620" s="2">
        <v>1767</v>
      </c>
      <c r="B620" s="7" t="s">
        <v>6297</v>
      </c>
      <c r="C620" s="7" t="s">
        <v>6298</v>
      </c>
      <c r="D620" s="7" t="s">
        <v>6297</v>
      </c>
      <c r="E620" s="7" t="s">
        <v>42</v>
      </c>
      <c r="F620" s="7" t="s">
        <v>6299</v>
      </c>
      <c r="G620" s="17" t="s">
        <v>7747</v>
      </c>
      <c r="H620" s="7" t="s">
        <v>19</v>
      </c>
      <c r="I620" s="7" t="s">
        <v>102</v>
      </c>
      <c r="J620" s="7" t="s">
        <v>103</v>
      </c>
      <c r="K620" s="7" t="s">
        <v>104</v>
      </c>
      <c r="L620" s="7" t="s">
        <v>44</v>
      </c>
      <c r="M620" s="7">
        <v>6.6808329999999998</v>
      </c>
      <c r="N620" s="7">
        <v>13.099</v>
      </c>
      <c r="O620" s="7" t="s">
        <v>23</v>
      </c>
      <c r="P620" s="3"/>
      <c r="Q620" s="3"/>
      <c r="R620" s="3"/>
    </row>
    <row r="621" spans="1:18" x14ac:dyDescent="0.25">
      <c r="A621" s="2">
        <v>1768</v>
      </c>
      <c r="B621" s="7" t="s">
        <v>6309</v>
      </c>
      <c r="C621" s="7" t="s">
        <v>6310</v>
      </c>
      <c r="D621" s="7" t="s">
        <v>6309</v>
      </c>
      <c r="E621" s="7" t="s">
        <v>170</v>
      </c>
      <c r="F621" s="7" t="s">
        <v>6311</v>
      </c>
      <c r="G621" s="17" t="s">
        <v>7747</v>
      </c>
      <c r="H621" s="7" t="s">
        <v>28</v>
      </c>
      <c r="I621" s="7" t="s">
        <v>234</v>
      </c>
      <c r="J621" s="7" t="s">
        <v>732</v>
      </c>
      <c r="K621" s="7" t="s">
        <v>6312</v>
      </c>
      <c r="L621" s="7" t="s">
        <v>44</v>
      </c>
      <c r="M621" s="7">
        <v>7.8624679999999998</v>
      </c>
      <c r="N621" s="7">
        <v>13.589921</v>
      </c>
      <c r="O621" s="7" t="s">
        <v>23</v>
      </c>
      <c r="P621" s="3"/>
      <c r="Q621" s="3"/>
      <c r="R621" s="3"/>
    </row>
    <row r="622" spans="1:18" x14ac:dyDescent="0.25">
      <c r="A622" s="2">
        <v>1769</v>
      </c>
      <c r="B622" s="7" t="s">
        <v>6367</v>
      </c>
      <c r="C622" s="7" t="s">
        <v>6368</v>
      </c>
      <c r="D622" s="7" t="s">
        <v>6367</v>
      </c>
      <c r="E622" s="7" t="s">
        <v>42</v>
      </c>
      <c r="F622" s="7" t="s">
        <v>6369</v>
      </c>
      <c r="G622" s="17" t="s">
        <v>7747</v>
      </c>
      <c r="H622" s="7" t="s">
        <v>28</v>
      </c>
      <c r="I622" s="7" t="s">
        <v>44</v>
      </c>
      <c r="J622" s="7" t="s">
        <v>235</v>
      </c>
      <c r="K622" s="7" t="s">
        <v>1014</v>
      </c>
      <c r="L622" s="7" t="s">
        <v>44</v>
      </c>
      <c r="M622" s="7">
        <v>7.2764879999999996</v>
      </c>
      <c r="N622" s="7">
        <v>13.272443000000001</v>
      </c>
      <c r="O622" s="7" t="s">
        <v>23</v>
      </c>
      <c r="P622" s="3"/>
      <c r="Q622" s="3"/>
      <c r="R622" s="3"/>
    </row>
    <row r="623" spans="1:18" x14ac:dyDescent="0.25">
      <c r="A623" s="2">
        <v>1770</v>
      </c>
      <c r="B623" s="7" t="s">
        <v>6370</v>
      </c>
      <c r="C623" s="7" t="s">
        <v>6371</v>
      </c>
      <c r="D623" s="7" t="s">
        <v>6370</v>
      </c>
      <c r="E623" s="7" t="s">
        <v>42</v>
      </c>
      <c r="F623" s="7" t="s">
        <v>6372</v>
      </c>
      <c r="G623" s="17" t="s">
        <v>7747</v>
      </c>
      <c r="H623" s="7" t="s">
        <v>28</v>
      </c>
      <c r="I623" s="7" t="s">
        <v>102</v>
      </c>
      <c r="J623" s="7" t="s">
        <v>103</v>
      </c>
      <c r="K623" s="7" t="s">
        <v>1014</v>
      </c>
      <c r="L623" s="7" t="s">
        <v>44</v>
      </c>
      <c r="M623" s="7">
        <v>7.0053999999999998</v>
      </c>
      <c r="N623" s="7">
        <v>13.143872</v>
      </c>
      <c r="O623" s="7" t="s">
        <v>23</v>
      </c>
      <c r="P623" s="3"/>
      <c r="Q623" s="3"/>
      <c r="R623" s="3"/>
    </row>
    <row r="624" spans="1:18" x14ac:dyDescent="0.25">
      <c r="A624" s="2">
        <v>1771</v>
      </c>
      <c r="B624" s="7" t="s">
        <v>6376</v>
      </c>
      <c r="C624" s="7" t="s">
        <v>6377</v>
      </c>
      <c r="D624" s="7" t="s">
        <v>6376</v>
      </c>
      <c r="E624" s="7" t="s">
        <v>42</v>
      </c>
      <c r="F624" s="7" t="s">
        <v>6378</v>
      </c>
      <c r="G624" s="17" t="s">
        <v>7747</v>
      </c>
      <c r="H624" s="7" t="s">
        <v>28</v>
      </c>
      <c r="I624" s="7" t="s">
        <v>44</v>
      </c>
      <c r="J624" s="7" t="s">
        <v>235</v>
      </c>
      <c r="K624" s="7" t="s">
        <v>1431</v>
      </c>
      <c r="L624" s="7" t="s">
        <v>44</v>
      </c>
      <c r="M624" s="7">
        <v>7.2766580000000003</v>
      </c>
      <c r="N624" s="7">
        <v>13.77622</v>
      </c>
      <c r="O624" s="7" t="s">
        <v>23</v>
      </c>
      <c r="P624" s="3"/>
      <c r="Q624" s="3"/>
      <c r="R624" s="3"/>
    </row>
    <row r="625" spans="1:18" x14ac:dyDescent="0.25">
      <c r="A625" s="2">
        <v>1772</v>
      </c>
      <c r="B625" s="7" t="s">
        <v>6405</v>
      </c>
      <c r="C625" s="7" t="s">
        <v>6406</v>
      </c>
      <c r="D625" s="7" t="s">
        <v>6405</v>
      </c>
      <c r="E625" s="7" t="s">
        <v>42</v>
      </c>
      <c r="F625" s="7" t="s">
        <v>6407</v>
      </c>
      <c r="G625" s="17" t="s">
        <v>7747</v>
      </c>
      <c r="H625" s="7" t="s">
        <v>19</v>
      </c>
      <c r="I625" s="7" t="s">
        <v>102</v>
      </c>
      <c r="J625" s="7" t="s">
        <v>103</v>
      </c>
      <c r="K625" s="7" t="s">
        <v>6408</v>
      </c>
      <c r="L625" s="7" t="s">
        <v>44</v>
      </c>
      <c r="M625" s="7">
        <v>6.596444</v>
      </c>
      <c r="N625" s="7">
        <v>12.881722</v>
      </c>
      <c r="O625" s="7" t="s">
        <v>23</v>
      </c>
      <c r="P625" s="3"/>
      <c r="Q625" s="3"/>
      <c r="R625" s="3"/>
    </row>
    <row r="626" spans="1:18" x14ac:dyDescent="0.25">
      <c r="A626" s="2">
        <v>1773</v>
      </c>
      <c r="B626" s="7" t="s">
        <v>6412</v>
      </c>
      <c r="C626" s="7" t="s">
        <v>6413</v>
      </c>
      <c r="D626" s="7" t="s">
        <v>6412</v>
      </c>
      <c r="E626" s="7" t="s">
        <v>170</v>
      </c>
      <c r="F626" s="7" t="s">
        <v>6414</v>
      </c>
      <c r="G626" s="17" t="s">
        <v>7747</v>
      </c>
      <c r="H626" s="7" t="s">
        <v>28</v>
      </c>
      <c r="I626" s="7" t="s">
        <v>234</v>
      </c>
      <c r="J626" s="7" t="s">
        <v>732</v>
      </c>
      <c r="K626" s="7" t="s">
        <v>1006</v>
      </c>
      <c r="L626" s="7" t="s">
        <v>44</v>
      </c>
      <c r="M626" s="7">
        <v>7.726972</v>
      </c>
      <c r="N626" s="7">
        <v>14.644028</v>
      </c>
      <c r="O626" s="7" t="s">
        <v>23</v>
      </c>
      <c r="P626" s="3"/>
      <c r="Q626" s="3"/>
      <c r="R626" s="3"/>
    </row>
    <row r="627" spans="1:18" x14ac:dyDescent="0.25">
      <c r="A627" s="2">
        <v>1774</v>
      </c>
      <c r="B627" s="7" t="s">
        <v>6441</v>
      </c>
      <c r="C627" s="7" t="s">
        <v>6442</v>
      </c>
      <c r="D627" s="7" t="s">
        <v>6441</v>
      </c>
      <c r="E627" s="7" t="s">
        <v>170</v>
      </c>
      <c r="F627" s="7" t="s">
        <v>6443</v>
      </c>
      <c r="G627" s="17" t="s">
        <v>7747</v>
      </c>
      <c r="H627" s="7" t="s">
        <v>28</v>
      </c>
      <c r="I627" s="7" t="s">
        <v>234</v>
      </c>
      <c r="J627" s="7" t="s">
        <v>732</v>
      </c>
      <c r="K627" s="7" t="s">
        <v>885</v>
      </c>
      <c r="L627" s="7" t="s">
        <v>44</v>
      </c>
      <c r="M627" s="7">
        <v>8.0854020000000002</v>
      </c>
      <c r="N627" s="7">
        <v>13.590923</v>
      </c>
      <c r="O627" s="7" t="s">
        <v>23</v>
      </c>
      <c r="P627" s="3"/>
      <c r="Q627" s="3"/>
      <c r="R627" s="3"/>
    </row>
    <row r="628" spans="1:18" x14ac:dyDescent="0.25">
      <c r="A628" s="2">
        <v>1775</v>
      </c>
      <c r="B628" s="7" t="s">
        <v>6459</v>
      </c>
      <c r="C628" s="7" t="s">
        <v>6460</v>
      </c>
      <c r="D628" s="7" t="s">
        <v>6459</v>
      </c>
      <c r="E628" s="7" t="s">
        <v>42</v>
      </c>
      <c r="F628" s="7" t="s">
        <v>6461</v>
      </c>
      <c r="G628" s="17" t="s">
        <v>7747</v>
      </c>
      <c r="H628" s="7" t="s">
        <v>19</v>
      </c>
      <c r="I628" s="7" t="s">
        <v>102</v>
      </c>
      <c r="J628" s="7" t="s">
        <v>103</v>
      </c>
      <c r="K628" s="7" t="s">
        <v>104</v>
      </c>
      <c r="L628" s="7" t="s">
        <v>44</v>
      </c>
      <c r="M628" s="7">
        <v>6.5978180000000002</v>
      </c>
      <c r="N628" s="7">
        <v>13.105095</v>
      </c>
      <c r="O628" s="7" t="s">
        <v>23</v>
      </c>
      <c r="P628" s="3"/>
      <c r="Q628" s="3"/>
      <c r="R628" s="3"/>
    </row>
    <row r="629" spans="1:18" x14ac:dyDescent="0.25">
      <c r="A629" s="2">
        <v>1776</v>
      </c>
      <c r="B629" s="7" t="s">
        <v>6492</v>
      </c>
      <c r="C629" s="7" t="s">
        <v>6493</v>
      </c>
      <c r="D629" s="7" t="s">
        <v>6492</v>
      </c>
      <c r="E629" s="7" t="s">
        <v>170</v>
      </c>
      <c r="F629" s="7" t="s">
        <v>6494</v>
      </c>
      <c r="G629" s="17" t="s">
        <v>7747</v>
      </c>
      <c r="H629" s="7" t="s">
        <v>28</v>
      </c>
      <c r="I629" s="7" t="s">
        <v>44</v>
      </c>
      <c r="J629" s="7" t="s">
        <v>732</v>
      </c>
      <c r="K629" s="7" t="s">
        <v>6312</v>
      </c>
      <c r="L629" s="7" t="s">
        <v>44</v>
      </c>
      <c r="M629" s="7">
        <v>7.7253480000000003</v>
      </c>
      <c r="N629" s="7">
        <v>13.539253</v>
      </c>
      <c r="O629" s="7" t="s">
        <v>23</v>
      </c>
      <c r="P629" s="3"/>
      <c r="Q629" s="3"/>
      <c r="R629" s="3"/>
    </row>
    <row r="630" spans="1:18" x14ac:dyDescent="0.25">
      <c r="A630" s="2">
        <v>1777</v>
      </c>
      <c r="B630" s="7" t="s">
        <v>6501</v>
      </c>
      <c r="C630" s="7" t="s">
        <v>6502</v>
      </c>
      <c r="D630" s="7" t="s">
        <v>6501</v>
      </c>
      <c r="E630" s="7" t="s">
        <v>42</v>
      </c>
      <c r="F630" s="7" t="s">
        <v>6503</v>
      </c>
      <c r="G630" s="17" t="s">
        <v>7747</v>
      </c>
      <c r="H630" s="7" t="s">
        <v>28</v>
      </c>
      <c r="I630" s="7" t="s">
        <v>102</v>
      </c>
      <c r="J630" s="7" t="s">
        <v>103</v>
      </c>
      <c r="K630" s="7" t="s">
        <v>104</v>
      </c>
      <c r="L630" s="7" t="s">
        <v>44</v>
      </c>
      <c r="M630" s="7">
        <v>6.6073890000000004</v>
      </c>
      <c r="N630" s="7">
        <v>12.998417</v>
      </c>
      <c r="O630" s="7" t="s">
        <v>23</v>
      </c>
      <c r="P630" s="3"/>
      <c r="Q630" s="3"/>
      <c r="R630" s="3"/>
    </row>
    <row r="631" spans="1:18" x14ac:dyDescent="0.25">
      <c r="A631" s="2">
        <v>1778</v>
      </c>
      <c r="B631" s="7" t="s">
        <v>6560</v>
      </c>
      <c r="C631" s="7" t="s">
        <v>6561</v>
      </c>
      <c r="D631" s="7" t="s">
        <v>6560</v>
      </c>
      <c r="E631" s="7" t="s">
        <v>170</v>
      </c>
      <c r="F631" s="7" t="s">
        <v>6562</v>
      </c>
      <c r="G631" s="17" t="s">
        <v>7747</v>
      </c>
      <c r="H631" s="7" t="s">
        <v>19</v>
      </c>
      <c r="I631" s="7" t="s">
        <v>234</v>
      </c>
      <c r="J631" s="7" t="s">
        <v>258</v>
      </c>
      <c r="K631" s="7" t="s">
        <v>885</v>
      </c>
      <c r="L631" s="7" t="s">
        <v>44</v>
      </c>
      <c r="M631" s="7">
        <v>8.1940570000000008</v>
      </c>
      <c r="N631" s="7">
        <v>13.639842</v>
      </c>
      <c r="O631" s="7" t="s">
        <v>23</v>
      </c>
      <c r="P631" s="3"/>
      <c r="Q631" s="3"/>
      <c r="R631" s="3"/>
    </row>
    <row r="632" spans="1:18" x14ac:dyDescent="0.25">
      <c r="A632" s="2">
        <v>1779</v>
      </c>
      <c r="B632" s="7" t="s">
        <v>6655</v>
      </c>
      <c r="C632" s="7" t="s">
        <v>6656</v>
      </c>
      <c r="D632" s="7" t="s">
        <v>6655</v>
      </c>
      <c r="E632" s="7" t="s">
        <v>42</v>
      </c>
      <c r="F632" s="7" t="s">
        <v>6657</v>
      </c>
      <c r="G632" s="17" t="s">
        <v>7747</v>
      </c>
      <c r="H632" s="7" t="s">
        <v>28</v>
      </c>
      <c r="I632" s="7" t="s">
        <v>102</v>
      </c>
      <c r="J632" s="7" t="s">
        <v>103</v>
      </c>
      <c r="K632" s="7" t="s">
        <v>104</v>
      </c>
      <c r="L632" s="7" t="s">
        <v>44</v>
      </c>
      <c r="M632" s="7">
        <v>6.5982130000000003</v>
      </c>
      <c r="N632" s="7">
        <v>12.883041</v>
      </c>
      <c r="O632" s="7" t="s">
        <v>23</v>
      </c>
      <c r="P632" s="3"/>
      <c r="Q632" s="3"/>
      <c r="R632" s="3"/>
    </row>
    <row r="633" spans="1:18" x14ac:dyDescent="0.25">
      <c r="A633" s="2">
        <v>1780</v>
      </c>
      <c r="B633" s="7" t="s">
        <v>6745</v>
      </c>
      <c r="C633" s="7" t="s">
        <v>6746</v>
      </c>
      <c r="D633" s="7" t="s">
        <v>6745</v>
      </c>
      <c r="E633" s="7" t="s">
        <v>42</v>
      </c>
      <c r="F633" s="7" t="s">
        <v>6747</v>
      </c>
      <c r="G633" s="17" t="s">
        <v>7747</v>
      </c>
      <c r="H633" s="7" t="s">
        <v>28</v>
      </c>
      <c r="I633" s="7" t="s">
        <v>44</v>
      </c>
      <c r="J633" s="7" t="s">
        <v>235</v>
      </c>
      <c r="K633" s="7" t="s">
        <v>5920</v>
      </c>
      <c r="L633" s="7" t="s">
        <v>44</v>
      </c>
      <c r="M633" s="7">
        <v>7.5157780000000001</v>
      </c>
      <c r="N633" s="7">
        <v>13.888667</v>
      </c>
      <c r="O633" s="7" t="s">
        <v>23</v>
      </c>
      <c r="P633" s="3"/>
      <c r="Q633" s="3"/>
      <c r="R633" s="3"/>
    </row>
    <row r="634" spans="1:18" x14ac:dyDescent="0.25">
      <c r="A634" s="2">
        <v>1781</v>
      </c>
      <c r="B634" s="7" t="s">
        <v>6899</v>
      </c>
      <c r="C634" s="7" t="s">
        <v>6900</v>
      </c>
      <c r="D634" s="7" t="s">
        <v>6899</v>
      </c>
      <c r="E634" s="7" t="s">
        <v>42</v>
      </c>
      <c r="F634" s="7" t="s">
        <v>6901</v>
      </c>
      <c r="G634" s="17" t="s">
        <v>7747</v>
      </c>
      <c r="H634" s="7" t="s">
        <v>19</v>
      </c>
      <c r="I634" s="7" t="s">
        <v>47</v>
      </c>
      <c r="J634" s="7" t="s">
        <v>47</v>
      </c>
      <c r="K634" s="7" t="s">
        <v>6902</v>
      </c>
      <c r="L634" s="7" t="s">
        <v>44</v>
      </c>
      <c r="M634" s="7">
        <v>6.4642499999999998</v>
      </c>
      <c r="N634" s="7">
        <v>13.26389</v>
      </c>
      <c r="O634" s="7" t="s">
        <v>23</v>
      </c>
      <c r="P634" s="3"/>
      <c r="Q634" s="3"/>
      <c r="R634" s="3"/>
    </row>
    <row r="635" spans="1:18" x14ac:dyDescent="0.25">
      <c r="A635" s="2">
        <v>1782</v>
      </c>
      <c r="B635" s="7" t="s">
        <v>7104</v>
      </c>
      <c r="C635" s="7" t="s">
        <v>7105</v>
      </c>
      <c r="D635" s="7" t="s">
        <v>7104</v>
      </c>
      <c r="E635" s="7" t="s">
        <v>42</v>
      </c>
      <c r="F635" s="7" t="s">
        <v>7106</v>
      </c>
      <c r="G635" s="17" t="s">
        <v>7747</v>
      </c>
      <c r="H635" s="7" t="s">
        <v>28</v>
      </c>
      <c r="I635" s="7" t="s">
        <v>44</v>
      </c>
      <c r="J635" s="7" t="s">
        <v>7107</v>
      </c>
      <c r="K635" s="7" t="s">
        <v>7108</v>
      </c>
      <c r="L635" s="7" t="s">
        <v>44</v>
      </c>
      <c r="M635" s="7">
        <v>7.3184319999999996</v>
      </c>
      <c r="N635" s="7">
        <v>13.569753</v>
      </c>
      <c r="O635" s="7" t="s">
        <v>23</v>
      </c>
      <c r="P635" s="3"/>
      <c r="Q635" s="3"/>
      <c r="R635" s="3"/>
    </row>
    <row r="636" spans="1:18" x14ac:dyDescent="0.25">
      <c r="A636" s="2">
        <v>1783</v>
      </c>
      <c r="B636" s="7" t="s">
        <v>7168</v>
      </c>
      <c r="C636" s="7" t="s">
        <v>7169</v>
      </c>
      <c r="D636" s="7" t="s">
        <v>7168</v>
      </c>
      <c r="E636" s="7" t="s">
        <v>170</v>
      </c>
      <c r="F636" s="7" t="s">
        <v>7170</v>
      </c>
      <c r="G636" s="17" t="s">
        <v>7747</v>
      </c>
      <c r="H636" s="7" t="s">
        <v>28</v>
      </c>
      <c r="I636" s="7" t="s">
        <v>172</v>
      </c>
      <c r="J636" s="7" t="s">
        <v>7047</v>
      </c>
      <c r="K636" s="7" t="s">
        <v>1630</v>
      </c>
      <c r="L636" s="7" t="s">
        <v>44</v>
      </c>
      <c r="M636" s="7">
        <v>7.6966190000000001</v>
      </c>
      <c r="N636" s="7">
        <v>14.542510999999999</v>
      </c>
      <c r="O636" s="7" t="s">
        <v>23</v>
      </c>
      <c r="P636" s="3"/>
      <c r="Q636" s="3"/>
      <c r="R636" s="3"/>
    </row>
    <row r="637" spans="1:18" x14ac:dyDescent="0.25">
      <c r="A637" s="2">
        <v>1784</v>
      </c>
      <c r="B637" s="7" t="s">
        <v>7544</v>
      </c>
      <c r="C637" s="7" t="s">
        <v>7545</v>
      </c>
      <c r="D637" s="7" t="s">
        <v>7544</v>
      </c>
      <c r="E637" s="7" t="s">
        <v>42</v>
      </c>
      <c r="F637" s="7" t="s">
        <v>7546</v>
      </c>
      <c r="G637" s="17" t="s">
        <v>7747</v>
      </c>
      <c r="H637" s="7" t="s">
        <v>28</v>
      </c>
      <c r="I637" s="7" t="s">
        <v>102</v>
      </c>
      <c r="J637" s="7" t="s">
        <v>7547</v>
      </c>
      <c r="K637" s="7" t="s">
        <v>7548</v>
      </c>
      <c r="L637" s="7" t="s">
        <v>44</v>
      </c>
      <c r="M637" s="7">
        <v>6.4782570000000002</v>
      </c>
      <c r="N637" s="7">
        <v>13.265807000000001</v>
      </c>
      <c r="O637" s="7" t="s">
        <v>23</v>
      </c>
      <c r="P637" s="3"/>
      <c r="Q637" s="3"/>
      <c r="R637" s="3"/>
    </row>
    <row r="638" spans="1:18" ht="45" x14ac:dyDescent="0.25">
      <c r="A638" s="2">
        <v>1785</v>
      </c>
      <c r="B638" s="7" t="s">
        <v>7694</v>
      </c>
      <c r="C638" s="7" t="s">
        <v>7695</v>
      </c>
      <c r="D638" s="7" t="s">
        <v>7694</v>
      </c>
      <c r="E638" s="7" t="s">
        <v>42</v>
      </c>
      <c r="F638" s="11" t="s">
        <v>7696</v>
      </c>
      <c r="G638" s="17" t="s">
        <v>7747</v>
      </c>
      <c r="H638" s="7" t="s">
        <v>28</v>
      </c>
      <c r="I638" s="7" t="s">
        <v>44</v>
      </c>
      <c r="J638" s="7" t="s">
        <v>235</v>
      </c>
      <c r="K638" s="7" t="s">
        <v>3101</v>
      </c>
      <c r="L638" s="7" t="s">
        <v>44</v>
      </c>
      <c r="M638" s="12">
        <v>7.3248009999999999</v>
      </c>
      <c r="N638" s="12">
        <v>13.548888</v>
      </c>
      <c r="O638" s="7" t="s">
        <v>23</v>
      </c>
      <c r="P638" s="3"/>
      <c r="Q638" s="3"/>
      <c r="R638" s="3"/>
    </row>
    <row r="639" spans="1:18" x14ac:dyDescent="0.25">
      <c r="A639" s="2">
        <v>1786</v>
      </c>
      <c r="B639" s="7" t="s">
        <v>7720</v>
      </c>
      <c r="C639" s="7" t="s">
        <v>7721</v>
      </c>
      <c r="D639" s="7" t="s">
        <v>7720</v>
      </c>
      <c r="E639" s="7" t="s">
        <v>42</v>
      </c>
      <c r="F639" s="7" t="s">
        <v>7722</v>
      </c>
      <c r="G639" s="17" t="s">
        <v>7747</v>
      </c>
      <c r="H639" s="7" t="s">
        <v>28</v>
      </c>
      <c r="I639" s="7" t="s">
        <v>47</v>
      </c>
      <c r="J639" s="7" t="s">
        <v>47</v>
      </c>
      <c r="K639" s="7" t="s">
        <v>104</v>
      </c>
      <c r="L639" s="7" t="s">
        <v>44</v>
      </c>
      <c r="M639" s="7">
        <v>6.4303150000000002</v>
      </c>
      <c r="N639" s="7">
        <v>13.330802</v>
      </c>
      <c r="O639" s="7" t="s">
        <v>23</v>
      </c>
      <c r="P639" s="3"/>
      <c r="Q639" s="3"/>
      <c r="R639" s="3"/>
    </row>
    <row r="640" spans="1:18" x14ac:dyDescent="0.25">
      <c r="A640" s="2">
        <v>1835</v>
      </c>
      <c r="B640" s="7" t="s">
        <v>180</v>
      </c>
      <c r="C640" s="7" t="s">
        <v>181</v>
      </c>
      <c r="D640" s="7" t="s">
        <v>180</v>
      </c>
      <c r="E640" s="7" t="s">
        <v>182</v>
      </c>
      <c r="F640" s="7" t="s">
        <v>183</v>
      </c>
      <c r="G640" s="17" t="s">
        <v>7747</v>
      </c>
      <c r="H640" s="7" t="s">
        <v>28</v>
      </c>
      <c r="I640" s="7" t="s">
        <v>184</v>
      </c>
      <c r="J640" s="7" t="s">
        <v>185</v>
      </c>
      <c r="K640" s="7" t="s">
        <v>186</v>
      </c>
      <c r="L640" s="7" t="s">
        <v>136</v>
      </c>
      <c r="M640" s="7">
        <v>3.9939</v>
      </c>
      <c r="N640" s="7">
        <v>11.59984</v>
      </c>
      <c r="O640" s="7" t="s">
        <v>23</v>
      </c>
      <c r="P640" s="3"/>
      <c r="Q640" s="3"/>
      <c r="R640" s="3"/>
    </row>
    <row r="641" spans="1:18" x14ac:dyDescent="0.25">
      <c r="A641" s="2">
        <v>1836</v>
      </c>
      <c r="B641" s="7" t="s">
        <v>248</v>
      </c>
      <c r="C641" s="7" t="s">
        <v>249</v>
      </c>
      <c r="D641" s="7" t="s">
        <v>248</v>
      </c>
      <c r="E641" s="7" t="s">
        <v>250</v>
      </c>
      <c r="F641" s="7" t="s">
        <v>251</v>
      </c>
      <c r="G641" s="17" t="s">
        <v>7747</v>
      </c>
      <c r="H641" s="7" t="s">
        <v>28</v>
      </c>
      <c r="I641" s="7" t="s">
        <v>252</v>
      </c>
      <c r="J641" s="7" t="s">
        <v>253</v>
      </c>
      <c r="K641" s="7" t="s">
        <v>254</v>
      </c>
      <c r="L641" s="7" t="s">
        <v>136</v>
      </c>
      <c r="M641" s="7">
        <v>2.42</v>
      </c>
      <c r="N641" s="7">
        <v>12.260361</v>
      </c>
      <c r="O641" s="7" t="s">
        <v>23</v>
      </c>
      <c r="P641" s="3"/>
      <c r="Q641" s="3"/>
      <c r="R641" s="3"/>
    </row>
    <row r="642" spans="1:18" x14ac:dyDescent="0.25">
      <c r="A642" s="2">
        <v>1837</v>
      </c>
      <c r="B642" s="7" t="s">
        <v>272</v>
      </c>
      <c r="C642" s="7" t="s">
        <v>273</v>
      </c>
      <c r="D642" s="7" t="s">
        <v>272</v>
      </c>
      <c r="E642" s="7" t="s">
        <v>182</v>
      </c>
      <c r="F642" s="7" t="s">
        <v>274</v>
      </c>
      <c r="G642" s="17" t="s">
        <v>7747</v>
      </c>
      <c r="H642" s="7" t="s">
        <v>28</v>
      </c>
      <c r="I642" s="7" t="s">
        <v>275</v>
      </c>
      <c r="J642" s="7" t="s">
        <v>276</v>
      </c>
      <c r="K642" s="7" t="s">
        <v>277</v>
      </c>
      <c r="L642" s="7" t="s">
        <v>136</v>
      </c>
      <c r="M642" s="7">
        <v>3.4271980000000002</v>
      </c>
      <c r="N642" s="7">
        <v>11.2799</v>
      </c>
      <c r="O642" s="7" t="s">
        <v>23</v>
      </c>
      <c r="P642" s="3"/>
      <c r="Q642" s="3"/>
      <c r="R642" s="3"/>
    </row>
    <row r="643" spans="1:18" x14ac:dyDescent="0.25">
      <c r="A643" s="2">
        <v>1838</v>
      </c>
      <c r="B643" s="7" t="s">
        <v>283</v>
      </c>
      <c r="C643" s="7" t="s">
        <v>284</v>
      </c>
      <c r="D643" s="7" t="s">
        <v>283</v>
      </c>
      <c r="E643" s="7" t="s">
        <v>182</v>
      </c>
      <c r="F643" s="7" t="s">
        <v>285</v>
      </c>
      <c r="G643" s="17" t="s">
        <v>7747</v>
      </c>
      <c r="H643" s="7" t="s">
        <v>28</v>
      </c>
      <c r="I643" s="7" t="s">
        <v>286</v>
      </c>
      <c r="J643" s="7" t="s">
        <v>287</v>
      </c>
      <c r="K643" s="7" t="s">
        <v>288</v>
      </c>
      <c r="L643" s="7" t="s">
        <v>136</v>
      </c>
      <c r="M643" s="7">
        <v>4.1472449999999998</v>
      </c>
      <c r="N643" s="7">
        <v>11.512238999999999</v>
      </c>
      <c r="O643" s="7" t="s">
        <v>23</v>
      </c>
      <c r="P643" s="3"/>
      <c r="Q643" s="3"/>
      <c r="R643" s="3"/>
    </row>
    <row r="644" spans="1:18" x14ac:dyDescent="0.25">
      <c r="A644" s="2">
        <v>1839</v>
      </c>
      <c r="B644" s="7" t="s">
        <v>294</v>
      </c>
      <c r="C644" s="7" t="s">
        <v>295</v>
      </c>
      <c r="D644" s="7" t="s">
        <v>294</v>
      </c>
      <c r="E644" s="7" t="s">
        <v>182</v>
      </c>
      <c r="F644" s="7" t="s">
        <v>296</v>
      </c>
      <c r="G644" s="17" t="s">
        <v>7747</v>
      </c>
      <c r="H644" s="7" t="s">
        <v>28</v>
      </c>
      <c r="I644" s="7" t="s">
        <v>297</v>
      </c>
      <c r="J644" s="7" t="s">
        <v>298</v>
      </c>
      <c r="K644" s="7" t="s">
        <v>299</v>
      </c>
      <c r="L644" s="7" t="s">
        <v>136</v>
      </c>
      <c r="M644" s="7">
        <v>4.26295</v>
      </c>
      <c r="N644" s="7">
        <v>10.96026</v>
      </c>
      <c r="O644" s="7" t="s">
        <v>23</v>
      </c>
      <c r="P644" s="3"/>
      <c r="Q644" s="3"/>
      <c r="R644" s="3"/>
    </row>
    <row r="645" spans="1:18" x14ac:dyDescent="0.25">
      <c r="A645" s="2">
        <v>1840</v>
      </c>
      <c r="B645" s="7" t="s">
        <v>308</v>
      </c>
      <c r="C645" s="7" t="s">
        <v>309</v>
      </c>
      <c r="D645" s="7" t="s">
        <v>308</v>
      </c>
      <c r="E645" s="7" t="s">
        <v>250</v>
      </c>
      <c r="F645" s="7" t="s">
        <v>310</v>
      </c>
      <c r="G645" s="17" t="s">
        <v>7747</v>
      </c>
      <c r="H645" s="7" t="s">
        <v>28</v>
      </c>
      <c r="I645" s="7" t="s">
        <v>311</v>
      </c>
      <c r="J645" s="7" t="s">
        <v>312</v>
      </c>
      <c r="K645" s="7" t="s">
        <v>313</v>
      </c>
      <c r="L645" s="7" t="s">
        <v>136</v>
      </c>
      <c r="M645" s="7">
        <v>2.8416670000000002</v>
      </c>
      <c r="N645" s="7">
        <v>11.558861</v>
      </c>
      <c r="O645" s="7" t="s">
        <v>23</v>
      </c>
      <c r="P645" s="3"/>
      <c r="Q645" s="3"/>
      <c r="R645" s="3"/>
    </row>
    <row r="646" spans="1:18" x14ac:dyDescent="0.25">
      <c r="A646" s="2">
        <v>1841</v>
      </c>
      <c r="B646" s="7" t="s">
        <v>319</v>
      </c>
      <c r="C646" s="7" t="s">
        <v>320</v>
      </c>
      <c r="D646" s="7" t="s">
        <v>319</v>
      </c>
      <c r="E646" s="7" t="s">
        <v>250</v>
      </c>
      <c r="F646" s="7" t="s">
        <v>321</v>
      </c>
      <c r="G646" s="17" t="s">
        <v>7747</v>
      </c>
      <c r="H646" s="7" t="s">
        <v>28</v>
      </c>
      <c r="I646" s="7" t="s">
        <v>322</v>
      </c>
      <c r="J646" s="7" t="s">
        <v>323</v>
      </c>
      <c r="K646" s="7" t="s">
        <v>324</v>
      </c>
      <c r="L646" s="7" t="s">
        <v>136</v>
      </c>
      <c r="M646" s="7">
        <v>3.20045</v>
      </c>
      <c r="N646" s="7">
        <v>11.948378999999999</v>
      </c>
      <c r="O646" s="7" t="s">
        <v>23</v>
      </c>
      <c r="P646" s="3"/>
      <c r="Q646" s="3"/>
      <c r="R646" s="3"/>
    </row>
    <row r="647" spans="1:18" x14ac:dyDescent="0.25">
      <c r="A647" s="2">
        <v>1842</v>
      </c>
      <c r="B647" s="7" t="s">
        <v>334</v>
      </c>
      <c r="C647" s="7" t="s">
        <v>335</v>
      </c>
      <c r="D647" s="7" t="s">
        <v>334</v>
      </c>
      <c r="E647" s="7" t="s">
        <v>182</v>
      </c>
      <c r="F647" s="7" t="s">
        <v>336</v>
      </c>
      <c r="G647" s="17" t="s">
        <v>7747</v>
      </c>
      <c r="H647" s="7" t="s">
        <v>28</v>
      </c>
      <c r="I647" s="7" t="s">
        <v>286</v>
      </c>
      <c r="J647" s="7" t="s">
        <v>287</v>
      </c>
      <c r="K647" s="7" t="s">
        <v>337</v>
      </c>
      <c r="L647" s="7" t="s">
        <v>136</v>
      </c>
      <c r="M647" s="7">
        <v>4.2196129999999998</v>
      </c>
      <c r="N647" s="7">
        <v>11.363479999999999</v>
      </c>
      <c r="O647" s="7" t="s">
        <v>23</v>
      </c>
      <c r="P647" s="3"/>
      <c r="Q647" s="3"/>
      <c r="R647" s="3"/>
    </row>
    <row r="648" spans="1:18" x14ac:dyDescent="0.25">
      <c r="A648" s="2">
        <v>1843</v>
      </c>
      <c r="B648" s="7" t="s">
        <v>338</v>
      </c>
      <c r="C648" s="7" t="s">
        <v>339</v>
      </c>
      <c r="D648" s="7" t="s">
        <v>338</v>
      </c>
      <c r="E648" s="7" t="s">
        <v>250</v>
      </c>
      <c r="F648" s="7" t="s">
        <v>340</v>
      </c>
      <c r="G648" s="17" t="s">
        <v>7747</v>
      </c>
      <c r="H648" s="7" t="s">
        <v>28</v>
      </c>
      <c r="I648" s="7" t="s">
        <v>341</v>
      </c>
      <c r="J648" s="7" t="s">
        <v>323</v>
      </c>
      <c r="K648" s="7" t="s">
        <v>342</v>
      </c>
      <c r="L648" s="7" t="s">
        <v>136</v>
      </c>
      <c r="M648" s="7">
        <v>3.1907220000000001</v>
      </c>
      <c r="N648" s="7">
        <v>11.224667</v>
      </c>
      <c r="O648" s="7" t="s">
        <v>23</v>
      </c>
      <c r="P648" s="3"/>
      <c r="Q648" s="3"/>
      <c r="R648" s="3"/>
    </row>
    <row r="649" spans="1:18" x14ac:dyDescent="0.25">
      <c r="A649" s="2">
        <v>1844</v>
      </c>
      <c r="B649" s="7" t="s">
        <v>343</v>
      </c>
      <c r="C649" s="7" t="s">
        <v>344</v>
      </c>
      <c r="D649" s="7" t="s">
        <v>343</v>
      </c>
      <c r="E649" s="7" t="s">
        <v>250</v>
      </c>
      <c r="F649" s="7" t="s">
        <v>345</v>
      </c>
      <c r="G649" s="17" t="s">
        <v>7747</v>
      </c>
      <c r="H649" s="7" t="s">
        <v>28</v>
      </c>
      <c r="I649" s="7" t="s">
        <v>341</v>
      </c>
      <c r="J649" s="7" t="s">
        <v>323</v>
      </c>
      <c r="K649" s="7" t="s">
        <v>342</v>
      </c>
      <c r="L649" s="7" t="s">
        <v>136</v>
      </c>
      <c r="M649" s="7">
        <v>3.349297</v>
      </c>
      <c r="N649" s="7">
        <v>11.220005</v>
      </c>
      <c r="O649" s="7" t="s">
        <v>23</v>
      </c>
      <c r="P649" s="3"/>
      <c r="Q649" s="3"/>
      <c r="R649" s="3"/>
    </row>
    <row r="650" spans="1:18" x14ac:dyDescent="0.25">
      <c r="A650" s="2">
        <v>1845</v>
      </c>
      <c r="B650" s="7" t="s">
        <v>371</v>
      </c>
      <c r="C650" s="7" t="s">
        <v>372</v>
      </c>
      <c r="D650" s="7" t="s">
        <v>371</v>
      </c>
      <c r="E650" s="7" t="s">
        <v>182</v>
      </c>
      <c r="F650" s="7" t="s">
        <v>373</v>
      </c>
      <c r="G650" s="17" t="s">
        <v>7747</v>
      </c>
      <c r="H650" s="7" t="s">
        <v>28</v>
      </c>
      <c r="I650" s="7" t="s">
        <v>374</v>
      </c>
      <c r="J650" s="7" t="s">
        <v>134</v>
      </c>
      <c r="K650" s="7" t="s">
        <v>375</v>
      </c>
      <c r="L650" s="7" t="s">
        <v>136</v>
      </c>
      <c r="M650" s="7">
        <v>4.7234759999999998</v>
      </c>
      <c r="N650" s="7">
        <v>11.690512</v>
      </c>
      <c r="O650" s="7" t="s">
        <v>23</v>
      </c>
      <c r="P650" s="3"/>
      <c r="Q650" s="3"/>
      <c r="R650" s="3"/>
    </row>
    <row r="651" spans="1:18" x14ac:dyDescent="0.25">
      <c r="A651" s="2">
        <v>1846</v>
      </c>
      <c r="B651" s="7" t="s">
        <v>380</v>
      </c>
      <c r="C651" s="7" t="s">
        <v>381</v>
      </c>
      <c r="D651" s="7" t="s">
        <v>380</v>
      </c>
      <c r="E651" s="7" t="s">
        <v>182</v>
      </c>
      <c r="F651" s="7" t="s">
        <v>382</v>
      </c>
      <c r="G651" s="17" t="s">
        <v>7747</v>
      </c>
      <c r="H651" s="7" t="s">
        <v>28</v>
      </c>
      <c r="I651" s="7" t="s">
        <v>374</v>
      </c>
      <c r="J651" s="7" t="s">
        <v>134</v>
      </c>
      <c r="K651" s="7" t="s">
        <v>383</v>
      </c>
      <c r="L651" s="7" t="s">
        <v>136</v>
      </c>
      <c r="M651" s="7">
        <v>5.1002539999999996</v>
      </c>
      <c r="N651" s="7">
        <v>12.08738</v>
      </c>
      <c r="O651" s="7" t="s">
        <v>23</v>
      </c>
      <c r="P651" s="3"/>
      <c r="Q651" s="3"/>
      <c r="R651" s="3"/>
    </row>
    <row r="652" spans="1:18" x14ac:dyDescent="0.25">
      <c r="A652" s="2">
        <v>1847</v>
      </c>
      <c r="B652" s="7" t="s">
        <v>387</v>
      </c>
      <c r="C652" s="7" t="s">
        <v>388</v>
      </c>
      <c r="D652" s="7" t="s">
        <v>387</v>
      </c>
      <c r="E652" s="7" t="s">
        <v>250</v>
      </c>
      <c r="F652" s="7" t="s">
        <v>389</v>
      </c>
      <c r="G652" s="17" t="s">
        <v>7747</v>
      </c>
      <c r="H652" s="7" t="s">
        <v>28</v>
      </c>
      <c r="I652" s="7" t="s">
        <v>341</v>
      </c>
      <c r="J652" s="7" t="s">
        <v>323</v>
      </c>
      <c r="K652" s="7" t="s">
        <v>342</v>
      </c>
      <c r="L652" s="7" t="s">
        <v>136</v>
      </c>
      <c r="M652" s="7">
        <v>3.2702610000000001</v>
      </c>
      <c r="N652" s="7">
        <v>11.191618999999999</v>
      </c>
      <c r="O652" s="7" t="s">
        <v>23</v>
      </c>
      <c r="P652" s="3"/>
      <c r="Q652" s="3"/>
      <c r="R652" s="3"/>
    </row>
    <row r="653" spans="1:18" x14ac:dyDescent="0.25">
      <c r="A653" s="2">
        <v>1848</v>
      </c>
      <c r="B653" s="7" t="s">
        <v>434</v>
      </c>
      <c r="C653" s="7" t="s">
        <v>435</v>
      </c>
      <c r="D653" s="7" t="s">
        <v>434</v>
      </c>
      <c r="E653" s="7" t="s">
        <v>250</v>
      </c>
      <c r="F653" s="7" t="s">
        <v>436</v>
      </c>
      <c r="G653" s="17" t="s">
        <v>7747</v>
      </c>
      <c r="H653" s="7" t="s">
        <v>28</v>
      </c>
      <c r="I653" s="7" t="s">
        <v>322</v>
      </c>
      <c r="J653" s="7" t="s">
        <v>312</v>
      </c>
      <c r="K653" s="7" t="s">
        <v>437</v>
      </c>
      <c r="L653" s="7" t="s">
        <v>136</v>
      </c>
      <c r="M653" s="7">
        <v>2.656444</v>
      </c>
      <c r="N653" s="7">
        <v>11.741167000000001</v>
      </c>
      <c r="O653" s="7" t="s">
        <v>23</v>
      </c>
      <c r="P653" s="3"/>
      <c r="Q653" s="3"/>
      <c r="R653" s="3"/>
    </row>
    <row r="654" spans="1:18" x14ac:dyDescent="0.25">
      <c r="A654" s="2">
        <v>1849</v>
      </c>
      <c r="B654" s="7" t="s">
        <v>482</v>
      </c>
      <c r="C654" s="7" t="s">
        <v>483</v>
      </c>
      <c r="D654" s="7" t="s">
        <v>482</v>
      </c>
      <c r="E654" s="7" t="s">
        <v>182</v>
      </c>
      <c r="F654" s="7" t="s">
        <v>484</v>
      </c>
      <c r="G654" s="17" t="s">
        <v>7747</v>
      </c>
      <c r="H654" s="7" t="s">
        <v>28</v>
      </c>
      <c r="I654" s="7" t="s">
        <v>275</v>
      </c>
      <c r="J654" s="7" t="s">
        <v>208</v>
      </c>
      <c r="K654" s="7" t="s">
        <v>485</v>
      </c>
      <c r="L654" s="7" t="s">
        <v>136</v>
      </c>
      <c r="M654" s="7">
        <v>3.5748530000000001</v>
      </c>
      <c r="N654" s="7">
        <v>11.142967000000001</v>
      </c>
      <c r="O654" s="7" t="s">
        <v>23</v>
      </c>
      <c r="P654" s="3"/>
      <c r="Q654" s="3"/>
      <c r="R654" s="3"/>
    </row>
    <row r="655" spans="1:18" x14ac:dyDescent="0.25">
      <c r="A655" s="2">
        <v>1850</v>
      </c>
      <c r="B655" s="7" t="s">
        <v>515</v>
      </c>
      <c r="C655" s="7" t="s">
        <v>516</v>
      </c>
      <c r="D655" s="7" t="s">
        <v>515</v>
      </c>
      <c r="E655" s="7" t="s">
        <v>250</v>
      </c>
      <c r="F655" s="7" t="s">
        <v>517</v>
      </c>
      <c r="G655" s="17" t="s">
        <v>7747</v>
      </c>
      <c r="H655" s="7" t="s">
        <v>28</v>
      </c>
      <c r="I655" s="7" t="s">
        <v>311</v>
      </c>
      <c r="J655" s="7" t="s">
        <v>312</v>
      </c>
      <c r="K655" s="7" t="s">
        <v>518</v>
      </c>
      <c r="L655" s="7" t="s">
        <v>136</v>
      </c>
      <c r="M655" s="7">
        <v>2.9825499999999998</v>
      </c>
      <c r="N655" s="7">
        <v>11.561223</v>
      </c>
      <c r="O655" s="7" t="s">
        <v>23</v>
      </c>
      <c r="P655" s="3"/>
      <c r="Q655" s="3"/>
      <c r="R655" s="3"/>
    </row>
    <row r="656" spans="1:18" x14ac:dyDescent="0.25">
      <c r="A656" s="2">
        <v>1851</v>
      </c>
      <c r="B656" s="7" t="s">
        <v>538</v>
      </c>
      <c r="C656" s="7" t="s">
        <v>539</v>
      </c>
      <c r="D656" s="7" t="s">
        <v>538</v>
      </c>
      <c r="E656" s="7" t="s">
        <v>250</v>
      </c>
      <c r="F656" s="7" t="s">
        <v>540</v>
      </c>
      <c r="G656" s="17" t="s">
        <v>7747</v>
      </c>
      <c r="H656" s="7" t="s">
        <v>28</v>
      </c>
      <c r="I656" s="7" t="s">
        <v>322</v>
      </c>
      <c r="J656" s="7" t="s">
        <v>253</v>
      </c>
      <c r="K656" s="7" t="s">
        <v>324</v>
      </c>
      <c r="L656" s="7" t="s">
        <v>136</v>
      </c>
      <c r="M656" s="7">
        <v>2.6518600000000001</v>
      </c>
      <c r="N656" s="7">
        <v>12.150824999999999</v>
      </c>
      <c r="O656" s="7" t="s">
        <v>23</v>
      </c>
      <c r="P656" s="3"/>
      <c r="Q656" s="3"/>
      <c r="R656" s="3"/>
    </row>
    <row r="657" spans="1:18" x14ac:dyDescent="0.25">
      <c r="A657" s="2">
        <v>1852</v>
      </c>
      <c r="B657" s="7" t="s">
        <v>554</v>
      </c>
      <c r="C657" s="7" t="s">
        <v>555</v>
      </c>
      <c r="D657" s="7" t="s">
        <v>554</v>
      </c>
      <c r="E657" s="7" t="s">
        <v>182</v>
      </c>
      <c r="F657" s="7" t="s">
        <v>556</v>
      </c>
      <c r="G657" s="17" t="s">
        <v>7747</v>
      </c>
      <c r="H657" s="7" t="s">
        <v>28</v>
      </c>
      <c r="I657" s="7" t="s">
        <v>275</v>
      </c>
      <c r="J657" s="7" t="s">
        <v>276</v>
      </c>
      <c r="K657" s="7" t="s">
        <v>557</v>
      </c>
      <c r="L657" s="7" t="s">
        <v>136</v>
      </c>
      <c r="M657" s="7">
        <v>3.7959619999999998</v>
      </c>
      <c r="N657" s="7">
        <v>11.371364</v>
      </c>
      <c r="O657" s="7" t="s">
        <v>23</v>
      </c>
      <c r="P657" s="3"/>
      <c r="Q657" s="3"/>
      <c r="R657" s="3"/>
    </row>
    <row r="658" spans="1:18" x14ac:dyDescent="0.25">
      <c r="A658" s="2">
        <v>1853</v>
      </c>
      <c r="B658" s="7" t="s">
        <v>594</v>
      </c>
      <c r="C658" s="7" t="s">
        <v>595</v>
      </c>
      <c r="D658" s="7" t="s">
        <v>594</v>
      </c>
      <c r="E658" s="7" t="s">
        <v>182</v>
      </c>
      <c r="F658" s="7" t="s">
        <v>596</v>
      </c>
      <c r="G658" s="17" t="s">
        <v>7747</v>
      </c>
      <c r="H658" s="7" t="s">
        <v>28</v>
      </c>
      <c r="I658" s="7" t="s">
        <v>275</v>
      </c>
      <c r="J658" s="7" t="s">
        <v>208</v>
      </c>
      <c r="K658" s="7" t="s">
        <v>485</v>
      </c>
      <c r="L658" s="7" t="s">
        <v>136</v>
      </c>
      <c r="M658" s="7">
        <v>3.730111</v>
      </c>
      <c r="N658" s="7">
        <v>11.171528</v>
      </c>
      <c r="O658" s="7" t="s">
        <v>23</v>
      </c>
      <c r="P658" s="3"/>
      <c r="Q658" s="3"/>
      <c r="R658" s="3"/>
    </row>
    <row r="659" spans="1:18" x14ac:dyDescent="0.25">
      <c r="A659" s="2">
        <v>1854</v>
      </c>
      <c r="B659" s="7" t="s">
        <v>597</v>
      </c>
      <c r="C659" s="7" t="s">
        <v>598</v>
      </c>
      <c r="D659" s="7" t="s">
        <v>597</v>
      </c>
      <c r="E659" s="7" t="s">
        <v>182</v>
      </c>
      <c r="F659" s="7" t="s">
        <v>599</v>
      </c>
      <c r="G659" s="17" t="s">
        <v>7747</v>
      </c>
      <c r="H659" s="7" t="s">
        <v>28</v>
      </c>
      <c r="I659" s="7" t="s">
        <v>600</v>
      </c>
      <c r="J659" s="7" t="s">
        <v>208</v>
      </c>
      <c r="K659" s="7" t="s">
        <v>485</v>
      </c>
      <c r="L659" s="7" t="s">
        <v>136</v>
      </c>
      <c r="M659" s="7">
        <v>3.8720279999999998</v>
      </c>
      <c r="N659" s="7">
        <v>10.898833</v>
      </c>
      <c r="O659" s="7" t="s">
        <v>23</v>
      </c>
      <c r="P659" s="3"/>
      <c r="Q659" s="3"/>
      <c r="R659" s="3"/>
    </row>
    <row r="660" spans="1:18" x14ac:dyDescent="0.25">
      <c r="A660" s="2">
        <v>1855</v>
      </c>
      <c r="B660" s="7" t="s">
        <v>605</v>
      </c>
      <c r="C660" s="7" t="s">
        <v>606</v>
      </c>
      <c r="D660" s="7" t="s">
        <v>605</v>
      </c>
      <c r="E660" s="7" t="s">
        <v>182</v>
      </c>
      <c r="F660" s="7" t="s">
        <v>607</v>
      </c>
      <c r="G660" s="17" t="s">
        <v>7747</v>
      </c>
      <c r="H660" s="7" t="s">
        <v>19</v>
      </c>
      <c r="I660" s="7" t="s">
        <v>600</v>
      </c>
      <c r="J660" s="7" t="s">
        <v>208</v>
      </c>
      <c r="K660" s="7" t="s">
        <v>485</v>
      </c>
      <c r="L660" s="7" t="s">
        <v>136</v>
      </c>
      <c r="M660" s="7">
        <v>3.801917</v>
      </c>
      <c r="N660" s="7">
        <v>11.046823</v>
      </c>
      <c r="O660" s="7" t="s">
        <v>23</v>
      </c>
      <c r="P660" s="3"/>
      <c r="Q660" s="3"/>
      <c r="R660" s="3"/>
    </row>
    <row r="661" spans="1:18" x14ac:dyDescent="0.25">
      <c r="A661" s="2">
        <v>1856</v>
      </c>
      <c r="B661" s="7" t="s">
        <v>643</v>
      </c>
      <c r="C661" s="7" t="s">
        <v>644</v>
      </c>
      <c r="D661" s="7" t="s">
        <v>643</v>
      </c>
      <c r="E661" s="7" t="s">
        <v>182</v>
      </c>
      <c r="F661" s="7" t="s">
        <v>645</v>
      </c>
      <c r="G661" s="17" t="s">
        <v>7747</v>
      </c>
      <c r="H661" s="7" t="s">
        <v>28</v>
      </c>
      <c r="I661" s="7" t="s">
        <v>297</v>
      </c>
      <c r="J661" s="7" t="s">
        <v>287</v>
      </c>
      <c r="K661" s="7" t="s">
        <v>645</v>
      </c>
      <c r="L661" s="7" t="s">
        <v>136</v>
      </c>
      <c r="M661" s="7">
        <v>3.9043700000000001</v>
      </c>
      <c r="N661" s="7">
        <v>11.2254</v>
      </c>
      <c r="O661" s="7" t="s">
        <v>23</v>
      </c>
      <c r="P661" s="3"/>
      <c r="Q661" s="3"/>
      <c r="R661" s="3"/>
    </row>
    <row r="662" spans="1:18" x14ac:dyDescent="0.25">
      <c r="A662" s="2">
        <v>1857</v>
      </c>
      <c r="B662" s="7" t="s">
        <v>653</v>
      </c>
      <c r="C662" s="7" t="s">
        <v>654</v>
      </c>
      <c r="D662" s="7" t="s">
        <v>653</v>
      </c>
      <c r="E662" s="7" t="s">
        <v>182</v>
      </c>
      <c r="F662" s="7" t="s">
        <v>655</v>
      </c>
      <c r="G662" s="17" t="s">
        <v>7747</v>
      </c>
      <c r="H662" s="7" t="s">
        <v>28</v>
      </c>
      <c r="I662" s="7" t="s">
        <v>286</v>
      </c>
      <c r="J662" s="7" t="s">
        <v>287</v>
      </c>
      <c r="K662" s="7" t="s">
        <v>288</v>
      </c>
      <c r="L662" s="7" t="s">
        <v>136</v>
      </c>
      <c r="M662" s="7">
        <v>4.0891299999999999</v>
      </c>
      <c r="N662" s="7">
        <v>11.485671999999999</v>
      </c>
      <c r="O662" s="7" t="s">
        <v>23</v>
      </c>
      <c r="P662" s="3"/>
      <c r="Q662" s="3"/>
      <c r="R662" s="3"/>
    </row>
    <row r="663" spans="1:18" x14ac:dyDescent="0.25">
      <c r="A663" s="2">
        <v>1859</v>
      </c>
      <c r="B663" s="7" t="s">
        <v>804</v>
      </c>
      <c r="C663" s="7" t="s">
        <v>805</v>
      </c>
      <c r="D663" s="7" t="s">
        <v>804</v>
      </c>
      <c r="E663" s="7" t="s">
        <v>182</v>
      </c>
      <c r="F663" s="7" t="s">
        <v>806</v>
      </c>
      <c r="G663" s="17" t="s">
        <v>7747</v>
      </c>
      <c r="H663" s="7" t="s">
        <v>28</v>
      </c>
      <c r="I663" s="7" t="s">
        <v>807</v>
      </c>
      <c r="J663" s="7" t="s">
        <v>185</v>
      </c>
      <c r="K663" s="7" t="s">
        <v>808</v>
      </c>
      <c r="L663" s="7" t="s">
        <v>136</v>
      </c>
      <c r="M663" s="7">
        <v>3.9198300000000001</v>
      </c>
      <c r="N663" s="7">
        <v>11.525758</v>
      </c>
      <c r="O663" s="7" t="s">
        <v>23</v>
      </c>
      <c r="P663" s="3"/>
      <c r="Q663" s="3"/>
      <c r="R663" s="3"/>
    </row>
    <row r="664" spans="1:18" x14ac:dyDescent="0.25">
      <c r="A664" s="2">
        <v>1860</v>
      </c>
      <c r="B664" s="7" t="s">
        <v>814</v>
      </c>
      <c r="C664" s="7" t="s">
        <v>815</v>
      </c>
      <c r="D664" s="7" t="s">
        <v>814</v>
      </c>
      <c r="E664" s="7" t="s">
        <v>182</v>
      </c>
      <c r="F664" s="7" t="s">
        <v>816</v>
      </c>
      <c r="G664" s="17" t="s">
        <v>7747</v>
      </c>
      <c r="H664" s="7" t="s">
        <v>28</v>
      </c>
      <c r="I664" s="7" t="s">
        <v>817</v>
      </c>
      <c r="J664" s="7" t="s">
        <v>818</v>
      </c>
      <c r="K664" s="7" t="s">
        <v>819</v>
      </c>
      <c r="L664" s="7" t="s">
        <v>136</v>
      </c>
      <c r="M664" s="7">
        <v>3.8691499999999999</v>
      </c>
      <c r="N664" s="7">
        <v>11.888489</v>
      </c>
      <c r="O664" s="7" t="s">
        <v>23</v>
      </c>
      <c r="P664" s="3"/>
      <c r="Q664" s="3"/>
      <c r="R664" s="3"/>
    </row>
    <row r="665" spans="1:18" x14ac:dyDescent="0.25">
      <c r="A665" s="2">
        <v>1861</v>
      </c>
      <c r="B665" s="7" t="s">
        <v>820</v>
      </c>
      <c r="C665" s="7" t="s">
        <v>821</v>
      </c>
      <c r="D665" s="7" t="s">
        <v>820</v>
      </c>
      <c r="E665" s="7" t="s">
        <v>250</v>
      </c>
      <c r="F665" s="7" t="s">
        <v>822</v>
      </c>
      <c r="G665" s="17" t="s">
        <v>7747</v>
      </c>
      <c r="H665" s="7" t="s">
        <v>28</v>
      </c>
      <c r="I665" s="7" t="s">
        <v>322</v>
      </c>
      <c r="J665" s="7" t="s">
        <v>253</v>
      </c>
      <c r="K665" s="7" t="s">
        <v>324</v>
      </c>
      <c r="L665" s="7" t="s">
        <v>136</v>
      </c>
      <c r="M665" s="7">
        <v>2.823928</v>
      </c>
      <c r="N665" s="7">
        <v>12.253677</v>
      </c>
      <c r="O665" s="7" t="s">
        <v>23</v>
      </c>
      <c r="P665" s="3"/>
      <c r="Q665" s="3"/>
      <c r="R665" s="3"/>
    </row>
    <row r="666" spans="1:18" x14ac:dyDescent="0.25">
      <c r="A666" s="2">
        <v>1862</v>
      </c>
      <c r="B666" s="7" t="s">
        <v>823</v>
      </c>
      <c r="C666" s="7" t="s">
        <v>824</v>
      </c>
      <c r="D666" s="7" t="s">
        <v>823</v>
      </c>
      <c r="E666" s="7" t="s">
        <v>182</v>
      </c>
      <c r="F666" s="7" t="s">
        <v>825</v>
      </c>
      <c r="G666" s="17" t="s">
        <v>7747</v>
      </c>
      <c r="H666" s="7" t="s">
        <v>28</v>
      </c>
      <c r="I666" s="7" t="s">
        <v>817</v>
      </c>
      <c r="J666" s="7" t="s">
        <v>826</v>
      </c>
      <c r="K666" s="7" t="s">
        <v>827</v>
      </c>
      <c r="L666" s="7" t="s">
        <v>136</v>
      </c>
      <c r="M666" s="7">
        <v>3.929325</v>
      </c>
      <c r="N666" s="7">
        <v>11.775477</v>
      </c>
      <c r="O666" s="7" t="s">
        <v>23</v>
      </c>
      <c r="P666" s="3"/>
      <c r="Q666" s="3"/>
      <c r="R666" s="3"/>
    </row>
    <row r="667" spans="1:18" x14ac:dyDescent="0.25">
      <c r="A667" s="2">
        <v>1863</v>
      </c>
      <c r="B667" s="7" t="s">
        <v>878</v>
      </c>
      <c r="C667" s="7" t="s">
        <v>879</v>
      </c>
      <c r="D667" s="7" t="s">
        <v>878</v>
      </c>
      <c r="E667" s="7" t="s">
        <v>250</v>
      </c>
      <c r="F667" s="7" t="s">
        <v>880</v>
      </c>
      <c r="G667" s="17" t="s">
        <v>7747</v>
      </c>
      <c r="H667" s="7" t="s">
        <v>28</v>
      </c>
      <c r="I667" s="7" t="s">
        <v>252</v>
      </c>
      <c r="J667" s="7" t="s">
        <v>253</v>
      </c>
      <c r="K667" s="7" t="s">
        <v>881</v>
      </c>
      <c r="L667" s="7" t="s">
        <v>136</v>
      </c>
      <c r="M667" s="7">
        <v>2.58555</v>
      </c>
      <c r="N667" s="7">
        <v>12.791161000000001</v>
      </c>
      <c r="O667" s="7" t="s">
        <v>23</v>
      </c>
      <c r="P667" s="3"/>
      <c r="Q667" s="3"/>
      <c r="R667" s="3"/>
    </row>
    <row r="668" spans="1:18" x14ac:dyDescent="0.25">
      <c r="A668" s="2">
        <v>1864</v>
      </c>
      <c r="B668" s="7" t="s">
        <v>961</v>
      </c>
      <c r="C668" s="7" t="s">
        <v>962</v>
      </c>
      <c r="D668" s="7" t="s">
        <v>961</v>
      </c>
      <c r="E668" s="7" t="s">
        <v>250</v>
      </c>
      <c r="F668" s="7" t="s">
        <v>963</v>
      </c>
      <c r="G668" s="17" t="s">
        <v>7747</v>
      </c>
      <c r="H668" s="7" t="s">
        <v>28</v>
      </c>
      <c r="I668" s="7" t="s">
        <v>311</v>
      </c>
      <c r="J668" s="7" t="s">
        <v>312</v>
      </c>
      <c r="K668" s="7" t="s">
        <v>313</v>
      </c>
      <c r="L668" s="7" t="s">
        <v>136</v>
      </c>
      <c r="M668" s="7">
        <v>2.7882220000000002</v>
      </c>
      <c r="N668" s="7">
        <v>11.365778000000001</v>
      </c>
      <c r="O668" s="7" t="s">
        <v>23</v>
      </c>
      <c r="P668" s="3"/>
      <c r="Q668" s="3"/>
      <c r="R668" s="3"/>
    </row>
    <row r="669" spans="1:18" x14ac:dyDescent="0.25">
      <c r="A669" s="2">
        <v>1865</v>
      </c>
      <c r="B669" s="7" t="s">
        <v>964</v>
      </c>
      <c r="C669" s="7" t="s">
        <v>965</v>
      </c>
      <c r="D669" s="7" t="s">
        <v>964</v>
      </c>
      <c r="E669" s="7" t="s">
        <v>250</v>
      </c>
      <c r="F669" s="7" t="s">
        <v>966</v>
      </c>
      <c r="G669" s="17" t="s">
        <v>7747</v>
      </c>
      <c r="H669" s="7" t="s">
        <v>28</v>
      </c>
      <c r="I669" s="7" t="s">
        <v>311</v>
      </c>
      <c r="J669" s="7" t="s">
        <v>312</v>
      </c>
      <c r="K669" s="7" t="s">
        <v>967</v>
      </c>
      <c r="L669" s="7" t="s">
        <v>136</v>
      </c>
      <c r="M669" s="7">
        <v>3.150528</v>
      </c>
      <c r="N669" s="7">
        <v>11.1305</v>
      </c>
      <c r="O669" s="7" t="s">
        <v>23</v>
      </c>
      <c r="P669" s="3"/>
      <c r="Q669" s="3"/>
      <c r="R669" s="3"/>
    </row>
    <row r="670" spans="1:18" x14ac:dyDescent="0.25">
      <c r="A670" s="2">
        <v>1868</v>
      </c>
      <c r="B670" s="7" t="s">
        <v>1162</v>
      </c>
      <c r="C670" s="7" t="s">
        <v>1163</v>
      </c>
      <c r="D670" s="7" t="s">
        <v>1162</v>
      </c>
      <c r="E670" s="7" t="s">
        <v>250</v>
      </c>
      <c r="F670" s="7" t="s">
        <v>1164</v>
      </c>
      <c r="G670" s="17" t="s">
        <v>7747</v>
      </c>
      <c r="H670" s="7" t="s">
        <v>28</v>
      </c>
      <c r="I670" s="7" t="s">
        <v>252</v>
      </c>
      <c r="J670" s="7" t="s">
        <v>253</v>
      </c>
      <c r="K670" s="7" t="s">
        <v>881</v>
      </c>
      <c r="L670" s="7" t="s">
        <v>136</v>
      </c>
      <c r="M670" s="7">
        <v>2.6685189999999999</v>
      </c>
      <c r="N670" s="7">
        <v>12.862976</v>
      </c>
      <c r="O670" s="7" t="s">
        <v>23</v>
      </c>
      <c r="P670" s="3"/>
      <c r="Q670" s="3"/>
      <c r="R670" s="3"/>
    </row>
    <row r="671" spans="1:18" x14ac:dyDescent="0.25">
      <c r="A671" s="2">
        <v>1869</v>
      </c>
      <c r="B671" s="7" t="s">
        <v>1168</v>
      </c>
      <c r="C671" s="7" t="s">
        <v>1169</v>
      </c>
      <c r="D671" s="7" t="s">
        <v>1168</v>
      </c>
      <c r="E671" s="7" t="s">
        <v>182</v>
      </c>
      <c r="F671" s="7" t="s">
        <v>1170</v>
      </c>
      <c r="G671" s="17" t="s">
        <v>7747</v>
      </c>
      <c r="H671" s="7" t="s">
        <v>28</v>
      </c>
      <c r="I671" s="7" t="s">
        <v>275</v>
      </c>
      <c r="J671" s="7" t="s">
        <v>276</v>
      </c>
      <c r="K671" s="7" t="s">
        <v>557</v>
      </c>
      <c r="L671" s="7" t="s">
        <v>136</v>
      </c>
      <c r="M671" s="7">
        <v>3.7911359999999998</v>
      </c>
      <c r="N671" s="7">
        <v>11.304503</v>
      </c>
      <c r="O671" s="7" t="s">
        <v>23</v>
      </c>
      <c r="P671" s="3"/>
      <c r="Q671" s="3"/>
      <c r="R671" s="3"/>
    </row>
    <row r="672" spans="1:18" x14ac:dyDescent="0.25">
      <c r="A672" s="2">
        <v>1870</v>
      </c>
      <c r="B672" s="7" t="s">
        <v>1183</v>
      </c>
      <c r="C672" s="7" t="s">
        <v>1184</v>
      </c>
      <c r="D672" s="7" t="s">
        <v>1183</v>
      </c>
      <c r="E672" s="7" t="s">
        <v>182</v>
      </c>
      <c r="F672" s="7" t="s">
        <v>1185</v>
      </c>
      <c r="G672" s="17" t="s">
        <v>7747</v>
      </c>
      <c r="H672" s="7" t="s">
        <v>28</v>
      </c>
      <c r="I672" s="7" t="s">
        <v>275</v>
      </c>
      <c r="J672" s="7" t="s">
        <v>276</v>
      </c>
      <c r="K672" s="7" t="s">
        <v>277</v>
      </c>
      <c r="L672" s="7" t="s">
        <v>136</v>
      </c>
      <c r="M672" s="7">
        <v>3.3921670000000002</v>
      </c>
      <c r="N672" s="7">
        <v>11.101639</v>
      </c>
      <c r="O672" s="7" t="s">
        <v>23</v>
      </c>
      <c r="P672" s="3"/>
      <c r="Q672" s="3"/>
      <c r="R672" s="3"/>
    </row>
    <row r="673" spans="1:18" x14ac:dyDescent="0.25">
      <c r="A673" s="2">
        <v>1871</v>
      </c>
      <c r="B673" s="7" t="s">
        <v>1225</v>
      </c>
      <c r="C673" s="7" t="s">
        <v>1226</v>
      </c>
      <c r="D673" s="7" t="s">
        <v>1225</v>
      </c>
      <c r="E673" s="7" t="s">
        <v>182</v>
      </c>
      <c r="F673" s="7" t="s">
        <v>1227</v>
      </c>
      <c r="G673" s="17" t="s">
        <v>7747</v>
      </c>
      <c r="H673" s="7" t="s">
        <v>28</v>
      </c>
      <c r="I673" s="7" t="s">
        <v>275</v>
      </c>
      <c r="J673" s="7" t="s">
        <v>276</v>
      </c>
      <c r="K673" s="7" t="s">
        <v>557</v>
      </c>
      <c r="L673" s="7" t="s">
        <v>136</v>
      </c>
      <c r="M673" s="7">
        <v>3.7871199999999998</v>
      </c>
      <c r="N673" s="7">
        <v>11.423327</v>
      </c>
      <c r="O673" s="7" t="s">
        <v>23</v>
      </c>
      <c r="P673" s="3"/>
      <c r="Q673" s="3"/>
      <c r="R673" s="3"/>
    </row>
    <row r="674" spans="1:18" x14ac:dyDescent="0.25">
      <c r="A674" s="2">
        <v>1872</v>
      </c>
      <c r="B674" s="7" t="s">
        <v>1240</v>
      </c>
      <c r="C674" s="7" t="s">
        <v>1241</v>
      </c>
      <c r="D674" s="7" t="s">
        <v>1240</v>
      </c>
      <c r="E674" s="7" t="s">
        <v>250</v>
      </c>
      <c r="F674" s="7" t="s">
        <v>1242</v>
      </c>
      <c r="G674" s="17" t="s">
        <v>7747</v>
      </c>
      <c r="H674" s="7" t="s">
        <v>28</v>
      </c>
      <c r="I674" s="7" t="s">
        <v>341</v>
      </c>
      <c r="J674" s="7" t="s">
        <v>323</v>
      </c>
      <c r="K674" s="7" t="s">
        <v>1243</v>
      </c>
      <c r="L674" s="7" t="s">
        <v>136</v>
      </c>
      <c r="M674" s="7">
        <v>3.5054650000000001</v>
      </c>
      <c r="N674" s="7">
        <v>11.504203</v>
      </c>
      <c r="O674" s="7" t="s">
        <v>23</v>
      </c>
      <c r="P674" s="3"/>
      <c r="Q674" s="3"/>
      <c r="R674" s="3"/>
    </row>
    <row r="675" spans="1:18" x14ac:dyDescent="0.25">
      <c r="A675" s="2">
        <v>1873</v>
      </c>
      <c r="B675" s="7" t="s">
        <v>1272</v>
      </c>
      <c r="C675" s="7" t="s">
        <v>1273</v>
      </c>
      <c r="D675" s="7" t="s">
        <v>1272</v>
      </c>
      <c r="E675" s="7" t="s">
        <v>250</v>
      </c>
      <c r="F675" s="7" t="s">
        <v>1274</v>
      </c>
      <c r="G675" s="17" t="s">
        <v>7747</v>
      </c>
      <c r="H675" s="7" t="s">
        <v>28</v>
      </c>
      <c r="I675" s="7" t="s">
        <v>252</v>
      </c>
      <c r="J675" s="7" t="s">
        <v>253</v>
      </c>
      <c r="K675" s="7" t="s">
        <v>881</v>
      </c>
      <c r="L675" s="7" t="s">
        <v>136</v>
      </c>
      <c r="M675" s="7">
        <v>2.6745800000000002</v>
      </c>
      <c r="N675" s="7">
        <v>12.689679999999999</v>
      </c>
      <c r="O675" s="7" t="s">
        <v>23</v>
      </c>
      <c r="P675" s="3"/>
      <c r="Q675" s="3"/>
      <c r="R675" s="3"/>
    </row>
    <row r="676" spans="1:18" x14ac:dyDescent="0.25">
      <c r="A676" s="2">
        <v>1874</v>
      </c>
      <c r="B676" s="7" t="s">
        <v>1281</v>
      </c>
      <c r="C676" s="7" t="s">
        <v>1282</v>
      </c>
      <c r="D676" s="7" t="s">
        <v>1281</v>
      </c>
      <c r="E676" s="7" t="s">
        <v>182</v>
      </c>
      <c r="F676" s="7" t="s">
        <v>1283</v>
      </c>
      <c r="G676" s="17" t="s">
        <v>7747</v>
      </c>
      <c r="H676" s="7" t="s">
        <v>28</v>
      </c>
      <c r="I676" s="7" t="s">
        <v>1284</v>
      </c>
      <c r="J676" s="7" t="s">
        <v>185</v>
      </c>
      <c r="K676" s="7" t="s">
        <v>557</v>
      </c>
      <c r="L676" s="7" t="s">
        <v>136</v>
      </c>
      <c r="M676" s="7">
        <v>3.7895880000000002</v>
      </c>
      <c r="N676" s="7">
        <v>11.473145000000001</v>
      </c>
      <c r="O676" s="7" t="s">
        <v>23</v>
      </c>
      <c r="P676" s="3"/>
      <c r="Q676" s="3"/>
      <c r="R676" s="3"/>
    </row>
    <row r="677" spans="1:18" x14ac:dyDescent="0.25">
      <c r="A677" s="2">
        <v>1875</v>
      </c>
      <c r="B677" s="7" t="s">
        <v>1319</v>
      </c>
      <c r="C677" s="7" t="s">
        <v>1320</v>
      </c>
      <c r="D677" s="7" t="s">
        <v>1319</v>
      </c>
      <c r="E677" s="7" t="s">
        <v>182</v>
      </c>
      <c r="F677" s="7" t="s">
        <v>1321</v>
      </c>
      <c r="G677" s="17" t="s">
        <v>7747</v>
      </c>
      <c r="H677" s="7" t="s">
        <v>28</v>
      </c>
      <c r="I677" s="7" t="s">
        <v>1284</v>
      </c>
      <c r="J677" s="7" t="s">
        <v>185</v>
      </c>
      <c r="K677" s="7" t="s">
        <v>1322</v>
      </c>
      <c r="L677" s="7" t="s">
        <v>136</v>
      </c>
      <c r="M677" s="7">
        <v>3.8570120000000001</v>
      </c>
      <c r="N677" s="7">
        <v>11.470955999999999</v>
      </c>
      <c r="O677" s="7" t="s">
        <v>23</v>
      </c>
      <c r="P677" s="3"/>
      <c r="Q677" s="3"/>
      <c r="R677" s="3"/>
    </row>
    <row r="678" spans="1:18" x14ac:dyDescent="0.25">
      <c r="A678" s="2">
        <v>1876</v>
      </c>
      <c r="B678" s="7" t="s">
        <v>1334</v>
      </c>
      <c r="C678" s="7" t="s">
        <v>1335</v>
      </c>
      <c r="D678" s="7" t="s">
        <v>1334</v>
      </c>
      <c r="E678" s="7" t="s">
        <v>182</v>
      </c>
      <c r="F678" s="7" t="s">
        <v>1336</v>
      </c>
      <c r="G678" s="17" t="s">
        <v>7747</v>
      </c>
      <c r="H678" s="7" t="s">
        <v>28</v>
      </c>
      <c r="I678" s="7" t="s">
        <v>1337</v>
      </c>
      <c r="J678" s="7" t="s">
        <v>185</v>
      </c>
      <c r="K678" s="7" t="s">
        <v>1322</v>
      </c>
      <c r="L678" s="7" t="s">
        <v>136</v>
      </c>
      <c r="M678" s="7">
        <v>3.8725269999999998</v>
      </c>
      <c r="N678" s="7">
        <v>11.493433</v>
      </c>
      <c r="O678" s="7" t="s">
        <v>23</v>
      </c>
      <c r="P678" s="3"/>
      <c r="Q678" s="3"/>
      <c r="R678" s="3"/>
    </row>
    <row r="679" spans="1:18" x14ac:dyDescent="0.25">
      <c r="A679" s="2">
        <v>1877</v>
      </c>
      <c r="B679" s="7" t="s">
        <v>1351</v>
      </c>
      <c r="C679" s="7" t="s">
        <v>1352</v>
      </c>
      <c r="D679" s="7" t="s">
        <v>1351</v>
      </c>
      <c r="E679" s="7" t="s">
        <v>182</v>
      </c>
      <c r="F679" s="7" t="s">
        <v>1353</v>
      </c>
      <c r="G679" s="17" t="s">
        <v>7747</v>
      </c>
      <c r="H679" s="7" t="s">
        <v>28</v>
      </c>
      <c r="I679" s="7" t="s">
        <v>184</v>
      </c>
      <c r="J679" s="7" t="s">
        <v>185</v>
      </c>
      <c r="K679" s="7" t="s">
        <v>186</v>
      </c>
      <c r="L679" s="7" t="s">
        <v>136</v>
      </c>
      <c r="M679" s="7">
        <v>3.9077500000000001</v>
      </c>
      <c r="N679" s="7">
        <v>11.57094</v>
      </c>
      <c r="O679" s="7" t="s">
        <v>23</v>
      </c>
      <c r="P679" s="3"/>
      <c r="Q679" s="3"/>
      <c r="R679" s="3"/>
    </row>
    <row r="680" spans="1:18" x14ac:dyDescent="0.25">
      <c r="A680" s="2">
        <v>1878</v>
      </c>
      <c r="B680" s="7" t="s">
        <v>1357</v>
      </c>
      <c r="C680" s="7" t="s">
        <v>1358</v>
      </c>
      <c r="D680" s="7" t="s">
        <v>1357</v>
      </c>
      <c r="E680" s="7" t="s">
        <v>182</v>
      </c>
      <c r="F680" s="7" t="s">
        <v>1359</v>
      </c>
      <c r="G680" s="17" t="s">
        <v>7747</v>
      </c>
      <c r="H680" s="7" t="s">
        <v>28</v>
      </c>
      <c r="I680" s="7" t="s">
        <v>275</v>
      </c>
      <c r="J680" s="7" t="s">
        <v>185</v>
      </c>
      <c r="K680" s="7" t="s">
        <v>1322</v>
      </c>
      <c r="L680" s="7" t="s">
        <v>136</v>
      </c>
      <c r="M680" s="7">
        <v>3.8223319999999998</v>
      </c>
      <c r="N680" s="7">
        <v>11.467195</v>
      </c>
      <c r="O680" s="7" t="s">
        <v>23</v>
      </c>
      <c r="P680" s="3"/>
      <c r="Q680" s="3"/>
      <c r="R680" s="3"/>
    </row>
    <row r="681" spans="1:18" x14ac:dyDescent="0.25">
      <c r="A681" s="2">
        <v>1879</v>
      </c>
      <c r="B681" s="7" t="s">
        <v>1363</v>
      </c>
      <c r="C681" s="7" t="s">
        <v>1364</v>
      </c>
      <c r="D681" s="7" t="s">
        <v>1363</v>
      </c>
      <c r="E681" s="7" t="s">
        <v>182</v>
      </c>
      <c r="F681" s="7" t="s">
        <v>1365</v>
      </c>
      <c r="G681" s="17" t="s">
        <v>7747</v>
      </c>
      <c r="H681" s="7" t="s">
        <v>28</v>
      </c>
      <c r="I681" s="7" t="s">
        <v>1366</v>
      </c>
      <c r="J681" s="7" t="s">
        <v>185</v>
      </c>
      <c r="K681" s="7" t="s">
        <v>1367</v>
      </c>
      <c r="L681" s="7" t="s">
        <v>136</v>
      </c>
      <c r="M681" s="7">
        <v>3.8626499999999999</v>
      </c>
      <c r="N681" s="7">
        <v>11.538270000000001</v>
      </c>
      <c r="O681" s="7" t="s">
        <v>613</v>
      </c>
      <c r="P681" s="3"/>
      <c r="Q681" s="3"/>
      <c r="R681" s="3"/>
    </row>
    <row r="682" spans="1:18" x14ac:dyDescent="0.25">
      <c r="A682" s="2">
        <v>1880</v>
      </c>
      <c r="B682" s="7" t="s">
        <v>1371</v>
      </c>
      <c r="C682" s="7" t="s">
        <v>1372</v>
      </c>
      <c r="D682" s="7" t="s">
        <v>1371</v>
      </c>
      <c r="E682" s="7" t="s">
        <v>182</v>
      </c>
      <c r="F682" s="7" t="s">
        <v>1373</v>
      </c>
      <c r="G682" s="17" t="s">
        <v>7747</v>
      </c>
      <c r="H682" s="7" t="s">
        <v>28</v>
      </c>
      <c r="I682" s="7" t="s">
        <v>1374</v>
      </c>
      <c r="J682" s="7" t="s">
        <v>185</v>
      </c>
      <c r="K682" s="7" t="s">
        <v>1375</v>
      </c>
      <c r="L682" s="7" t="s">
        <v>136</v>
      </c>
      <c r="M682" s="7">
        <v>3.8854899999999999</v>
      </c>
      <c r="N682" s="7">
        <v>11.508570000000001</v>
      </c>
      <c r="O682" s="7" t="s">
        <v>613</v>
      </c>
      <c r="P682" s="3"/>
      <c r="Q682" s="3"/>
      <c r="R682" s="3"/>
    </row>
    <row r="683" spans="1:18" x14ac:dyDescent="0.25">
      <c r="A683" s="2">
        <v>1881</v>
      </c>
      <c r="B683" s="7" t="s">
        <v>1382</v>
      </c>
      <c r="C683" s="7" t="s">
        <v>1383</v>
      </c>
      <c r="D683" s="7" t="s">
        <v>1382</v>
      </c>
      <c r="E683" s="7" t="s">
        <v>182</v>
      </c>
      <c r="F683" s="7" t="s">
        <v>1384</v>
      </c>
      <c r="G683" s="17" t="s">
        <v>7747</v>
      </c>
      <c r="H683" s="7" t="s">
        <v>28</v>
      </c>
      <c r="I683" s="7" t="s">
        <v>1385</v>
      </c>
      <c r="J683" s="7" t="s">
        <v>185</v>
      </c>
      <c r="K683" s="7" t="s">
        <v>1367</v>
      </c>
      <c r="L683" s="7" t="s">
        <v>136</v>
      </c>
      <c r="M683" s="7">
        <v>3.8052600000000001</v>
      </c>
      <c r="N683" s="7">
        <v>11.53144</v>
      </c>
      <c r="O683" s="7" t="s">
        <v>613</v>
      </c>
      <c r="P683" s="3"/>
      <c r="Q683" s="3"/>
      <c r="R683" s="3"/>
    </row>
    <row r="684" spans="1:18" x14ac:dyDescent="0.25">
      <c r="A684" s="2">
        <v>1882</v>
      </c>
      <c r="B684" s="7" t="s">
        <v>1390</v>
      </c>
      <c r="C684" s="7" t="s">
        <v>1391</v>
      </c>
      <c r="D684" s="7" t="s">
        <v>1390</v>
      </c>
      <c r="E684" s="7" t="s">
        <v>182</v>
      </c>
      <c r="F684" s="7" t="s">
        <v>1392</v>
      </c>
      <c r="G684" s="17" t="s">
        <v>7747</v>
      </c>
      <c r="H684" s="7" t="s">
        <v>28</v>
      </c>
      <c r="I684" s="7" t="s">
        <v>297</v>
      </c>
      <c r="J684" s="7" t="s">
        <v>185</v>
      </c>
      <c r="K684" s="7" t="s">
        <v>1393</v>
      </c>
      <c r="L684" s="7" t="s">
        <v>136</v>
      </c>
      <c r="M684" s="7">
        <v>3.8787250000000002</v>
      </c>
      <c r="N684" s="7">
        <v>11.473767</v>
      </c>
      <c r="O684" s="7" t="s">
        <v>23</v>
      </c>
      <c r="P684" s="3"/>
      <c r="Q684" s="3"/>
      <c r="R684" s="3"/>
    </row>
    <row r="685" spans="1:18" x14ac:dyDescent="0.25">
      <c r="A685" s="2">
        <v>1883</v>
      </c>
      <c r="B685" s="7" t="s">
        <v>1425</v>
      </c>
      <c r="C685" s="7" t="s">
        <v>1426</v>
      </c>
      <c r="D685" s="7" t="s">
        <v>1425</v>
      </c>
      <c r="E685" s="7" t="s">
        <v>182</v>
      </c>
      <c r="F685" s="7" t="s">
        <v>1427</v>
      </c>
      <c r="G685" s="17" t="s">
        <v>7747</v>
      </c>
      <c r="H685" s="7" t="s">
        <v>28</v>
      </c>
      <c r="I685" s="7" t="s">
        <v>297</v>
      </c>
      <c r="J685" s="7" t="s">
        <v>185</v>
      </c>
      <c r="K685" s="7" t="s">
        <v>1393</v>
      </c>
      <c r="L685" s="7" t="s">
        <v>136</v>
      </c>
      <c r="M685" s="7">
        <v>3.873453</v>
      </c>
      <c r="N685" s="7">
        <v>11.422013</v>
      </c>
      <c r="O685" s="7" t="s">
        <v>23</v>
      </c>
      <c r="P685" s="3"/>
      <c r="Q685" s="3"/>
      <c r="R685" s="3"/>
    </row>
    <row r="686" spans="1:18" x14ac:dyDescent="0.25">
      <c r="A686" s="2">
        <v>1884</v>
      </c>
      <c r="B686" s="7" t="s">
        <v>1432</v>
      </c>
      <c r="C686" s="7" t="s">
        <v>1433</v>
      </c>
      <c r="D686" s="7" t="s">
        <v>1432</v>
      </c>
      <c r="E686" s="7" t="s">
        <v>182</v>
      </c>
      <c r="F686" s="7" t="s">
        <v>1434</v>
      </c>
      <c r="G686" s="17" t="s">
        <v>7747</v>
      </c>
      <c r="H686" s="7" t="s">
        <v>28</v>
      </c>
      <c r="I686" s="7" t="s">
        <v>184</v>
      </c>
      <c r="J686" s="7" t="s">
        <v>185</v>
      </c>
      <c r="K686" s="7" t="s">
        <v>1435</v>
      </c>
      <c r="L686" s="7" t="s">
        <v>136</v>
      </c>
      <c r="M686" s="7">
        <v>3.9104549999999998</v>
      </c>
      <c r="N686" s="7">
        <v>11.551023000000001</v>
      </c>
      <c r="O686" s="7" t="s">
        <v>23</v>
      </c>
      <c r="P686" s="3"/>
      <c r="Q686" s="3"/>
      <c r="R686" s="3"/>
    </row>
    <row r="687" spans="1:18" x14ac:dyDescent="0.25">
      <c r="A687" s="2">
        <v>1885</v>
      </c>
      <c r="B687" s="7" t="s">
        <v>1439</v>
      </c>
      <c r="C687" s="7" t="s">
        <v>1440</v>
      </c>
      <c r="D687" s="7" t="s">
        <v>1439</v>
      </c>
      <c r="E687" s="7" t="s">
        <v>182</v>
      </c>
      <c r="F687" s="7" t="s">
        <v>1441</v>
      </c>
      <c r="G687" s="17" t="s">
        <v>7747</v>
      </c>
      <c r="H687" s="7" t="s">
        <v>28</v>
      </c>
      <c r="I687" s="7" t="s">
        <v>297</v>
      </c>
      <c r="J687" s="7" t="s">
        <v>185</v>
      </c>
      <c r="K687" s="7" t="s">
        <v>1393</v>
      </c>
      <c r="L687" s="7" t="s">
        <v>136</v>
      </c>
      <c r="M687" s="7">
        <v>3.8778769999999998</v>
      </c>
      <c r="N687" s="7">
        <v>11.477883</v>
      </c>
      <c r="O687" s="7" t="s">
        <v>613</v>
      </c>
      <c r="P687" s="3"/>
      <c r="Q687" s="3"/>
      <c r="R687" s="3"/>
    </row>
    <row r="688" spans="1:18" x14ac:dyDescent="0.25">
      <c r="A688" s="2">
        <v>1886</v>
      </c>
      <c r="B688" s="7" t="s">
        <v>1445</v>
      </c>
      <c r="C688" s="7" t="s">
        <v>1446</v>
      </c>
      <c r="D688" s="7" t="s">
        <v>1445</v>
      </c>
      <c r="E688" s="7" t="s">
        <v>182</v>
      </c>
      <c r="F688" s="7" t="s">
        <v>1447</v>
      </c>
      <c r="G688" s="17" t="s">
        <v>7747</v>
      </c>
      <c r="H688" s="7" t="s">
        <v>28</v>
      </c>
      <c r="I688" s="7" t="s">
        <v>1374</v>
      </c>
      <c r="J688" s="7" t="s">
        <v>185</v>
      </c>
      <c r="K688" s="7" t="s">
        <v>1375</v>
      </c>
      <c r="L688" s="7" t="s">
        <v>136</v>
      </c>
      <c r="M688" s="7">
        <v>3.8801389999999998</v>
      </c>
      <c r="N688" s="7">
        <v>11.507111</v>
      </c>
      <c r="O688" s="7" t="s">
        <v>613</v>
      </c>
      <c r="P688" s="3"/>
      <c r="Q688" s="3"/>
      <c r="R688" s="3"/>
    </row>
    <row r="689" spans="1:18" x14ac:dyDescent="0.25">
      <c r="A689" s="2">
        <v>1887</v>
      </c>
      <c r="B689" s="7" t="s">
        <v>1448</v>
      </c>
      <c r="C689" s="7" t="s">
        <v>1449</v>
      </c>
      <c r="D689" s="7" t="s">
        <v>1448</v>
      </c>
      <c r="E689" s="7" t="s">
        <v>182</v>
      </c>
      <c r="F689" s="7" t="s">
        <v>1450</v>
      </c>
      <c r="G689" s="17" t="s">
        <v>7747</v>
      </c>
      <c r="H689" s="7" t="s">
        <v>28</v>
      </c>
      <c r="I689" s="7" t="s">
        <v>374</v>
      </c>
      <c r="J689" s="7" t="s">
        <v>287</v>
      </c>
      <c r="K689" s="7" t="s">
        <v>337</v>
      </c>
      <c r="L689" s="7" t="s">
        <v>136</v>
      </c>
      <c r="M689" s="7">
        <v>4.1366160000000001</v>
      </c>
      <c r="N689" s="7">
        <v>11.258163</v>
      </c>
      <c r="O689" s="7" t="s">
        <v>23</v>
      </c>
      <c r="P689" s="3"/>
      <c r="Q689" s="3"/>
      <c r="R689" s="3"/>
    </row>
    <row r="690" spans="1:18" x14ac:dyDescent="0.25">
      <c r="A690" s="2">
        <v>1888</v>
      </c>
      <c r="B690" s="7" t="s">
        <v>1455</v>
      </c>
      <c r="C690" s="7" t="s">
        <v>1456</v>
      </c>
      <c r="D690" s="7" t="s">
        <v>1455</v>
      </c>
      <c r="E690" s="7" t="s">
        <v>182</v>
      </c>
      <c r="F690" s="7" t="s">
        <v>1457</v>
      </c>
      <c r="G690" s="17" t="s">
        <v>7747</v>
      </c>
      <c r="H690" s="7" t="s">
        <v>28</v>
      </c>
      <c r="I690" s="7" t="s">
        <v>1374</v>
      </c>
      <c r="J690" s="7" t="s">
        <v>185</v>
      </c>
      <c r="K690" s="7" t="s">
        <v>1375</v>
      </c>
      <c r="L690" s="7" t="s">
        <v>136</v>
      </c>
      <c r="M690" s="7">
        <v>3.8994499999999999</v>
      </c>
      <c r="N690" s="7">
        <v>11.512890000000001</v>
      </c>
      <c r="O690" s="7" t="s">
        <v>613</v>
      </c>
      <c r="P690" s="3"/>
      <c r="Q690" s="3"/>
      <c r="R690" s="3"/>
    </row>
    <row r="691" spans="1:18" x14ac:dyDescent="0.25">
      <c r="A691" s="2">
        <v>1889</v>
      </c>
      <c r="B691" s="7" t="s">
        <v>1458</v>
      </c>
      <c r="C691" s="7" t="s">
        <v>1459</v>
      </c>
      <c r="D691" s="7" t="s">
        <v>1458</v>
      </c>
      <c r="E691" s="7" t="s">
        <v>182</v>
      </c>
      <c r="F691" s="7" t="s">
        <v>1460</v>
      </c>
      <c r="G691" s="17" t="s">
        <v>7747</v>
      </c>
      <c r="H691" s="7" t="s">
        <v>28</v>
      </c>
      <c r="I691" s="7" t="s">
        <v>1461</v>
      </c>
      <c r="J691" s="7" t="s">
        <v>185</v>
      </c>
      <c r="K691" s="7" t="s">
        <v>1462</v>
      </c>
      <c r="L691" s="7" t="s">
        <v>136</v>
      </c>
      <c r="M691" s="7">
        <v>3.8171279999999999</v>
      </c>
      <c r="N691" s="7">
        <v>11.504141000000001</v>
      </c>
      <c r="O691" s="7" t="s">
        <v>613</v>
      </c>
      <c r="P691" s="3"/>
      <c r="Q691" s="3"/>
      <c r="R691" s="3"/>
    </row>
    <row r="692" spans="1:18" x14ac:dyDescent="0.25">
      <c r="A692" s="2">
        <v>1890</v>
      </c>
      <c r="B692" s="7" t="s">
        <v>1507</v>
      </c>
      <c r="C692" s="7" t="s">
        <v>1508</v>
      </c>
      <c r="D692" s="7" t="s">
        <v>1507</v>
      </c>
      <c r="E692" s="7" t="s">
        <v>182</v>
      </c>
      <c r="F692" s="7" t="s">
        <v>1509</v>
      </c>
      <c r="G692" s="17" t="s">
        <v>7747</v>
      </c>
      <c r="H692" s="7" t="s">
        <v>28</v>
      </c>
      <c r="I692" s="7" t="s">
        <v>807</v>
      </c>
      <c r="J692" s="7" t="s">
        <v>185</v>
      </c>
      <c r="K692" s="7" t="s">
        <v>808</v>
      </c>
      <c r="L692" s="7" t="s">
        <v>136</v>
      </c>
      <c r="M692" s="7">
        <v>3.8959510000000002</v>
      </c>
      <c r="N692" s="7">
        <v>11.524298</v>
      </c>
      <c r="O692" s="7" t="s">
        <v>613</v>
      </c>
      <c r="P692" s="3"/>
      <c r="Q692" s="3"/>
      <c r="R692" s="3"/>
    </row>
    <row r="693" spans="1:18" x14ac:dyDescent="0.25">
      <c r="A693" s="2">
        <v>1891</v>
      </c>
      <c r="B693" s="7" t="s">
        <v>1528</v>
      </c>
      <c r="C693" s="7" t="s">
        <v>1529</v>
      </c>
      <c r="D693" s="7" t="s">
        <v>1528</v>
      </c>
      <c r="E693" s="7" t="s">
        <v>182</v>
      </c>
      <c r="F693" s="7" t="s">
        <v>1530</v>
      </c>
      <c r="G693" s="17" t="s">
        <v>7747</v>
      </c>
      <c r="H693" s="7" t="s">
        <v>28</v>
      </c>
      <c r="I693" s="7" t="s">
        <v>1284</v>
      </c>
      <c r="J693" s="7" t="s">
        <v>185</v>
      </c>
      <c r="K693" s="7" t="s">
        <v>1322</v>
      </c>
      <c r="L693" s="7" t="s">
        <v>136</v>
      </c>
      <c r="M693" s="7">
        <v>3.5102099999999998</v>
      </c>
      <c r="N693" s="7">
        <v>11.28919</v>
      </c>
      <c r="O693" s="7" t="s">
        <v>23</v>
      </c>
      <c r="P693" s="3"/>
      <c r="Q693" s="3"/>
      <c r="R693" s="3"/>
    </row>
    <row r="694" spans="1:18" x14ac:dyDescent="0.25">
      <c r="A694" s="2">
        <v>1892</v>
      </c>
      <c r="B694" s="7" t="s">
        <v>1537</v>
      </c>
      <c r="C694" s="7" t="s">
        <v>1538</v>
      </c>
      <c r="D694" s="7" t="s">
        <v>1537</v>
      </c>
      <c r="E694" s="7" t="s">
        <v>182</v>
      </c>
      <c r="F694" s="7" t="s">
        <v>1539</v>
      </c>
      <c r="G694" s="17" t="s">
        <v>7747</v>
      </c>
      <c r="H694" s="7" t="s">
        <v>19</v>
      </c>
      <c r="I694" s="7" t="s">
        <v>817</v>
      </c>
      <c r="J694" s="7" t="s">
        <v>818</v>
      </c>
      <c r="K694" s="7" t="s">
        <v>1540</v>
      </c>
      <c r="L694" s="7" t="s">
        <v>136</v>
      </c>
      <c r="M694" s="7">
        <v>3.9058839999999999</v>
      </c>
      <c r="N694" s="7">
        <v>12.525591</v>
      </c>
      <c r="O694" s="7" t="s">
        <v>23</v>
      </c>
      <c r="P694" s="3"/>
      <c r="Q694" s="3"/>
      <c r="R694" s="3"/>
    </row>
    <row r="695" spans="1:18" x14ac:dyDescent="0.25">
      <c r="A695" s="2">
        <v>1893</v>
      </c>
      <c r="B695" s="7" t="s">
        <v>1550</v>
      </c>
      <c r="C695" s="7" t="s">
        <v>1551</v>
      </c>
      <c r="D695" s="7" t="s">
        <v>1550</v>
      </c>
      <c r="E695" s="7" t="s">
        <v>182</v>
      </c>
      <c r="F695" s="7" t="s">
        <v>1552</v>
      </c>
      <c r="G695" s="17" t="s">
        <v>7747</v>
      </c>
      <c r="H695" s="7" t="s">
        <v>19</v>
      </c>
      <c r="I695" s="7" t="s">
        <v>1553</v>
      </c>
      <c r="J695" s="7" t="s">
        <v>185</v>
      </c>
      <c r="K695" s="7" t="s">
        <v>1367</v>
      </c>
      <c r="L695" s="7" t="s">
        <v>136</v>
      </c>
      <c r="M695" s="7">
        <v>3.8458610000000002</v>
      </c>
      <c r="N695" s="7">
        <v>11.554138999999999</v>
      </c>
      <c r="O695" s="7" t="s">
        <v>613</v>
      </c>
      <c r="P695" s="3"/>
      <c r="Q695" s="3"/>
      <c r="R695" s="3"/>
    </row>
    <row r="696" spans="1:18" x14ac:dyDescent="0.25">
      <c r="A696" s="2">
        <v>1894</v>
      </c>
      <c r="B696" s="7" t="s">
        <v>1563</v>
      </c>
      <c r="C696" s="7" t="s">
        <v>1564</v>
      </c>
      <c r="D696" s="7" t="s">
        <v>1563</v>
      </c>
      <c r="E696" s="7" t="s">
        <v>182</v>
      </c>
      <c r="F696" s="7" t="s">
        <v>1565</v>
      </c>
      <c r="G696" s="17" t="s">
        <v>7747</v>
      </c>
      <c r="H696" s="7" t="s">
        <v>28</v>
      </c>
      <c r="I696" s="7" t="s">
        <v>1374</v>
      </c>
      <c r="J696" s="7" t="s">
        <v>185</v>
      </c>
      <c r="K696" s="7" t="s">
        <v>1375</v>
      </c>
      <c r="L696" s="7" t="s">
        <v>136</v>
      </c>
      <c r="M696" s="7">
        <v>3.88009</v>
      </c>
      <c r="N696" s="7">
        <v>11.492229999999999</v>
      </c>
      <c r="O696" s="7" t="s">
        <v>613</v>
      </c>
      <c r="P696" s="3"/>
      <c r="Q696" s="3"/>
      <c r="R696" s="3"/>
    </row>
    <row r="697" spans="1:18" x14ac:dyDescent="0.25">
      <c r="A697" s="2">
        <v>1895</v>
      </c>
      <c r="B697" s="7" t="s">
        <v>1566</v>
      </c>
      <c r="C697" s="7" t="s">
        <v>1567</v>
      </c>
      <c r="D697" s="7" t="s">
        <v>1566</v>
      </c>
      <c r="E697" s="7" t="s">
        <v>182</v>
      </c>
      <c r="F697" s="7" t="s">
        <v>1568</v>
      </c>
      <c r="G697" s="17" t="s">
        <v>7747</v>
      </c>
      <c r="H697" s="7" t="s">
        <v>19</v>
      </c>
      <c r="I697" s="7" t="s">
        <v>1366</v>
      </c>
      <c r="J697" s="7" t="s">
        <v>185</v>
      </c>
      <c r="K697" s="7" t="s">
        <v>1435</v>
      </c>
      <c r="L697" s="7" t="s">
        <v>136</v>
      </c>
      <c r="M697" s="7">
        <v>3.8904109999999998</v>
      </c>
      <c r="N697" s="7">
        <v>11.558076</v>
      </c>
      <c r="O697" s="7" t="s">
        <v>23</v>
      </c>
      <c r="P697" s="3"/>
      <c r="Q697" s="3"/>
      <c r="R697" s="3"/>
    </row>
    <row r="698" spans="1:18" x14ac:dyDescent="0.25">
      <c r="A698" s="2">
        <v>1896</v>
      </c>
      <c r="B698" s="7" t="s">
        <v>1569</v>
      </c>
      <c r="C698" s="7" t="s">
        <v>1570</v>
      </c>
      <c r="D698" s="7" t="s">
        <v>1569</v>
      </c>
      <c r="E698" s="7" t="s">
        <v>182</v>
      </c>
      <c r="F698" s="7" t="s">
        <v>1571</v>
      </c>
      <c r="G698" s="17" t="s">
        <v>7747</v>
      </c>
      <c r="H698" s="7" t="s">
        <v>19</v>
      </c>
      <c r="I698" s="7" t="s">
        <v>1385</v>
      </c>
      <c r="J698" s="7" t="s">
        <v>185</v>
      </c>
      <c r="K698" s="7" t="s">
        <v>1367</v>
      </c>
      <c r="L698" s="7" t="s">
        <v>136</v>
      </c>
      <c r="M698" s="7">
        <v>3.8244500000000001</v>
      </c>
      <c r="N698" s="7">
        <v>11.52697</v>
      </c>
      <c r="O698" s="7" t="s">
        <v>23</v>
      </c>
      <c r="P698" s="3"/>
      <c r="Q698" s="3"/>
      <c r="R698" s="3"/>
    </row>
    <row r="699" spans="1:18" x14ac:dyDescent="0.25">
      <c r="A699" s="2">
        <v>1897</v>
      </c>
      <c r="B699" s="7" t="s">
        <v>1582</v>
      </c>
      <c r="C699" s="7" t="s">
        <v>1583</v>
      </c>
      <c r="D699" s="7" t="s">
        <v>1582</v>
      </c>
      <c r="E699" s="7" t="s">
        <v>182</v>
      </c>
      <c r="F699" s="7" t="s">
        <v>1584</v>
      </c>
      <c r="G699" s="17" t="s">
        <v>7747</v>
      </c>
      <c r="H699" s="7" t="s">
        <v>19</v>
      </c>
      <c r="I699" s="7" t="s">
        <v>297</v>
      </c>
      <c r="J699" s="7" t="s">
        <v>185</v>
      </c>
      <c r="K699" s="7" t="s">
        <v>1393</v>
      </c>
      <c r="L699" s="7" t="s">
        <v>136</v>
      </c>
      <c r="M699" s="7">
        <v>3.8413300000000001</v>
      </c>
      <c r="N699" s="7">
        <v>11.324009999999999</v>
      </c>
      <c r="O699" s="7" t="s">
        <v>23</v>
      </c>
      <c r="P699" s="3"/>
      <c r="Q699" s="3"/>
      <c r="R699" s="3"/>
    </row>
    <row r="700" spans="1:18" x14ac:dyDescent="0.25">
      <c r="A700" s="2">
        <v>1898</v>
      </c>
      <c r="B700" s="7" t="s">
        <v>1594</v>
      </c>
      <c r="C700" s="7" t="s">
        <v>1595</v>
      </c>
      <c r="D700" s="7" t="s">
        <v>1594</v>
      </c>
      <c r="E700" s="7" t="s">
        <v>182</v>
      </c>
      <c r="F700" s="7" t="s">
        <v>1596</v>
      </c>
      <c r="G700" s="17" t="s">
        <v>7747</v>
      </c>
      <c r="H700" s="7" t="s">
        <v>28</v>
      </c>
      <c r="I700" s="7" t="s">
        <v>297</v>
      </c>
      <c r="J700" s="7" t="s">
        <v>298</v>
      </c>
      <c r="K700" s="7" t="s">
        <v>299</v>
      </c>
      <c r="L700" s="7" t="s">
        <v>136</v>
      </c>
      <c r="M700" s="7">
        <v>4.2709799999999998</v>
      </c>
      <c r="N700" s="7">
        <v>10.94613</v>
      </c>
      <c r="O700" s="7" t="s">
        <v>23</v>
      </c>
      <c r="P700" s="3"/>
      <c r="Q700" s="3"/>
      <c r="R700" s="3"/>
    </row>
    <row r="701" spans="1:18" x14ac:dyDescent="0.25">
      <c r="A701" s="2">
        <v>1899</v>
      </c>
      <c r="B701" s="7" t="s">
        <v>1597</v>
      </c>
      <c r="C701" s="7" t="s">
        <v>1598</v>
      </c>
      <c r="D701" s="7" t="s">
        <v>1597</v>
      </c>
      <c r="E701" s="7" t="s">
        <v>250</v>
      </c>
      <c r="F701" s="7" t="s">
        <v>1599</v>
      </c>
      <c r="G701" s="17" t="s">
        <v>7747</v>
      </c>
      <c r="H701" s="7" t="s">
        <v>28</v>
      </c>
      <c r="I701" s="7" t="s">
        <v>341</v>
      </c>
      <c r="J701" s="7" t="s">
        <v>323</v>
      </c>
      <c r="K701" s="7" t="s">
        <v>341</v>
      </c>
      <c r="L701" s="7" t="s">
        <v>136</v>
      </c>
      <c r="M701" s="7">
        <v>3.5186199999999999</v>
      </c>
      <c r="N701" s="7">
        <v>11.511139999999999</v>
      </c>
      <c r="O701" s="7" t="s">
        <v>23</v>
      </c>
      <c r="P701" s="3"/>
      <c r="Q701" s="3"/>
      <c r="R701" s="3"/>
    </row>
    <row r="702" spans="1:18" x14ac:dyDescent="0.25">
      <c r="A702" s="2">
        <v>1900</v>
      </c>
      <c r="B702" s="7" t="s">
        <v>1603</v>
      </c>
      <c r="C702" s="7" t="s">
        <v>1604</v>
      </c>
      <c r="D702" s="7" t="s">
        <v>1603</v>
      </c>
      <c r="E702" s="7" t="s">
        <v>250</v>
      </c>
      <c r="F702" s="7" t="s">
        <v>1605</v>
      </c>
      <c r="G702" s="17" t="s">
        <v>7747</v>
      </c>
      <c r="H702" s="7" t="s">
        <v>19</v>
      </c>
      <c r="I702" s="7" t="s">
        <v>341</v>
      </c>
      <c r="J702" s="7" t="s">
        <v>253</v>
      </c>
      <c r="K702" s="7" t="s">
        <v>1606</v>
      </c>
      <c r="L702" s="7" t="s">
        <v>136</v>
      </c>
      <c r="M702" s="7">
        <v>3.4432209999999999</v>
      </c>
      <c r="N702" s="7">
        <v>11.758785</v>
      </c>
      <c r="O702" s="7" t="s">
        <v>23</v>
      </c>
      <c r="P702" s="3"/>
      <c r="Q702" s="3"/>
      <c r="R702" s="3"/>
    </row>
    <row r="703" spans="1:18" x14ac:dyDescent="0.25">
      <c r="A703" s="2">
        <v>1901</v>
      </c>
      <c r="B703" s="7" t="s">
        <v>1610</v>
      </c>
      <c r="C703" s="7" t="s">
        <v>1611</v>
      </c>
      <c r="D703" s="7" t="s">
        <v>1610</v>
      </c>
      <c r="E703" s="7" t="s">
        <v>182</v>
      </c>
      <c r="F703" s="7" t="s">
        <v>1612</v>
      </c>
      <c r="G703" s="17" t="s">
        <v>7747</v>
      </c>
      <c r="H703" s="7" t="s">
        <v>19</v>
      </c>
      <c r="I703" s="7" t="s">
        <v>1366</v>
      </c>
      <c r="J703" s="7" t="s">
        <v>185</v>
      </c>
      <c r="K703" s="7" t="s">
        <v>1435</v>
      </c>
      <c r="L703" s="7" t="s">
        <v>136</v>
      </c>
      <c r="M703" s="7">
        <v>3.8675570000000001</v>
      </c>
      <c r="N703" s="7">
        <v>11.525077</v>
      </c>
      <c r="O703" s="7" t="s">
        <v>613</v>
      </c>
      <c r="P703" s="3"/>
      <c r="Q703" s="3"/>
      <c r="R703" s="3"/>
    </row>
    <row r="704" spans="1:18" x14ac:dyDescent="0.25">
      <c r="A704" s="2">
        <v>1902</v>
      </c>
      <c r="B704" s="7" t="s">
        <v>1613</v>
      </c>
      <c r="C704" s="7" t="s">
        <v>1614</v>
      </c>
      <c r="D704" s="7" t="s">
        <v>1613</v>
      </c>
      <c r="E704" s="7" t="s">
        <v>182</v>
      </c>
      <c r="F704" s="7" t="s">
        <v>1615</v>
      </c>
      <c r="G704" s="17" t="s">
        <v>7747</v>
      </c>
      <c r="H704" s="7" t="s">
        <v>19</v>
      </c>
      <c r="I704" s="7" t="s">
        <v>374</v>
      </c>
      <c r="J704" s="7" t="s">
        <v>287</v>
      </c>
      <c r="K704" s="7" t="s">
        <v>337</v>
      </c>
      <c r="L704" s="7" t="s">
        <v>136</v>
      </c>
      <c r="M704" s="7">
        <v>4.2596280000000002</v>
      </c>
      <c r="N704" s="7">
        <v>11.205626000000001</v>
      </c>
      <c r="O704" s="7" t="s">
        <v>23</v>
      </c>
      <c r="P704" s="3"/>
      <c r="Q704" s="3"/>
      <c r="R704" s="3"/>
    </row>
    <row r="705" spans="1:18" x14ac:dyDescent="0.25">
      <c r="A705" s="2">
        <v>1903</v>
      </c>
      <c r="B705" s="7" t="s">
        <v>1619</v>
      </c>
      <c r="C705" s="7" t="s">
        <v>1620</v>
      </c>
      <c r="D705" s="7" t="s">
        <v>1619</v>
      </c>
      <c r="E705" s="7" t="s">
        <v>182</v>
      </c>
      <c r="F705" s="7" t="s">
        <v>1621</v>
      </c>
      <c r="G705" s="17" t="s">
        <v>7747</v>
      </c>
      <c r="H705" s="7" t="s">
        <v>28</v>
      </c>
      <c r="I705" s="7" t="s">
        <v>1366</v>
      </c>
      <c r="J705" s="7" t="s">
        <v>185</v>
      </c>
      <c r="K705" s="7" t="s">
        <v>1435</v>
      </c>
      <c r="L705" s="7" t="s">
        <v>136</v>
      </c>
      <c r="M705" s="7">
        <v>3.8684500000000002</v>
      </c>
      <c r="N705" s="7">
        <v>11.544280000000001</v>
      </c>
      <c r="O705" s="7" t="s">
        <v>613</v>
      </c>
      <c r="P705" s="3"/>
      <c r="Q705" s="3"/>
      <c r="R705" s="3"/>
    </row>
    <row r="706" spans="1:18" x14ac:dyDescent="0.25">
      <c r="A706" s="2">
        <v>1904</v>
      </c>
      <c r="B706" s="7" t="s">
        <v>1631</v>
      </c>
      <c r="C706" s="7" t="s">
        <v>1632</v>
      </c>
      <c r="D706" s="7" t="s">
        <v>1631</v>
      </c>
      <c r="E706" s="7" t="s">
        <v>182</v>
      </c>
      <c r="F706" s="7" t="s">
        <v>1633</v>
      </c>
      <c r="G706" s="17" t="s">
        <v>7747</v>
      </c>
      <c r="H706" s="7" t="s">
        <v>19</v>
      </c>
      <c r="I706" s="7" t="s">
        <v>1284</v>
      </c>
      <c r="J706" s="7" t="s">
        <v>185</v>
      </c>
      <c r="K706" s="7" t="s">
        <v>1322</v>
      </c>
      <c r="L706" s="7" t="s">
        <v>136</v>
      </c>
      <c r="M706" s="7">
        <v>3.8312780000000002</v>
      </c>
      <c r="N706" s="7">
        <v>11.470943999999999</v>
      </c>
      <c r="O706" s="7" t="s">
        <v>613</v>
      </c>
      <c r="P706" s="3"/>
      <c r="Q706" s="3"/>
      <c r="R706" s="3"/>
    </row>
    <row r="707" spans="1:18" x14ac:dyDescent="0.25">
      <c r="A707" s="2">
        <v>1905</v>
      </c>
      <c r="B707" s="7" t="s">
        <v>1634</v>
      </c>
      <c r="C707" s="7" t="s">
        <v>1635</v>
      </c>
      <c r="D707" s="7" t="s">
        <v>1634</v>
      </c>
      <c r="E707" s="7" t="s">
        <v>182</v>
      </c>
      <c r="F707" s="7" t="s">
        <v>1636</v>
      </c>
      <c r="G707" s="17" t="s">
        <v>7747</v>
      </c>
      <c r="H707" s="7" t="s">
        <v>28</v>
      </c>
      <c r="I707" s="7" t="s">
        <v>1637</v>
      </c>
      <c r="J707" s="7" t="s">
        <v>185</v>
      </c>
      <c r="K707" s="7" t="s">
        <v>1462</v>
      </c>
      <c r="L707" s="7" t="s">
        <v>136</v>
      </c>
      <c r="M707" s="7">
        <v>3.8487499999999999</v>
      </c>
      <c r="N707" s="7">
        <v>11.494</v>
      </c>
      <c r="O707" s="7" t="s">
        <v>23</v>
      </c>
      <c r="P707" s="3"/>
      <c r="Q707" s="3"/>
      <c r="R707" s="3"/>
    </row>
    <row r="708" spans="1:18" x14ac:dyDescent="0.25">
      <c r="A708" s="2">
        <v>1906</v>
      </c>
      <c r="B708" s="7" t="s">
        <v>1641</v>
      </c>
      <c r="C708" s="7" t="s">
        <v>1642</v>
      </c>
      <c r="D708" s="7" t="s">
        <v>1641</v>
      </c>
      <c r="E708" s="7" t="s">
        <v>182</v>
      </c>
      <c r="F708" s="7" t="s">
        <v>1643</v>
      </c>
      <c r="G708" s="17" t="s">
        <v>7747</v>
      </c>
      <c r="H708" s="7" t="s">
        <v>28</v>
      </c>
      <c r="I708" s="7" t="s">
        <v>1385</v>
      </c>
      <c r="J708" s="7" t="s">
        <v>185</v>
      </c>
      <c r="K708" s="7" t="s">
        <v>1367</v>
      </c>
      <c r="L708" s="7" t="s">
        <v>136</v>
      </c>
      <c r="M708" s="7">
        <v>3.8351600000000001</v>
      </c>
      <c r="N708" s="7">
        <v>11.5467</v>
      </c>
      <c r="O708" s="7" t="s">
        <v>23</v>
      </c>
      <c r="P708" s="3"/>
      <c r="Q708" s="3"/>
      <c r="R708" s="3"/>
    </row>
    <row r="709" spans="1:18" x14ac:dyDescent="0.25">
      <c r="A709" s="2">
        <v>1907</v>
      </c>
      <c r="B709" s="7" t="s">
        <v>1644</v>
      </c>
      <c r="C709" s="7" t="s">
        <v>1645</v>
      </c>
      <c r="D709" s="7" t="s">
        <v>1644</v>
      </c>
      <c r="E709" s="7" t="s">
        <v>182</v>
      </c>
      <c r="F709" s="7" t="s">
        <v>1646</v>
      </c>
      <c r="G709" s="17" t="s">
        <v>7747</v>
      </c>
      <c r="H709" s="7" t="s">
        <v>28</v>
      </c>
      <c r="I709" s="7" t="s">
        <v>1284</v>
      </c>
      <c r="J709" s="7" t="s">
        <v>185</v>
      </c>
      <c r="K709" s="7" t="s">
        <v>1322</v>
      </c>
      <c r="L709" s="7" t="s">
        <v>136</v>
      </c>
      <c r="M709" s="7">
        <v>3.8474179999999998</v>
      </c>
      <c r="N709" s="7">
        <v>11.476227</v>
      </c>
      <c r="O709" s="7" t="s">
        <v>23</v>
      </c>
      <c r="P709" s="3"/>
      <c r="Q709" s="3"/>
      <c r="R709" s="3"/>
    </row>
    <row r="710" spans="1:18" x14ac:dyDescent="0.25">
      <c r="A710" s="2">
        <v>1908</v>
      </c>
      <c r="B710" s="7" t="s">
        <v>1650</v>
      </c>
      <c r="C710" s="7" t="s">
        <v>1651</v>
      </c>
      <c r="D710" s="7" t="s">
        <v>1650</v>
      </c>
      <c r="E710" s="7" t="s">
        <v>182</v>
      </c>
      <c r="F710" s="7" t="s">
        <v>1652</v>
      </c>
      <c r="G710" s="17" t="s">
        <v>7747</v>
      </c>
      <c r="H710" s="7" t="s">
        <v>28</v>
      </c>
      <c r="I710" s="7" t="s">
        <v>1284</v>
      </c>
      <c r="J710" s="7" t="s">
        <v>185</v>
      </c>
      <c r="K710" s="7" t="s">
        <v>1462</v>
      </c>
      <c r="L710" s="7" t="s">
        <v>136</v>
      </c>
      <c r="M710" s="7">
        <v>3.7856999999999998</v>
      </c>
      <c r="N710" s="7">
        <v>11.490928</v>
      </c>
      <c r="O710" s="7" t="s">
        <v>23</v>
      </c>
      <c r="P710" s="3"/>
      <c r="Q710" s="3"/>
      <c r="R710" s="3"/>
    </row>
    <row r="711" spans="1:18" x14ac:dyDescent="0.25">
      <c r="A711" s="2">
        <v>1909</v>
      </c>
      <c r="B711" s="7" t="s">
        <v>1671</v>
      </c>
      <c r="C711" s="7" t="s">
        <v>1672</v>
      </c>
      <c r="D711" s="7" t="s">
        <v>1671</v>
      </c>
      <c r="E711" s="7" t="s">
        <v>182</v>
      </c>
      <c r="F711" s="7" t="s">
        <v>1673</v>
      </c>
      <c r="G711" s="17" t="s">
        <v>7747</v>
      </c>
      <c r="H711" s="7" t="s">
        <v>28</v>
      </c>
      <c r="I711" s="7" t="s">
        <v>1385</v>
      </c>
      <c r="J711" s="7" t="s">
        <v>185</v>
      </c>
      <c r="K711" s="7" t="s">
        <v>1367</v>
      </c>
      <c r="L711" s="7" t="s">
        <v>136</v>
      </c>
      <c r="M711" s="7">
        <v>3.7919299999999998</v>
      </c>
      <c r="N711" s="7">
        <v>11.53373</v>
      </c>
      <c r="O711" s="7" t="s">
        <v>23</v>
      </c>
      <c r="P711" s="3"/>
      <c r="Q711" s="3"/>
      <c r="R711" s="3"/>
    </row>
    <row r="712" spans="1:18" x14ac:dyDescent="0.25">
      <c r="A712" s="2">
        <v>1910</v>
      </c>
      <c r="B712" s="7" t="s">
        <v>1674</v>
      </c>
      <c r="C712" s="7" t="s">
        <v>1675</v>
      </c>
      <c r="D712" s="7" t="s">
        <v>1674</v>
      </c>
      <c r="E712" s="7" t="s">
        <v>182</v>
      </c>
      <c r="F712" s="7" t="s">
        <v>1676</v>
      </c>
      <c r="G712" s="17" t="s">
        <v>7747</v>
      </c>
      <c r="H712" s="7" t="s">
        <v>19</v>
      </c>
      <c r="I712" s="7" t="s">
        <v>1337</v>
      </c>
      <c r="J712" s="7" t="s">
        <v>185</v>
      </c>
      <c r="K712" s="7" t="s">
        <v>808</v>
      </c>
      <c r="L712" s="7" t="s">
        <v>136</v>
      </c>
      <c r="M712" s="7">
        <v>3.8751820000000001</v>
      </c>
      <c r="N712" s="7">
        <v>11.521623</v>
      </c>
      <c r="O712" s="7" t="s">
        <v>613</v>
      </c>
      <c r="P712" s="3"/>
      <c r="Q712" s="3"/>
      <c r="R712" s="3"/>
    </row>
    <row r="713" spans="1:18" x14ac:dyDescent="0.25">
      <c r="A713" s="2">
        <v>1911</v>
      </c>
      <c r="B713" s="7" t="s">
        <v>1677</v>
      </c>
      <c r="C713" s="7" t="s">
        <v>1678</v>
      </c>
      <c r="D713" s="7" t="s">
        <v>1677</v>
      </c>
      <c r="E713" s="7" t="s">
        <v>182</v>
      </c>
      <c r="F713" s="7" t="s">
        <v>1679</v>
      </c>
      <c r="G713" s="17" t="s">
        <v>7747</v>
      </c>
      <c r="H713" s="7" t="s">
        <v>19</v>
      </c>
      <c r="I713" s="7" t="s">
        <v>1637</v>
      </c>
      <c r="J713" s="7" t="s">
        <v>185</v>
      </c>
      <c r="K713" s="7" t="s">
        <v>1375</v>
      </c>
      <c r="L713" s="7" t="s">
        <v>136</v>
      </c>
      <c r="M713" s="7">
        <v>3.8710049999999998</v>
      </c>
      <c r="N713" s="7">
        <v>11.509722999999999</v>
      </c>
      <c r="O713" s="7" t="s">
        <v>613</v>
      </c>
      <c r="P713" s="3"/>
      <c r="Q713" s="3"/>
      <c r="R713" s="3"/>
    </row>
    <row r="714" spans="1:18" x14ac:dyDescent="0.25">
      <c r="A714" s="2">
        <v>1912</v>
      </c>
      <c r="B714" s="7" t="s">
        <v>1686</v>
      </c>
      <c r="C714" s="7" t="s">
        <v>1687</v>
      </c>
      <c r="D714" s="7" t="s">
        <v>1686</v>
      </c>
      <c r="E714" s="7" t="s">
        <v>182</v>
      </c>
      <c r="F714" s="7" t="s">
        <v>1688</v>
      </c>
      <c r="G714" s="17" t="s">
        <v>7747</v>
      </c>
      <c r="H714" s="7" t="s">
        <v>19</v>
      </c>
      <c r="I714" s="7" t="s">
        <v>807</v>
      </c>
      <c r="J714" s="7" t="s">
        <v>185</v>
      </c>
      <c r="K714" s="7" t="s">
        <v>1435</v>
      </c>
      <c r="L714" s="7" t="s">
        <v>136</v>
      </c>
      <c r="M714" s="7">
        <v>3.884754</v>
      </c>
      <c r="N714" s="7">
        <v>11.535188</v>
      </c>
      <c r="O714" s="7" t="s">
        <v>613</v>
      </c>
      <c r="P714" s="3"/>
      <c r="Q714" s="3"/>
      <c r="R714" s="3"/>
    </row>
    <row r="715" spans="1:18" x14ac:dyDescent="0.25">
      <c r="A715" s="2">
        <v>1913</v>
      </c>
      <c r="B715" s="7" t="s">
        <v>1698</v>
      </c>
      <c r="C715" s="7" t="s">
        <v>1699</v>
      </c>
      <c r="D715" s="7" t="s">
        <v>1698</v>
      </c>
      <c r="E715" s="7" t="s">
        <v>182</v>
      </c>
      <c r="F715" s="7" t="s">
        <v>1700</v>
      </c>
      <c r="G715" s="17" t="s">
        <v>7747</v>
      </c>
      <c r="H715" s="7" t="s">
        <v>28</v>
      </c>
      <c r="I715" s="7" t="s">
        <v>807</v>
      </c>
      <c r="J715" s="7" t="s">
        <v>185</v>
      </c>
      <c r="K715" s="7" t="s">
        <v>808</v>
      </c>
      <c r="L715" s="7" t="s">
        <v>136</v>
      </c>
      <c r="M715" s="7">
        <v>3.8931740000000001</v>
      </c>
      <c r="N715" s="7">
        <v>11.522524000000001</v>
      </c>
      <c r="O715" s="7" t="s">
        <v>613</v>
      </c>
      <c r="P715" s="3"/>
      <c r="Q715" s="3"/>
      <c r="R715" s="3"/>
    </row>
    <row r="716" spans="1:18" x14ac:dyDescent="0.25">
      <c r="A716" s="2">
        <v>1914</v>
      </c>
      <c r="B716" s="7" t="s">
        <v>1701</v>
      </c>
      <c r="C716" s="7" t="s">
        <v>1702</v>
      </c>
      <c r="D716" s="7" t="s">
        <v>1701</v>
      </c>
      <c r="E716" s="7" t="s">
        <v>182</v>
      </c>
      <c r="F716" s="7" t="s">
        <v>1703</v>
      </c>
      <c r="G716" s="17" t="s">
        <v>7747</v>
      </c>
      <c r="H716" s="7" t="s">
        <v>19</v>
      </c>
      <c r="I716" s="7" t="s">
        <v>1374</v>
      </c>
      <c r="J716" s="7" t="s">
        <v>185</v>
      </c>
      <c r="K716" s="7" t="s">
        <v>808</v>
      </c>
      <c r="L716" s="7" t="s">
        <v>136</v>
      </c>
      <c r="M716" s="7">
        <v>3.88496</v>
      </c>
      <c r="N716" s="7">
        <v>11.519970000000001</v>
      </c>
      <c r="O716" s="7" t="s">
        <v>613</v>
      </c>
      <c r="P716" s="3"/>
      <c r="Q716" s="3"/>
      <c r="R716" s="3"/>
    </row>
    <row r="717" spans="1:18" x14ac:dyDescent="0.25">
      <c r="A717" s="2">
        <v>1915</v>
      </c>
      <c r="B717" s="7" t="s">
        <v>1711</v>
      </c>
      <c r="C717" s="7" t="s">
        <v>1712</v>
      </c>
      <c r="D717" s="7" t="s">
        <v>1711</v>
      </c>
      <c r="E717" s="7" t="s">
        <v>182</v>
      </c>
      <c r="F717" s="7" t="s">
        <v>1713</v>
      </c>
      <c r="G717" s="17" t="s">
        <v>7747</v>
      </c>
      <c r="H717" s="7" t="s">
        <v>98</v>
      </c>
      <c r="I717" s="7" t="s">
        <v>1337</v>
      </c>
      <c r="J717" s="7" t="s">
        <v>185</v>
      </c>
      <c r="K717" s="7" t="s">
        <v>1375</v>
      </c>
      <c r="L717" s="7" t="s">
        <v>136</v>
      </c>
      <c r="M717" s="7">
        <v>3.8687</v>
      </c>
      <c r="N717" s="7">
        <v>11.51754</v>
      </c>
      <c r="O717" s="7" t="s">
        <v>98</v>
      </c>
      <c r="P717" s="3"/>
      <c r="Q717" s="3"/>
      <c r="R717" s="3"/>
    </row>
    <row r="718" spans="1:18" x14ac:dyDescent="0.25">
      <c r="A718" s="2">
        <v>1916</v>
      </c>
      <c r="B718" s="7" t="s">
        <v>1743</v>
      </c>
      <c r="C718" s="7" t="s">
        <v>1744</v>
      </c>
      <c r="D718" s="7" t="s">
        <v>1743</v>
      </c>
      <c r="E718" s="7" t="s">
        <v>182</v>
      </c>
      <c r="F718" s="7" t="s">
        <v>1745</v>
      </c>
      <c r="G718" s="17" t="s">
        <v>7747</v>
      </c>
      <c r="H718" s="7" t="s">
        <v>19</v>
      </c>
      <c r="I718" s="7" t="s">
        <v>286</v>
      </c>
      <c r="J718" s="7" t="s">
        <v>298</v>
      </c>
      <c r="K718" s="7" t="s">
        <v>1746</v>
      </c>
      <c r="L718" s="7" t="s">
        <v>136</v>
      </c>
      <c r="M718" s="7">
        <v>4.5130129999999999</v>
      </c>
      <c r="N718" s="7">
        <v>12.127772999999999</v>
      </c>
      <c r="O718" s="7" t="s">
        <v>23</v>
      </c>
      <c r="P718" s="3"/>
      <c r="Q718" s="3"/>
      <c r="R718" s="3"/>
    </row>
    <row r="719" spans="1:18" x14ac:dyDescent="0.25">
      <c r="A719" s="2">
        <v>1917</v>
      </c>
      <c r="B719" s="7" t="s">
        <v>1749</v>
      </c>
      <c r="C719" s="7" t="s">
        <v>1750</v>
      </c>
      <c r="D719" s="7" t="s">
        <v>1749</v>
      </c>
      <c r="E719" s="7" t="s">
        <v>182</v>
      </c>
      <c r="F719" s="7" t="s">
        <v>1751</v>
      </c>
      <c r="G719" s="17" t="s">
        <v>7747</v>
      </c>
      <c r="H719" s="7" t="s">
        <v>28</v>
      </c>
      <c r="I719" s="7" t="s">
        <v>1385</v>
      </c>
      <c r="J719" s="7" t="s">
        <v>1752</v>
      </c>
      <c r="K719" s="7" t="s">
        <v>1243</v>
      </c>
      <c r="L719" s="7" t="s">
        <v>136</v>
      </c>
      <c r="M719" s="7">
        <v>3.6193629999999999</v>
      </c>
      <c r="N719" s="7">
        <v>11.542147</v>
      </c>
      <c r="O719" s="7" t="s">
        <v>23</v>
      </c>
      <c r="P719" s="3"/>
      <c r="Q719" s="3"/>
      <c r="R719" s="3"/>
    </row>
    <row r="720" spans="1:18" x14ac:dyDescent="0.25">
      <c r="A720" s="2">
        <v>1918</v>
      </c>
      <c r="B720" s="7" t="s">
        <v>1756</v>
      </c>
      <c r="C720" s="7" t="s">
        <v>1757</v>
      </c>
      <c r="D720" s="7" t="s">
        <v>1756</v>
      </c>
      <c r="E720" s="7" t="s">
        <v>182</v>
      </c>
      <c r="F720" s="7" t="s">
        <v>1758</v>
      </c>
      <c r="G720" s="17" t="s">
        <v>7747</v>
      </c>
      <c r="H720" s="7" t="s">
        <v>28</v>
      </c>
      <c r="I720" s="7" t="s">
        <v>1374</v>
      </c>
      <c r="J720" s="7" t="s">
        <v>185</v>
      </c>
      <c r="K720" s="7" t="s">
        <v>1375</v>
      </c>
      <c r="L720" s="7" t="s">
        <v>136</v>
      </c>
      <c r="M720" s="7">
        <v>3.913621</v>
      </c>
      <c r="N720" s="7">
        <v>11.475726999999999</v>
      </c>
      <c r="O720" s="7" t="s">
        <v>23</v>
      </c>
      <c r="P720" s="3"/>
      <c r="Q720" s="3"/>
      <c r="R720" s="3"/>
    </row>
    <row r="721" spans="1:18" x14ac:dyDescent="0.25">
      <c r="A721" s="2">
        <v>1919</v>
      </c>
      <c r="B721" s="7" t="s">
        <v>1763</v>
      </c>
      <c r="C721" s="7" t="s">
        <v>1764</v>
      </c>
      <c r="D721" s="7" t="s">
        <v>1763</v>
      </c>
      <c r="E721" s="7" t="s">
        <v>182</v>
      </c>
      <c r="F721" s="7" t="s">
        <v>1765</v>
      </c>
      <c r="G721" s="17" t="s">
        <v>7747</v>
      </c>
      <c r="H721" s="7" t="s">
        <v>28</v>
      </c>
      <c r="I721" s="7" t="s">
        <v>1766</v>
      </c>
      <c r="J721" s="7" t="s">
        <v>185</v>
      </c>
      <c r="K721" s="7" t="s">
        <v>808</v>
      </c>
      <c r="L721" s="7" t="s">
        <v>136</v>
      </c>
      <c r="M721" s="7">
        <v>3.9247779999999999</v>
      </c>
      <c r="N721" s="7">
        <v>11.501721999999999</v>
      </c>
      <c r="O721" s="7" t="s">
        <v>23</v>
      </c>
      <c r="P721" s="3"/>
      <c r="Q721" s="3"/>
      <c r="R721" s="3"/>
    </row>
    <row r="722" spans="1:18" x14ac:dyDescent="0.25">
      <c r="A722" s="2">
        <v>1920</v>
      </c>
      <c r="B722" s="7" t="s">
        <v>1780</v>
      </c>
      <c r="C722" s="7" t="s">
        <v>1781</v>
      </c>
      <c r="D722" s="7" t="s">
        <v>1780</v>
      </c>
      <c r="E722" s="7" t="s">
        <v>182</v>
      </c>
      <c r="F722" s="7" t="s">
        <v>1782</v>
      </c>
      <c r="G722" s="17" t="s">
        <v>7747</v>
      </c>
      <c r="H722" s="7" t="s">
        <v>28</v>
      </c>
      <c r="I722" s="7" t="s">
        <v>374</v>
      </c>
      <c r="J722" s="7" t="s">
        <v>287</v>
      </c>
      <c r="K722" s="7" t="s">
        <v>1783</v>
      </c>
      <c r="L722" s="7" t="s">
        <v>136</v>
      </c>
      <c r="M722" s="7">
        <v>4.3648300000000004</v>
      </c>
      <c r="N722" s="7">
        <v>11.432088</v>
      </c>
      <c r="O722" s="7" t="s">
        <v>23</v>
      </c>
      <c r="P722" s="3"/>
      <c r="Q722" s="3"/>
      <c r="R722" s="3"/>
    </row>
    <row r="723" spans="1:18" x14ac:dyDescent="0.25">
      <c r="A723" s="2">
        <v>1921</v>
      </c>
      <c r="B723" s="7" t="s">
        <v>1796</v>
      </c>
      <c r="C723" s="7" t="s">
        <v>1797</v>
      </c>
      <c r="D723" s="7" t="s">
        <v>1796</v>
      </c>
      <c r="E723" s="7" t="s">
        <v>182</v>
      </c>
      <c r="F723" s="7" t="s">
        <v>1798</v>
      </c>
      <c r="G723" s="17" t="s">
        <v>7747</v>
      </c>
      <c r="H723" s="7" t="s">
        <v>28</v>
      </c>
      <c r="I723" s="7" t="s">
        <v>374</v>
      </c>
      <c r="J723" s="7" t="s">
        <v>134</v>
      </c>
      <c r="K723" s="7" t="s">
        <v>375</v>
      </c>
      <c r="L723" s="7" t="s">
        <v>136</v>
      </c>
      <c r="M723" s="7">
        <v>4.5962449999999997</v>
      </c>
      <c r="N723" s="7">
        <v>11.647252</v>
      </c>
      <c r="O723" s="7" t="s">
        <v>23</v>
      </c>
      <c r="P723" s="3"/>
      <c r="Q723" s="3"/>
      <c r="R723" s="3"/>
    </row>
    <row r="724" spans="1:18" x14ac:dyDescent="0.25">
      <c r="A724" s="2">
        <v>1922</v>
      </c>
      <c r="B724" s="7" t="s">
        <v>1799</v>
      </c>
      <c r="C724" s="7" t="s">
        <v>1800</v>
      </c>
      <c r="D724" s="7" t="s">
        <v>1799</v>
      </c>
      <c r="E724" s="7" t="s">
        <v>182</v>
      </c>
      <c r="F724" s="7" t="s">
        <v>1801</v>
      </c>
      <c r="G724" s="17" t="s">
        <v>7747</v>
      </c>
      <c r="H724" s="7" t="s">
        <v>28</v>
      </c>
      <c r="I724" s="7" t="s">
        <v>275</v>
      </c>
      <c r="J724" s="7" t="s">
        <v>276</v>
      </c>
      <c r="K724" s="7" t="s">
        <v>557</v>
      </c>
      <c r="L724" s="7" t="s">
        <v>136</v>
      </c>
      <c r="M724" s="7">
        <v>3.7996940000000001</v>
      </c>
      <c r="N724" s="7">
        <v>11.343028</v>
      </c>
      <c r="O724" s="7" t="s">
        <v>23</v>
      </c>
      <c r="P724" s="3"/>
      <c r="Q724" s="3"/>
      <c r="R724" s="3"/>
    </row>
    <row r="725" spans="1:18" x14ac:dyDescent="0.25">
      <c r="A725" s="2">
        <v>1923</v>
      </c>
      <c r="B725" s="7" t="s">
        <v>1803</v>
      </c>
      <c r="C725" s="7" t="s">
        <v>1804</v>
      </c>
      <c r="D725" s="7" t="s">
        <v>1803</v>
      </c>
      <c r="E725" s="7" t="s">
        <v>182</v>
      </c>
      <c r="F725" s="7" t="s">
        <v>1805</v>
      </c>
      <c r="G725" s="17" t="s">
        <v>7747</v>
      </c>
      <c r="H725" s="7" t="s">
        <v>28</v>
      </c>
      <c r="I725" s="7" t="s">
        <v>1806</v>
      </c>
      <c r="J725" s="7" t="s">
        <v>185</v>
      </c>
      <c r="K725" s="7" t="s">
        <v>1462</v>
      </c>
      <c r="L725" s="7" t="s">
        <v>136</v>
      </c>
      <c r="M725" s="7">
        <v>3.8405830000000001</v>
      </c>
      <c r="N725" s="7">
        <v>11.497528000000001</v>
      </c>
      <c r="O725" s="7" t="s">
        <v>613</v>
      </c>
      <c r="P725" s="3"/>
      <c r="Q725" s="3"/>
      <c r="R725" s="3"/>
    </row>
    <row r="726" spans="1:18" x14ac:dyDescent="0.25">
      <c r="A726" s="2">
        <v>1924</v>
      </c>
      <c r="B726" s="7" t="s">
        <v>1807</v>
      </c>
      <c r="C726" s="7" t="s">
        <v>1808</v>
      </c>
      <c r="D726" s="7" t="s">
        <v>1807</v>
      </c>
      <c r="E726" s="7" t="s">
        <v>250</v>
      </c>
      <c r="F726" s="7" t="s">
        <v>1809</v>
      </c>
      <c r="G726" s="17" t="s">
        <v>7747</v>
      </c>
      <c r="H726" s="7" t="s">
        <v>28</v>
      </c>
      <c r="I726" s="7" t="s">
        <v>341</v>
      </c>
      <c r="J726" s="7" t="s">
        <v>323</v>
      </c>
      <c r="K726" s="7" t="s">
        <v>341</v>
      </c>
      <c r="L726" s="7" t="s">
        <v>136</v>
      </c>
      <c r="M726" s="7">
        <v>3.5057</v>
      </c>
      <c r="N726" s="7">
        <v>11.484299999999999</v>
      </c>
      <c r="O726" s="7" t="s">
        <v>23</v>
      </c>
      <c r="P726" s="3"/>
      <c r="Q726" s="3"/>
      <c r="R726" s="3"/>
    </row>
    <row r="727" spans="1:18" x14ac:dyDescent="0.25">
      <c r="A727" s="2">
        <v>1925</v>
      </c>
      <c r="B727" s="7" t="s">
        <v>1810</v>
      </c>
      <c r="C727" s="7" t="s">
        <v>1811</v>
      </c>
      <c r="D727" s="7" t="s">
        <v>1810</v>
      </c>
      <c r="E727" s="7" t="s">
        <v>182</v>
      </c>
      <c r="F727" s="7" t="s">
        <v>1812</v>
      </c>
      <c r="G727" s="17" t="s">
        <v>7747</v>
      </c>
      <c r="H727" s="7" t="s">
        <v>28</v>
      </c>
      <c r="I727" s="7" t="s">
        <v>286</v>
      </c>
      <c r="J727" s="7" t="s">
        <v>298</v>
      </c>
      <c r="K727" s="7" t="s">
        <v>1746</v>
      </c>
      <c r="L727" s="7" t="s">
        <v>136</v>
      </c>
      <c r="M727" s="7">
        <v>4.4658620000000004</v>
      </c>
      <c r="N727" s="7">
        <v>12.094537000000001</v>
      </c>
      <c r="O727" s="7" t="s">
        <v>23</v>
      </c>
      <c r="P727" s="3"/>
      <c r="Q727" s="3"/>
      <c r="R727" s="3"/>
    </row>
    <row r="728" spans="1:18" x14ac:dyDescent="0.25">
      <c r="A728" s="2">
        <v>1926</v>
      </c>
      <c r="B728" s="7" t="s">
        <v>1813</v>
      </c>
      <c r="C728" s="7" t="s">
        <v>1814</v>
      </c>
      <c r="D728" s="7" t="s">
        <v>1813</v>
      </c>
      <c r="E728" s="7" t="s">
        <v>182</v>
      </c>
      <c r="F728" s="7" t="s">
        <v>1815</v>
      </c>
      <c r="G728" s="17" t="s">
        <v>7747</v>
      </c>
      <c r="H728" s="7" t="s">
        <v>28</v>
      </c>
      <c r="I728" s="7" t="s">
        <v>286</v>
      </c>
      <c r="J728" s="7" t="s">
        <v>287</v>
      </c>
      <c r="K728" s="7" t="s">
        <v>288</v>
      </c>
      <c r="L728" s="7" t="s">
        <v>136</v>
      </c>
      <c r="M728" s="7">
        <v>4.169333</v>
      </c>
      <c r="N728" s="7">
        <v>11.433417</v>
      </c>
      <c r="O728" s="7" t="s">
        <v>23</v>
      </c>
      <c r="P728" s="3"/>
      <c r="Q728" s="3"/>
      <c r="R728" s="3"/>
    </row>
    <row r="729" spans="1:18" x14ac:dyDescent="0.25">
      <c r="A729" s="2">
        <v>1927</v>
      </c>
      <c r="B729" s="7" t="s">
        <v>1825</v>
      </c>
      <c r="C729" s="7" t="s">
        <v>1826</v>
      </c>
      <c r="D729" s="7" t="s">
        <v>1825</v>
      </c>
      <c r="E729" s="7" t="s">
        <v>182</v>
      </c>
      <c r="F729" s="7" t="s">
        <v>1827</v>
      </c>
      <c r="G729" s="17" t="s">
        <v>7747</v>
      </c>
      <c r="H729" s="7" t="s">
        <v>28</v>
      </c>
      <c r="I729" s="7" t="s">
        <v>817</v>
      </c>
      <c r="J729" s="7" t="s">
        <v>818</v>
      </c>
      <c r="K729" s="7" t="s">
        <v>1540</v>
      </c>
      <c r="L729" s="7" t="s">
        <v>136</v>
      </c>
      <c r="M729" s="7">
        <v>3.905653</v>
      </c>
      <c r="N729" s="7">
        <v>12.435843</v>
      </c>
      <c r="O729" s="7" t="s">
        <v>23</v>
      </c>
      <c r="P729" s="3"/>
      <c r="Q729" s="3"/>
      <c r="R729" s="3"/>
    </row>
    <row r="730" spans="1:18" x14ac:dyDescent="0.25">
      <c r="A730" s="2">
        <v>1928</v>
      </c>
      <c r="B730" s="7" t="s">
        <v>1828</v>
      </c>
      <c r="C730" s="7" t="s">
        <v>1829</v>
      </c>
      <c r="D730" s="7" t="s">
        <v>1828</v>
      </c>
      <c r="E730" s="7" t="s">
        <v>182</v>
      </c>
      <c r="F730" s="7" t="s">
        <v>1830</v>
      </c>
      <c r="G730" s="17" t="s">
        <v>7747</v>
      </c>
      <c r="H730" s="7" t="s">
        <v>28</v>
      </c>
      <c r="I730" s="7" t="s">
        <v>184</v>
      </c>
      <c r="J730" s="7" t="s">
        <v>185</v>
      </c>
      <c r="K730" s="7" t="s">
        <v>1435</v>
      </c>
      <c r="L730" s="7" t="s">
        <v>136</v>
      </c>
      <c r="M730" s="7">
        <v>3.8978830000000002</v>
      </c>
      <c r="N730" s="7">
        <v>11.550171000000001</v>
      </c>
      <c r="O730" s="7" t="s">
        <v>613</v>
      </c>
      <c r="P730" s="3"/>
      <c r="Q730" s="3"/>
      <c r="R730" s="3"/>
    </row>
    <row r="731" spans="1:18" x14ac:dyDescent="0.25">
      <c r="A731" s="2">
        <v>1929</v>
      </c>
      <c r="B731" s="7" t="s">
        <v>1831</v>
      </c>
      <c r="C731" s="7" t="s">
        <v>1832</v>
      </c>
      <c r="D731" s="7" t="s">
        <v>1831</v>
      </c>
      <c r="E731" s="7" t="s">
        <v>182</v>
      </c>
      <c r="F731" s="7" t="s">
        <v>1833</v>
      </c>
      <c r="G731" s="17" t="s">
        <v>7747</v>
      </c>
      <c r="H731" s="7" t="s">
        <v>28</v>
      </c>
      <c r="I731" s="7" t="s">
        <v>286</v>
      </c>
      <c r="J731" s="7" t="s">
        <v>287</v>
      </c>
      <c r="K731" s="7" t="s">
        <v>288</v>
      </c>
      <c r="L731" s="7" t="s">
        <v>136</v>
      </c>
      <c r="M731" s="7">
        <v>4.2327399999999997</v>
      </c>
      <c r="N731" s="7">
        <v>11.495621999999999</v>
      </c>
      <c r="O731" s="7" t="s">
        <v>23</v>
      </c>
      <c r="P731" s="3"/>
      <c r="Q731" s="3"/>
      <c r="R731" s="3"/>
    </row>
    <row r="732" spans="1:18" x14ac:dyDescent="0.25">
      <c r="A732" s="2">
        <v>1930</v>
      </c>
      <c r="B732" s="7" t="s">
        <v>1859</v>
      </c>
      <c r="C732" s="7" t="s">
        <v>1860</v>
      </c>
      <c r="D732" s="7" t="s">
        <v>1859</v>
      </c>
      <c r="E732" s="7" t="s">
        <v>74</v>
      </c>
      <c r="F732" s="7" t="s">
        <v>1861</v>
      </c>
      <c r="G732" s="17" t="s">
        <v>7747</v>
      </c>
      <c r="H732" s="7" t="s">
        <v>28</v>
      </c>
      <c r="I732" s="7" t="s">
        <v>481</v>
      </c>
      <c r="J732" s="7" t="s">
        <v>298</v>
      </c>
      <c r="K732" s="7" t="s">
        <v>1862</v>
      </c>
      <c r="L732" s="7" t="s">
        <v>136</v>
      </c>
      <c r="M732" s="7">
        <v>4.6666169999999996</v>
      </c>
      <c r="N732" s="7">
        <v>12.357196999999999</v>
      </c>
      <c r="O732" s="7" t="s">
        <v>23</v>
      </c>
      <c r="P732" s="3"/>
      <c r="Q732" s="3"/>
      <c r="R732" s="3"/>
    </row>
    <row r="733" spans="1:18" x14ac:dyDescent="0.25">
      <c r="A733" s="2">
        <v>1931</v>
      </c>
      <c r="B733" s="7" t="s">
        <v>1863</v>
      </c>
      <c r="C733" s="7" t="s">
        <v>1864</v>
      </c>
      <c r="D733" s="7" t="s">
        <v>1863</v>
      </c>
      <c r="E733" s="7" t="s">
        <v>250</v>
      </c>
      <c r="F733" s="7" t="s">
        <v>1865</v>
      </c>
      <c r="G733" s="17" t="s">
        <v>7747</v>
      </c>
      <c r="H733" s="7" t="s">
        <v>28</v>
      </c>
      <c r="I733" s="7" t="s">
        <v>311</v>
      </c>
      <c r="J733" s="7" t="s">
        <v>312</v>
      </c>
      <c r="K733" s="7" t="s">
        <v>1866</v>
      </c>
      <c r="L733" s="7" t="s">
        <v>136</v>
      </c>
      <c r="M733" s="7">
        <v>2.8484720000000001</v>
      </c>
      <c r="N733" s="7">
        <v>11.594360999999999</v>
      </c>
      <c r="O733" s="7" t="s">
        <v>23</v>
      </c>
      <c r="P733" s="3"/>
      <c r="Q733" s="3"/>
      <c r="R733" s="3"/>
    </row>
    <row r="734" spans="1:18" x14ac:dyDescent="0.25">
      <c r="A734" s="2">
        <v>1932</v>
      </c>
      <c r="B734" s="7" t="s">
        <v>1874</v>
      </c>
      <c r="C734" s="7" t="s">
        <v>1875</v>
      </c>
      <c r="D734" s="7" t="s">
        <v>1874</v>
      </c>
      <c r="E734" s="7" t="s">
        <v>250</v>
      </c>
      <c r="F734" s="7" t="s">
        <v>1876</v>
      </c>
      <c r="G734" s="17" t="s">
        <v>7747</v>
      </c>
      <c r="H734" s="7" t="s">
        <v>19</v>
      </c>
      <c r="I734" s="7" t="s">
        <v>311</v>
      </c>
      <c r="J734" s="7" t="s">
        <v>312</v>
      </c>
      <c r="K734" s="7" t="s">
        <v>1876</v>
      </c>
      <c r="L734" s="7" t="s">
        <v>136</v>
      </c>
      <c r="M734" s="7">
        <v>2.9294829999999998</v>
      </c>
      <c r="N734" s="7">
        <v>11.412417</v>
      </c>
      <c r="O734" s="7" t="s">
        <v>23</v>
      </c>
      <c r="P734" s="3"/>
      <c r="Q734" s="3"/>
      <c r="R734" s="3"/>
    </row>
    <row r="735" spans="1:18" x14ac:dyDescent="0.25">
      <c r="A735" s="2">
        <v>1933</v>
      </c>
      <c r="B735" s="7" t="s">
        <v>1941</v>
      </c>
      <c r="C735" s="7" t="s">
        <v>1942</v>
      </c>
      <c r="D735" s="7" t="s">
        <v>1941</v>
      </c>
      <c r="E735" s="7" t="s">
        <v>182</v>
      </c>
      <c r="F735" s="7" t="s">
        <v>1943</v>
      </c>
      <c r="G735" s="17" t="s">
        <v>7747</v>
      </c>
      <c r="H735" s="7" t="s">
        <v>28</v>
      </c>
      <c r="I735" s="7" t="s">
        <v>286</v>
      </c>
      <c r="J735" s="7" t="s">
        <v>287</v>
      </c>
      <c r="K735" s="7" t="s">
        <v>288</v>
      </c>
      <c r="L735" s="7" t="s">
        <v>136</v>
      </c>
      <c r="M735" s="7">
        <v>4.078023</v>
      </c>
      <c r="N735" s="7">
        <v>11.550689999999999</v>
      </c>
      <c r="O735" s="7" t="s">
        <v>23</v>
      </c>
      <c r="P735" s="3"/>
      <c r="Q735" s="3"/>
      <c r="R735" s="3"/>
    </row>
    <row r="736" spans="1:18" x14ac:dyDescent="0.25">
      <c r="A736" s="2">
        <v>1934</v>
      </c>
      <c r="B736" s="7" t="s">
        <v>1944</v>
      </c>
      <c r="C736" s="7" t="s">
        <v>1945</v>
      </c>
      <c r="D736" s="7" t="s">
        <v>1944</v>
      </c>
      <c r="E736" s="7" t="s">
        <v>182</v>
      </c>
      <c r="F736" s="7" t="s">
        <v>1946</v>
      </c>
      <c r="G736" s="17" t="s">
        <v>7747</v>
      </c>
      <c r="H736" s="7" t="s">
        <v>19</v>
      </c>
      <c r="I736" s="7" t="s">
        <v>275</v>
      </c>
      <c r="J736" s="7" t="s">
        <v>276</v>
      </c>
      <c r="K736" s="7" t="s">
        <v>557</v>
      </c>
      <c r="L736" s="7" t="s">
        <v>136</v>
      </c>
      <c r="M736" s="7">
        <v>3.7769170000000001</v>
      </c>
      <c r="N736" s="7">
        <v>11.271722</v>
      </c>
      <c r="O736" s="7" t="s">
        <v>23</v>
      </c>
      <c r="P736" s="3"/>
      <c r="Q736" s="3"/>
      <c r="R736" s="3"/>
    </row>
    <row r="737" spans="1:18" x14ac:dyDescent="0.25">
      <c r="A737" s="2">
        <v>1935</v>
      </c>
      <c r="B737" s="7" t="s">
        <v>1962</v>
      </c>
      <c r="C737" s="7" t="s">
        <v>1963</v>
      </c>
      <c r="D737" s="7" t="s">
        <v>1962</v>
      </c>
      <c r="E737" s="7" t="s">
        <v>182</v>
      </c>
      <c r="F737" s="7" t="s">
        <v>1964</v>
      </c>
      <c r="G737" s="17" t="s">
        <v>7747</v>
      </c>
      <c r="H737" s="7" t="s">
        <v>28</v>
      </c>
      <c r="I737" s="7" t="s">
        <v>600</v>
      </c>
      <c r="J737" s="7" t="s">
        <v>208</v>
      </c>
      <c r="K737" s="7" t="s">
        <v>1965</v>
      </c>
      <c r="L737" s="7" t="s">
        <v>136</v>
      </c>
      <c r="M737" s="7">
        <v>4.0946109999999996</v>
      </c>
      <c r="N737" s="7">
        <v>10.965417</v>
      </c>
      <c r="O737" s="7" t="s">
        <v>23</v>
      </c>
      <c r="P737" s="3"/>
      <c r="Q737" s="3"/>
      <c r="R737" s="3"/>
    </row>
    <row r="738" spans="1:18" x14ac:dyDescent="0.25">
      <c r="A738" s="2">
        <v>1936</v>
      </c>
      <c r="B738" s="7" t="s">
        <v>1989</v>
      </c>
      <c r="C738" s="7" t="s">
        <v>1990</v>
      </c>
      <c r="D738" s="7" t="s">
        <v>1989</v>
      </c>
      <c r="E738" s="7" t="s">
        <v>182</v>
      </c>
      <c r="F738" s="7" t="s">
        <v>1991</v>
      </c>
      <c r="G738" s="17" t="s">
        <v>7747</v>
      </c>
      <c r="H738" s="7" t="s">
        <v>28</v>
      </c>
      <c r="I738" s="7" t="s">
        <v>1553</v>
      </c>
      <c r="J738" s="7" t="s">
        <v>826</v>
      </c>
      <c r="K738" s="7" t="s">
        <v>819</v>
      </c>
      <c r="L738" s="7" t="s">
        <v>136</v>
      </c>
      <c r="M738" s="7">
        <v>3.8138450000000002</v>
      </c>
      <c r="N738" s="7">
        <v>11.58159</v>
      </c>
      <c r="O738" s="7" t="s">
        <v>23</v>
      </c>
      <c r="P738" s="3"/>
      <c r="Q738" s="3"/>
      <c r="R738" s="3"/>
    </row>
    <row r="739" spans="1:18" x14ac:dyDescent="0.25">
      <c r="A739" s="2">
        <v>1937</v>
      </c>
      <c r="B739" s="7" t="s">
        <v>1995</v>
      </c>
      <c r="C739" s="7" t="s">
        <v>1996</v>
      </c>
      <c r="D739" s="7" t="s">
        <v>1995</v>
      </c>
      <c r="E739" s="7" t="s">
        <v>250</v>
      </c>
      <c r="F739" s="7" t="s">
        <v>1997</v>
      </c>
      <c r="G739" s="17" t="s">
        <v>7747</v>
      </c>
      <c r="H739" s="7" t="s">
        <v>19</v>
      </c>
      <c r="I739" s="7" t="s">
        <v>322</v>
      </c>
      <c r="J739" s="7" t="s">
        <v>253</v>
      </c>
      <c r="K739" s="7" t="s">
        <v>324</v>
      </c>
      <c r="L739" s="7" t="s">
        <v>136</v>
      </c>
      <c r="M739" s="7">
        <v>3.2501890000000002</v>
      </c>
      <c r="N739" s="7">
        <v>11.888258</v>
      </c>
      <c r="O739" s="7" t="s">
        <v>23</v>
      </c>
      <c r="P739" s="3"/>
      <c r="Q739" s="3"/>
      <c r="R739" s="3"/>
    </row>
    <row r="740" spans="1:18" x14ac:dyDescent="0.25">
      <c r="A740" s="2">
        <v>1938</v>
      </c>
      <c r="B740" s="7" t="s">
        <v>1998</v>
      </c>
      <c r="C740" s="7" t="s">
        <v>1999</v>
      </c>
      <c r="D740" s="7" t="s">
        <v>1998</v>
      </c>
      <c r="E740" s="7" t="s">
        <v>250</v>
      </c>
      <c r="F740" s="7" t="s">
        <v>2000</v>
      </c>
      <c r="G740" s="17" t="s">
        <v>7747</v>
      </c>
      <c r="H740" s="7" t="s">
        <v>19</v>
      </c>
      <c r="I740" s="7" t="s">
        <v>341</v>
      </c>
      <c r="J740" s="7" t="s">
        <v>323</v>
      </c>
      <c r="K740" s="7" t="s">
        <v>341</v>
      </c>
      <c r="L740" s="7" t="s">
        <v>136</v>
      </c>
      <c r="M740" s="7">
        <v>3.5625969999999998</v>
      </c>
      <c r="N740" s="7">
        <v>11.512900999999999</v>
      </c>
      <c r="O740" s="7" t="s">
        <v>23</v>
      </c>
      <c r="P740" s="3"/>
      <c r="Q740" s="3"/>
      <c r="R740" s="3"/>
    </row>
    <row r="741" spans="1:18" x14ac:dyDescent="0.25">
      <c r="A741" s="2">
        <v>1939</v>
      </c>
      <c r="B741" s="7" t="s">
        <v>2001</v>
      </c>
      <c r="C741" s="7" t="s">
        <v>2002</v>
      </c>
      <c r="D741" s="7" t="s">
        <v>2001</v>
      </c>
      <c r="E741" s="7" t="s">
        <v>182</v>
      </c>
      <c r="F741" s="7" t="s">
        <v>2003</v>
      </c>
      <c r="G741" s="17" t="s">
        <v>7747</v>
      </c>
      <c r="H741" s="7" t="s">
        <v>19</v>
      </c>
      <c r="I741" s="7" t="s">
        <v>297</v>
      </c>
      <c r="J741" s="7" t="s">
        <v>185</v>
      </c>
      <c r="K741" s="7" t="s">
        <v>1393</v>
      </c>
      <c r="L741" s="7" t="s">
        <v>136</v>
      </c>
      <c r="M741" s="7">
        <v>3.8719899999999998</v>
      </c>
      <c r="N741" s="7">
        <v>11.453390000000001</v>
      </c>
      <c r="O741" s="7" t="s">
        <v>613</v>
      </c>
      <c r="P741" s="3"/>
      <c r="Q741" s="3"/>
      <c r="R741" s="3"/>
    </row>
    <row r="742" spans="1:18" x14ac:dyDescent="0.25">
      <c r="A742" s="2">
        <v>1940</v>
      </c>
      <c r="B742" s="7" t="s">
        <v>2034</v>
      </c>
      <c r="C742" s="7" t="s">
        <v>2035</v>
      </c>
      <c r="D742" s="7" t="s">
        <v>2034</v>
      </c>
      <c r="E742" s="7" t="s">
        <v>182</v>
      </c>
      <c r="F742" s="7" t="s">
        <v>2036</v>
      </c>
      <c r="G742" s="17" t="s">
        <v>7747</v>
      </c>
      <c r="H742" s="7" t="s">
        <v>28</v>
      </c>
      <c r="I742" s="7" t="s">
        <v>1284</v>
      </c>
      <c r="J742" s="7" t="s">
        <v>185</v>
      </c>
      <c r="K742" s="7" t="s">
        <v>1322</v>
      </c>
      <c r="L742" s="7" t="s">
        <v>136</v>
      </c>
      <c r="M742" s="7">
        <v>3.8344</v>
      </c>
      <c r="N742" s="7">
        <v>11.4846</v>
      </c>
      <c r="O742" s="7" t="s">
        <v>613</v>
      </c>
      <c r="P742" s="3"/>
      <c r="Q742" s="3"/>
      <c r="R742" s="3"/>
    </row>
    <row r="743" spans="1:18" x14ac:dyDescent="0.25">
      <c r="A743" s="2">
        <v>1941</v>
      </c>
      <c r="B743" s="7" t="s">
        <v>2041</v>
      </c>
      <c r="C743" s="7" t="s">
        <v>2042</v>
      </c>
      <c r="D743" s="7" t="s">
        <v>2041</v>
      </c>
      <c r="E743" s="7" t="s">
        <v>182</v>
      </c>
      <c r="F743" s="7" t="s">
        <v>2043</v>
      </c>
      <c r="G743" s="17" t="s">
        <v>7747</v>
      </c>
      <c r="H743" s="7" t="s">
        <v>28</v>
      </c>
      <c r="I743" s="7" t="s">
        <v>297</v>
      </c>
      <c r="J743" s="7" t="s">
        <v>185</v>
      </c>
      <c r="K743" s="7" t="s">
        <v>1393</v>
      </c>
      <c r="L743" s="7" t="s">
        <v>136</v>
      </c>
      <c r="M743" s="7">
        <v>3.8826420000000001</v>
      </c>
      <c r="N743" s="7">
        <v>11.468216</v>
      </c>
      <c r="O743" s="7" t="s">
        <v>613</v>
      </c>
      <c r="P743" s="3"/>
      <c r="Q743" s="3"/>
      <c r="R743" s="3"/>
    </row>
    <row r="744" spans="1:18" x14ac:dyDescent="0.25">
      <c r="A744" s="2">
        <v>1942</v>
      </c>
      <c r="B744" s="7" t="s">
        <v>2044</v>
      </c>
      <c r="C744" s="7" t="s">
        <v>2045</v>
      </c>
      <c r="D744" s="7" t="s">
        <v>2044</v>
      </c>
      <c r="E744" s="7" t="s">
        <v>182</v>
      </c>
      <c r="F744" s="7" t="s">
        <v>2046</v>
      </c>
      <c r="G744" s="17" t="s">
        <v>7747</v>
      </c>
      <c r="H744" s="7" t="s">
        <v>19</v>
      </c>
      <c r="I744" s="7" t="s">
        <v>297</v>
      </c>
      <c r="J744" s="7" t="s">
        <v>185</v>
      </c>
      <c r="K744" s="7" t="s">
        <v>2047</v>
      </c>
      <c r="L744" s="7" t="s">
        <v>136</v>
      </c>
      <c r="M744" s="7">
        <v>4.0304469999999997</v>
      </c>
      <c r="N744" s="7">
        <v>11.38416</v>
      </c>
      <c r="O744" s="7" t="s">
        <v>23</v>
      </c>
      <c r="P744" s="3"/>
      <c r="Q744" s="3"/>
      <c r="R744" s="3"/>
    </row>
    <row r="745" spans="1:18" x14ac:dyDescent="0.25">
      <c r="A745" s="2">
        <v>1943</v>
      </c>
      <c r="B745" s="7" t="s">
        <v>2051</v>
      </c>
      <c r="C745" s="7" t="s">
        <v>2052</v>
      </c>
      <c r="D745" s="7" t="s">
        <v>2051</v>
      </c>
      <c r="E745" s="7" t="s">
        <v>250</v>
      </c>
      <c r="F745" s="7" t="s">
        <v>2053</v>
      </c>
      <c r="G745" s="17" t="s">
        <v>7747</v>
      </c>
      <c r="H745" s="7" t="s">
        <v>19</v>
      </c>
      <c r="I745" s="7" t="s">
        <v>322</v>
      </c>
      <c r="J745" s="7" t="s">
        <v>253</v>
      </c>
      <c r="K745" s="7" t="s">
        <v>324</v>
      </c>
      <c r="L745" s="7" t="s">
        <v>136</v>
      </c>
      <c r="M745" s="7">
        <v>3.1137619999999999</v>
      </c>
      <c r="N745" s="7">
        <v>11.849520999999999</v>
      </c>
      <c r="O745" s="7" t="s">
        <v>23</v>
      </c>
      <c r="P745" s="3"/>
      <c r="Q745" s="3"/>
      <c r="R745" s="3"/>
    </row>
    <row r="746" spans="1:18" x14ac:dyDescent="0.25">
      <c r="A746" s="2">
        <v>1944</v>
      </c>
      <c r="B746" s="7" t="s">
        <v>2054</v>
      </c>
      <c r="C746" s="7" t="s">
        <v>2055</v>
      </c>
      <c r="D746" s="7" t="s">
        <v>2054</v>
      </c>
      <c r="E746" s="7" t="s">
        <v>250</v>
      </c>
      <c r="F746" s="7" t="s">
        <v>2056</v>
      </c>
      <c r="G746" s="17" t="s">
        <v>7747</v>
      </c>
      <c r="H746" s="7" t="s">
        <v>19</v>
      </c>
      <c r="I746" s="7" t="s">
        <v>341</v>
      </c>
      <c r="J746" s="7" t="s">
        <v>253</v>
      </c>
      <c r="K746" s="7" t="s">
        <v>1606</v>
      </c>
      <c r="L746" s="7" t="s">
        <v>136</v>
      </c>
      <c r="M746" s="7">
        <v>3.4334530000000001</v>
      </c>
      <c r="N746" s="7">
        <v>11.772194000000001</v>
      </c>
      <c r="O746" s="7" t="s">
        <v>23</v>
      </c>
      <c r="P746" s="3"/>
      <c r="Q746" s="3"/>
      <c r="R746" s="3"/>
    </row>
    <row r="747" spans="1:18" x14ac:dyDescent="0.25">
      <c r="A747" s="2">
        <v>1945</v>
      </c>
      <c r="B747" s="7" t="s">
        <v>2066</v>
      </c>
      <c r="C747" s="7" t="s">
        <v>2067</v>
      </c>
      <c r="D747" s="7" t="s">
        <v>2066</v>
      </c>
      <c r="E747" s="7" t="s">
        <v>182</v>
      </c>
      <c r="F747" s="7" t="s">
        <v>2068</v>
      </c>
      <c r="G747" s="17" t="s">
        <v>7747</v>
      </c>
      <c r="H747" s="7" t="s">
        <v>19</v>
      </c>
      <c r="I747" s="7" t="s">
        <v>1553</v>
      </c>
      <c r="J747" s="7" t="s">
        <v>185</v>
      </c>
      <c r="K747" s="7" t="s">
        <v>1367</v>
      </c>
      <c r="L747" s="7" t="s">
        <v>136</v>
      </c>
      <c r="M747" s="7">
        <v>3.8613599999999999</v>
      </c>
      <c r="N747" s="7">
        <v>11.522527</v>
      </c>
      <c r="O747" s="7" t="s">
        <v>613</v>
      </c>
      <c r="P747" s="3"/>
      <c r="Q747" s="3"/>
      <c r="R747" s="3"/>
    </row>
    <row r="748" spans="1:18" x14ac:dyDescent="0.25">
      <c r="A748" s="2">
        <v>1946</v>
      </c>
      <c r="B748" s="7" t="s">
        <v>2072</v>
      </c>
      <c r="C748" s="7" t="s">
        <v>2073</v>
      </c>
      <c r="D748" s="7" t="s">
        <v>2072</v>
      </c>
      <c r="E748" s="7" t="s">
        <v>182</v>
      </c>
      <c r="F748" s="7" t="s">
        <v>2074</v>
      </c>
      <c r="G748" s="17" t="s">
        <v>7747</v>
      </c>
      <c r="H748" s="7" t="s">
        <v>28</v>
      </c>
      <c r="I748" s="7" t="s">
        <v>1284</v>
      </c>
      <c r="J748" s="7" t="s">
        <v>185</v>
      </c>
      <c r="K748" s="7" t="s">
        <v>1322</v>
      </c>
      <c r="L748" s="7" t="s">
        <v>136</v>
      </c>
      <c r="M748" s="7">
        <v>3.8362919999999998</v>
      </c>
      <c r="N748" s="7">
        <v>11.470129999999999</v>
      </c>
      <c r="O748" s="7" t="s">
        <v>613</v>
      </c>
      <c r="P748" s="3"/>
      <c r="Q748" s="3"/>
      <c r="R748" s="3"/>
    </row>
    <row r="749" spans="1:18" x14ac:dyDescent="0.25">
      <c r="A749" s="2">
        <v>1947</v>
      </c>
      <c r="B749" s="7" t="s">
        <v>2075</v>
      </c>
      <c r="C749" s="7" t="s">
        <v>2076</v>
      </c>
      <c r="D749" s="7" t="s">
        <v>2075</v>
      </c>
      <c r="E749" s="7" t="s">
        <v>250</v>
      </c>
      <c r="F749" s="7" t="s">
        <v>2077</v>
      </c>
      <c r="G749" s="17" t="s">
        <v>7747</v>
      </c>
      <c r="H749" s="7" t="s">
        <v>28</v>
      </c>
      <c r="I749" s="7" t="s">
        <v>341</v>
      </c>
      <c r="J749" s="7" t="s">
        <v>253</v>
      </c>
      <c r="K749" s="7" t="s">
        <v>1606</v>
      </c>
      <c r="L749" s="7" t="s">
        <v>136</v>
      </c>
      <c r="M749" s="7">
        <v>3.473179</v>
      </c>
      <c r="N749" s="7">
        <v>11.624039</v>
      </c>
      <c r="O749" s="7" t="s">
        <v>23</v>
      </c>
      <c r="P749" s="3"/>
      <c r="Q749" s="3"/>
      <c r="R749" s="3"/>
    </row>
    <row r="750" spans="1:18" x14ac:dyDescent="0.25">
      <c r="A750" s="2">
        <v>1948</v>
      </c>
      <c r="B750" s="7" t="s">
        <v>2078</v>
      </c>
      <c r="C750" s="7" t="s">
        <v>2079</v>
      </c>
      <c r="D750" s="7" t="s">
        <v>2078</v>
      </c>
      <c r="E750" s="7" t="s">
        <v>250</v>
      </c>
      <c r="F750" s="7" t="s">
        <v>341</v>
      </c>
      <c r="G750" s="17" t="s">
        <v>7747</v>
      </c>
      <c r="H750" s="7" t="s">
        <v>19</v>
      </c>
      <c r="I750" s="7" t="s">
        <v>341</v>
      </c>
      <c r="J750" s="7" t="s">
        <v>323</v>
      </c>
      <c r="K750" s="7" t="s">
        <v>341</v>
      </c>
      <c r="L750" s="7" t="s">
        <v>136</v>
      </c>
      <c r="M750" s="7">
        <v>3.5179689999999999</v>
      </c>
      <c r="N750" s="7">
        <v>11.504186000000001</v>
      </c>
      <c r="O750" s="7" t="s">
        <v>23</v>
      </c>
      <c r="P750" s="3"/>
      <c r="Q750" s="3"/>
      <c r="R750" s="3"/>
    </row>
    <row r="751" spans="1:18" x14ac:dyDescent="0.25">
      <c r="A751" s="2">
        <v>1949</v>
      </c>
      <c r="B751" s="7" t="s">
        <v>2092</v>
      </c>
      <c r="C751" s="7" t="s">
        <v>2093</v>
      </c>
      <c r="D751" s="7" t="s">
        <v>2092</v>
      </c>
      <c r="E751" s="7" t="s">
        <v>182</v>
      </c>
      <c r="F751" s="7" t="s">
        <v>2094</v>
      </c>
      <c r="G751" s="17" t="s">
        <v>7747</v>
      </c>
      <c r="H751" s="7" t="s">
        <v>28</v>
      </c>
      <c r="I751" s="7" t="s">
        <v>1337</v>
      </c>
      <c r="J751" s="7" t="s">
        <v>185</v>
      </c>
      <c r="K751" s="7" t="s">
        <v>808</v>
      </c>
      <c r="L751" s="7" t="s">
        <v>136</v>
      </c>
      <c r="M751" s="7">
        <v>3.8762099999999999</v>
      </c>
      <c r="N751" s="7">
        <v>11.516540000000001</v>
      </c>
      <c r="O751" s="7" t="s">
        <v>23</v>
      </c>
      <c r="P751" s="3"/>
      <c r="Q751" s="3"/>
      <c r="R751" s="3"/>
    </row>
    <row r="752" spans="1:18" x14ac:dyDescent="0.25">
      <c r="A752" s="2">
        <v>1950</v>
      </c>
      <c r="B752" s="7" t="s">
        <v>2113</v>
      </c>
      <c r="C752" s="7" t="s">
        <v>2114</v>
      </c>
      <c r="D752" s="7" t="s">
        <v>2113</v>
      </c>
      <c r="E752" s="7" t="s">
        <v>182</v>
      </c>
      <c r="F752" s="7" t="s">
        <v>2115</v>
      </c>
      <c r="G752" s="17" t="s">
        <v>7747</v>
      </c>
      <c r="H752" s="7" t="s">
        <v>28</v>
      </c>
      <c r="I752" s="7" t="s">
        <v>297</v>
      </c>
      <c r="J752" s="7" t="s">
        <v>287</v>
      </c>
      <c r="K752" s="7" t="s">
        <v>2116</v>
      </c>
      <c r="L752" s="7" t="s">
        <v>136</v>
      </c>
      <c r="M752" s="7">
        <v>4.0923999999999996</v>
      </c>
      <c r="N752" s="7">
        <v>11.198843</v>
      </c>
      <c r="O752" s="7" t="s">
        <v>23</v>
      </c>
      <c r="P752" s="3"/>
      <c r="Q752" s="3"/>
      <c r="R752" s="3"/>
    </row>
    <row r="753" spans="1:18" x14ac:dyDescent="0.25">
      <c r="A753" s="2">
        <v>1951</v>
      </c>
      <c r="B753" s="7" t="s">
        <v>2120</v>
      </c>
      <c r="C753" s="7" t="s">
        <v>2121</v>
      </c>
      <c r="D753" s="7" t="s">
        <v>2120</v>
      </c>
      <c r="E753" s="7" t="s">
        <v>182</v>
      </c>
      <c r="F753" s="7" t="s">
        <v>2122</v>
      </c>
      <c r="G753" s="17" t="s">
        <v>7747</v>
      </c>
      <c r="H753" s="7" t="s">
        <v>19</v>
      </c>
      <c r="I753" s="7" t="s">
        <v>1284</v>
      </c>
      <c r="J753" s="7" t="s">
        <v>185</v>
      </c>
      <c r="K753" s="7" t="s">
        <v>1322</v>
      </c>
      <c r="L753" s="7" t="s">
        <v>136</v>
      </c>
      <c r="M753" s="7">
        <v>3.8342200000000002</v>
      </c>
      <c r="N753" s="7">
        <v>11.47696</v>
      </c>
      <c r="O753" s="7" t="s">
        <v>613</v>
      </c>
      <c r="P753" s="3"/>
      <c r="Q753" s="3"/>
      <c r="R753" s="3"/>
    </row>
    <row r="754" spans="1:18" x14ac:dyDescent="0.25">
      <c r="A754" s="2">
        <v>1952</v>
      </c>
      <c r="B754" s="7" t="s">
        <v>2123</v>
      </c>
      <c r="C754" s="7" t="s">
        <v>2124</v>
      </c>
      <c r="D754" s="7" t="s">
        <v>2123</v>
      </c>
      <c r="E754" s="7" t="s">
        <v>182</v>
      </c>
      <c r="F754" s="7" t="s">
        <v>2125</v>
      </c>
      <c r="G754" s="17" t="s">
        <v>7747</v>
      </c>
      <c r="H754" s="7" t="s">
        <v>19</v>
      </c>
      <c r="I754" s="7" t="s">
        <v>1766</v>
      </c>
      <c r="J754" s="7" t="s">
        <v>185</v>
      </c>
      <c r="K754" s="7" t="s">
        <v>808</v>
      </c>
      <c r="L754" s="7" t="s">
        <v>136</v>
      </c>
      <c r="M754" s="7">
        <v>3.9144299999999999</v>
      </c>
      <c r="N754" s="7">
        <v>11.5251</v>
      </c>
      <c r="O754" s="7" t="s">
        <v>613</v>
      </c>
      <c r="P754" s="3"/>
      <c r="Q754" s="3"/>
      <c r="R754" s="3"/>
    </row>
    <row r="755" spans="1:18" x14ac:dyDescent="0.25">
      <c r="A755" s="2">
        <v>1953</v>
      </c>
      <c r="B755" s="7" t="s">
        <v>2126</v>
      </c>
      <c r="C755" s="7" t="s">
        <v>2127</v>
      </c>
      <c r="D755" s="7" t="s">
        <v>2126</v>
      </c>
      <c r="E755" s="7" t="s">
        <v>182</v>
      </c>
      <c r="F755" s="7" t="s">
        <v>2128</v>
      </c>
      <c r="G755" s="17" t="s">
        <v>7747</v>
      </c>
      <c r="H755" s="7" t="s">
        <v>19</v>
      </c>
      <c r="I755" s="7" t="s">
        <v>817</v>
      </c>
      <c r="J755" s="7" t="s">
        <v>826</v>
      </c>
      <c r="K755" s="7" t="s">
        <v>827</v>
      </c>
      <c r="L755" s="7" t="s">
        <v>136</v>
      </c>
      <c r="M755" s="7">
        <v>4.0936219999999999</v>
      </c>
      <c r="N755" s="7">
        <v>11.883357</v>
      </c>
      <c r="O755" s="7" t="s">
        <v>23</v>
      </c>
      <c r="P755" s="3"/>
      <c r="Q755" s="3"/>
      <c r="R755" s="3"/>
    </row>
    <row r="756" spans="1:18" x14ac:dyDescent="0.25">
      <c r="A756" s="2">
        <v>1954</v>
      </c>
      <c r="B756" s="7" t="s">
        <v>2130</v>
      </c>
      <c r="C756" s="7" t="s">
        <v>2131</v>
      </c>
      <c r="D756" s="7" t="s">
        <v>2130</v>
      </c>
      <c r="E756" s="7" t="s">
        <v>182</v>
      </c>
      <c r="F756" s="7" t="s">
        <v>2132</v>
      </c>
      <c r="G756" s="17" t="s">
        <v>7747</v>
      </c>
      <c r="H756" s="7" t="s">
        <v>28</v>
      </c>
      <c r="I756" s="7" t="s">
        <v>1374</v>
      </c>
      <c r="J756" s="7" t="s">
        <v>185</v>
      </c>
      <c r="K756" s="7" t="s">
        <v>1375</v>
      </c>
      <c r="L756" s="7" t="s">
        <v>136</v>
      </c>
      <c r="M756" s="7">
        <v>3.87792</v>
      </c>
      <c r="N756" s="7">
        <v>11.50117</v>
      </c>
      <c r="O756" s="7" t="s">
        <v>613</v>
      </c>
      <c r="P756" s="3"/>
      <c r="Q756" s="3"/>
      <c r="R756" s="3"/>
    </row>
    <row r="757" spans="1:18" x14ac:dyDescent="0.25">
      <c r="A757" s="2">
        <v>1955</v>
      </c>
      <c r="B757" s="7" t="s">
        <v>2139</v>
      </c>
      <c r="C757" s="7" t="s">
        <v>2140</v>
      </c>
      <c r="D757" s="7" t="s">
        <v>2139</v>
      </c>
      <c r="E757" s="7" t="s">
        <v>250</v>
      </c>
      <c r="F757" s="7" t="s">
        <v>252</v>
      </c>
      <c r="G757" s="17" t="s">
        <v>7747</v>
      </c>
      <c r="H757" s="7" t="s">
        <v>28</v>
      </c>
      <c r="I757" s="7" t="s">
        <v>252</v>
      </c>
      <c r="J757" s="7" t="s">
        <v>253</v>
      </c>
      <c r="K757" s="7" t="s">
        <v>881</v>
      </c>
      <c r="L757" s="7" t="s">
        <v>136</v>
      </c>
      <c r="M757" s="7">
        <v>2.6730700000000001</v>
      </c>
      <c r="N757" s="7">
        <v>12.681125</v>
      </c>
      <c r="O757" s="7" t="s">
        <v>23</v>
      </c>
      <c r="P757" s="3"/>
      <c r="Q757" s="3"/>
      <c r="R757" s="3"/>
    </row>
    <row r="758" spans="1:18" x14ac:dyDescent="0.25">
      <c r="A758" s="2">
        <v>1956</v>
      </c>
      <c r="B758" s="7" t="s">
        <v>2141</v>
      </c>
      <c r="C758" s="7" t="s">
        <v>2142</v>
      </c>
      <c r="D758" s="7" t="s">
        <v>2141</v>
      </c>
      <c r="E758" s="7" t="s">
        <v>250</v>
      </c>
      <c r="F758" s="7" t="s">
        <v>2143</v>
      </c>
      <c r="G758" s="17" t="s">
        <v>7747</v>
      </c>
      <c r="H758" s="7" t="s">
        <v>28</v>
      </c>
      <c r="I758" s="7" t="s">
        <v>341</v>
      </c>
      <c r="J758" s="7" t="s">
        <v>323</v>
      </c>
      <c r="K758" s="7" t="s">
        <v>2143</v>
      </c>
      <c r="L758" s="7" t="s">
        <v>136</v>
      </c>
      <c r="M758" s="7">
        <v>3.6307369999999999</v>
      </c>
      <c r="N758" s="7">
        <v>11.448114</v>
      </c>
      <c r="O758" s="7" t="s">
        <v>23</v>
      </c>
      <c r="P758" s="3"/>
      <c r="Q758" s="3"/>
      <c r="R758" s="3"/>
    </row>
    <row r="759" spans="1:18" x14ac:dyDescent="0.25">
      <c r="A759" s="2">
        <v>1957</v>
      </c>
      <c r="B759" s="7" t="s">
        <v>2170</v>
      </c>
      <c r="C759" s="7" t="s">
        <v>2171</v>
      </c>
      <c r="D759" s="7" t="s">
        <v>2170</v>
      </c>
      <c r="E759" s="7" t="s">
        <v>182</v>
      </c>
      <c r="F759" s="7" t="s">
        <v>2172</v>
      </c>
      <c r="G759" s="17" t="s">
        <v>7747</v>
      </c>
      <c r="H759" s="7" t="s">
        <v>19</v>
      </c>
      <c r="I759" s="7" t="s">
        <v>817</v>
      </c>
      <c r="J759" s="7" t="s">
        <v>826</v>
      </c>
      <c r="K759" s="7" t="s">
        <v>819</v>
      </c>
      <c r="L759" s="7" t="s">
        <v>136</v>
      </c>
      <c r="M759" s="7">
        <v>3.866698</v>
      </c>
      <c r="N759" s="7">
        <v>11.680490000000001</v>
      </c>
      <c r="O759" s="7" t="s">
        <v>23</v>
      </c>
      <c r="P759" s="3"/>
      <c r="Q759" s="3"/>
      <c r="R759" s="3"/>
    </row>
    <row r="760" spans="1:18" x14ac:dyDescent="0.25">
      <c r="A760" s="2">
        <v>1958</v>
      </c>
      <c r="B760" s="7" t="s">
        <v>2173</v>
      </c>
      <c r="C760" s="7" t="s">
        <v>2174</v>
      </c>
      <c r="D760" s="7" t="s">
        <v>2173</v>
      </c>
      <c r="E760" s="7" t="s">
        <v>182</v>
      </c>
      <c r="F760" s="7" t="s">
        <v>2175</v>
      </c>
      <c r="G760" s="17" t="s">
        <v>7747</v>
      </c>
      <c r="H760" s="7" t="s">
        <v>19</v>
      </c>
      <c r="I760" s="7" t="s">
        <v>817</v>
      </c>
      <c r="J760" s="7" t="s">
        <v>826</v>
      </c>
      <c r="K760" s="7" t="s">
        <v>819</v>
      </c>
      <c r="L760" s="7" t="s">
        <v>136</v>
      </c>
      <c r="M760" s="7">
        <v>3.899076</v>
      </c>
      <c r="N760" s="7">
        <v>11.885851000000001</v>
      </c>
      <c r="O760" s="7" t="s">
        <v>23</v>
      </c>
      <c r="P760" s="3"/>
      <c r="Q760" s="3"/>
      <c r="R760" s="3"/>
    </row>
    <row r="761" spans="1:18" x14ac:dyDescent="0.25">
      <c r="A761" s="2">
        <v>1959</v>
      </c>
      <c r="B761" s="7" t="s">
        <v>2176</v>
      </c>
      <c r="C761" s="7" t="s">
        <v>2177</v>
      </c>
      <c r="D761" s="7" t="s">
        <v>2176</v>
      </c>
      <c r="E761" s="7" t="s">
        <v>250</v>
      </c>
      <c r="F761" s="7" t="s">
        <v>2178</v>
      </c>
      <c r="G761" s="17" t="s">
        <v>7747</v>
      </c>
      <c r="H761" s="7" t="s">
        <v>28</v>
      </c>
      <c r="I761" s="7" t="s">
        <v>341</v>
      </c>
      <c r="J761" s="7" t="s">
        <v>323</v>
      </c>
      <c r="K761" s="7" t="s">
        <v>341</v>
      </c>
      <c r="L761" s="7" t="s">
        <v>136</v>
      </c>
      <c r="M761" s="7">
        <v>3.3371719999999998</v>
      </c>
      <c r="N761" s="7">
        <v>11.496133</v>
      </c>
      <c r="O761" s="7" t="s">
        <v>23</v>
      </c>
      <c r="P761" s="3"/>
      <c r="Q761" s="3"/>
      <c r="R761" s="3"/>
    </row>
    <row r="762" spans="1:18" x14ac:dyDescent="0.25">
      <c r="A762" s="2">
        <v>1960</v>
      </c>
      <c r="B762" s="7" t="s">
        <v>2179</v>
      </c>
      <c r="C762" s="7" t="s">
        <v>2180</v>
      </c>
      <c r="D762" s="7" t="s">
        <v>2179</v>
      </c>
      <c r="E762" s="7" t="s">
        <v>182</v>
      </c>
      <c r="F762" s="7" t="s">
        <v>2181</v>
      </c>
      <c r="G762" s="17" t="s">
        <v>7747</v>
      </c>
      <c r="H762" s="7" t="s">
        <v>19</v>
      </c>
      <c r="I762" s="7" t="s">
        <v>807</v>
      </c>
      <c r="J762" s="7" t="s">
        <v>185</v>
      </c>
      <c r="K762" s="7" t="s">
        <v>808</v>
      </c>
      <c r="L762" s="7" t="s">
        <v>136</v>
      </c>
      <c r="M762" s="7">
        <v>3.90523</v>
      </c>
      <c r="N762" s="7">
        <v>11.511659999999999</v>
      </c>
      <c r="O762" s="7" t="s">
        <v>613</v>
      </c>
      <c r="P762" s="3"/>
      <c r="Q762" s="3"/>
      <c r="R762" s="3"/>
    </row>
    <row r="763" spans="1:18" x14ac:dyDescent="0.25">
      <c r="A763" s="2">
        <v>1961</v>
      </c>
      <c r="B763" s="7" t="s">
        <v>2185</v>
      </c>
      <c r="C763" s="7" t="s">
        <v>2186</v>
      </c>
      <c r="D763" s="7" t="s">
        <v>2185</v>
      </c>
      <c r="E763" s="7" t="s">
        <v>182</v>
      </c>
      <c r="F763" s="7" t="s">
        <v>817</v>
      </c>
      <c r="G763" s="17" t="s">
        <v>7747</v>
      </c>
      <c r="H763" s="7" t="s">
        <v>19</v>
      </c>
      <c r="I763" s="7" t="s">
        <v>817</v>
      </c>
      <c r="J763" s="7" t="s">
        <v>818</v>
      </c>
      <c r="K763" s="7" t="s">
        <v>2187</v>
      </c>
      <c r="L763" s="7" t="s">
        <v>136</v>
      </c>
      <c r="M763" s="7">
        <v>3.783604</v>
      </c>
      <c r="N763" s="7">
        <v>12.246397</v>
      </c>
      <c r="O763" s="7" t="s">
        <v>23</v>
      </c>
      <c r="P763" s="3"/>
      <c r="Q763" s="3"/>
      <c r="R763" s="3"/>
    </row>
    <row r="764" spans="1:18" x14ac:dyDescent="0.25">
      <c r="A764" s="2">
        <v>1962</v>
      </c>
      <c r="B764" s="7" t="s">
        <v>2188</v>
      </c>
      <c r="C764" s="7" t="s">
        <v>2189</v>
      </c>
      <c r="D764" s="7" t="s">
        <v>2188</v>
      </c>
      <c r="E764" s="7" t="s">
        <v>182</v>
      </c>
      <c r="F764" s="7" t="s">
        <v>2190</v>
      </c>
      <c r="G764" s="17" t="s">
        <v>7747</v>
      </c>
      <c r="H764" s="7" t="s">
        <v>19</v>
      </c>
      <c r="I764" s="7" t="s">
        <v>1284</v>
      </c>
      <c r="J764" s="7" t="s">
        <v>185</v>
      </c>
      <c r="K764" s="7" t="s">
        <v>1462</v>
      </c>
      <c r="L764" s="7" t="s">
        <v>136</v>
      </c>
      <c r="M764" s="7">
        <v>3.7932899999999998</v>
      </c>
      <c r="N764" s="7">
        <v>11.49668</v>
      </c>
      <c r="O764" s="7" t="s">
        <v>23</v>
      </c>
      <c r="P764" s="3"/>
      <c r="Q764" s="3"/>
      <c r="R764" s="3"/>
    </row>
    <row r="765" spans="1:18" x14ac:dyDescent="0.25">
      <c r="A765" s="2">
        <v>1963</v>
      </c>
      <c r="B765" s="7" t="s">
        <v>2191</v>
      </c>
      <c r="C765" s="7" t="s">
        <v>2192</v>
      </c>
      <c r="D765" s="7" t="s">
        <v>2191</v>
      </c>
      <c r="E765" s="7" t="s">
        <v>182</v>
      </c>
      <c r="F765" s="7" t="s">
        <v>2193</v>
      </c>
      <c r="G765" s="17" t="s">
        <v>7747</v>
      </c>
      <c r="H765" s="7" t="s">
        <v>28</v>
      </c>
      <c r="I765" s="7" t="s">
        <v>1366</v>
      </c>
      <c r="J765" s="7" t="s">
        <v>185</v>
      </c>
      <c r="K765" s="7" t="s">
        <v>1435</v>
      </c>
      <c r="L765" s="7" t="s">
        <v>136</v>
      </c>
      <c r="M765" s="7">
        <v>3.8556400000000002</v>
      </c>
      <c r="N765" s="7">
        <v>11.522309999999999</v>
      </c>
      <c r="O765" s="7" t="s">
        <v>613</v>
      </c>
      <c r="P765" s="3"/>
      <c r="Q765" s="3"/>
      <c r="R765" s="3"/>
    </row>
    <row r="766" spans="1:18" x14ac:dyDescent="0.25">
      <c r="A766" s="2">
        <v>1964</v>
      </c>
      <c r="B766" s="7" t="s">
        <v>2233</v>
      </c>
      <c r="C766" s="7" t="s">
        <v>2234</v>
      </c>
      <c r="D766" s="7" t="s">
        <v>2233</v>
      </c>
      <c r="E766" s="7" t="s">
        <v>182</v>
      </c>
      <c r="F766" s="7" t="s">
        <v>2235</v>
      </c>
      <c r="G766" s="17" t="s">
        <v>7747</v>
      </c>
      <c r="H766" s="7" t="s">
        <v>19</v>
      </c>
      <c r="I766" s="7" t="s">
        <v>297</v>
      </c>
      <c r="J766" s="7" t="s">
        <v>185</v>
      </c>
      <c r="K766" s="7" t="s">
        <v>1393</v>
      </c>
      <c r="L766" s="7" t="s">
        <v>136</v>
      </c>
      <c r="M766" s="7">
        <v>3.87704</v>
      </c>
      <c r="N766" s="7">
        <v>11.479010000000001</v>
      </c>
      <c r="O766" s="7" t="s">
        <v>613</v>
      </c>
      <c r="P766" s="3"/>
      <c r="Q766" s="3"/>
      <c r="R766" s="3"/>
    </row>
    <row r="767" spans="1:18" x14ac:dyDescent="0.25">
      <c r="A767" s="2">
        <v>1966</v>
      </c>
      <c r="B767" s="7" t="s">
        <v>2244</v>
      </c>
      <c r="C767" s="7" t="s">
        <v>2245</v>
      </c>
      <c r="D767" s="7" t="s">
        <v>2244</v>
      </c>
      <c r="E767" s="7" t="s">
        <v>182</v>
      </c>
      <c r="F767" s="7" t="s">
        <v>2246</v>
      </c>
      <c r="G767" s="17" t="s">
        <v>7747</v>
      </c>
      <c r="H767" s="7" t="s">
        <v>28</v>
      </c>
      <c r="I767" s="7" t="s">
        <v>1385</v>
      </c>
      <c r="J767" s="7" t="s">
        <v>185</v>
      </c>
      <c r="K767" s="7" t="s">
        <v>1367</v>
      </c>
      <c r="L767" s="7" t="s">
        <v>136</v>
      </c>
      <c r="M767" s="7">
        <v>3.8415699999999999</v>
      </c>
      <c r="N767" s="7">
        <v>11.520250000000001</v>
      </c>
      <c r="O767" s="7" t="s">
        <v>613</v>
      </c>
      <c r="P767" s="3"/>
      <c r="Q767" s="3"/>
      <c r="R767" s="3"/>
    </row>
    <row r="768" spans="1:18" x14ac:dyDescent="0.25">
      <c r="A768" s="2">
        <v>1968</v>
      </c>
      <c r="B768" s="7" t="s">
        <v>2282</v>
      </c>
      <c r="C768" s="7" t="s">
        <v>2283</v>
      </c>
      <c r="D768" s="7" t="s">
        <v>2282</v>
      </c>
      <c r="E768" s="7" t="s">
        <v>182</v>
      </c>
      <c r="F768" s="7" t="s">
        <v>2284</v>
      </c>
      <c r="G768" s="17" t="s">
        <v>7747</v>
      </c>
      <c r="H768" s="7" t="s">
        <v>28</v>
      </c>
      <c r="I768" s="7" t="s">
        <v>286</v>
      </c>
      <c r="J768" s="7" t="s">
        <v>287</v>
      </c>
      <c r="K768" s="7" t="s">
        <v>288</v>
      </c>
      <c r="L768" s="7" t="s">
        <v>136</v>
      </c>
      <c r="M768" s="7">
        <v>4.1774250000000004</v>
      </c>
      <c r="N768" s="7">
        <v>11.472552</v>
      </c>
      <c r="O768" s="7" t="s">
        <v>23</v>
      </c>
      <c r="P768" s="3"/>
      <c r="Q768" s="3"/>
      <c r="R768" s="3"/>
    </row>
    <row r="769" spans="1:18" x14ac:dyDescent="0.25">
      <c r="A769" s="2">
        <v>1969</v>
      </c>
      <c r="B769" s="7" t="s">
        <v>2291</v>
      </c>
      <c r="C769" s="7" t="s">
        <v>2292</v>
      </c>
      <c r="D769" s="7" t="s">
        <v>2291</v>
      </c>
      <c r="E769" s="7" t="s">
        <v>182</v>
      </c>
      <c r="F769" s="7" t="s">
        <v>2293</v>
      </c>
      <c r="G769" s="17" t="s">
        <v>7747</v>
      </c>
      <c r="H769" s="7" t="s">
        <v>19</v>
      </c>
      <c r="I769" s="7" t="s">
        <v>286</v>
      </c>
      <c r="J769" s="7" t="s">
        <v>287</v>
      </c>
      <c r="K769" s="7" t="s">
        <v>288</v>
      </c>
      <c r="L769" s="7" t="s">
        <v>136</v>
      </c>
      <c r="M769" s="7">
        <v>4.0434640000000002</v>
      </c>
      <c r="N769" s="7">
        <v>11.547708</v>
      </c>
      <c r="O769" s="7" t="s">
        <v>23</v>
      </c>
      <c r="P769" s="3"/>
      <c r="Q769" s="3"/>
      <c r="R769" s="3"/>
    </row>
    <row r="770" spans="1:18" x14ac:dyDescent="0.25">
      <c r="A770" s="2">
        <v>1970</v>
      </c>
      <c r="B770" s="7" t="s">
        <v>2297</v>
      </c>
      <c r="C770" s="7" t="s">
        <v>2298</v>
      </c>
      <c r="D770" s="7" t="s">
        <v>2297</v>
      </c>
      <c r="E770" s="7" t="s">
        <v>182</v>
      </c>
      <c r="F770" s="7" t="s">
        <v>2299</v>
      </c>
      <c r="G770" s="17" t="s">
        <v>7747</v>
      </c>
      <c r="H770" s="7" t="s">
        <v>19</v>
      </c>
      <c r="I770" s="7" t="s">
        <v>600</v>
      </c>
      <c r="J770" s="7" t="s">
        <v>208</v>
      </c>
      <c r="K770" s="7" t="s">
        <v>485</v>
      </c>
      <c r="L770" s="7" t="s">
        <v>136</v>
      </c>
      <c r="M770" s="7">
        <v>3.831839</v>
      </c>
      <c r="N770" s="7">
        <v>11.05429</v>
      </c>
      <c r="O770" s="7" t="s">
        <v>23</v>
      </c>
      <c r="P770" s="3"/>
      <c r="Q770" s="3"/>
      <c r="R770" s="3"/>
    </row>
    <row r="771" spans="1:18" x14ac:dyDescent="0.25">
      <c r="A771" s="2">
        <v>1971</v>
      </c>
      <c r="B771" s="7" t="s">
        <v>2300</v>
      </c>
      <c r="C771" s="7" t="s">
        <v>2301</v>
      </c>
      <c r="D771" s="7" t="s">
        <v>2300</v>
      </c>
      <c r="E771" s="7" t="s">
        <v>182</v>
      </c>
      <c r="F771" s="7" t="s">
        <v>2302</v>
      </c>
      <c r="G771" s="17" t="s">
        <v>7747</v>
      </c>
      <c r="H771" s="7" t="s">
        <v>19</v>
      </c>
      <c r="I771" s="7" t="s">
        <v>1766</v>
      </c>
      <c r="J771" s="7" t="s">
        <v>185</v>
      </c>
      <c r="K771" s="7" t="s">
        <v>808</v>
      </c>
      <c r="L771" s="7" t="s">
        <v>136</v>
      </c>
      <c r="M771" s="7">
        <v>3.9433609999999999</v>
      </c>
      <c r="N771" s="7">
        <v>11.520889</v>
      </c>
      <c r="O771" s="7" t="s">
        <v>23</v>
      </c>
      <c r="P771" s="3"/>
      <c r="Q771" s="3"/>
      <c r="R771" s="3"/>
    </row>
    <row r="772" spans="1:18" x14ac:dyDescent="0.25">
      <c r="A772" s="2">
        <v>1972</v>
      </c>
      <c r="B772" s="7" t="s">
        <v>2319</v>
      </c>
      <c r="C772" s="7" t="s">
        <v>2320</v>
      </c>
      <c r="D772" s="7" t="s">
        <v>2319</v>
      </c>
      <c r="E772" s="7" t="s">
        <v>182</v>
      </c>
      <c r="F772" s="7" t="s">
        <v>2321</v>
      </c>
      <c r="G772" s="17" t="s">
        <v>7747</v>
      </c>
      <c r="H772" s="7" t="s">
        <v>19</v>
      </c>
      <c r="I772" s="7" t="s">
        <v>1637</v>
      </c>
      <c r="J772" s="7" t="s">
        <v>185</v>
      </c>
      <c r="K772" s="7" t="s">
        <v>1462</v>
      </c>
      <c r="L772" s="7" t="s">
        <v>136</v>
      </c>
      <c r="M772" s="7">
        <v>3.8552900000000001</v>
      </c>
      <c r="N772" s="7">
        <v>11.508150000000001</v>
      </c>
      <c r="O772" s="7" t="s">
        <v>23</v>
      </c>
      <c r="P772" s="3"/>
      <c r="Q772" s="3"/>
      <c r="R772" s="3"/>
    </row>
    <row r="773" spans="1:18" x14ac:dyDescent="0.25">
      <c r="A773" s="2">
        <v>1973</v>
      </c>
      <c r="B773" s="7" t="s">
        <v>2322</v>
      </c>
      <c r="C773" s="7" t="s">
        <v>2323</v>
      </c>
      <c r="D773" s="7" t="s">
        <v>2322</v>
      </c>
      <c r="E773" s="7" t="s">
        <v>182</v>
      </c>
      <c r="F773" s="7" t="s">
        <v>2324</v>
      </c>
      <c r="G773" s="17" t="s">
        <v>7747</v>
      </c>
      <c r="H773" s="7" t="s">
        <v>19</v>
      </c>
      <c r="I773" s="7" t="s">
        <v>1385</v>
      </c>
      <c r="J773" s="7" t="s">
        <v>185</v>
      </c>
      <c r="K773" s="7" t="s">
        <v>1367</v>
      </c>
      <c r="L773" s="7" t="s">
        <v>136</v>
      </c>
      <c r="M773" s="7">
        <v>3.8121800000000001</v>
      </c>
      <c r="N773" s="7">
        <v>11.52988</v>
      </c>
      <c r="O773" s="7" t="s">
        <v>23</v>
      </c>
      <c r="P773" s="3"/>
      <c r="Q773" s="3"/>
      <c r="R773" s="3"/>
    </row>
    <row r="774" spans="1:18" x14ac:dyDescent="0.25">
      <c r="A774" s="2">
        <v>1974</v>
      </c>
      <c r="B774" s="7" t="s">
        <v>2349</v>
      </c>
      <c r="C774" s="7" t="s">
        <v>2350</v>
      </c>
      <c r="D774" s="7" t="s">
        <v>2349</v>
      </c>
      <c r="E774" s="7" t="s">
        <v>182</v>
      </c>
      <c r="F774" s="7" t="s">
        <v>2351</v>
      </c>
      <c r="G774" s="17" t="s">
        <v>7747</v>
      </c>
      <c r="H774" s="7" t="s">
        <v>19</v>
      </c>
      <c r="I774" s="7" t="s">
        <v>807</v>
      </c>
      <c r="J774" s="7" t="s">
        <v>185</v>
      </c>
      <c r="K774" s="7" t="s">
        <v>808</v>
      </c>
      <c r="L774" s="7" t="s">
        <v>136</v>
      </c>
      <c r="M774" s="7">
        <v>3.900452</v>
      </c>
      <c r="N774" s="7">
        <v>11.52312</v>
      </c>
      <c r="O774" s="7" t="s">
        <v>23</v>
      </c>
      <c r="P774" s="3"/>
      <c r="Q774" s="3"/>
      <c r="R774" s="3"/>
    </row>
    <row r="775" spans="1:18" x14ac:dyDescent="0.25">
      <c r="A775" s="2">
        <v>1975</v>
      </c>
      <c r="B775" s="7" t="s">
        <v>2352</v>
      </c>
      <c r="C775" s="7" t="s">
        <v>2353</v>
      </c>
      <c r="D775" s="7" t="s">
        <v>2352</v>
      </c>
      <c r="E775" s="7" t="s">
        <v>182</v>
      </c>
      <c r="F775" s="7" t="s">
        <v>2354</v>
      </c>
      <c r="G775" s="17" t="s">
        <v>7747</v>
      </c>
      <c r="H775" s="7" t="s">
        <v>19</v>
      </c>
      <c r="I775" s="7" t="s">
        <v>1366</v>
      </c>
      <c r="J775" s="7" t="s">
        <v>185</v>
      </c>
      <c r="K775" s="7" t="s">
        <v>1435</v>
      </c>
      <c r="L775" s="7" t="s">
        <v>136</v>
      </c>
      <c r="M775" s="7">
        <v>3.8762699999999999</v>
      </c>
      <c r="N775" s="7">
        <v>11.545909999999999</v>
      </c>
      <c r="O775" s="7" t="s">
        <v>23</v>
      </c>
      <c r="P775" s="3"/>
      <c r="Q775" s="3"/>
      <c r="R775" s="3"/>
    </row>
    <row r="776" spans="1:18" x14ac:dyDescent="0.25">
      <c r="A776" s="2">
        <v>1976</v>
      </c>
      <c r="B776" s="7" t="s">
        <v>2355</v>
      </c>
      <c r="C776" s="7" t="s">
        <v>2356</v>
      </c>
      <c r="D776" s="7" t="s">
        <v>2355</v>
      </c>
      <c r="E776" s="7" t="s">
        <v>182</v>
      </c>
      <c r="F776" s="7" t="s">
        <v>2357</v>
      </c>
      <c r="G776" s="17" t="s">
        <v>7747</v>
      </c>
      <c r="H776" s="7" t="s">
        <v>19</v>
      </c>
      <c r="I776" s="7" t="s">
        <v>275</v>
      </c>
      <c r="J776" s="7" t="s">
        <v>276</v>
      </c>
      <c r="K776" s="7" t="s">
        <v>277</v>
      </c>
      <c r="L776" s="7" t="s">
        <v>136</v>
      </c>
      <c r="M776" s="7">
        <v>3.502894</v>
      </c>
      <c r="N776" s="7">
        <v>11.330806000000001</v>
      </c>
      <c r="O776" s="7" t="s">
        <v>23</v>
      </c>
      <c r="P776" s="3"/>
      <c r="Q776" s="3"/>
      <c r="R776" s="3"/>
    </row>
    <row r="777" spans="1:18" x14ac:dyDescent="0.25">
      <c r="A777" s="2">
        <v>1977</v>
      </c>
      <c r="B777" s="7" t="s">
        <v>2367</v>
      </c>
      <c r="C777" s="7" t="s">
        <v>2368</v>
      </c>
      <c r="D777" s="7" t="s">
        <v>2367</v>
      </c>
      <c r="E777" s="7" t="s">
        <v>182</v>
      </c>
      <c r="F777" s="7" t="s">
        <v>2369</v>
      </c>
      <c r="G777" s="17" t="s">
        <v>7747</v>
      </c>
      <c r="H777" s="7" t="s">
        <v>19</v>
      </c>
      <c r="I777" s="7" t="s">
        <v>286</v>
      </c>
      <c r="J777" s="7" t="s">
        <v>287</v>
      </c>
      <c r="K777" s="7" t="s">
        <v>2370</v>
      </c>
      <c r="L777" s="7" t="s">
        <v>136</v>
      </c>
      <c r="M777" s="7">
        <v>4.285406</v>
      </c>
      <c r="N777" s="7">
        <v>11.653548000000001</v>
      </c>
      <c r="O777" s="7" t="s">
        <v>23</v>
      </c>
      <c r="P777" s="3"/>
      <c r="Q777" s="3"/>
      <c r="R777" s="3"/>
    </row>
    <row r="778" spans="1:18" x14ac:dyDescent="0.25">
      <c r="A778" s="2">
        <v>1978</v>
      </c>
      <c r="B778" s="7" t="s">
        <v>2371</v>
      </c>
      <c r="C778" s="7" t="s">
        <v>2372</v>
      </c>
      <c r="D778" s="7" t="s">
        <v>2371</v>
      </c>
      <c r="E778" s="7" t="s">
        <v>182</v>
      </c>
      <c r="F778" s="7" t="s">
        <v>2373</v>
      </c>
      <c r="G778" s="17" t="s">
        <v>7747</v>
      </c>
      <c r="H778" s="7" t="s">
        <v>19</v>
      </c>
      <c r="I778" s="7" t="s">
        <v>1374</v>
      </c>
      <c r="J778" s="7" t="s">
        <v>185</v>
      </c>
      <c r="K778" s="7" t="s">
        <v>1375</v>
      </c>
      <c r="L778" s="7" t="s">
        <v>136</v>
      </c>
      <c r="M778" s="7">
        <v>3.8892899999999999</v>
      </c>
      <c r="N778" s="7">
        <v>11.498875</v>
      </c>
      <c r="O778" s="7" t="s">
        <v>23</v>
      </c>
      <c r="P778" s="3"/>
      <c r="Q778" s="3"/>
      <c r="R778" s="3"/>
    </row>
    <row r="779" spans="1:18" x14ac:dyDescent="0.25">
      <c r="A779" s="2">
        <v>1979</v>
      </c>
      <c r="B779" s="7" t="s">
        <v>2399</v>
      </c>
      <c r="C779" s="7" t="s">
        <v>2400</v>
      </c>
      <c r="D779" s="7" t="s">
        <v>2399</v>
      </c>
      <c r="E779" s="7" t="s">
        <v>182</v>
      </c>
      <c r="F779" s="7" t="s">
        <v>2401</v>
      </c>
      <c r="G779" s="17" t="s">
        <v>7747</v>
      </c>
      <c r="H779" s="7" t="s">
        <v>28</v>
      </c>
      <c r="I779" s="7" t="s">
        <v>184</v>
      </c>
      <c r="J779" s="7" t="s">
        <v>185</v>
      </c>
      <c r="K779" s="7" t="s">
        <v>1435</v>
      </c>
      <c r="L779" s="7" t="s">
        <v>136</v>
      </c>
      <c r="M779" s="7">
        <v>3.9016199999999999</v>
      </c>
      <c r="N779" s="7">
        <v>11.55819</v>
      </c>
      <c r="O779" s="7" t="s">
        <v>613</v>
      </c>
      <c r="P779" s="3"/>
      <c r="Q779" s="3"/>
      <c r="R779" s="3"/>
    </row>
    <row r="780" spans="1:18" x14ac:dyDescent="0.25">
      <c r="A780" s="2">
        <v>1980</v>
      </c>
      <c r="B780" s="7" t="s">
        <v>2426</v>
      </c>
      <c r="C780" s="7" t="s">
        <v>2427</v>
      </c>
      <c r="D780" s="7" t="s">
        <v>2426</v>
      </c>
      <c r="E780" s="7" t="s">
        <v>182</v>
      </c>
      <c r="F780" s="7" t="s">
        <v>2428</v>
      </c>
      <c r="G780" s="17" t="s">
        <v>7747</v>
      </c>
      <c r="H780" s="7" t="s">
        <v>19</v>
      </c>
      <c r="I780" s="7" t="s">
        <v>1284</v>
      </c>
      <c r="J780" s="7" t="s">
        <v>185</v>
      </c>
      <c r="K780" s="7" t="s">
        <v>1322</v>
      </c>
      <c r="L780" s="7" t="s">
        <v>136</v>
      </c>
      <c r="M780" s="7">
        <v>3.8411940000000002</v>
      </c>
      <c r="N780" s="7">
        <v>11.462721999999999</v>
      </c>
      <c r="O780" s="7" t="s">
        <v>23</v>
      </c>
      <c r="P780" s="3"/>
      <c r="Q780" s="3"/>
      <c r="R780" s="3"/>
    </row>
    <row r="781" spans="1:18" x14ac:dyDescent="0.25">
      <c r="A781" s="2">
        <v>1981</v>
      </c>
      <c r="B781" s="12" t="s">
        <v>2429</v>
      </c>
      <c r="C781" s="7" t="s">
        <v>2430</v>
      </c>
      <c r="D781" s="12" t="s">
        <v>2429</v>
      </c>
      <c r="E781" s="7" t="s">
        <v>182</v>
      </c>
      <c r="F781" s="7" t="s">
        <v>2431</v>
      </c>
      <c r="G781" s="17" t="s">
        <v>7747</v>
      </c>
      <c r="H781" s="7" t="s">
        <v>28</v>
      </c>
      <c r="I781" s="7" t="s">
        <v>1374</v>
      </c>
      <c r="J781" s="7" t="s">
        <v>185</v>
      </c>
      <c r="K781" s="7" t="s">
        <v>1375</v>
      </c>
      <c r="L781" s="7" t="s">
        <v>136</v>
      </c>
      <c r="M781" s="7">
        <v>3.8983059999999998</v>
      </c>
      <c r="N781" s="7">
        <v>11.498528</v>
      </c>
      <c r="O781" s="7" t="s">
        <v>613</v>
      </c>
      <c r="P781" s="3"/>
      <c r="Q781" s="3"/>
      <c r="R781" s="3"/>
    </row>
    <row r="782" spans="1:18" x14ac:dyDescent="0.25">
      <c r="A782" s="2">
        <v>1982</v>
      </c>
      <c r="B782" s="7" t="s">
        <v>2441</v>
      </c>
      <c r="C782" s="7" t="s">
        <v>2442</v>
      </c>
      <c r="D782" s="7" t="s">
        <v>2441</v>
      </c>
      <c r="E782" s="7" t="s">
        <v>182</v>
      </c>
      <c r="F782" s="7" t="s">
        <v>2443</v>
      </c>
      <c r="G782" s="17" t="s">
        <v>7747</v>
      </c>
      <c r="H782" s="7" t="s">
        <v>19</v>
      </c>
      <c r="I782" s="7" t="s">
        <v>297</v>
      </c>
      <c r="J782" s="7" t="s">
        <v>185</v>
      </c>
      <c r="K782" s="7" t="s">
        <v>1393</v>
      </c>
      <c r="L782" s="7" t="s">
        <v>136</v>
      </c>
      <c r="M782" s="7">
        <v>3.871597</v>
      </c>
      <c r="N782" s="7">
        <v>11.470013</v>
      </c>
      <c r="O782" s="7" t="s">
        <v>613</v>
      </c>
      <c r="P782" s="3"/>
      <c r="Q782" s="3"/>
      <c r="R782" s="3"/>
    </row>
    <row r="783" spans="1:18" x14ac:dyDescent="0.25">
      <c r="A783" s="2">
        <v>1983</v>
      </c>
      <c r="B783" s="7" t="s">
        <v>2446</v>
      </c>
      <c r="C783" s="7" t="s">
        <v>2447</v>
      </c>
      <c r="D783" s="7" t="s">
        <v>2446</v>
      </c>
      <c r="E783" s="7" t="s">
        <v>182</v>
      </c>
      <c r="F783" s="7" t="s">
        <v>2448</v>
      </c>
      <c r="G783" s="17" t="s">
        <v>7747</v>
      </c>
      <c r="H783" s="7" t="s">
        <v>19</v>
      </c>
      <c r="I783" s="7" t="s">
        <v>1766</v>
      </c>
      <c r="J783" s="7" t="s">
        <v>185</v>
      </c>
      <c r="K783" s="7" t="s">
        <v>808</v>
      </c>
      <c r="L783" s="7" t="s">
        <v>136</v>
      </c>
      <c r="M783" s="7">
        <v>3.9491939999999999</v>
      </c>
      <c r="N783" s="7">
        <v>11.525444</v>
      </c>
      <c r="O783" s="7" t="s">
        <v>23</v>
      </c>
      <c r="P783" s="3"/>
      <c r="Q783" s="3"/>
      <c r="R783" s="3"/>
    </row>
    <row r="784" spans="1:18" x14ac:dyDescent="0.25">
      <c r="A784" s="2">
        <v>1984</v>
      </c>
      <c r="B784" s="7" t="s">
        <v>2449</v>
      </c>
      <c r="C784" s="7" t="s">
        <v>2450</v>
      </c>
      <c r="D784" s="7" t="s">
        <v>2449</v>
      </c>
      <c r="E784" s="7" t="s">
        <v>182</v>
      </c>
      <c r="F784" s="7" t="s">
        <v>2451</v>
      </c>
      <c r="G784" s="17" t="s">
        <v>7747</v>
      </c>
      <c r="H784" s="7" t="s">
        <v>19</v>
      </c>
      <c r="I784" s="7" t="s">
        <v>286</v>
      </c>
      <c r="J784" s="7" t="s">
        <v>287</v>
      </c>
      <c r="K784" s="7" t="s">
        <v>288</v>
      </c>
      <c r="L784" s="7" t="s">
        <v>136</v>
      </c>
      <c r="M784" s="7">
        <v>4.1254080000000002</v>
      </c>
      <c r="N784" s="7">
        <v>11.564962</v>
      </c>
      <c r="O784" s="7" t="s">
        <v>23</v>
      </c>
      <c r="P784" s="3"/>
      <c r="Q784" s="3"/>
      <c r="R784" s="3"/>
    </row>
    <row r="785" spans="1:18" x14ac:dyDescent="0.25">
      <c r="A785" s="2">
        <v>1985</v>
      </c>
      <c r="B785" s="7" t="s">
        <v>2493</v>
      </c>
      <c r="C785" s="7" t="s">
        <v>2494</v>
      </c>
      <c r="D785" s="7" t="s">
        <v>2493</v>
      </c>
      <c r="E785" s="7" t="s">
        <v>182</v>
      </c>
      <c r="F785" s="7" t="s">
        <v>2495</v>
      </c>
      <c r="G785" s="17" t="s">
        <v>7747</v>
      </c>
      <c r="H785" s="7" t="s">
        <v>19</v>
      </c>
      <c r="I785" s="7" t="s">
        <v>1366</v>
      </c>
      <c r="J785" s="7" t="s">
        <v>185</v>
      </c>
      <c r="K785" s="7" t="s">
        <v>1367</v>
      </c>
      <c r="L785" s="7" t="s">
        <v>136</v>
      </c>
      <c r="M785" s="7">
        <v>3.8530120000000001</v>
      </c>
      <c r="N785" s="7">
        <v>11.536364000000001</v>
      </c>
      <c r="O785" s="7" t="s">
        <v>613</v>
      </c>
      <c r="P785" s="3"/>
      <c r="Q785" s="3"/>
      <c r="R785" s="3"/>
    </row>
    <row r="786" spans="1:18" x14ac:dyDescent="0.25">
      <c r="A786" s="2">
        <v>1986</v>
      </c>
      <c r="B786" s="7" t="s">
        <v>2496</v>
      </c>
      <c r="C786" s="7" t="s">
        <v>2497</v>
      </c>
      <c r="D786" s="7" t="s">
        <v>2496</v>
      </c>
      <c r="E786" s="7" t="s">
        <v>182</v>
      </c>
      <c r="F786" s="7" t="s">
        <v>2498</v>
      </c>
      <c r="G786" s="17" t="s">
        <v>7747</v>
      </c>
      <c r="H786" s="7" t="s">
        <v>28</v>
      </c>
      <c r="I786" s="7" t="s">
        <v>1553</v>
      </c>
      <c r="J786" s="7" t="s">
        <v>826</v>
      </c>
      <c r="K786" s="7" t="s">
        <v>2499</v>
      </c>
      <c r="L786" s="7" t="s">
        <v>136</v>
      </c>
      <c r="M786" s="7">
        <v>3.8478889999999999</v>
      </c>
      <c r="N786" s="7">
        <v>11.579056</v>
      </c>
      <c r="O786" s="7" t="s">
        <v>23</v>
      </c>
      <c r="P786" s="3"/>
      <c r="Q786" s="3"/>
      <c r="R786" s="3"/>
    </row>
    <row r="787" spans="1:18" x14ac:dyDescent="0.25">
      <c r="A787" s="2">
        <v>1987</v>
      </c>
      <c r="B787" s="7" t="s">
        <v>2519</v>
      </c>
      <c r="C787" s="7" t="s">
        <v>2520</v>
      </c>
      <c r="D787" s="7" t="s">
        <v>2519</v>
      </c>
      <c r="E787" s="7" t="s">
        <v>182</v>
      </c>
      <c r="F787" s="7" t="s">
        <v>2521</v>
      </c>
      <c r="G787" s="17" t="s">
        <v>7747</v>
      </c>
      <c r="H787" s="7" t="s">
        <v>28</v>
      </c>
      <c r="I787" s="7" t="s">
        <v>1553</v>
      </c>
      <c r="J787" s="7" t="s">
        <v>185</v>
      </c>
      <c r="K787" s="7" t="s">
        <v>1367</v>
      </c>
      <c r="L787" s="7" t="s">
        <v>136</v>
      </c>
      <c r="M787" s="7">
        <v>3.8368609999999999</v>
      </c>
      <c r="N787" s="7">
        <v>11.563000000000001</v>
      </c>
      <c r="O787" s="7" t="s">
        <v>23</v>
      </c>
      <c r="P787" s="3"/>
      <c r="Q787" s="3"/>
      <c r="R787" s="3"/>
    </row>
    <row r="788" spans="1:18" x14ac:dyDescent="0.25">
      <c r="A788" s="2">
        <v>1988</v>
      </c>
      <c r="B788" s="7" t="s">
        <v>2533</v>
      </c>
      <c r="C788" s="7" t="s">
        <v>2534</v>
      </c>
      <c r="D788" s="7" t="s">
        <v>2533</v>
      </c>
      <c r="E788" s="7" t="s">
        <v>182</v>
      </c>
      <c r="F788" s="7" t="s">
        <v>2535</v>
      </c>
      <c r="G788" s="17" t="s">
        <v>7747</v>
      </c>
      <c r="H788" s="7" t="s">
        <v>19</v>
      </c>
      <c r="I788" s="7" t="s">
        <v>1366</v>
      </c>
      <c r="J788" s="7" t="s">
        <v>185</v>
      </c>
      <c r="K788" s="7" t="s">
        <v>1367</v>
      </c>
      <c r="L788" s="7" t="s">
        <v>136</v>
      </c>
      <c r="M788" s="7">
        <v>3.8608500000000001</v>
      </c>
      <c r="N788" s="7">
        <v>11.5443</v>
      </c>
      <c r="O788" s="7" t="s">
        <v>23</v>
      </c>
      <c r="P788" s="3"/>
      <c r="Q788" s="3"/>
      <c r="R788" s="3"/>
    </row>
    <row r="789" spans="1:18" x14ac:dyDescent="0.25">
      <c r="A789" s="2">
        <v>1989</v>
      </c>
      <c r="B789" s="7" t="s">
        <v>2551</v>
      </c>
      <c r="C789" s="7" t="s">
        <v>2552</v>
      </c>
      <c r="D789" s="7" t="s">
        <v>2551</v>
      </c>
      <c r="E789" s="7" t="s">
        <v>182</v>
      </c>
      <c r="F789" s="7" t="s">
        <v>2553</v>
      </c>
      <c r="G789" s="17" t="s">
        <v>7747</v>
      </c>
      <c r="H789" s="7" t="s">
        <v>28</v>
      </c>
      <c r="I789" s="7" t="s">
        <v>1766</v>
      </c>
      <c r="J789" s="7" t="s">
        <v>185</v>
      </c>
      <c r="K789" s="7" t="s">
        <v>808</v>
      </c>
      <c r="L789" s="7" t="s">
        <v>136</v>
      </c>
      <c r="M789" s="7">
        <v>3.9319169999999999</v>
      </c>
      <c r="N789" s="7">
        <v>11.537222</v>
      </c>
      <c r="O789" s="7" t="s">
        <v>23</v>
      </c>
      <c r="P789" s="3"/>
      <c r="Q789" s="3"/>
      <c r="R789" s="3"/>
    </row>
    <row r="790" spans="1:18" x14ac:dyDescent="0.25">
      <c r="A790" s="2">
        <v>1990</v>
      </c>
      <c r="B790" s="7" t="s">
        <v>2557</v>
      </c>
      <c r="C790" s="7" t="s">
        <v>2558</v>
      </c>
      <c r="D790" s="7" t="s">
        <v>2557</v>
      </c>
      <c r="E790" s="7" t="s">
        <v>182</v>
      </c>
      <c r="F790" s="7" t="s">
        <v>2559</v>
      </c>
      <c r="G790" s="17" t="s">
        <v>7747</v>
      </c>
      <c r="H790" s="7" t="s">
        <v>28</v>
      </c>
      <c r="I790" s="7" t="s">
        <v>184</v>
      </c>
      <c r="J790" s="7" t="s">
        <v>185</v>
      </c>
      <c r="K790" s="7" t="s">
        <v>1435</v>
      </c>
      <c r="L790" s="7" t="s">
        <v>136</v>
      </c>
      <c r="M790" s="7">
        <v>3.9178220000000001</v>
      </c>
      <c r="N790" s="7">
        <v>11.572227</v>
      </c>
      <c r="O790" s="7" t="s">
        <v>23</v>
      </c>
      <c r="P790" s="3"/>
      <c r="Q790" s="3"/>
      <c r="R790" s="3"/>
    </row>
    <row r="791" spans="1:18" x14ac:dyDescent="0.25">
      <c r="A791" s="2">
        <v>1991</v>
      </c>
      <c r="B791" s="7" t="s">
        <v>2573</v>
      </c>
      <c r="C791" s="7" t="s">
        <v>2574</v>
      </c>
      <c r="D791" s="7" t="s">
        <v>2573</v>
      </c>
      <c r="E791" s="7" t="s">
        <v>182</v>
      </c>
      <c r="F791" s="7" t="s">
        <v>2575</v>
      </c>
      <c r="G791" s="17" t="s">
        <v>7747</v>
      </c>
      <c r="H791" s="7" t="s">
        <v>28</v>
      </c>
      <c r="I791" s="7" t="s">
        <v>1385</v>
      </c>
      <c r="J791" s="7" t="s">
        <v>185</v>
      </c>
      <c r="K791" s="7" t="s">
        <v>1367</v>
      </c>
      <c r="L791" s="7" t="s">
        <v>136</v>
      </c>
      <c r="M791" s="7">
        <v>3.8104300000000002</v>
      </c>
      <c r="N791" s="7">
        <v>11.53891</v>
      </c>
      <c r="O791" s="7" t="s">
        <v>23</v>
      </c>
      <c r="P791" s="3"/>
      <c r="Q791" s="3"/>
      <c r="R791" s="3"/>
    </row>
    <row r="792" spans="1:18" x14ac:dyDescent="0.25">
      <c r="A792" s="2">
        <v>1992</v>
      </c>
      <c r="B792" s="7" t="s">
        <v>2582</v>
      </c>
      <c r="C792" s="7" t="s">
        <v>2583</v>
      </c>
      <c r="D792" s="7" t="s">
        <v>2582</v>
      </c>
      <c r="E792" s="7" t="s">
        <v>182</v>
      </c>
      <c r="F792" s="7" t="s">
        <v>2584</v>
      </c>
      <c r="G792" s="17" t="s">
        <v>7747</v>
      </c>
      <c r="H792" s="7" t="s">
        <v>28</v>
      </c>
      <c r="I792" s="7" t="s">
        <v>1637</v>
      </c>
      <c r="J792" s="7" t="s">
        <v>185</v>
      </c>
      <c r="K792" s="7" t="s">
        <v>1462</v>
      </c>
      <c r="L792" s="7" t="s">
        <v>136</v>
      </c>
      <c r="M792" s="7">
        <v>3.8580000000000001</v>
      </c>
      <c r="N792" s="7">
        <v>11.499000000000001</v>
      </c>
      <c r="O792" s="7" t="s">
        <v>23</v>
      </c>
      <c r="P792" s="3"/>
      <c r="Q792" s="3"/>
      <c r="R792" s="3"/>
    </row>
    <row r="793" spans="1:18" x14ac:dyDescent="0.25">
      <c r="A793" s="2">
        <v>1993</v>
      </c>
      <c r="B793" s="7" t="s">
        <v>2585</v>
      </c>
      <c r="C793" s="7" t="s">
        <v>2586</v>
      </c>
      <c r="D793" s="7" t="s">
        <v>2585</v>
      </c>
      <c r="E793" s="7" t="s">
        <v>182</v>
      </c>
      <c r="F793" s="7" t="s">
        <v>2587</v>
      </c>
      <c r="G793" s="17" t="s">
        <v>7747</v>
      </c>
      <c r="H793" s="7" t="s">
        <v>28</v>
      </c>
      <c r="I793" s="7" t="s">
        <v>1374</v>
      </c>
      <c r="J793" s="7" t="s">
        <v>185</v>
      </c>
      <c r="K793" s="7" t="s">
        <v>1375</v>
      </c>
      <c r="L793" s="7" t="s">
        <v>136</v>
      </c>
      <c r="M793" s="7">
        <v>3.8952200000000001</v>
      </c>
      <c r="N793" s="7">
        <v>11.507110000000001</v>
      </c>
      <c r="O793" s="7" t="s">
        <v>613</v>
      </c>
      <c r="P793" s="3"/>
      <c r="Q793" s="3"/>
      <c r="R793" s="3"/>
    </row>
    <row r="794" spans="1:18" x14ac:dyDescent="0.25">
      <c r="A794" s="2">
        <v>1994</v>
      </c>
      <c r="B794" s="7" t="s">
        <v>2591</v>
      </c>
      <c r="C794" s="7" t="s">
        <v>2592</v>
      </c>
      <c r="D794" s="7" t="s">
        <v>2591</v>
      </c>
      <c r="E794" s="7" t="s">
        <v>250</v>
      </c>
      <c r="F794" s="7" t="s">
        <v>2593</v>
      </c>
      <c r="G794" s="17" t="s">
        <v>7747</v>
      </c>
      <c r="H794" s="7" t="s">
        <v>28</v>
      </c>
      <c r="I794" s="7" t="s">
        <v>311</v>
      </c>
      <c r="J794" s="7" t="s">
        <v>312</v>
      </c>
      <c r="K794" s="7" t="s">
        <v>2594</v>
      </c>
      <c r="L794" s="7" t="s">
        <v>136</v>
      </c>
      <c r="M794" s="7">
        <v>2.9111099999999999</v>
      </c>
      <c r="N794" s="7">
        <v>11.16897</v>
      </c>
      <c r="O794" s="7" t="s">
        <v>23</v>
      </c>
      <c r="P794" s="3"/>
      <c r="Q794" s="3"/>
      <c r="R794" s="3"/>
    </row>
    <row r="795" spans="1:18" x14ac:dyDescent="0.25">
      <c r="A795" s="2">
        <v>1995</v>
      </c>
      <c r="B795" s="7" t="s">
        <v>2595</v>
      </c>
      <c r="C795" s="7" t="s">
        <v>2596</v>
      </c>
      <c r="D795" s="7" t="s">
        <v>2595</v>
      </c>
      <c r="E795" s="7" t="s">
        <v>182</v>
      </c>
      <c r="F795" s="7" t="s">
        <v>2597</v>
      </c>
      <c r="G795" s="17" t="s">
        <v>7747</v>
      </c>
      <c r="H795" s="7" t="s">
        <v>28</v>
      </c>
      <c r="I795" s="7" t="s">
        <v>1766</v>
      </c>
      <c r="J795" s="7" t="s">
        <v>185</v>
      </c>
      <c r="K795" s="7" t="s">
        <v>808</v>
      </c>
      <c r="L795" s="7" t="s">
        <v>136</v>
      </c>
      <c r="M795" s="7">
        <v>3.9555280000000002</v>
      </c>
      <c r="N795" s="7">
        <v>11.533806</v>
      </c>
      <c r="O795" s="7" t="s">
        <v>23</v>
      </c>
      <c r="P795" s="3"/>
      <c r="Q795" s="3"/>
      <c r="R795" s="3"/>
    </row>
    <row r="796" spans="1:18" x14ac:dyDescent="0.25">
      <c r="A796" s="2">
        <v>1996</v>
      </c>
      <c r="B796" s="7" t="s">
        <v>2598</v>
      </c>
      <c r="C796" s="7" t="s">
        <v>2599</v>
      </c>
      <c r="D796" s="7" t="s">
        <v>2598</v>
      </c>
      <c r="E796" s="7" t="s">
        <v>182</v>
      </c>
      <c r="F796" s="7" t="s">
        <v>2600</v>
      </c>
      <c r="G796" s="17" t="s">
        <v>7747</v>
      </c>
      <c r="H796" s="7" t="s">
        <v>28</v>
      </c>
      <c r="I796" s="7" t="s">
        <v>807</v>
      </c>
      <c r="J796" s="7" t="s">
        <v>185</v>
      </c>
      <c r="K796" s="7" t="s">
        <v>808</v>
      </c>
      <c r="L796" s="7" t="s">
        <v>136</v>
      </c>
      <c r="M796" s="7">
        <v>3.913052</v>
      </c>
      <c r="N796" s="7">
        <v>11.536978</v>
      </c>
      <c r="O796" s="7" t="s">
        <v>23</v>
      </c>
      <c r="P796" s="3"/>
      <c r="Q796" s="3"/>
      <c r="R796" s="3"/>
    </row>
    <row r="797" spans="1:18" x14ac:dyDescent="0.25">
      <c r="A797" s="2">
        <v>1997</v>
      </c>
      <c r="B797" s="7" t="s">
        <v>2635</v>
      </c>
      <c r="C797" s="7" t="s">
        <v>2636</v>
      </c>
      <c r="D797" s="7" t="s">
        <v>2635</v>
      </c>
      <c r="E797" s="7" t="s">
        <v>182</v>
      </c>
      <c r="F797" s="7" t="s">
        <v>2637</v>
      </c>
      <c r="G797" s="17" t="s">
        <v>7747</v>
      </c>
      <c r="H797" s="7" t="s">
        <v>28</v>
      </c>
      <c r="I797" s="7" t="s">
        <v>1766</v>
      </c>
      <c r="J797" s="7" t="s">
        <v>185</v>
      </c>
      <c r="K797" s="7" t="s">
        <v>808</v>
      </c>
      <c r="L797" s="7" t="s">
        <v>136</v>
      </c>
      <c r="M797" s="7">
        <v>3.9493330000000002</v>
      </c>
      <c r="N797" s="7">
        <v>11.502806</v>
      </c>
      <c r="O797" s="7" t="s">
        <v>23</v>
      </c>
      <c r="P797" s="3"/>
      <c r="Q797" s="3"/>
      <c r="R797" s="3"/>
    </row>
    <row r="798" spans="1:18" x14ac:dyDescent="0.25">
      <c r="A798" s="2">
        <v>1998</v>
      </c>
      <c r="B798" s="7" t="s">
        <v>2638</v>
      </c>
      <c r="C798" s="7" t="s">
        <v>2639</v>
      </c>
      <c r="D798" s="7" t="s">
        <v>2638</v>
      </c>
      <c r="E798" s="7" t="s">
        <v>182</v>
      </c>
      <c r="F798" s="7" t="s">
        <v>2640</v>
      </c>
      <c r="G798" s="17" t="s">
        <v>7747</v>
      </c>
      <c r="H798" s="7" t="s">
        <v>28</v>
      </c>
      <c r="I798" s="7" t="s">
        <v>1461</v>
      </c>
      <c r="J798" s="7" t="s">
        <v>185</v>
      </c>
      <c r="K798" s="7" t="s">
        <v>1462</v>
      </c>
      <c r="L798" s="7" t="s">
        <v>136</v>
      </c>
      <c r="M798" s="7">
        <v>3.8296600000000001</v>
      </c>
      <c r="N798" s="7">
        <v>11.493969999999999</v>
      </c>
      <c r="O798" s="7" t="s">
        <v>23</v>
      </c>
      <c r="P798" s="3"/>
      <c r="Q798" s="3"/>
      <c r="R798" s="3"/>
    </row>
    <row r="799" spans="1:18" x14ac:dyDescent="0.25">
      <c r="A799" s="2">
        <v>2000</v>
      </c>
      <c r="B799" s="7" t="s">
        <v>2662</v>
      </c>
      <c r="C799" s="7" t="s">
        <v>2663</v>
      </c>
      <c r="D799" s="7" t="s">
        <v>2662</v>
      </c>
      <c r="E799" s="7" t="s">
        <v>182</v>
      </c>
      <c r="F799" s="7" t="s">
        <v>2664</v>
      </c>
      <c r="G799" s="17" t="s">
        <v>7747</v>
      </c>
      <c r="H799" s="7" t="s">
        <v>28</v>
      </c>
      <c r="I799" s="7" t="s">
        <v>1385</v>
      </c>
      <c r="J799" s="7" t="s">
        <v>185</v>
      </c>
      <c r="K799" s="7" t="s">
        <v>1367</v>
      </c>
      <c r="L799" s="7" t="s">
        <v>136</v>
      </c>
      <c r="M799" s="7">
        <v>3.8243499999999999</v>
      </c>
      <c r="N799" s="7">
        <v>11.525969999999999</v>
      </c>
      <c r="O799" s="7" t="s">
        <v>613</v>
      </c>
      <c r="P799" s="3"/>
      <c r="Q799" s="3"/>
      <c r="R799" s="3"/>
    </row>
    <row r="800" spans="1:18" x14ac:dyDescent="0.25">
      <c r="A800" s="2">
        <v>2001</v>
      </c>
      <c r="B800" s="7" t="s">
        <v>2665</v>
      </c>
      <c r="C800" s="7" t="s">
        <v>2666</v>
      </c>
      <c r="D800" s="7" t="s">
        <v>2665</v>
      </c>
      <c r="E800" s="7" t="s">
        <v>250</v>
      </c>
      <c r="F800" s="7" t="s">
        <v>2667</v>
      </c>
      <c r="G800" s="17" t="s">
        <v>7747</v>
      </c>
      <c r="H800" s="7" t="s">
        <v>28</v>
      </c>
      <c r="I800" s="7" t="s">
        <v>311</v>
      </c>
      <c r="J800" s="7" t="s">
        <v>312</v>
      </c>
      <c r="K800" s="7" t="s">
        <v>2668</v>
      </c>
      <c r="L800" s="7" t="s">
        <v>136</v>
      </c>
      <c r="M800" s="7">
        <v>2.9316279999999999</v>
      </c>
      <c r="N800" s="7">
        <v>11.145752999999999</v>
      </c>
      <c r="O800" s="7" t="s">
        <v>23</v>
      </c>
      <c r="P800" s="3"/>
      <c r="Q800" s="3"/>
      <c r="R800" s="3"/>
    </row>
    <row r="801" spans="1:18" x14ac:dyDescent="0.25">
      <c r="A801" s="2">
        <v>2002</v>
      </c>
      <c r="B801" s="7" t="s">
        <v>2669</v>
      </c>
      <c r="C801" s="7" t="s">
        <v>2670</v>
      </c>
      <c r="D801" s="7" t="s">
        <v>2669</v>
      </c>
      <c r="E801" s="7" t="s">
        <v>182</v>
      </c>
      <c r="F801" s="7" t="s">
        <v>2671</v>
      </c>
      <c r="G801" s="17" t="s">
        <v>7747</v>
      </c>
      <c r="H801" s="7" t="s">
        <v>28</v>
      </c>
      <c r="I801" s="7" t="s">
        <v>1366</v>
      </c>
      <c r="J801" s="7" t="s">
        <v>185</v>
      </c>
      <c r="K801" s="7" t="s">
        <v>1435</v>
      </c>
      <c r="L801" s="7" t="s">
        <v>136</v>
      </c>
      <c r="M801" s="7">
        <v>3.8805399999999999</v>
      </c>
      <c r="N801" s="7">
        <v>11.541499999999999</v>
      </c>
      <c r="O801" s="7" t="s">
        <v>613</v>
      </c>
      <c r="P801" s="3"/>
      <c r="Q801" s="3"/>
      <c r="R801" s="3"/>
    </row>
    <row r="802" spans="1:18" x14ac:dyDescent="0.25">
      <c r="A802" s="2">
        <v>2003</v>
      </c>
      <c r="B802" s="7" t="s">
        <v>2672</v>
      </c>
      <c r="C802" s="7" t="s">
        <v>2673</v>
      </c>
      <c r="D802" s="7" t="s">
        <v>2672</v>
      </c>
      <c r="E802" s="7" t="s">
        <v>182</v>
      </c>
      <c r="F802" s="7" t="s">
        <v>2674</v>
      </c>
      <c r="G802" s="17" t="s">
        <v>7747</v>
      </c>
      <c r="H802" s="7" t="s">
        <v>28</v>
      </c>
      <c r="I802" s="7" t="s">
        <v>1284</v>
      </c>
      <c r="J802" s="7" t="s">
        <v>185</v>
      </c>
      <c r="K802" s="7" t="s">
        <v>1322</v>
      </c>
      <c r="L802" s="7" t="s">
        <v>136</v>
      </c>
      <c r="M802" s="7">
        <v>3.8320379999999998</v>
      </c>
      <c r="N802" s="7">
        <v>11.471667</v>
      </c>
      <c r="O802" s="7" t="s">
        <v>23</v>
      </c>
      <c r="P802" s="3"/>
      <c r="Q802" s="3"/>
      <c r="R802" s="3"/>
    </row>
    <row r="803" spans="1:18" x14ac:dyDescent="0.25">
      <c r="A803" s="2">
        <v>2004</v>
      </c>
      <c r="B803" s="7" t="s">
        <v>2675</v>
      </c>
      <c r="C803" s="7" t="s">
        <v>2676</v>
      </c>
      <c r="D803" s="7" t="s">
        <v>2675</v>
      </c>
      <c r="E803" s="7" t="s">
        <v>182</v>
      </c>
      <c r="F803" s="7" t="s">
        <v>2677</v>
      </c>
      <c r="G803" s="17" t="s">
        <v>7747</v>
      </c>
      <c r="H803" s="7" t="s">
        <v>28</v>
      </c>
      <c r="I803" s="7" t="s">
        <v>1766</v>
      </c>
      <c r="J803" s="7" t="s">
        <v>185</v>
      </c>
      <c r="K803" s="7" t="s">
        <v>808</v>
      </c>
      <c r="L803" s="7" t="s">
        <v>136</v>
      </c>
      <c r="M803" s="7">
        <v>3.9761600000000001</v>
      </c>
      <c r="N803" s="7">
        <v>11.544359999999999</v>
      </c>
      <c r="O803" s="7" t="s">
        <v>23</v>
      </c>
      <c r="P803" s="3"/>
      <c r="Q803" s="3"/>
      <c r="R803" s="3"/>
    </row>
    <row r="804" spans="1:18" x14ac:dyDescent="0.25">
      <c r="A804" s="2">
        <v>2005</v>
      </c>
      <c r="B804" s="7" t="s">
        <v>2683</v>
      </c>
      <c r="C804" s="7" t="s">
        <v>2684</v>
      </c>
      <c r="D804" s="7" t="s">
        <v>2683</v>
      </c>
      <c r="E804" s="7" t="s">
        <v>182</v>
      </c>
      <c r="F804" s="7" t="s">
        <v>2685</v>
      </c>
      <c r="G804" s="17" t="s">
        <v>7747</v>
      </c>
      <c r="H804" s="7" t="s">
        <v>28</v>
      </c>
      <c r="I804" s="7" t="s">
        <v>286</v>
      </c>
      <c r="J804" s="7" t="s">
        <v>298</v>
      </c>
      <c r="K804" s="7" t="s">
        <v>2686</v>
      </c>
      <c r="L804" s="7" t="s">
        <v>136</v>
      </c>
      <c r="M804" s="7">
        <v>4.4054200000000003</v>
      </c>
      <c r="N804" s="7">
        <v>11.820442</v>
      </c>
      <c r="O804" s="7" t="s">
        <v>23</v>
      </c>
      <c r="P804" s="3"/>
      <c r="Q804" s="3"/>
      <c r="R804" s="3"/>
    </row>
    <row r="805" spans="1:18" x14ac:dyDescent="0.25">
      <c r="A805" s="2">
        <v>2006</v>
      </c>
      <c r="B805" s="7" t="s">
        <v>2696</v>
      </c>
      <c r="C805" s="7" t="s">
        <v>2697</v>
      </c>
      <c r="D805" s="7" t="s">
        <v>2696</v>
      </c>
      <c r="E805" s="7" t="s">
        <v>182</v>
      </c>
      <c r="F805" s="7" t="s">
        <v>2698</v>
      </c>
      <c r="G805" s="17" t="s">
        <v>7747</v>
      </c>
      <c r="H805" s="7" t="s">
        <v>28</v>
      </c>
      <c r="I805" s="7" t="s">
        <v>817</v>
      </c>
      <c r="J805" s="7" t="s">
        <v>818</v>
      </c>
      <c r="K805" s="7" t="s">
        <v>2187</v>
      </c>
      <c r="L805" s="7" t="s">
        <v>136</v>
      </c>
      <c r="M805" s="7">
        <v>3.8836409999999999</v>
      </c>
      <c r="N805" s="7">
        <v>12.350631</v>
      </c>
      <c r="O805" s="7" t="s">
        <v>23</v>
      </c>
      <c r="P805" s="3"/>
      <c r="Q805" s="3"/>
      <c r="R805" s="3"/>
    </row>
    <row r="806" spans="1:18" x14ac:dyDescent="0.25">
      <c r="A806" s="2">
        <v>2007</v>
      </c>
      <c r="B806" s="7" t="s">
        <v>2742</v>
      </c>
      <c r="C806" s="7" t="s">
        <v>2743</v>
      </c>
      <c r="D806" s="7" t="s">
        <v>2742</v>
      </c>
      <c r="E806" s="7" t="s">
        <v>182</v>
      </c>
      <c r="F806" s="7" t="s">
        <v>2744</v>
      </c>
      <c r="G806" s="17" t="s">
        <v>7747</v>
      </c>
      <c r="H806" s="7" t="s">
        <v>28</v>
      </c>
      <c r="I806" s="7" t="s">
        <v>275</v>
      </c>
      <c r="J806" s="7" t="s">
        <v>276</v>
      </c>
      <c r="K806" s="7" t="s">
        <v>2745</v>
      </c>
      <c r="L806" s="7" t="s">
        <v>136</v>
      </c>
      <c r="M806" s="7">
        <v>3.5302500000000001</v>
      </c>
      <c r="N806" s="7">
        <v>11.394310000000001</v>
      </c>
      <c r="O806" s="7" t="s">
        <v>23</v>
      </c>
      <c r="P806" s="3"/>
      <c r="Q806" s="3"/>
      <c r="R806" s="3"/>
    </row>
    <row r="807" spans="1:18" x14ac:dyDescent="0.25">
      <c r="A807" s="2">
        <v>2008</v>
      </c>
      <c r="B807" s="7" t="s">
        <v>2759</v>
      </c>
      <c r="C807" s="7" t="s">
        <v>2760</v>
      </c>
      <c r="D807" s="7" t="s">
        <v>2759</v>
      </c>
      <c r="E807" s="7" t="s">
        <v>182</v>
      </c>
      <c r="F807" s="7" t="s">
        <v>2761</v>
      </c>
      <c r="G807" s="17" t="s">
        <v>7747</v>
      </c>
      <c r="H807" s="7" t="s">
        <v>28</v>
      </c>
      <c r="I807" s="7" t="s">
        <v>374</v>
      </c>
      <c r="J807" s="7" t="s">
        <v>287</v>
      </c>
      <c r="K807" s="7" t="s">
        <v>1783</v>
      </c>
      <c r="L807" s="7" t="s">
        <v>136</v>
      </c>
      <c r="M807" s="7">
        <v>4.371111</v>
      </c>
      <c r="N807" s="7">
        <v>11.442500000000001</v>
      </c>
      <c r="O807" s="7" t="s">
        <v>23</v>
      </c>
      <c r="P807" s="3"/>
      <c r="Q807" s="3"/>
      <c r="R807" s="3"/>
    </row>
    <row r="808" spans="1:18" x14ac:dyDescent="0.25">
      <c r="A808" s="2">
        <v>2009</v>
      </c>
      <c r="B808" s="7" t="s">
        <v>2767</v>
      </c>
      <c r="C808" s="7" t="s">
        <v>2768</v>
      </c>
      <c r="D808" s="7" t="s">
        <v>2767</v>
      </c>
      <c r="E808" s="7" t="s">
        <v>182</v>
      </c>
      <c r="F808" s="7" t="s">
        <v>2769</v>
      </c>
      <c r="G808" s="17" t="s">
        <v>7747</v>
      </c>
      <c r="H808" s="7" t="s">
        <v>28</v>
      </c>
      <c r="I808" s="7" t="s">
        <v>286</v>
      </c>
      <c r="J808" s="7" t="s">
        <v>185</v>
      </c>
      <c r="K808" s="7" t="s">
        <v>186</v>
      </c>
      <c r="L808" s="7" t="s">
        <v>136</v>
      </c>
      <c r="M808" s="7">
        <v>3.9992749999999999</v>
      </c>
      <c r="N808" s="7">
        <v>11.555152</v>
      </c>
      <c r="O808" s="7" t="s">
        <v>23</v>
      </c>
      <c r="P808" s="3"/>
      <c r="Q808" s="3"/>
      <c r="R808" s="3"/>
    </row>
    <row r="809" spans="1:18" x14ac:dyDescent="0.25">
      <c r="A809" s="2">
        <v>2010</v>
      </c>
      <c r="B809" s="7" t="s">
        <v>2788</v>
      </c>
      <c r="C809" s="7" t="s">
        <v>2789</v>
      </c>
      <c r="D809" s="7" t="s">
        <v>2788</v>
      </c>
      <c r="E809" s="7" t="s">
        <v>182</v>
      </c>
      <c r="F809" s="7" t="s">
        <v>2790</v>
      </c>
      <c r="G809" s="17" t="s">
        <v>7747</v>
      </c>
      <c r="H809" s="7" t="s">
        <v>28</v>
      </c>
      <c r="I809" s="7" t="s">
        <v>286</v>
      </c>
      <c r="J809" s="7" t="s">
        <v>287</v>
      </c>
      <c r="K809" s="7" t="s">
        <v>288</v>
      </c>
      <c r="L809" s="7" t="s">
        <v>136</v>
      </c>
      <c r="M809" s="7">
        <v>4.1607979999999998</v>
      </c>
      <c r="N809" s="7">
        <v>11.526522999999999</v>
      </c>
      <c r="O809" s="7" t="s">
        <v>23</v>
      </c>
      <c r="P809" s="3"/>
      <c r="Q809" s="3"/>
      <c r="R809" s="3"/>
    </row>
    <row r="810" spans="1:18" x14ac:dyDescent="0.25">
      <c r="A810" s="2">
        <v>2011</v>
      </c>
      <c r="B810" s="7" t="s">
        <v>2791</v>
      </c>
      <c r="C810" s="7" t="s">
        <v>2792</v>
      </c>
      <c r="D810" s="7" t="s">
        <v>2791</v>
      </c>
      <c r="E810" s="7" t="s">
        <v>182</v>
      </c>
      <c r="F810" s="7" t="s">
        <v>2793</v>
      </c>
      <c r="G810" s="17" t="s">
        <v>7747</v>
      </c>
      <c r="H810" s="7" t="s">
        <v>28</v>
      </c>
      <c r="I810" s="7" t="s">
        <v>275</v>
      </c>
      <c r="J810" s="7" t="s">
        <v>208</v>
      </c>
      <c r="K810" s="7" t="s">
        <v>485</v>
      </c>
      <c r="L810" s="7" t="s">
        <v>136</v>
      </c>
      <c r="M810" s="7">
        <v>3.603583</v>
      </c>
      <c r="N810" s="7">
        <v>11.185667</v>
      </c>
      <c r="O810" s="7" t="s">
        <v>23</v>
      </c>
      <c r="P810" s="3"/>
      <c r="Q810" s="3"/>
      <c r="R810" s="3"/>
    </row>
    <row r="811" spans="1:18" x14ac:dyDescent="0.25">
      <c r="A811" s="2">
        <v>2012</v>
      </c>
      <c r="B811" s="7" t="s">
        <v>2796</v>
      </c>
      <c r="C811" s="7" t="s">
        <v>2797</v>
      </c>
      <c r="D811" s="7" t="s">
        <v>2796</v>
      </c>
      <c r="E811" s="7" t="s">
        <v>250</v>
      </c>
      <c r="F811" s="7" t="s">
        <v>2798</v>
      </c>
      <c r="G811" s="17" t="s">
        <v>7747</v>
      </c>
      <c r="H811" s="7" t="s">
        <v>28</v>
      </c>
      <c r="I811" s="7" t="s">
        <v>817</v>
      </c>
      <c r="J811" s="7" t="s">
        <v>2799</v>
      </c>
      <c r="K811" s="7" t="s">
        <v>2800</v>
      </c>
      <c r="L811" s="7" t="s">
        <v>136</v>
      </c>
      <c r="M811" s="7">
        <v>3.4390619999999998</v>
      </c>
      <c r="N811" s="7">
        <v>12.448153</v>
      </c>
      <c r="O811" s="7" t="s">
        <v>23</v>
      </c>
      <c r="P811" s="3"/>
      <c r="Q811" s="3"/>
      <c r="R811" s="3"/>
    </row>
    <row r="812" spans="1:18" x14ac:dyDescent="0.25">
      <c r="A812" s="2">
        <v>2013</v>
      </c>
      <c r="B812" s="7" t="s">
        <v>2805</v>
      </c>
      <c r="C812" s="7" t="s">
        <v>2806</v>
      </c>
      <c r="D812" s="7" t="s">
        <v>2805</v>
      </c>
      <c r="E812" s="7" t="s">
        <v>182</v>
      </c>
      <c r="F812" s="7" t="s">
        <v>2807</v>
      </c>
      <c r="G812" s="17" t="s">
        <v>7747</v>
      </c>
      <c r="H812" s="7" t="s">
        <v>19</v>
      </c>
      <c r="I812" s="7" t="s">
        <v>1284</v>
      </c>
      <c r="J812" s="7" t="s">
        <v>185</v>
      </c>
      <c r="K812" s="7" t="s">
        <v>1322</v>
      </c>
      <c r="L812" s="7" t="s">
        <v>136</v>
      </c>
      <c r="M812" s="7">
        <v>3.85412</v>
      </c>
      <c r="N812" s="7">
        <v>11.47932</v>
      </c>
      <c r="O812" s="7" t="s">
        <v>23</v>
      </c>
      <c r="P812" s="3"/>
      <c r="Q812" s="3"/>
      <c r="R812" s="3"/>
    </row>
    <row r="813" spans="1:18" x14ac:dyDescent="0.25">
      <c r="A813" s="2">
        <v>2014</v>
      </c>
      <c r="B813" s="7" t="s">
        <v>2824</v>
      </c>
      <c r="C813" s="7" t="s">
        <v>2825</v>
      </c>
      <c r="D813" s="7" t="s">
        <v>2824</v>
      </c>
      <c r="E813" s="7" t="s">
        <v>182</v>
      </c>
      <c r="F813" s="7" t="s">
        <v>2826</v>
      </c>
      <c r="G813" s="17" t="s">
        <v>7747</v>
      </c>
      <c r="H813" s="7" t="s">
        <v>28</v>
      </c>
      <c r="I813" s="7" t="s">
        <v>1637</v>
      </c>
      <c r="J813" s="7" t="s">
        <v>185</v>
      </c>
      <c r="K813" s="7" t="s">
        <v>1462</v>
      </c>
      <c r="L813" s="7" t="s">
        <v>136</v>
      </c>
      <c r="M813" s="7">
        <v>3.850806</v>
      </c>
      <c r="N813" s="7">
        <v>11.493138999999999</v>
      </c>
      <c r="O813" s="7" t="s">
        <v>613</v>
      </c>
      <c r="P813" s="3"/>
      <c r="Q813" s="3"/>
      <c r="R813" s="3"/>
    </row>
    <row r="814" spans="1:18" x14ac:dyDescent="0.25">
      <c r="A814" s="2">
        <v>2015</v>
      </c>
      <c r="B814" s="7" t="s">
        <v>2885</v>
      </c>
      <c r="C814" s="7" t="s">
        <v>2886</v>
      </c>
      <c r="D814" s="7" t="s">
        <v>2885</v>
      </c>
      <c r="E814" s="7" t="s">
        <v>182</v>
      </c>
      <c r="F814" s="7" t="s">
        <v>2887</v>
      </c>
      <c r="G814" s="17" t="s">
        <v>7747</v>
      </c>
      <c r="H814" s="7" t="s">
        <v>19</v>
      </c>
      <c r="I814" s="7" t="s">
        <v>1637</v>
      </c>
      <c r="J814" s="7" t="s">
        <v>185</v>
      </c>
      <c r="K814" s="7" t="s">
        <v>1462</v>
      </c>
      <c r="L814" s="7" t="s">
        <v>136</v>
      </c>
      <c r="M814" s="7">
        <v>3.867639</v>
      </c>
      <c r="N814" s="7">
        <v>11.504667</v>
      </c>
      <c r="O814" s="7" t="s">
        <v>613</v>
      </c>
      <c r="P814" s="3"/>
      <c r="Q814" s="3"/>
      <c r="R814" s="3"/>
    </row>
    <row r="815" spans="1:18" x14ac:dyDescent="0.25">
      <c r="A815" s="2">
        <v>2016</v>
      </c>
      <c r="B815" s="7" t="s">
        <v>2929</v>
      </c>
      <c r="C815" s="7" t="s">
        <v>2930</v>
      </c>
      <c r="D815" s="7" t="s">
        <v>2929</v>
      </c>
      <c r="E815" s="7" t="s">
        <v>182</v>
      </c>
      <c r="F815" s="7" t="s">
        <v>2931</v>
      </c>
      <c r="G815" s="17" t="s">
        <v>7747</v>
      </c>
      <c r="H815" s="7" t="s">
        <v>28</v>
      </c>
      <c r="I815" s="7" t="s">
        <v>1374</v>
      </c>
      <c r="J815" s="7" t="s">
        <v>185</v>
      </c>
      <c r="K815" s="7" t="s">
        <v>1375</v>
      </c>
      <c r="L815" s="7" t="s">
        <v>136</v>
      </c>
      <c r="M815" s="7">
        <v>3.8830960000000001</v>
      </c>
      <c r="N815" s="7">
        <v>11.498564</v>
      </c>
      <c r="O815" s="7" t="s">
        <v>613</v>
      </c>
      <c r="P815" s="3"/>
      <c r="Q815" s="3"/>
      <c r="R815" s="3"/>
    </row>
    <row r="816" spans="1:18" x14ac:dyDescent="0.25">
      <c r="A816" s="2">
        <v>2017</v>
      </c>
      <c r="B816" s="7" t="s">
        <v>2935</v>
      </c>
      <c r="C816" s="7" t="s">
        <v>2936</v>
      </c>
      <c r="D816" s="7" t="s">
        <v>2935</v>
      </c>
      <c r="E816" s="7" t="s">
        <v>182</v>
      </c>
      <c r="F816" s="7" t="s">
        <v>2937</v>
      </c>
      <c r="G816" s="17" t="s">
        <v>7747</v>
      </c>
      <c r="H816" s="7" t="s">
        <v>28</v>
      </c>
      <c r="I816" s="7" t="s">
        <v>184</v>
      </c>
      <c r="J816" s="7" t="s">
        <v>185</v>
      </c>
      <c r="K816" s="7" t="s">
        <v>1435</v>
      </c>
      <c r="L816" s="7" t="s">
        <v>136</v>
      </c>
      <c r="M816" s="7">
        <v>3.8844599999999998</v>
      </c>
      <c r="N816" s="7">
        <v>11.55171</v>
      </c>
      <c r="O816" s="7" t="s">
        <v>613</v>
      </c>
      <c r="P816" s="3"/>
      <c r="Q816" s="3"/>
      <c r="R816" s="3"/>
    </row>
    <row r="817" spans="1:18" x14ac:dyDescent="0.25">
      <c r="A817" s="2">
        <v>2018</v>
      </c>
      <c r="B817" s="7" t="s">
        <v>2953</v>
      </c>
      <c r="C817" s="7" t="s">
        <v>2954</v>
      </c>
      <c r="D817" s="7" t="s">
        <v>2953</v>
      </c>
      <c r="E817" s="7" t="s">
        <v>182</v>
      </c>
      <c r="F817" s="7" t="s">
        <v>2955</v>
      </c>
      <c r="G817" s="17" t="s">
        <v>7747</v>
      </c>
      <c r="H817" s="7" t="s">
        <v>28</v>
      </c>
      <c r="I817" s="7" t="s">
        <v>807</v>
      </c>
      <c r="J817" s="7" t="s">
        <v>185</v>
      </c>
      <c r="K817" s="7" t="s">
        <v>1435</v>
      </c>
      <c r="L817" s="7" t="s">
        <v>136</v>
      </c>
      <c r="M817" s="7">
        <v>3.8714170000000001</v>
      </c>
      <c r="N817" s="7">
        <v>11.531131999999999</v>
      </c>
      <c r="O817" s="7" t="s">
        <v>23</v>
      </c>
      <c r="P817" s="3"/>
      <c r="Q817" s="3"/>
      <c r="R817" s="3"/>
    </row>
    <row r="818" spans="1:18" x14ac:dyDescent="0.25">
      <c r="A818" s="2">
        <v>2019</v>
      </c>
      <c r="B818" s="7" t="s">
        <v>2972</v>
      </c>
      <c r="C818" s="7" t="s">
        <v>2973</v>
      </c>
      <c r="D818" s="7" t="s">
        <v>2972</v>
      </c>
      <c r="E818" s="7" t="s">
        <v>182</v>
      </c>
      <c r="F818" s="7" t="s">
        <v>2974</v>
      </c>
      <c r="G818" s="17" t="s">
        <v>7747</v>
      </c>
      <c r="H818" s="7" t="s">
        <v>28</v>
      </c>
      <c r="I818" s="7" t="s">
        <v>275</v>
      </c>
      <c r="J818" s="7" t="s">
        <v>185</v>
      </c>
      <c r="K818" s="7" t="s">
        <v>1322</v>
      </c>
      <c r="L818" s="7" t="s">
        <v>136</v>
      </c>
      <c r="M818" s="7">
        <v>3.8074170000000001</v>
      </c>
      <c r="N818" s="7">
        <v>11.456694000000001</v>
      </c>
      <c r="O818" s="7" t="s">
        <v>23</v>
      </c>
      <c r="P818" s="3"/>
      <c r="Q818" s="3"/>
      <c r="R818" s="3"/>
    </row>
    <row r="819" spans="1:18" x14ac:dyDescent="0.25">
      <c r="A819" s="2">
        <v>2020</v>
      </c>
      <c r="B819" s="7" t="s">
        <v>2993</v>
      </c>
      <c r="C819" s="7" t="s">
        <v>2994</v>
      </c>
      <c r="D819" s="7" t="s">
        <v>2993</v>
      </c>
      <c r="E819" s="7" t="s">
        <v>182</v>
      </c>
      <c r="F819" s="7" t="s">
        <v>2995</v>
      </c>
      <c r="G819" s="17" t="s">
        <v>7747</v>
      </c>
      <c r="H819" s="7" t="s">
        <v>28</v>
      </c>
      <c r="I819" s="7" t="s">
        <v>1553</v>
      </c>
      <c r="J819" s="7" t="s">
        <v>185</v>
      </c>
      <c r="K819" s="7" t="s">
        <v>1367</v>
      </c>
      <c r="L819" s="7" t="s">
        <v>136</v>
      </c>
      <c r="M819" s="7">
        <v>3.8479749999999999</v>
      </c>
      <c r="N819" s="7">
        <v>11.547172</v>
      </c>
      <c r="O819" s="7" t="s">
        <v>23</v>
      </c>
      <c r="P819" s="3"/>
      <c r="Q819" s="3"/>
      <c r="R819" s="3"/>
    </row>
    <row r="820" spans="1:18" x14ac:dyDescent="0.25">
      <c r="A820" s="2">
        <v>2021</v>
      </c>
      <c r="B820" s="7" t="s">
        <v>2996</v>
      </c>
      <c r="C820" s="7" t="s">
        <v>2997</v>
      </c>
      <c r="D820" s="7" t="s">
        <v>2996</v>
      </c>
      <c r="E820" s="7" t="s">
        <v>182</v>
      </c>
      <c r="F820" s="7" t="s">
        <v>2998</v>
      </c>
      <c r="G820" s="17" t="s">
        <v>7747</v>
      </c>
      <c r="H820" s="7" t="s">
        <v>28</v>
      </c>
      <c r="I820" s="7" t="s">
        <v>1385</v>
      </c>
      <c r="J820" s="7" t="s">
        <v>185</v>
      </c>
      <c r="K820" s="7" t="s">
        <v>1367</v>
      </c>
      <c r="L820" s="7" t="s">
        <v>136</v>
      </c>
      <c r="M820" s="7">
        <v>3.8325399999999998</v>
      </c>
      <c r="N820" s="7">
        <v>11.53077</v>
      </c>
      <c r="O820" s="7" t="s">
        <v>23</v>
      </c>
      <c r="P820" s="3"/>
      <c r="Q820" s="3"/>
      <c r="R820" s="3"/>
    </row>
    <row r="821" spans="1:18" x14ac:dyDescent="0.25">
      <c r="A821" s="2">
        <v>2022</v>
      </c>
      <c r="B821" s="7" t="s">
        <v>2999</v>
      </c>
      <c r="C821" s="7" t="s">
        <v>3000</v>
      </c>
      <c r="D821" s="7" t="s">
        <v>2999</v>
      </c>
      <c r="E821" s="7" t="s">
        <v>182</v>
      </c>
      <c r="F821" s="7" t="s">
        <v>3001</v>
      </c>
      <c r="G821" s="17" t="s">
        <v>7747</v>
      </c>
      <c r="H821" s="7" t="s">
        <v>19</v>
      </c>
      <c r="I821" s="7" t="s">
        <v>1553</v>
      </c>
      <c r="J821" s="7" t="s">
        <v>826</v>
      </c>
      <c r="K821" s="7" t="s">
        <v>2499</v>
      </c>
      <c r="L821" s="7" t="s">
        <v>136</v>
      </c>
      <c r="M821" s="7">
        <v>3.7256939999999998</v>
      </c>
      <c r="N821" s="7">
        <v>11.638999999999999</v>
      </c>
      <c r="O821" s="7" t="s">
        <v>23</v>
      </c>
      <c r="P821" s="3"/>
      <c r="Q821" s="3"/>
      <c r="R821" s="3"/>
    </row>
    <row r="822" spans="1:18" x14ac:dyDescent="0.25">
      <c r="A822" s="2">
        <v>2023</v>
      </c>
      <c r="B822" s="7" t="s">
        <v>3008</v>
      </c>
      <c r="C822" s="7" t="s">
        <v>3009</v>
      </c>
      <c r="D822" s="7" t="s">
        <v>3008</v>
      </c>
      <c r="E822" s="7" t="s">
        <v>182</v>
      </c>
      <c r="F822" s="7" t="s">
        <v>3010</v>
      </c>
      <c r="G822" s="17" t="s">
        <v>7747</v>
      </c>
      <c r="H822" s="7" t="s">
        <v>28</v>
      </c>
      <c r="I822" s="7" t="s">
        <v>184</v>
      </c>
      <c r="J822" s="7" t="s">
        <v>185</v>
      </c>
      <c r="K822" s="7" t="s">
        <v>1435</v>
      </c>
      <c r="L822" s="7" t="s">
        <v>136</v>
      </c>
      <c r="M822" s="7">
        <v>3.9487199999999998</v>
      </c>
      <c r="N822" s="7">
        <v>11.5884</v>
      </c>
      <c r="O822" s="7" t="s">
        <v>23</v>
      </c>
      <c r="P822" s="3"/>
      <c r="Q822" s="3"/>
      <c r="R822" s="3"/>
    </row>
    <row r="823" spans="1:18" x14ac:dyDescent="0.25">
      <c r="A823" s="2">
        <v>2024</v>
      </c>
      <c r="B823" s="7" t="s">
        <v>3014</v>
      </c>
      <c r="C823" s="7" t="s">
        <v>3015</v>
      </c>
      <c r="D823" s="7" t="s">
        <v>3014</v>
      </c>
      <c r="E823" s="7" t="s">
        <v>182</v>
      </c>
      <c r="F823" s="7" t="s">
        <v>3001</v>
      </c>
      <c r="G823" s="17" t="s">
        <v>7747</v>
      </c>
      <c r="H823" s="7" t="s">
        <v>19</v>
      </c>
      <c r="I823" s="7" t="s">
        <v>1553</v>
      </c>
      <c r="J823" s="7" t="s">
        <v>826</v>
      </c>
      <c r="K823" s="7" t="s">
        <v>2499</v>
      </c>
      <c r="L823" s="7" t="s">
        <v>136</v>
      </c>
      <c r="M823" s="7">
        <v>3.727147</v>
      </c>
      <c r="N823" s="7">
        <v>11.638579</v>
      </c>
      <c r="O823" s="7" t="s">
        <v>23</v>
      </c>
      <c r="P823" s="3"/>
      <c r="Q823" s="3"/>
      <c r="R823" s="3"/>
    </row>
    <row r="824" spans="1:18" x14ac:dyDescent="0.25">
      <c r="A824" s="2">
        <v>2025</v>
      </c>
      <c r="B824" s="7" t="s">
        <v>3049</v>
      </c>
      <c r="C824" s="7" t="s">
        <v>3050</v>
      </c>
      <c r="D824" s="7" t="s">
        <v>3049</v>
      </c>
      <c r="E824" s="7" t="s">
        <v>74</v>
      </c>
      <c r="F824" s="7" t="s">
        <v>3051</v>
      </c>
      <c r="G824" s="17" t="s">
        <v>7747</v>
      </c>
      <c r="H824" s="7" t="s">
        <v>28</v>
      </c>
      <c r="I824" s="7" t="s">
        <v>481</v>
      </c>
      <c r="J824" s="7" t="s">
        <v>298</v>
      </c>
      <c r="K824" s="7" t="s">
        <v>1862</v>
      </c>
      <c r="L824" s="7" t="s">
        <v>136</v>
      </c>
      <c r="M824" s="7">
        <v>4.6666249999999998</v>
      </c>
      <c r="N824" s="7">
        <v>12.378568</v>
      </c>
      <c r="O824" s="7" t="s">
        <v>23</v>
      </c>
      <c r="P824" s="3"/>
      <c r="Q824" s="3"/>
      <c r="R824" s="3"/>
    </row>
    <row r="825" spans="1:18" x14ac:dyDescent="0.25">
      <c r="A825" s="2">
        <v>2026</v>
      </c>
      <c r="B825" s="7" t="s">
        <v>3070</v>
      </c>
      <c r="C825" s="7" t="s">
        <v>3071</v>
      </c>
      <c r="D825" s="7" t="s">
        <v>3070</v>
      </c>
      <c r="E825" s="7" t="s">
        <v>182</v>
      </c>
      <c r="F825" s="7" t="s">
        <v>3072</v>
      </c>
      <c r="G825" s="17" t="s">
        <v>7747</v>
      </c>
      <c r="H825" s="7" t="s">
        <v>28</v>
      </c>
      <c r="I825" s="7" t="s">
        <v>1766</v>
      </c>
      <c r="J825" s="7" t="s">
        <v>185</v>
      </c>
      <c r="K825" s="7" t="s">
        <v>808</v>
      </c>
      <c r="L825" s="7" t="s">
        <v>136</v>
      </c>
      <c r="M825" s="7">
        <v>3.9582099999999998</v>
      </c>
      <c r="N825" s="7">
        <v>11.517160000000001</v>
      </c>
      <c r="O825" s="7" t="s">
        <v>23</v>
      </c>
      <c r="P825" s="3"/>
      <c r="Q825" s="3"/>
      <c r="R825" s="3"/>
    </row>
    <row r="826" spans="1:18" x14ac:dyDescent="0.25">
      <c r="A826" s="2">
        <v>2027</v>
      </c>
      <c r="B826" s="7" t="s">
        <v>3135</v>
      </c>
      <c r="C826" s="7" t="s">
        <v>3136</v>
      </c>
      <c r="D826" s="7" t="s">
        <v>3135</v>
      </c>
      <c r="E826" s="7" t="s">
        <v>182</v>
      </c>
      <c r="F826" s="7" t="s">
        <v>3137</v>
      </c>
      <c r="G826" s="17" t="s">
        <v>7747</v>
      </c>
      <c r="H826" s="7" t="s">
        <v>28</v>
      </c>
      <c r="I826" s="7" t="s">
        <v>807</v>
      </c>
      <c r="J826" s="7" t="s">
        <v>185</v>
      </c>
      <c r="K826" s="7" t="s">
        <v>1375</v>
      </c>
      <c r="L826" s="7" t="s">
        <v>136</v>
      </c>
      <c r="M826" s="7">
        <v>3.9337070000000001</v>
      </c>
      <c r="N826" s="7">
        <v>11.554975000000001</v>
      </c>
      <c r="O826" s="7" t="s">
        <v>23</v>
      </c>
      <c r="P826" s="3"/>
      <c r="Q826" s="3"/>
      <c r="R826" s="3"/>
    </row>
    <row r="827" spans="1:18" x14ac:dyDescent="0.25">
      <c r="A827" s="2">
        <v>2028</v>
      </c>
      <c r="B827" s="7" t="s">
        <v>3182</v>
      </c>
      <c r="C827" s="7" t="s">
        <v>3183</v>
      </c>
      <c r="D827" s="7" t="s">
        <v>3182</v>
      </c>
      <c r="E827" s="7" t="s">
        <v>182</v>
      </c>
      <c r="F827" s="7" t="s">
        <v>3184</v>
      </c>
      <c r="G827" s="17" t="s">
        <v>7747</v>
      </c>
      <c r="H827" s="7" t="s">
        <v>28</v>
      </c>
      <c r="I827" s="7" t="s">
        <v>807</v>
      </c>
      <c r="J827" s="7" t="s">
        <v>185</v>
      </c>
      <c r="K827" s="7" t="s">
        <v>1435</v>
      </c>
      <c r="L827" s="7" t="s">
        <v>136</v>
      </c>
      <c r="M827" s="7">
        <v>3.8875950000000001</v>
      </c>
      <c r="N827" s="7">
        <v>11.537982</v>
      </c>
      <c r="O827" s="7" t="s">
        <v>613</v>
      </c>
      <c r="P827" s="3"/>
      <c r="Q827" s="3"/>
      <c r="R827" s="3"/>
    </row>
    <row r="828" spans="1:18" x14ac:dyDescent="0.25">
      <c r="A828" s="2">
        <v>2029</v>
      </c>
      <c r="B828" s="7" t="s">
        <v>3215</v>
      </c>
      <c r="C828" s="7" t="s">
        <v>3216</v>
      </c>
      <c r="D828" s="7" t="s">
        <v>3215</v>
      </c>
      <c r="E828" s="7" t="s">
        <v>182</v>
      </c>
      <c r="F828" s="7" t="s">
        <v>3217</v>
      </c>
      <c r="G828" s="17" t="s">
        <v>7747</v>
      </c>
      <c r="H828" s="7" t="s">
        <v>28</v>
      </c>
      <c r="I828" s="7" t="s">
        <v>1374</v>
      </c>
      <c r="J828" s="7" t="s">
        <v>185</v>
      </c>
      <c r="K828" s="7" t="s">
        <v>1375</v>
      </c>
      <c r="L828" s="7" t="s">
        <v>136</v>
      </c>
      <c r="M828" s="7">
        <v>3.889472</v>
      </c>
      <c r="N828" s="7">
        <v>11.507250000000001</v>
      </c>
      <c r="O828" s="7" t="s">
        <v>613</v>
      </c>
      <c r="P828" s="3"/>
      <c r="Q828" s="3"/>
      <c r="R828" s="3"/>
    </row>
    <row r="829" spans="1:18" x14ac:dyDescent="0.25">
      <c r="A829" s="2">
        <v>2030</v>
      </c>
      <c r="B829" s="7" t="s">
        <v>3218</v>
      </c>
      <c r="C829" s="7" t="s">
        <v>3219</v>
      </c>
      <c r="D829" s="7" t="s">
        <v>3218</v>
      </c>
      <c r="E829" s="7" t="s">
        <v>182</v>
      </c>
      <c r="F829" s="7" t="s">
        <v>3220</v>
      </c>
      <c r="G829" s="17" t="s">
        <v>7747</v>
      </c>
      <c r="H829" s="7" t="s">
        <v>19</v>
      </c>
      <c r="I829" s="7" t="s">
        <v>807</v>
      </c>
      <c r="J829" s="7" t="s">
        <v>185</v>
      </c>
      <c r="K829" s="7" t="s">
        <v>808</v>
      </c>
      <c r="L829" s="7" t="s">
        <v>136</v>
      </c>
      <c r="M829" s="7">
        <v>3.9239999999999999</v>
      </c>
      <c r="N829" s="7">
        <v>11.537000000000001</v>
      </c>
      <c r="O829" s="7" t="s">
        <v>23</v>
      </c>
      <c r="P829" s="3"/>
      <c r="Q829" s="3"/>
      <c r="R829" s="3"/>
    </row>
    <row r="830" spans="1:18" x14ac:dyDescent="0.25">
      <c r="A830" s="2">
        <v>2031</v>
      </c>
      <c r="B830" s="7" t="s">
        <v>3221</v>
      </c>
      <c r="C830" s="7" t="s">
        <v>3222</v>
      </c>
      <c r="D830" s="7" t="s">
        <v>3221</v>
      </c>
      <c r="E830" s="7" t="s">
        <v>182</v>
      </c>
      <c r="F830" s="7" t="s">
        <v>3223</v>
      </c>
      <c r="G830" s="17" t="s">
        <v>7747</v>
      </c>
      <c r="H830" s="7" t="s">
        <v>28</v>
      </c>
      <c r="I830" s="7" t="s">
        <v>1284</v>
      </c>
      <c r="J830" s="7" t="s">
        <v>185</v>
      </c>
      <c r="K830" s="7" t="s">
        <v>1322</v>
      </c>
      <c r="L830" s="7" t="s">
        <v>136</v>
      </c>
      <c r="M830" s="7">
        <v>3.8050000000000002</v>
      </c>
      <c r="N830" s="7">
        <v>11.481</v>
      </c>
      <c r="O830" s="7" t="s">
        <v>23</v>
      </c>
      <c r="P830" s="3"/>
      <c r="Q830" s="3"/>
      <c r="R830" s="3"/>
    </row>
    <row r="831" spans="1:18" x14ac:dyDescent="0.25">
      <c r="A831" s="2">
        <v>2032</v>
      </c>
      <c r="B831" s="7" t="s">
        <v>3224</v>
      </c>
      <c r="C831" s="7" t="s">
        <v>3225</v>
      </c>
      <c r="D831" s="7" t="s">
        <v>3224</v>
      </c>
      <c r="E831" s="7" t="s">
        <v>182</v>
      </c>
      <c r="F831" s="7" t="s">
        <v>3226</v>
      </c>
      <c r="G831" s="17" t="s">
        <v>7747</v>
      </c>
      <c r="H831" s="7" t="s">
        <v>28</v>
      </c>
      <c r="I831" s="7" t="s">
        <v>1766</v>
      </c>
      <c r="J831" s="7" t="s">
        <v>185</v>
      </c>
      <c r="K831" s="7" t="s">
        <v>808</v>
      </c>
      <c r="L831" s="7" t="s">
        <v>136</v>
      </c>
      <c r="M831" s="7">
        <v>3.89</v>
      </c>
      <c r="N831" s="7">
        <v>11.529</v>
      </c>
      <c r="O831" s="7" t="s">
        <v>613</v>
      </c>
      <c r="P831" s="3"/>
      <c r="Q831" s="3"/>
      <c r="R831" s="3"/>
    </row>
    <row r="832" spans="1:18" x14ac:dyDescent="0.25">
      <c r="A832" s="2">
        <v>2033</v>
      </c>
      <c r="B832" s="7" t="s">
        <v>3227</v>
      </c>
      <c r="C832" s="7" t="s">
        <v>3228</v>
      </c>
      <c r="D832" s="7" t="s">
        <v>3227</v>
      </c>
      <c r="E832" s="7" t="s">
        <v>182</v>
      </c>
      <c r="F832" s="7" t="s">
        <v>3229</v>
      </c>
      <c r="G832" s="17" t="s">
        <v>7747</v>
      </c>
      <c r="H832" s="7" t="s">
        <v>28</v>
      </c>
      <c r="I832" s="7" t="s">
        <v>184</v>
      </c>
      <c r="J832" s="7" t="s">
        <v>185</v>
      </c>
      <c r="K832" s="7" t="s">
        <v>186</v>
      </c>
      <c r="L832" s="7" t="s">
        <v>136</v>
      </c>
      <c r="M832" s="7">
        <v>3.9678100000000001</v>
      </c>
      <c r="N832" s="7">
        <v>11.5929</v>
      </c>
      <c r="O832" s="7" t="s">
        <v>613</v>
      </c>
      <c r="P832" s="3"/>
      <c r="Q832" s="3"/>
      <c r="R832" s="3"/>
    </row>
    <row r="833" spans="1:18" x14ac:dyDescent="0.25">
      <c r="A833" s="2">
        <v>2034</v>
      </c>
      <c r="B833" s="7" t="s">
        <v>3236</v>
      </c>
      <c r="C833" s="7" t="s">
        <v>3237</v>
      </c>
      <c r="D833" s="7" t="s">
        <v>3236</v>
      </c>
      <c r="E833" s="7" t="s">
        <v>182</v>
      </c>
      <c r="F833" s="7" t="s">
        <v>3238</v>
      </c>
      <c r="G833" s="17" t="s">
        <v>7747</v>
      </c>
      <c r="H833" s="7" t="s">
        <v>28</v>
      </c>
      <c r="I833" s="7" t="s">
        <v>1461</v>
      </c>
      <c r="J833" s="7" t="s">
        <v>185</v>
      </c>
      <c r="K833" s="7" t="s">
        <v>1367</v>
      </c>
      <c r="L833" s="7" t="s">
        <v>136</v>
      </c>
      <c r="M833" s="7">
        <v>3.8272200000000001</v>
      </c>
      <c r="N833" s="7">
        <v>11.517620000000001</v>
      </c>
      <c r="O833" s="7" t="s">
        <v>613</v>
      </c>
      <c r="P833" s="3"/>
      <c r="Q833" s="3"/>
      <c r="R833" s="3"/>
    </row>
    <row r="834" spans="1:18" x14ac:dyDescent="0.25">
      <c r="A834" s="2">
        <v>2035</v>
      </c>
      <c r="B834" s="7" t="s">
        <v>3239</v>
      </c>
      <c r="C834" s="7" t="s">
        <v>3240</v>
      </c>
      <c r="D834" s="7" t="s">
        <v>3239</v>
      </c>
      <c r="E834" s="7" t="s">
        <v>182</v>
      </c>
      <c r="F834" s="7" t="s">
        <v>3241</v>
      </c>
      <c r="G834" s="17" t="s">
        <v>7747</v>
      </c>
      <c r="H834" s="7" t="s">
        <v>28</v>
      </c>
      <c r="I834" s="7" t="s">
        <v>1284</v>
      </c>
      <c r="J834" s="7" t="s">
        <v>185</v>
      </c>
      <c r="K834" s="7" t="s">
        <v>1322</v>
      </c>
      <c r="L834" s="7" t="s">
        <v>136</v>
      </c>
      <c r="M834" s="7">
        <v>3.8210280000000001</v>
      </c>
      <c r="N834" s="7">
        <v>11.474289000000001</v>
      </c>
      <c r="O834" s="7" t="s">
        <v>613</v>
      </c>
      <c r="P834" s="3"/>
      <c r="Q834" s="3"/>
      <c r="R834" s="3"/>
    </row>
    <row r="835" spans="1:18" x14ac:dyDescent="0.25">
      <c r="A835" s="2">
        <v>2036</v>
      </c>
      <c r="B835" s="7" t="s">
        <v>3250</v>
      </c>
      <c r="C835" s="7" t="s">
        <v>3251</v>
      </c>
      <c r="D835" s="7" t="s">
        <v>3250</v>
      </c>
      <c r="E835" s="7" t="s">
        <v>182</v>
      </c>
      <c r="F835" s="7" t="s">
        <v>3252</v>
      </c>
      <c r="G835" s="17" t="s">
        <v>7747</v>
      </c>
      <c r="H835" s="7" t="s">
        <v>28</v>
      </c>
      <c r="I835" s="7" t="s">
        <v>1337</v>
      </c>
      <c r="J835" s="7" t="s">
        <v>185</v>
      </c>
      <c r="K835" s="7" t="s">
        <v>1322</v>
      </c>
      <c r="L835" s="7" t="s">
        <v>136</v>
      </c>
      <c r="M835" s="7">
        <v>3.8786299999999998</v>
      </c>
      <c r="N835" s="7">
        <v>11.48537</v>
      </c>
      <c r="O835" s="7" t="s">
        <v>613</v>
      </c>
      <c r="P835" s="3"/>
      <c r="Q835" s="3"/>
      <c r="R835" s="3"/>
    </row>
    <row r="836" spans="1:18" x14ac:dyDescent="0.25">
      <c r="A836" s="2">
        <v>2037</v>
      </c>
      <c r="B836" s="7" t="s">
        <v>3253</v>
      </c>
      <c r="C836" s="7" t="s">
        <v>3254</v>
      </c>
      <c r="D836" s="7" t="s">
        <v>3253</v>
      </c>
      <c r="E836" s="7" t="s">
        <v>182</v>
      </c>
      <c r="F836" s="7" t="s">
        <v>3255</v>
      </c>
      <c r="G836" s="17" t="s">
        <v>7747</v>
      </c>
      <c r="H836" s="7" t="s">
        <v>28</v>
      </c>
      <c r="I836" s="7" t="s">
        <v>807</v>
      </c>
      <c r="J836" s="7" t="s">
        <v>185</v>
      </c>
      <c r="K836" s="7" t="s">
        <v>1435</v>
      </c>
      <c r="L836" s="7" t="s">
        <v>136</v>
      </c>
      <c r="M836" s="7">
        <v>3.8760140000000001</v>
      </c>
      <c r="N836" s="7">
        <v>11.531523999999999</v>
      </c>
      <c r="O836" s="7" t="s">
        <v>613</v>
      </c>
      <c r="P836" s="3"/>
      <c r="Q836" s="3"/>
      <c r="R836" s="3"/>
    </row>
    <row r="837" spans="1:18" x14ac:dyDescent="0.25">
      <c r="A837" s="2">
        <v>2038</v>
      </c>
      <c r="B837" s="7" t="s">
        <v>3259</v>
      </c>
      <c r="C837" s="7" t="s">
        <v>3260</v>
      </c>
      <c r="D837" s="7" t="s">
        <v>3259</v>
      </c>
      <c r="E837" s="7" t="s">
        <v>182</v>
      </c>
      <c r="F837" s="7" t="s">
        <v>3261</v>
      </c>
      <c r="G837" s="17" t="s">
        <v>7747</v>
      </c>
      <c r="H837" s="7" t="s">
        <v>28</v>
      </c>
      <c r="I837" s="7" t="s">
        <v>1461</v>
      </c>
      <c r="J837" s="7" t="s">
        <v>185</v>
      </c>
      <c r="K837" s="7" t="s">
        <v>1462</v>
      </c>
      <c r="L837" s="7" t="s">
        <v>136</v>
      </c>
      <c r="M837" s="7">
        <v>3.8433609999999998</v>
      </c>
      <c r="N837" s="7">
        <v>11.506610999999999</v>
      </c>
      <c r="O837" s="7" t="s">
        <v>23</v>
      </c>
      <c r="P837" s="3"/>
      <c r="Q837" s="3"/>
      <c r="R837" s="3"/>
    </row>
    <row r="838" spans="1:18" x14ac:dyDescent="0.25">
      <c r="A838" s="2">
        <v>2039</v>
      </c>
      <c r="B838" s="7" t="s">
        <v>3262</v>
      </c>
      <c r="C838" s="7" t="s">
        <v>3263</v>
      </c>
      <c r="D838" s="7" t="s">
        <v>3262</v>
      </c>
      <c r="E838" s="7" t="s">
        <v>182</v>
      </c>
      <c r="F838" s="7" t="s">
        <v>3264</v>
      </c>
      <c r="G838" s="17" t="s">
        <v>7747</v>
      </c>
      <c r="H838" s="7" t="s">
        <v>19</v>
      </c>
      <c r="I838" s="7" t="s">
        <v>1461</v>
      </c>
      <c r="J838" s="7" t="s">
        <v>185</v>
      </c>
      <c r="K838" s="7" t="s">
        <v>1462</v>
      </c>
      <c r="L838" s="7" t="s">
        <v>136</v>
      </c>
      <c r="M838" s="7">
        <v>3.8180990000000001</v>
      </c>
      <c r="N838" s="7">
        <v>11.488170999999999</v>
      </c>
      <c r="O838" s="7" t="s">
        <v>23</v>
      </c>
      <c r="P838" s="3"/>
      <c r="Q838" s="3"/>
      <c r="R838" s="3"/>
    </row>
    <row r="839" spans="1:18" x14ac:dyDescent="0.25">
      <c r="A839" s="2">
        <v>2040</v>
      </c>
      <c r="B839" s="7" t="s">
        <v>3265</v>
      </c>
      <c r="C839" s="7" t="s">
        <v>3266</v>
      </c>
      <c r="D839" s="7" t="s">
        <v>3265</v>
      </c>
      <c r="E839" s="7" t="s">
        <v>182</v>
      </c>
      <c r="F839" s="7" t="s">
        <v>3267</v>
      </c>
      <c r="G839" s="17" t="s">
        <v>7747</v>
      </c>
      <c r="H839" s="7" t="s">
        <v>28</v>
      </c>
      <c r="I839" s="7" t="s">
        <v>1366</v>
      </c>
      <c r="J839" s="7" t="s">
        <v>185</v>
      </c>
      <c r="K839" s="7" t="s">
        <v>1435</v>
      </c>
      <c r="L839" s="7" t="s">
        <v>136</v>
      </c>
      <c r="M839" s="7">
        <v>3.8787799999999999</v>
      </c>
      <c r="N839" s="7">
        <v>11.54899</v>
      </c>
      <c r="O839" s="7" t="s">
        <v>613</v>
      </c>
      <c r="P839" s="3"/>
      <c r="Q839" s="3"/>
      <c r="R839" s="3"/>
    </row>
    <row r="840" spans="1:18" x14ac:dyDescent="0.25">
      <c r="A840" s="2">
        <v>2041</v>
      </c>
      <c r="B840" s="7" t="s">
        <v>3270</v>
      </c>
      <c r="C840" s="7" t="s">
        <v>3271</v>
      </c>
      <c r="D840" s="7" t="s">
        <v>3270</v>
      </c>
      <c r="E840" s="7" t="s">
        <v>250</v>
      </c>
      <c r="F840" s="7" t="s">
        <v>3272</v>
      </c>
      <c r="G840" s="17" t="s">
        <v>7747</v>
      </c>
      <c r="H840" s="7" t="s">
        <v>28</v>
      </c>
      <c r="I840" s="7" t="s">
        <v>311</v>
      </c>
      <c r="J840" s="7" t="s">
        <v>312</v>
      </c>
      <c r="K840" s="7" t="s">
        <v>2594</v>
      </c>
      <c r="L840" s="7" t="s">
        <v>136</v>
      </c>
      <c r="M840" s="7">
        <v>2.9254899999999999</v>
      </c>
      <c r="N840" s="7">
        <v>11.162642</v>
      </c>
      <c r="O840" s="7" t="s">
        <v>23</v>
      </c>
      <c r="P840" s="3"/>
      <c r="Q840" s="3"/>
      <c r="R840" s="3"/>
    </row>
    <row r="841" spans="1:18" x14ac:dyDescent="0.25">
      <c r="A841" s="2">
        <v>2042</v>
      </c>
      <c r="B841" s="7" t="s">
        <v>3273</v>
      </c>
      <c r="C841" s="7" t="s">
        <v>3274</v>
      </c>
      <c r="D841" s="7" t="s">
        <v>3273</v>
      </c>
      <c r="E841" s="7" t="s">
        <v>182</v>
      </c>
      <c r="F841" s="7" t="s">
        <v>3275</v>
      </c>
      <c r="G841" s="17" t="s">
        <v>7747</v>
      </c>
      <c r="H841" s="7" t="s">
        <v>28</v>
      </c>
      <c r="I841" s="7" t="s">
        <v>1637</v>
      </c>
      <c r="J841" s="7" t="s">
        <v>185</v>
      </c>
      <c r="K841" s="7" t="s">
        <v>1322</v>
      </c>
      <c r="L841" s="7" t="s">
        <v>136</v>
      </c>
      <c r="M841" s="7">
        <v>3.8646940000000001</v>
      </c>
      <c r="N841" s="7">
        <v>11.48875</v>
      </c>
      <c r="O841" s="7" t="s">
        <v>23</v>
      </c>
      <c r="P841" s="3"/>
      <c r="Q841" s="3"/>
      <c r="R841" s="3"/>
    </row>
    <row r="842" spans="1:18" x14ac:dyDescent="0.25">
      <c r="A842" s="2">
        <v>2043</v>
      </c>
      <c r="B842" s="7" t="s">
        <v>3293</v>
      </c>
      <c r="C842" s="7" t="s">
        <v>3294</v>
      </c>
      <c r="D842" s="7" t="s">
        <v>3293</v>
      </c>
      <c r="E842" s="7" t="s">
        <v>182</v>
      </c>
      <c r="F842" s="7" t="s">
        <v>3295</v>
      </c>
      <c r="G842" s="17" t="s">
        <v>7747</v>
      </c>
      <c r="H842" s="7" t="s">
        <v>28</v>
      </c>
      <c r="I842" s="7" t="s">
        <v>297</v>
      </c>
      <c r="J842" s="7" t="s">
        <v>185</v>
      </c>
      <c r="K842" s="7" t="s">
        <v>1393</v>
      </c>
      <c r="L842" s="7" t="s">
        <v>136</v>
      </c>
      <c r="M842" s="7">
        <v>3.8796149999999998</v>
      </c>
      <c r="N842" s="7">
        <v>11.457051999999999</v>
      </c>
      <c r="O842" s="7" t="s">
        <v>23</v>
      </c>
      <c r="P842" s="3"/>
      <c r="Q842" s="3"/>
      <c r="R842" s="3"/>
    </row>
    <row r="843" spans="1:18" x14ac:dyDescent="0.25">
      <c r="A843" s="2">
        <v>2044</v>
      </c>
      <c r="B843" s="7" t="s">
        <v>3305</v>
      </c>
      <c r="C843" s="7" t="s">
        <v>3306</v>
      </c>
      <c r="D843" s="7" t="s">
        <v>3305</v>
      </c>
      <c r="E843" s="7" t="s">
        <v>182</v>
      </c>
      <c r="F843" s="7" t="s">
        <v>3307</v>
      </c>
      <c r="G843" s="17" t="s">
        <v>7747</v>
      </c>
      <c r="H843" s="7" t="s">
        <v>28</v>
      </c>
      <c r="I843" s="7" t="s">
        <v>1766</v>
      </c>
      <c r="J843" s="7" t="s">
        <v>185</v>
      </c>
      <c r="K843" s="7" t="s">
        <v>808</v>
      </c>
      <c r="L843" s="7" t="s">
        <v>136</v>
      </c>
      <c r="M843" s="7">
        <v>3.9170280000000002</v>
      </c>
      <c r="N843" s="7">
        <v>11.521167</v>
      </c>
      <c r="O843" s="7" t="s">
        <v>613</v>
      </c>
      <c r="P843" s="3"/>
      <c r="Q843" s="3"/>
      <c r="R843" s="3"/>
    </row>
    <row r="844" spans="1:18" x14ac:dyDescent="0.25">
      <c r="A844" s="2">
        <v>2045</v>
      </c>
      <c r="B844" s="7" t="s">
        <v>3308</v>
      </c>
      <c r="C844" s="7" t="s">
        <v>3309</v>
      </c>
      <c r="D844" s="7" t="s">
        <v>3308</v>
      </c>
      <c r="E844" s="7" t="s">
        <v>182</v>
      </c>
      <c r="F844" s="7" t="s">
        <v>2302</v>
      </c>
      <c r="G844" s="17" t="s">
        <v>7747</v>
      </c>
      <c r="H844" s="7" t="s">
        <v>28</v>
      </c>
      <c r="I844" s="7" t="s">
        <v>1766</v>
      </c>
      <c r="J844" s="7" t="s">
        <v>185</v>
      </c>
      <c r="K844" s="7" t="s">
        <v>808</v>
      </c>
      <c r="L844" s="7" t="s">
        <v>136</v>
      </c>
      <c r="M844" s="7">
        <v>3.9365559999999999</v>
      </c>
      <c r="N844" s="7">
        <v>11.521139</v>
      </c>
      <c r="O844" s="7" t="s">
        <v>23</v>
      </c>
      <c r="P844" s="3"/>
      <c r="Q844" s="3"/>
      <c r="R844" s="3"/>
    </row>
    <row r="845" spans="1:18" x14ac:dyDescent="0.25">
      <c r="A845" s="2">
        <v>2046</v>
      </c>
      <c r="B845" s="7" t="s">
        <v>3313</v>
      </c>
      <c r="C845" s="7" t="s">
        <v>3314</v>
      </c>
      <c r="D845" s="7" t="s">
        <v>3313</v>
      </c>
      <c r="E845" s="7" t="s">
        <v>182</v>
      </c>
      <c r="F845" s="7" t="s">
        <v>3315</v>
      </c>
      <c r="G845" s="17" t="s">
        <v>7747</v>
      </c>
      <c r="H845" s="7" t="s">
        <v>28</v>
      </c>
      <c r="I845" s="7" t="s">
        <v>1553</v>
      </c>
      <c r="J845" s="7" t="s">
        <v>826</v>
      </c>
      <c r="K845" s="7" t="s">
        <v>819</v>
      </c>
      <c r="L845" s="7" t="s">
        <v>136</v>
      </c>
      <c r="M845" s="7">
        <v>3.8204009999999999</v>
      </c>
      <c r="N845" s="7">
        <v>11.551556</v>
      </c>
      <c r="O845" s="7" t="s">
        <v>23</v>
      </c>
      <c r="P845" s="3"/>
      <c r="Q845" s="3"/>
      <c r="R845" s="3"/>
    </row>
    <row r="846" spans="1:18" x14ac:dyDescent="0.25">
      <c r="A846" s="2">
        <v>2047</v>
      </c>
      <c r="B846" s="7" t="s">
        <v>3319</v>
      </c>
      <c r="C846" s="7" t="s">
        <v>3320</v>
      </c>
      <c r="D846" s="7" t="s">
        <v>3319</v>
      </c>
      <c r="E846" s="7" t="s">
        <v>182</v>
      </c>
      <c r="F846" s="7" t="s">
        <v>2129</v>
      </c>
      <c r="G846" s="17" t="s">
        <v>7747</v>
      </c>
      <c r="H846" s="7" t="s">
        <v>28</v>
      </c>
      <c r="I846" s="7" t="s">
        <v>817</v>
      </c>
      <c r="J846" s="7" t="s">
        <v>818</v>
      </c>
      <c r="K846" s="7" t="s">
        <v>2187</v>
      </c>
      <c r="L846" s="7" t="s">
        <v>136</v>
      </c>
      <c r="M846" s="7">
        <v>3.780376</v>
      </c>
      <c r="N846" s="7">
        <v>12.257125</v>
      </c>
      <c r="O846" s="7" t="s">
        <v>23</v>
      </c>
      <c r="P846" s="3"/>
      <c r="Q846" s="3"/>
      <c r="R846" s="3"/>
    </row>
    <row r="847" spans="1:18" x14ac:dyDescent="0.25">
      <c r="A847" s="2">
        <v>2048</v>
      </c>
      <c r="B847" s="7" t="s">
        <v>3327</v>
      </c>
      <c r="C847" s="7" t="s">
        <v>3328</v>
      </c>
      <c r="D847" s="7" t="s">
        <v>3327</v>
      </c>
      <c r="E847" s="7" t="s">
        <v>182</v>
      </c>
      <c r="F847" s="7" t="s">
        <v>2293</v>
      </c>
      <c r="G847" s="17" t="s">
        <v>7747</v>
      </c>
      <c r="H847" s="7" t="s">
        <v>19</v>
      </c>
      <c r="I847" s="7" t="s">
        <v>286</v>
      </c>
      <c r="J847" s="7" t="s">
        <v>287</v>
      </c>
      <c r="K847" s="7" t="s">
        <v>288</v>
      </c>
      <c r="L847" s="7" t="s">
        <v>136</v>
      </c>
      <c r="M847" s="7">
        <v>4.040851</v>
      </c>
      <c r="N847" s="7">
        <v>11.546908999999999</v>
      </c>
      <c r="O847" s="7" t="s">
        <v>23</v>
      </c>
      <c r="P847" s="3"/>
      <c r="Q847" s="3"/>
      <c r="R847" s="3"/>
    </row>
    <row r="848" spans="1:18" x14ac:dyDescent="0.25">
      <c r="A848" s="2">
        <v>2049</v>
      </c>
      <c r="B848" s="7" t="s">
        <v>3329</v>
      </c>
      <c r="C848" s="7" t="s">
        <v>3330</v>
      </c>
      <c r="D848" s="7" t="s">
        <v>3329</v>
      </c>
      <c r="E848" s="7" t="s">
        <v>182</v>
      </c>
      <c r="F848" s="7" t="s">
        <v>3331</v>
      </c>
      <c r="G848" s="17" t="s">
        <v>7747</v>
      </c>
      <c r="H848" s="7" t="s">
        <v>28</v>
      </c>
      <c r="I848" s="7" t="s">
        <v>817</v>
      </c>
      <c r="J848" s="7" t="s">
        <v>818</v>
      </c>
      <c r="K848" s="7" t="s">
        <v>2187</v>
      </c>
      <c r="L848" s="7" t="s">
        <v>136</v>
      </c>
      <c r="M848" s="7">
        <v>3.889526</v>
      </c>
      <c r="N848" s="7">
        <v>12.033716</v>
      </c>
      <c r="O848" s="7" t="s">
        <v>23</v>
      </c>
      <c r="P848" s="3"/>
      <c r="Q848" s="3"/>
      <c r="R848" s="3"/>
    </row>
    <row r="849" spans="1:18" x14ac:dyDescent="0.25">
      <c r="A849" s="2">
        <v>2051</v>
      </c>
      <c r="B849" s="7" t="s">
        <v>3341</v>
      </c>
      <c r="C849" s="7" t="s">
        <v>3342</v>
      </c>
      <c r="D849" s="7" t="s">
        <v>3341</v>
      </c>
      <c r="E849" s="7" t="s">
        <v>182</v>
      </c>
      <c r="F849" s="7" t="s">
        <v>3343</v>
      </c>
      <c r="G849" s="17" t="s">
        <v>7747</v>
      </c>
      <c r="H849" s="7" t="s">
        <v>19</v>
      </c>
      <c r="I849" s="7" t="s">
        <v>1553</v>
      </c>
      <c r="J849" s="7" t="s">
        <v>826</v>
      </c>
      <c r="K849" s="7" t="s">
        <v>819</v>
      </c>
      <c r="L849" s="7" t="s">
        <v>136</v>
      </c>
      <c r="M849" s="7">
        <v>3.8635280000000001</v>
      </c>
      <c r="N849" s="7">
        <v>11.587137</v>
      </c>
      <c r="O849" s="7" t="s">
        <v>23</v>
      </c>
      <c r="P849" s="3"/>
      <c r="Q849" s="3"/>
      <c r="R849" s="3"/>
    </row>
    <row r="850" spans="1:18" x14ac:dyDescent="0.25">
      <c r="A850" s="2">
        <v>2052</v>
      </c>
      <c r="B850" s="7" t="s">
        <v>3344</v>
      </c>
      <c r="C850" s="7" t="s">
        <v>3345</v>
      </c>
      <c r="D850" s="7" t="s">
        <v>3344</v>
      </c>
      <c r="E850" s="7" t="s">
        <v>182</v>
      </c>
      <c r="F850" s="7" t="s">
        <v>3346</v>
      </c>
      <c r="G850" s="17" t="s">
        <v>7747</v>
      </c>
      <c r="H850" s="7" t="s">
        <v>28</v>
      </c>
      <c r="I850" s="7" t="s">
        <v>374</v>
      </c>
      <c r="J850" s="7" t="s">
        <v>134</v>
      </c>
      <c r="K850" s="7" t="s">
        <v>375</v>
      </c>
      <c r="L850" s="7" t="s">
        <v>136</v>
      </c>
      <c r="M850" s="7">
        <v>4.45059</v>
      </c>
      <c r="N850" s="7">
        <v>11.624146</v>
      </c>
      <c r="O850" s="7" t="s">
        <v>23</v>
      </c>
      <c r="P850" s="3"/>
      <c r="Q850" s="3"/>
      <c r="R850" s="3"/>
    </row>
    <row r="851" spans="1:18" x14ac:dyDescent="0.25">
      <c r="A851" s="2">
        <v>2053</v>
      </c>
      <c r="B851" s="7" t="s">
        <v>3356</v>
      </c>
      <c r="C851" s="7" t="s">
        <v>3357</v>
      </c>
      <c r="D851" s="7" t="s">
        <v>3356</v>
      </c>
      <c r="E851" s="7" t="s">
        <v>182</v>
      </c>
      <c r="F851" s="7" t="s">
        <v>3358</v>
      </c>
      <c r="G851" s="17" t="s">
        <v>7747</v>
      </c>
      <c r="H851" s="7" t="s">
        <v>28</v>
      </c>
      <c r="I851" s="7" t="s">
        <v>807</v>
      </c>
      <c r="J851" s="7" t="s">
        <v>185</v>
      </c>
      <c r="K851" s="7" t="s">
        <v>808</v>
      </c>
      <c r="L851" s="7" t="s">
        <v>136</v>
      </c>
      <c r="M851" s="7">
        <v>3.9249100000000001</v>
      </c>
      <c r="N851" s="7">
        <v>11.546841000000001</v>
      </c>
      <c r="O851" s="7" t="s">
        <v>23</v>
      </c>
      <c r="P851" s="3"/>
      <c r="Q851" s="3"/>
      <c r="R851" s="3"/>
    </row>
    <row r="852" spans="1:18" x14ac:dyDescent="0.25">
      <c r="A852" s="2">
        <v>2054</v>
      </c>
      <c r="B852" s="7" t="s">
        <v>3359</v>
      </c>
      <c r="C852" s="7" t="s">
        <v>3360</v>
      </c>
      <c r="D852" s="7" t="s">
        <v>3359</v>
      </c>
      <c r="E852" s="7" t="s">
        <v>182</v>
      </c>
      <c r="F852" s="7" t="s">
        <v>3361</v>
      </c>
      <c r="G852" s="17" t="s">
        <v>7747</v>
      </c>
      <c r="H852" s="7" t="s">
        <v>28</v>
      </c>
      <c r="I852" s="7" t="s">
        <v>184</v>
      </c>
      <c r="J852" s="7" t="s">
        <v>185</v>
      </c>
      <c r="K852" s="7" t="s">
        <v>1435</v>
      </c>
      <c r="L852" s="7" t="s">
        <v>136</v>
      </c>
      <c r="M852" s="7">
        <v>3.8948100000000001</v>
      </c>
      <c r="N852" s="7">
        <v>11.54068</v>
      </c>
      <c r="O852" s="7" t="s">
        <v>613</v>
      </c>
      <c r="P852" s="3"/>
      <c r="Q852" s="3"/>
      <c r="R852" s="3"/>
    </row>
    <row r="853" spans="1:18" x14ac:dyDescent="0.25">
      <c r="A853" s="2">
        <v>2055</v>
      </c>
      <c r="B853" s="7" t="s">
        <v>3362</v>
      </c>
      <c r="C853" s="7" t="s">
        <v>3363</v>
      </c>
      <c r="D853" s="7" t="s">
        <v>3362</v>
      </c>
      <c r="E853" s="7" t="s">
        <v>182</v>
      </c>
      <c r="F853" s="7" t="s">
        <v>3364</v>
      </c>
      <c r="G853" s="17" t="s">
        <v>7747</v>
      </c>
      <c r="H853" s="7" t="s">
        <v>28</v>
      </c>
      <c r="I853" s="7" t="s">
        <v>184</v>
      </c>
      <c r="J853" s="7" t="s">
        <v>185</v>
      </c>
      <c r="K853" s="7" t="s">
        <v>186</v>
      </c>
      <c r="L853" s="7" t="s">
        <v>136</v>
      </c>
      <c r="M853" s="7">
        <v>3.96428</v>
      </c>
      <c r="N853" s="7">
        <v>11.59346</v>
      </c>
      <c r="O853" s="7" t="s">
        <v>23</v>
      </c>
      <c r="P853" s="3"/>
      <c r="Q853" s="3"/>
      <c r="R853" s="3"/>
    </row>
    <row r="854" spans="1:18" x14ac:dyDescent="0.25">
      <c r="A854" s="2">
        <v>2056</v>
      </c>
      <c r="B854" s="7" t="s">
        <v>3371</v>
      </c>
      <c r="C854" s="7" t="s">
        <v>3372</v>
      </c>
      <c r="D854" s="7" t="s">
        <v>3371</v>
      </c>
      <c r="E854" s="7" t="s">
        <v>182</v>
      </c>
      <c r="F854" s="7" t="s">
        <v>3373</v>
      </c>
      <c r="G854" s="17" t="s">
        <v>7747</v>
      </c>
      <c r="H854" s="7" t="s">
        <v>28</v>
      </c>
      <c r="I854" s="7" t="s">
        <v>1553</v>
      </c>
      <c r="J854" s="7" t="s">
        <v>826</v>
      </c>
      <c r="K854" s="7" t="s">
        <v>819</v>
      </c>
      <c r="L854" s="7" t="s">
        <v>136</v>
      </c>
      <c r="M854" s="7">
        <v>3.8632499999999999</v>
      </c>
      <c r="N854" s="7">
        <v>11.605</v>
      </c>
      <c r="O854" s="7" t="s">
        <v>23</v>
      </c>
      <c r="P854" s="3"/>
      <c r="Q854" s="3"/>
      <c r="R854" s="3"/>
    </row>
    <row r="855" spans="1:18" x14ac:dyDescent="0.25">
      <c r="A855" s="2">
        <v>2057</v>
      </c>
      <c r="B855" s="7" t="s">
        <v>3380</v>
      </c>
      <c r="C855" s="7" t="s">
        <v>3381</v>
      </c>
      <c r="D855" s="7" t="s">
        <v>3380</v>
      </c>
      <c r="E855" s="7" t="s">
        <v>182</v>
      </c>
      <c r="F855" s="7" t="s">
        <v>3382</v>
      </c>
      <c r="G855" s="17" t="s">
        <v>7747</v>
      </c>
      <c r="H855" s="7" t="s">
        <v>19</v>
      </c>
      <c r="I855" s="7" t="s">
        <v>374</v>
      </c>
      <c r="J855" s="7" t="s">
        <v>287</v>
      </c>
      <c r="K855" s="7" t="s">
        <v>1783</v>
      </c>
      <c r="L855" s="7" t="s">
        <v>136</v>
      </c>
      <c r="M855" s="7">
        <v>4.3656980000000001</v>
      </c>
      <c r="N855" s="7">
        <v>11.441595</v>
      </c>
      <c r="O855" s="7" t="s">
        <v>23</v>
      </c>
      <c r="P855" s="3"/>
      <c r="Q855" s="3"/>
      <c r="R855" s="3"/>
    </row>
    <row r="856" spans="1:18" x14ac:dyDescent="0.25">
      <c r="A856" s="2">
        <v>2058</v>
      </c>
      <c r="B856" s="7" t="s">
        <v>3386</v>
      </c>
      <c r="C856" s="7" t="s">
        <v>3387</v>
      </c>
      <c r="D856" s="7" t="s">
        <v>3386</v>
      </c>
      <c r="E856" s="7" t="s">
        <v>182</v>
      </c>
      <c r="F856" s="7" t="s">
        <v>3388</v>
      </c>
      <c r="G856" s="17" t="s">
        <v>7747</v>
      </c>
      <c r="H856" s="7" t="s">
        <v>28</v>
      </c>
      <c r="I856" s="7" t="s">
        <v>1385</v>
      </c>
      <c r="J856" s="7" t="s">
        <v>185</v>
      </c>
      <c r="K856" s="7" t="s">
        <v>1367</v>
      </c>
      <c r="L856" s="7" t="s">
        <v>136</v>
      </c>
      <c r="M856" s="7">
        <v>3.7904300000000002</v>
      </c>
      <c r="N856" s="7">
        <v>11.524139999999999</v>
      </c>
      <c r="O856" s="7" t="s">
        <v>23</v>
      </c>
      <c r="P856" s="3"/>
      <c r="Q856" s="3"/>
      <c r="R856" s="3"/>
    </row>
    <row r="857" spans="1:18" x14ac:dyDescent="0.25">
      <c r="A857" s="2">
        <v>2059</v>
      </c>
      <c r="B857" s="7" t="s">
        <v>3392</v>
      </c>
      <c r="C857" s="7" t="s">
        <v>3393</v>
      </c>
      <c r="D857" s="7" t="s">
        <v>3392</v>
      </c>
      <c r="E857" s="7" t="s">
        <v>182</v>
      </c>
      <c r="F857" s="7" t="s">
        <v>3394</v>
      </c>
      <c r="G857" s="17" t="s">
        <v>7747</v>
      </c>
      <c r="H857" s="7" t="s">
        <v>28</v>
      </c>
      <c r="I857" s="7" t="s">
        <v>1766</v>
      </c>
      <c r="J857" s="7" t="s">
        <v>185</v>
      </c>
      <c r="K857" s="7" t="s">
        <v>808</v>
      </c>
      <c r="L857" s="7" t="s">
        <v>136</v>
      </c>
      <c r="M857" s="7">
        <v>3.9003329999999998</v>
      </c>
      <c r="N857" s="7">
        <v>11.533333000000001</v>
      </c>
      <c r="O857" s="7" t="s">
        <v>23</v>
      </c>
      <c r="P857" s="3"/>
      <c r="Q857" s="3"/>
      <c r="R857" s="3"/>
    </row>
    <row r="858" spans="1:18" x14ac:dyDescent="0.25">
      <c r="A858" s="2">
        <v>2060</v>
      </c>
      <c r="B858" s="7" t="s">
        <v>3406</v>
      </c>
      <c r="C858" s="7" t="s">
        <v>3407</v>
      </c>
      <c r="D858" s="7" t="s">
        <v>3406</v>
      </c>
      <c r="E858" s="7" t="s">
        <v>182</v>
      </c>
      <c r="F858" s="7" t="s">
        <v>3408</v>
      </c>
      <c r="G858" s="17" t="s">
        <v>7747</v>
      </c>
      <c r="H858" s="7" t="s">
        <v>28</v>
      </c>
      <c r="I858" s="7" t="s">
        <v>1366</v>
      </c>
      <c r="J858" s="7" t="s">
        <v>185</v>
      </c>
      <c r="K858" s="7" t="s">
        <v>1367</v>
      </c>
      <c r="L858" s="7" t="s">
        <v>136</v>
      </c>
      <c r="M858" s="7">
        <v>3.8653949999999999</v>
      </c>
      <c r="N858" s="7">
        <v>11.541137000000001</v>
      </c>
      <c r="O858" s="7" t="s">
        <v>613</v>
      </c>
      <c r="P858" s="3"/>
      <c r="Q858" s="3"/>
      <c r="R858" s="3"/>
    </row>
    <row r="859" spans="1:18" x14ac:dyDescent="0.25">
      <c r="A859" s="2">
        <v>2061</v>
      </c>
      <c r="B859" s="7" t="s">
        <v>3415</v>
      </c>
      <c r="C859" s="7" t="s">
        <v>3416</v>
      </c>
      <c r="D859" s="7" t="s">
        <v>3415</v>
      </c>
      <c r="E859" s="7" t="s">
        <v>250</v>
      </c>
      <c r="F859" s="7" t="s">
        <v>3417</v>
      </c>
      <c r="G859" s="17" t="s">
        <v>7747</v>
      </c>
      <c r="H859" s="7" t="s">
        <v>28</v>
      </c>
      <c r="I859" s="7" t="s">
        <v>311</v>
      </c>
      <c r="J859" s="7" t="s">
        <v>312</v>
      </c>
      <c r="K859" s="7" t="s">
        <v>2594</v>
      </c>
      <c r="L859" s="7" t="s">
        <v>136</v>
      </c>
      <c r="M859" s="7">
        <v>2.9344199999999998</v>
      </c>
      <c r="N859" s="7">
        <v>11.165865</v>
      </c>
      <c r="O859" s="7" t="s">
        <v>23</v>
      </c>
      <c r="P859" s="3"/>
      <c r="Q859" s="3"/>
      <c r="R859" s="3"/>
    </row>
    <row r="860" spans="1:18" x14ac:dyDescent="0.25">
      <c r="A860" s="2">
        <v>2062</v>
      </c>
      <c r="B860" s="7" t="s">
        <v>3459</v>
      </c>
      <c r="C860" s="7" t="s">
        <v>3460</v>
      </c>
      <c r="D860" s="7" t="s">
        <v>3459</v>
      </c>
      <c r="E860" s="7" t="s">
        <v>182</v>
      </c>
      <c r="F860" s="7" t="s">
        <v>3461</v>
      </c>
      <c r="G860" s="17" t="s">
        <v>7747</v>
      </c>
      <c r="H860" s="7" t="s">
        <v>28</v>
      </c>
      <c r="I860" s="7" t="s">
        <v>1553</v>
      </c>
      <c r="J860" s="7" t="s">
        <v>826</v>
      </c>
      <c r="K860" s="7" t="s">
        <v>2499</v>
      </c>
      <c r="L860" s="7" t="s">
        <v>136</v>
      </c>
      <c r="M860" s="7">
        <v>3.7152500000000002</v>
      </c>
      <c r="N860" s="7">
        <v>11.64391</v>
      </c>
      <c r="O860" s="7" t="s">
        <v>23</v>
      </c>
      <c r="P860" s="3"/>
      <c r="Q860" s="3"/>
      <c r="R860" s="3"/>
    </row>
    <row r="861" spans="1:18" x14ac:dyDescent="0.25">
      <c r="A861" s="2">
        <v>2063</v>
      </c>
      <c r="B861" s="7" t="s">
        <v>3462</v>
      </c>
      <c r="C861" s="7" t="s">
        <v>3463</v>
      </c>
      <c r="D861" s="7" t="s">
        <v>3462</v>
      </c>
      <c r="E861" s="7" t="s">
        <v>182</v>
      </c>
      <c r="F861" s="7" t="s">
        <v>3464</v>
      </c>
      <c r="G861" s="17" t="s">
        <v>7747</v>
      </c>
      <c r="H861" s="7" t="s">
        <v>28</v>
      </c>
      <c r="I861" s="7" t="s">
        <v>1766</v>
      </c>
      <c r="J861" s="7" t="s">
        <v>185</v>
      </c>
      <c r="K861" s="7" t="s">
        <v>808</v>
      </c>
      <c r="L861" s="7" t="s">
        <v>136</v>
      </c>
      <c r="M861" s="7">
        <v>3.9066010000000002</v>
      </c>
      <c r="N861" s="7">
        <v>11.52312</v>
      </c>
      <c r="O861" s="7" t="s">
        <v>23</v>
      </c>
      <c r="P861" s="3"/>
      <c r="Q861" s="3"/>
      <c r="R861" s="3"/>
    </row>
    <row r="862" spans="1:18" x14ac:dyDescent="0.25">
      <c r="A862" s="2">
        <v>2064</v>
      </c>
      <c r="B862" s="7" t="s">
        <v>3473</v>
      </c>
      <c r="C862" s="7" t="s">
        <v>3474</v>
      </c>
      <c r="D862" s="7" t="s">
        <v>3473</v>
      </c>
      <c r="E862" s="7" t="s">
        <v>182</v>
      </c>
      <c r="F862" s="7" t="s">
        <v>3475</v>
      </c>
      <c r="G862" s="17" t="s">
        <v>7747</v>
      </c>
      <c r="H862" s="7" t="s">
        <v>28</v>
      </c>
      <c r="I862" s="7" t="s">
        <v>1766</v>
      </c>
      <c r="J862" s="7" t="s">
        <v>185</v>
      </c>
      <c r="K862" s="7" t="s">
        <v>808</v>
      </c>
      <c r="L862" s="7" t="s">
        <v>136</v>
      </c>
      <c r="M862" s="7">
        <v>3.9317799999999998</v>
      </c>
      <c r="N862" s="7">
        <v>11.5105</v>
      </c>
      <c r="O862" s="7" t="s">
        <v>23</v>
      </c>
      <c r="P862" s="3"/>
      <c r="Q862" s="3"/>
      <c r="R862" s="3"/>
    </row>
    <row r="863" spans="1:18" x14ac:dyDescent="0.25">
      <c r="A863" s="2">
        <v>2065</v>
      </c>
      <c r="B863" s="7" t="s">
        <v>3485</v>
      </c>
      <c r="C863" s="7" t="s">
        <v>3486</v>
      </c>
      <c r="D863" s="7" t="s">
        <v>3485</v>
      </c>
      <c r="E863" s="7" t="s">
        <v>182</v>
      </c>
      <c r="F863" s="7" t="s">
        <v>3487</v>
      </c>
      <c r="G863" s="17" t="s">
        <v>7747</v>
      </c>
      <c r="H863" s="7" t="s">
        <v>28</v>
      </c>
      <c r="I863" s="7" t="s">
        <v>1385</v>
      </c>
      <c r="J863" s="7" t="s">
        <v>185</v>
      </c>
      <c r="K863" s="7" t="s">
        <v>1367</v>
      </c>
      <c r="L863" s="7" t="s">
        <v>136</v>
      </c>
      <c r="M863" s="7">
        <v>3.8327100000000001</v>
      </c>
      <c r="N863" s="7">
        <v>11.538880000000001</v>
      </c>
      <c r="O863" s="7" t="s">
        <v>23</v>
      </c>
      <c r="P863" s="3"/>
      <c r="Q863" s="3"/>
      <c r="R863" s="3"/>
    </row>
    <row r="864" spans="1:18" x14ac:dyDescent="0.25">
      <c r="A864" s="2">
        <v>2066</v>
      </c>
      <c r="B864" s="7" t="s">
        <v>3497</v>
      </c>
      <c r="C864" s="7" t="s">
        <v>3498</v>
      </c>
      <c r="D864" s="7" t="s">
        <v>3497</v>
      </c>
      <c r="E864" s="7" t="s">
        <v>182</v>
      </c>
      <c r="F864" s="7" t="s">
        <v>3499</v>
      </c>
      <c r="G864" s="17" t="s">
        <v>7747</v>
      </c>
      <c r="H864" s="7" t="s">
        <v>28</v>
      </c>
      <c r="I864" s="7" t="s">
        <v>1385</v>
      </c>
      <c r="J864" s="7" t="s">
        <v>185</v>
      </c>
      <c r="K864" s="7" t="s">
        <v>1367</v>
      </c>
      <c r="L864" s="7" t="s">
        <v>136</v>
      </c>
      <c r="M864" s="7">
        <v>3.8222149999999999</v>
      </c>
      <c r="N864" s="7">
        <v>11.534145000000001</v>
      </c>
      <c r="O864" s="7" t="s">
        <v>23</v>
      </c>
      <c r="P864" s="3"/>
      <c r="Q864" s="3"/>
      <c r="R864" s="3"/>
    </row>
    <row r="865" spans="1:18" x14ac:dyDescent="0.25">
      <c r="A865" s="2">
        <v>2067</v>
      </c>
      <c r="B865" s="7" t="s">
        <v>3510</v>
      </c>
      <c r="C865" s="7" t="s">
        <v>3511</v>
      </c>
      <c r="D865" s="7" t="s">
        <v>3510</v>
      </c>
      <c r="E865" s="7" t="s">
        <v>182</v>
      </c>
      <c r="F865" s="7" t="s">
        <v>3512</v>
      </c>
      <c r="G865" s="17" t="s">
        <v>7747</v>
      </c>
      <c r="H865" s="7" t="s">
        <v>28</v>
      </c>
      <c r="I865" s="7" t="s">
        <v>807</v>
      </c>
      <c r="J865" s="7" t="s">
        <v>185</v>
      </c>
      <c r="K865" s="7" t="s">
        <v>808</v>
      </c>
      <c r="L865" s="7" t="s">
        <v>136</v>
      </c>
      <c r="M865" s="7">
        <v>3.8942329999999998</v>
      </c>
      <c r="N865" s="7">
        <v>11.536047</v>
      </c>
      <c r="O865" s="7" t="s">
        <v>613</v>
      </c>
      <c r="P865" s="3"/>
      <c r="Q865" s="3"/>
      <c r="R865" s="3"/>
    </row>
    <row r="866" spans="1:18" x14ac:dyDescent="0.25">
      <c r="A866" s="2">
        <v>2069</v>
      </c>
      <c r="B866" s="7" t="s">
        <v>3520</v>
      </c>
      <c r="C866" s="7" t="s">
        <v>3521</v>
      </c>
      <c r="D866" s="7" t="s">
        <v>3520</v>
      </c>
      <c r="E866" s="7" t="s">
        <v>182</v>
      </c>
      <c r="F866" s="7" t="s">
        <v>3522</v>
      </c>
      <c r="G866" s="17" t="s">
        <v>7747</v>
      </c>
      <c r="H866" s="7" t="s">
        <v>28</v>
      </c>
      <c r="I866" s="7" t="s">
        <v>1553</v>
      </c>
      <c r="J866" s="7" t="s">
        <v>185</v>
      </c>
      <c r="K866" s="7" t="s">
        <v>1367</v>
      </c>
      <c r="L866" s="7" t="s">
        <v>136</v>
      </c>
      <c r="M866" s="7">
        <v>3.8687589999999998</v>
      </c>
      <c r="N866" s="7">
        <v>11.569497</v>
      </c>
      <c r="O866" s="7" t="s">
        <v>23</v>
      </c>
      <c r="P866" s="3"/>
      <c r="Q866" s="3"/>
      <c r="R866" s="3"/>
    </row>
    <row r="867" spans="1:18" x14ac:dyDescent="0.25">
      <c r="A867" s="2">
        <v>2070</v>
      </c>
      <c r="B867" s="7" t="s">
        <v>3541</v>
      </c>
      <c r="C867" s="7" t="s">
        <v>3542</v>
      </c>
      <c r="D867" s="7" t="s">
        <v>3541</v>
      </c>
      <c r="E867" s="7" t="s">
        <v>182</v>
      </c>
      <c r="F867" s="7" t="s">
        <v>3543</v>
      </c>
      <c r="G867" s="17" t="s">
        <v>7747</v>
      </c>
      <c r="H867" s="7" t="s">
        <v>28</v>
      </c>
      <c r="I867" s="7" t="s">
        <v>807</v>
      </c>
      <c r="J867" s="7" t="s">
        <v>185</v>
      </c>
      <c r="K867" s="7" t="s">
        <v>808</v>
      </c>
      <c r="L867" s="7" t="s">
        <v>136</v>
      </c>
      <c r="M867" s="7">
        <v>3.9118539999999999</v>
      </c>
      <c r="N867" s="7">
        <v>11.530296</v>
      </c>
      <c r="O867" s="7" t="s">
        <v>23</v>
      </c>
      <c r="P867" s="3"/>
      <c r="Q867" s="3"/>
      <c r="R867" s="3"/>
    </row>
    <row r="868" spans="1:18" x14ac:dyDescent="0.25">
      <c r="A868" s="2">
        <v>2071</v>
      </c>
      <c r="B868" s="7" t="s">
        <v>3559</v>
      </c>
      <c r="C868" s="7" t="s">
        <v>3560</v>
      </c>
      <c r="D868" s="7" t="s">
        <v>3559</v>
      </c>
      <c r="E868" s="7" t="s">
        <v>182</v>
      </c>
      <c r="F868" s="7" t="s">
        <v>3561</v>
      </c>
      <c r="G868" s="17" t="s">
        <v>7747</v>
      </c>
      <c r="H868" s="7" t="s">
        <v>28</v>
      </c>
      <c r="I868" s="7" t="s">
        <v>1385</v>
      </c>
      <c r="J868" s="7" t="s">
        <v>185</v>
      </c>
      <c r="K868" s="7" t="s">
        <v>1367</v>
      </c>
      <c r="L868" s="7" t="s">
        <v>136</v>
      </c>
      <c r="M868" s="7">
        <v>3.8422360000000002</v>
      </c>
      <c r="N868" s="7">
        <v>11.534129</v>
      </c>
      <c r="O868" s="7" t="s">
        <v>23</v>
      </c>
      <c r="P868" s="3"/>
      <c r="Q868" s="3"/>
      <c r="R868" s="3"/>
    </row>
    <row r="869" spans="1:18" x14ac:dyDescent="0.25">
      <c r="A869" s="2">
        <v>2072</v>
      </c>
      <c r="B869" s="7" t="s">
        <v>3581</v>
      </c>
      <c r="C869" s="7" t="s">
        <v>3582</v>
      </c>
      <c r="D869" s="7" t="s">
        <v>3581</v>
      </c>
      <c r="E869" s="7" t="s">
        <v>182</v>
      </c>
      <c r="F869" s="7" t="s">
        <v>3583</v>
      </c>
      <c r="G869" s="17" t="s">
        <v>7747</v>
      </c>
      <c r="H869" s="7" t="s">
        <v>28</v>
      </c>
      <c r="I869" s="7" t="s">
        <v>1553</v>
      </c>
      <c r="J869" s="7" t="s">
        <v>826</v>
      </c>
      <c r="K869" s="7" t="s">
        <v>819</v>
      </c>
      <c r="L869" s="7" t="s">
        <v>136</v>
      </c>
      <c r="M869" s="7">
        <v>3.830565</v>
      </c>
      <c r="N869" s="7">
        <v>11.551352</v>
      </c>
      <c r="O869" s="7" t="s">
        <v>613</v>
      </c>
      <c r="P869" s="3"/>
      <c r="Q869" s="3"/>
      <c r="R869" s="3"/>
    </row>
    <row r="870" spans="1:18" x14ac:dyDescent="0.25">
      <c r="A870" s="2">
        <v>2073</v>
      </c>
      <c r="B870" s="7" t="s">
        <v>3584</v>
      </c>
      <c r="C870" s="7" t="s">
        <v>3585</v>
      </c>
      <c r="D870" s="7" t="s">
        <v>3584</v>
      </c>
      <c r="E870" s="7" t="s">
        <v>182</v>
      </c>
      <c r="F870" s="7" t="s">
        <v>2495</v>
      </c>
      <c r="G870" s="17" t="s">
        <v>7747</v>
      </c>
      <c r="H870" s="7" t="s">
        <v>19</v>
      </c>
      <c r="I870" s="7" t="s">
        <v>1366</v>
      </c>
      <c r="J870" s="7" t="s">
        <v>185</v>
      </c>
      <c r="K870" s="7" t="s">
        <v>1367</v>
      </c>
      <c r="L870" s="7" t="s">
        <v>136</v>
      </c>
      <c r="M870" s="7">
        <v>3.8558789999999998</v>
      </c>
      <c r="N870" s="7">
        <v>11.541745000000001</v>
      </c>
      <c r="O870" s="7" t="s">
        <v>613</v>
      </c>
      <c r="P870" s="3"/>
      <c r="Q870" s="3"/>
      <c r="R870" s="3"/>
    </row>
    <row r="871" spans="1:18" x14ac:dyDescent="0.25">
      <c r="A871" s="2">
        <v>2074</v>
      </c>
      <c r="B871" s="7" t="s">
        <v>3586</v>
      </c>
      <c r="C871" s="7" t="s">
        <v>3587</v>
      </c>
      <c r="D871" s="7" t="s">
        <v>3586</v>
      </c>
      <c r="E871" s="7" t="s">
        <v>182</v>
      </c>
      <c r="F871" s="7" t="s">
        <v>3343</v>
      </c>
      <c r="G871" s="17" t="s">
        <v>7747</v>
      </c>
      <c r="H871" s="7" t="s">
        <v>19</v>
      </c>
      <c r="I871" s="7" t="s">
        <v>1553</v>
      </c>
      <c r="J871" s="7" t="s">
        <v>826</v>
      </c>
      <c r="K871" s="7" t="s">
        <v>819</v>
      </c>
      <c r="L871" s="7" t="s">
        <v>136</v>
      </c>
      <c r="M871" s="7">
        <v>3.8603519999999998</v>
      </c>
      <c r="N871" s="7">
        <v>11.583843</v>
      </c>
      <c r="O871" s="7" t="s">
        <v>23</v>
      </c>
      <c r="P871" s="3"/>
      <c r="Q871" s="3"/>
      <c r="R871" s="3"/>
    </row>
    <row r="872" spans="1:18" x14ac:dyDescent="0.25">
      <c r="A872" s="2">
        <v>2075</v>
      </c>
      <c r="B872" s="7" t="s">
        <v>3590</v>
      </c>
      <c r="C872" s="7" t="s">
        <v>3591</v>
      </c>
      <c r="D872" s="7" t="s">
        <v>3590</v>
      </c>
      <c r="E872" s="7" t="s">
        <v>182</v>
      </c>
      <c r="F872" s="7" t="s">
        <v>3592</v>
      </c>
      <c r="G872" s="17" t="s">
        <v>7747</v>
      </c>
      <c r="H872" s="7" t="s">
        <v>28</v>
      </c>
      <c r="I872" s="7" t="s">
        <v>1553</v>
      </c>
      <c r="J872" s="7" t="s">
        <v>185</v>
      </c>
      <c r="K872" s="7" t="s">
        <v>1367</v>
      </c>
      <c r="L872" s="7" t="s">
        <v>136</v>
      </c>
      <c r="M872" s="7">
        <v>3.8408090000000001</v>
      </c>
      <c r="N872" s="7">
        <v>11.551508999999999</v>
      </c>
      <c r="O872" s="7" t="s">
        <v>613</v>
      </c>
      <c r="P872" s="3"/>
      <c r="Q872" s="3"/>
      <c r="R872" s="3"/>
    </row>
    <row r="873" spans="1:18" x14ac:dyDescent="0.25">
      <c r="A873" s="2">
        <v>2076</v>
      </c>
      <c r="B873" s="7" t="s">
        <v>3593</v>
      </c>
      <c r="C873" s="7" t="s">
        <v>3594</v>
      </c>
      <c r="D873" s="7" t="s">
        <v>3593</v>
      </c>
      <c r="E873" s="7" t="s">
        <v>182</v>
      </c>
      <c r="F873" s="7" t="s">
        <v>3595</v>
      </c>
      <c r="G873" s="17" t="s">
        <v>7747</v>
      </c>
      <c r="H873" s="7" t="s">
        <v>28</v>
      </c>
      <c r="I873" s="7" t="s">
        <v>807</v>
      </c>
      <c r="J873" s="7" t="s">
        <v>185</v>
      </c>
      <c r="K873" s="7" t="s">
        <v>808</v>
      </c>
      <c r="L873" s="7" t="s">
        <v>136</v>
      </c>
      <c r="M873" s="7">
        <v>3.88178</v>
      </c>
      <c r="N873" s="7">
        <v>11.524139999999999</v>
      </c>
      <c r="O873" s="7" t="s">
        <v>613</v>
      </c>
      <c r="P873" s="3"/>
      <c r="Q873" s="3"/>
      <c r="R873" s="3"/>
    </row>
    <row r="874" spans="1:18" x14ac:dyDescent="0.25">
      <c r="A874" s="2">
        <v>2077</v>
      </c>
      <c r="B874" s="7" t="s">
        <v>3596</v>
      </c>
      <c r="C874" s="7" t="s">
        <v>3597</v>
      </c>
      <c r="D874" s="7" t="s">
        <v>3596</v>
      </c>
      <c r="E874" s="7" t="s">
        <v>182</v>
      </c>
      <c r="F874" s="7" t="s">
        <v>3598</v>
      </c>
      <c r="G874" s="17" t="s">
        <v>7747</v>
      </c>
      <c r="H874" s="7" t="s">
        <v>28</v>
      </c>
      <c r="I874" s="7" t="s">
        <v>184</v>
      </c>
      <c r="J874" s="7" t="s">
        <v>185</v>
      </c>
      <c r="K874" s="7" t="s">
        <v>186</v>
      </c>
      <c r="L874" s="7" t="s">
        <v>136</v>
      </c>
      <c r="M874" s="7">
        <v>3.919489</v>
      </c>
      <c r="N874" s="7">
        <v>11.610127</v>
      </c>
      <c r="O874" s="7" t="s">
        <v>23</v>
      </c>
      <c r="P874" s="3"/>
      <c r="Q874" s="3"/>
      <c r="R874" s="3"/>
    </row>
    <row r="875" spans="1:18" x14ac:dyDescent="0.25">
      <c r="A875" s="2">
        <v>2078</v>
      </c>
      <c r="B875" s="7" t="s">
        <v>3599</v>
      </c>
      <c r="C875" s="7" t="s">
        <v>3600</v>
      </c>
      <c r="D875" s="7" t="s">
        <v>3599</v>
      </c>
      <c r="E875" s="7" t="s">
        <v>182</v>
      </c>
      <c r="F875" s="7" t="s">
        <v>3601</v>
      </c>
      <c r="G875" s="17" t="s">
        <v>7747</v>
      </c>
      <c r="H875" s="7" t="s">
        <v>28</v>
      </c>
      <c r="I875" s="7" t="s">
        <v>1553</v>
      </c>
      <c r="J875" s="7" t="s">
        <v>185</v>
      </c>
      <c r="K875" s="7" t="s">
        <v>1367</v>
      </c>
      <c r="L875" s="7" t="s">
        <v>136</v>
      </c>
      <c r="M875" s="7">
        <v>3.85751</v>
      </c>
      <c r="N875" s="7">
        <v>11.548170000000001</v>
      </c>
      <c r="O875" s="7" t="s">
        <v>613</v>
      </c>
      <c r="P875" s="3"/>
      <c r="Q875" s="3"/>
      <c r="R875" s="3"/>
    </row>
    <row r="876" spans="1:18" x14ac:dyDescent="0.25">
      <c r="A876" s="2">
        <v>2079</v>
      </c>
      <c r="B876" s="7" t="s">
        <v>3654</v>
      </c>
      <c r="C876" s="7" t="s">
        <v>3655</v>
      </c>
      <c r="D876" s="7" t="s">
        <v>3654</v>
      </c>
      <c r="E876" s="7" t="s">
        <v>182</v>
      </c>
      <c r="F876" s="7" t="s">
        <v>3656</v>
      </c>
      <c r="G876" s="17" t="s">
        <v>7747</v>
      </c>
      <c r="H876" s="7" t="s">
        <v>19</v>
      </c>
      <c r="I876" s="7" t="s">
        <v>1766</v>
      </c>
      <c r="J876" s="7" t="s">
        <v>185</v>
      </c>
      <c r="K876" s="7" t="s">
        <v>808</v>
      </c>
      <c r="L876" s="7" t="s">
        <v>136</v>
      </c>
      <c r="M876" s="7">
        <v>3.9456099999999998</v>
      </c>
      <c r="N876" s="7">
        <v>11.505240000000001</v>
      </c>
      <c r="O876" s="7" t="s">
        <v>23</v>
      </c>
      <c r="P876" s="3"/>
      <c r="Q876" s="3"/>
      <c r="R876" s="3"/>
    </row>
    <row r="877" spans="1:18" x14ac:dyDescent="0.25">
      <c r="A877" s="2">
        <v>2080</v>
      </c>
      <c r="B877" s="7" t="s">
        <v>3657</v>
      </c>
      <c r="C877" s="7" t="s">
        <v>3658</v>
      </c>
      <c r="D877" s="7" t="s">
        <v>3657</v>
      </c>
      <c r="E877" s="7" t="s">
        <v>182</v>
      </c>
      <c r="F877" s="7" t="s">
        <v>286</v>
      </c>
      <c r="G877" s="17" t="s">
        <v>7747</v>
      </c>
      <c r="H877" s="7" t="s">
        <v>19</v>
      </c>
      <c r="I877" s="7" t="s">
        <v>286</v>
      </c>
      <c r="J877" s="7" t="s">
        <v>287</v>
      </c>
      <c r="K877" s="7" t="s">
        <v>288</v>
      </c>
      <c r="L877" s="7" t="s">
        <v>136</v>
      </c>
      <c r="M877" s="7">
        <v>4.1696249999999999</v>
      </c>
      <c r="N877" s="7">
        <v>11.533586</v>
      </c>
      <c r="O877" s="7" t="s">
        <v>23</v>
      </c>
      <c r="P877" s="3"/>
      <c r="Q877" s="3"/>
      <c r="R877" s="3"/>
    </row>
    <row r="878" spans="1:18" x14ac:dyDescent="0.25">
      <c r="A878" s="2">
        <v>2081</v>
      </c>
      <c r="B878" s="7" t="s">
        <v>3659</v>
      </c>
      <c r="C878" s="7" t="s">
        <v>3660</v>
      </c>
      <c r="D878" s="7" t="s">
        <v>3659</v>
      </c>
      <c r="E878" s="7" t="s">
        <v>182</v>
      </c>
      <c r="F878" s="7" t="s">
        <v>3661</v>
      </c>
      <c r="G878" s="17" t="s">
        <v>7747</v>
      </c>
      <c r="H878" s="7" t="s">
        <v>28</v>
      </c>
      <c r="I878" s="7" t="s">
        <v>184</v>
      </c>
      <c r="J878" s="7" t="s">
        <v>185</v>
      </c>
      <c r="K878" s="7" t="s">
        <v>1435</v>
      </c>
      <c r="L878" s="7" t="s">
        <v>136</v>
      </c>
      <c r="M878" s="7">
        <v>3.9030320000000001</v>
      </c>
      <c r="N878" s="7">
        <v>11.560627999999999</v>
      </c>
      <c r="O878" s="7" t="s">
        <v>23</v>
      </c>
      <c r="P878" s="3"/>
      <c r="Q878" s="3"/>
      <c r="R878" s="3"/>
    </row>
    <row r="879" spans="1:18" x14ac:dyDescent="0.25">
      <c r="A879" s="2">
        <v>2082</v>
      </c>
      <c r="B879" s="7" t="s">
        <v>3662</v>
      </c>
      <c r="C879" s="7" t="s">
        <v>3663</v>
      </c>
      <c r="D879" s="7" t="s">
        <v>3662</v>
      </c>
      <c r="E879" s="7" t="s">
        <v>182</v>
      </c>
      <c r="F879" s="7" t="s">
        <v>3664</v>
      </c>
      <c r="G879" s="17" t="s">
        <v>7747</v>
      </c>
      <c r="H879" s="7" t="s">
        <v>28</v>
      </c>
      <c r="I879" s="7" t="s">
        <v>1366</v>
      </c>
      <c r="J879" s="7" t="s">
        <v>185</v>
      </c>
      <c r="K879" s="7" t="s">
        <v>1367</v>
      </c>
      <c r="L879" s="7" t="s">
        <v>136</v>
      </c>
      <c r="M879" s="7">
        <v>3.8488609999999999</v>
      </c>
      <c r="N879" s="7">
        <v>11.532075000000001</v>
      </c>
      <c r="O879" s="7" t="s">
        <v>23</v>
      </c>
      <c r="P879" s="3"/>
      <c r="Q879" s="3"/>
      <c r="R879" s="3"/>
    </row>
    <row r="880" spans="1:18" x14ac:dyDescent="0.25">
      <c r="A880" s="2">
        <v>2083</v>
      </c>
      <c r="B880" s="7" t="s">
        <v>3668</v>
      </c>
      <c r="C880" s="7" t="s">
        <v>3669</v>
      </c>
      <c r="D880" s="7" t="s">
        <v>3668</v>
      </c>
      <c r="E880" s="7" t="s">
        <v>182</v>
      </c>
      <c r="F880" s="7" t="s">
        <v>1568</v>
      </c>
      <c r="G880" s="17" t="s">
        <v>7747</v>
      </c>
      <c r="H880" s="7" t="s">
        <v>19</v>
      </c>
      <c r="I880" s="7" t="s">
        <v>1366</v>
      </c>
      <c r="J880" s="7" t="s">
        <v>185</v>
      </c>
      <c r="K880" s="7" t="s">
        <v>1435</v>
      </c>
      <c r="L880" s="7" t="s">
        <v>136</v>
      </c>
      <c r="M880" s="7">
        <v>3.8856799999999998</v>
      </c>
      <c r="N880" s="7">
        <v>11.556952000000001</v>
      </c>
      <c r="O880" s="7" t="s">
        <v>23</v>
      </c>
      <c r="P880" s="3"/>
      <c r="Q880" s="3"/>
      <c r="R880" s="3"/>
    </row>
    <row r="881" spans="1:18" x14ac:dyDescent="0.25">
      <c r="A881" s="2">
        <v>2084</v>
      </c>
      <c r="B881" s="7" t="s">
        <v>3670</v>
      </c>
      <c r="C881" s="7" t="s">
        <v>3671</v>
      </c>
      <c r="D881" s="7" t="s">
        <v>3670</v>
      </c>
      <c r="E881" s="7" t="s">
        <v>182</v>
      </c>
      <c r="F881" s="7" t="s">
        <v>3672</v>
      </c>
      <c r="G881" s="17" t="s">
        <v>7747</v>
      </c>
      <c r="H881" s="7" t="s">
        <v>19</v>
      </c>
      <c r="I881" s="7" t="s">
        <v>184</v>
      </c>
      <c r="J881" s="7" t="s">
        <v>185</v>
      </c>
      <c r="K881" s="7" t="s">
        <v>1435</v>
      </c>
      <c r="L881" s="7" t="s">
        <v>136</v>
      </c>
      <c r="M881" s="7">
        <v>3.8984740000000002</v>
      </c>
      <c r="N881" s="7">
        <v>11.544302999999999</v>
      </c>
      <c r="O881" s="7" t="s">
        <v>613</v>
      </c>
      <c r="P881" s="3"/>
      <c r="Q881" s="3"/>
      <c r="R881" s="3"/>
    </row>
    <row r="882" spans="1:18" x14ac:dyDescent="0.25">
      <c r="A882" s="2">
        <v>2085</v>
      </c>
      <c r="B882" s="7" t="s">
        <v>3713</v>
      </c>
      <c r="C882" s="7" t="s">
        <v>3714</v>
      </c>
      <c r="D882" s="7" t="s">
        <v>3713</v>
      </c>
      <c r="E882" s="7" t="s">
        <v>182</v>
      </c>
      <c r="F882" s="7" t="s">
        <v>3715</v>
      </c>
      <c r="G882" s="17" t="s">
        <v>7747</v>
      </c>
      <c r="H882" s="7" t="s">
        <v>28</v>
      </c>
      <c r="I882" s="7" t="s">
        <v>297</v>
      </c>
      <c r="J882" s="7" t="s">
        <v>287</v>
      </c>
      <c r="K882" s="7" t="s">
        <v>2047</v>
      </c>
      <c r="L882" s="7" t="s">
        <v>136</v>
      </c>
      <c r="M882" s="7">
        <v>3.9227919999999998</v>
      </c>
      <c r="N882" s="7">
        <v>11.453188000000001</v>
      </c>
      <c r="O882" s="7" t="s">
        <v>23</v>
      </c>
      <c r="P882" s="3"/>
      <c r="Q882" s="3"/>
      <c r="R882" s="3"/>
    </row>
    <row r="883" spans="1:18" x14ac:dyDescent="0.25">
      <c r="A883" s="2">
        <v>2086</v>
      </c>
      <c r="B883" s="7" t="s">
        <v>3724</v>
      </c>
      <c r="C883" s="7" t="s">
        <v>3725</v>
      </c>
      <c r="D883" s="7" t="s">
        <v>3724</v>
      </c>
      <c r="E883" s="7" t="s">
        <v>182</v>
      </c>
      <c r="F883" s="7" t="s">
        <v>3726</v>
      </c>
      <c r="G883" s="17" t="s">
        <v>7747</v>
      </c>
      <c r="H883" s="7" t="s">
        <v>28</v>
      </c>
      <c r="I883" s="7" t="s">
        <v>1284</v>
      </c>
      <c r="J883" s="7" t="s">
        <v>185</v>
      </c>
      <c r="K883" s="7" t="s">
        <v>1462</v>
      </c>
      <c r="L883" s="7" t="s">
        <v>136</v>
      </c>
      <c r="M883" s="7">
        <v>3.8001</v>
      </c>
      <c r="N883" s="7">
        <v>11.490083</v>
      </c>
      <c r="O883" s="7" t="s">
        <v>23</v>
      </c>
      <c r="P883" s="3"/>
      <c r="Q883" s="3"/>
      <c r="R883" s="3"/>
    </row>
    <row r="884" spans="1:18" x14ac:dyDescent="0.25">
      <c r="A884" s="2">
        <v>2087</v>
      </c>
      <c r="B884" s="7" t="s">
        <v>3727</v>
      </c>
      <c r="C884" s="7" t="s">
        <v>3728</v>
      </c>
      <c r="D884" s="7" t="s">
        <v>3727</v>
      </c>
      <c r="E884" s="7" t="s">
        <v>182</v>
      </c>
      <c r="F884" s="7" t="s">
        <v>3729</v>
      </c>
      <c r="G884" s="17" t="s">
        <v>7747</v>
      </c>
      <c r="H884" s="7" t="s">
        <v>28</v>
      </c>
      <c r="I884" s="7" t="s">
        <v>1366</v>
      </c>
      <c r="J884" s="7" t="s">
        <v>185</v>
      </c>
      <c r="K884" s="7" t="s">
        <v>808</v>
      </c>
      <c r="L884" s="7" t="s">
        <v>136</v>
      </c>
      <c r="M884" s="7">
        <v>3.8725499999999999</v>
      </c>
      <c r="N884" s="7">
        <v>11.524380000000001</v>
      </c>
      <c r="O884" s="7" t="s">
        <v>23</v>
      </c>
      <c r="P884" s="3"/>
      <c r="Q884" s="3"/>
      <c r="R884" s="3"/>
    </row>
    <row r="885" spans="1:18" x14ac:dyDescent="0.25">
      <c r="A885" s="2">
        <v>2088</v>
      </c>
      <c r="B885" s="7" t="s">
        <v>3745</v>
      </c>
      <c r="C885" s="7" t="s">
        <v>3746</v>
      </c>
      <c r="D885" s="7" t="s">
        <v>3745</v>
      </c>
      <c r="E885" s="7" t="s">
        <v>182</v>
      </c>
      <c r="F885" s="7" t="s">
        <v>3747</v>
      </c>
      <c r="G885" s="17" t="s">
        <v>7747</v>
      </c>
      <c r="H885" s="7" t="s">
        <v>19</v>
      </c>
      <c r="I885" s="7" t="s">
        <v>1366</v>
      </c>
      <c r="J885" s="7" t="s">
        <v>185</v>
      </c>
      <c r="K885" s="7" t="s">
        <v>1435</v>
      </c>
      <c r="L885" s="7" t="s">
        <v>136</v>
      </c>
      <c r="M885" s="7">
        <v>3.871855</v>
      </c>
      <c r="N885" s="7">
        <v>11.536448</v>
      </c>
      <c r="O885" s="7" t="s">
        <v>613</v>
      </c>
      <c r="P885" s="3"/>
      <c r="Q885" s="3"/>
      <c r="R885" s="3"/>
    </row>
    <row r="886" spans="1:18" x14ac:dyDescent="0.25">
      <c r="A886" s="2">
        <v>2089</v>
      </c>
      <c r="B886" s="7" t="s">
        <v>3748</v>
      </c>
      <c r="C886" s="7" t="s">
        <v>3749</v>
      </c>
      <c r="D886" s="7" t="s">
        <v>3748</v>
      </c>
      <c r="E886" s="7" t="s">
        <v>182</v>
      </c>
      <c r="F886" s="7" t="s">
        <v>3750</v>
      </c>
      <c r="G886" s="17" t="s">
        <v>7747</v>
      </c>
      <c r="H886" s="7" t="s">
        <v>28</v>
      </c>
      <c r="I886" s="7" t="s">
        <v>286</v>
      </c>
      <c r="J886" s="7" t="s">
        <v>298</v>
      </c>
      <c r="K886" s="7" t="s">
        <v>1746</v>
      </c>
      <c r="L886" s="7" t="s">
        <v>136</v>
      </c>
      <c r="M886" s="7">
        <v>4.5024899999999999</v>
      </c>
      <c r="N886" s="7">
        <v>12.121642</v>
      </c>
      <c r="O886" s="7" t="s">
        <v>23</v>
      </c>
      <c r="P886" s="3"/>
      <c r="Q886" s="3"/>
      <c r="R886" s="3"/>
    </row>
    <row r="887" spans="1:18" x14ac:dyDescent="0.25">
      <c r="A887" s="2">
        <v>2090</v>
      </c>
      <c r="B887" s="7" t="s">
        <v>3751</v>
      </c>
      <c r="C887" s="7" t="s">
        <v>3752</v>
      </c>
      <c r="D887" s="7" t="s">
        <v>3751</v>
      </c>
      <c r="E887" s="7" t="s">
        <v>182</v>
      </c>
      <c r="F887" s="7" t="s">
        <v>3753</v>
      </c>
      <c r="G887" s="17" t="s">
        <v>7747</v>
      </c>
      <c r="H887" s="7" t="s">
        <v>28</v>
      </c>
      <c r="I887" s="7" t="s">
        <v>1766</v>
      </c>
      <c r="J887" s="7" t="s">
        <v>185</v>
      </c>
      <c r="K887" s="7" t="s">
        <v>808</v>
      </c>
      <c r="L887" s="7" t="s">
        <v>136</v>
      </c>
      <c r="M887" s="7">
        <v>3.9237220000000002</v>
      </c>
      <c r="N887" s="7">
        <v>11.511900000000001</v>
      </c>
      <c r="O887" s="7" t="s">
        <v>23</v>
      </c>
      <c r="P887" s="3"/>
      <c r="Q887" s="3"/>
      <c r="R887" s="3"/>
    </row>
    <row r="888" spans="1:18" x14ac:dyDescent="0.25">
      <c r="A888" s="2">
        <v>2091</v>
      </c>
      <c r="B888" s="7" t="s">
        <v>3793</v>
      </c>
      <c r="C888" s="7" t="s">
        <v>3794</v>
      </c>
      <c r="D888" s="7" t="s">
        <v>3793</v>
      </c>
      <c r="E888" s="7" t="s">
        <v>182</v>
      </c>
      <c r="F888" s="7" t="s">
        <v>3795</v>
      </c>
      <c r="G888" s="17" t="s">
        <v>7747</v>
      </c>
      <c r="H888" s="7" t="s">
        <v>28</v>
      </c>
      <c r="I888" s="7" t="s">
        <v>1385</v>
      </c>
      <c r="J888" s="7" t="s">
        <v>185</v>
      </c>
      <c r="K888" s="7" t="s">
        <v>1367</v>
      </c>
      <c r="L888" s="7" t="s">
        <v>136</v>
      </c>
      <c r="M888" s="7">
        <v>3.7727599999999999</v>
      </c>
      <c r="N888" s="7">
        <v>11.543049999999999</v>
      </c>
      <c r="O888" s="7" t="s">
        <v>23</v>
      </c>
      <c r="P888" s="3"/>
      <c r="Q888" s="3"/>
      <c r="R888" s="3"/>
    </row>
    <row r="889" spans="1:18" x14ac:dyDescent="0.25">
      <c r="A889" s="2">
        <v>2092</v>
      </c>
      <c r="B889" s="7" t="s">
        <v>3805</v>
      </c>
      <c r="C889" s="7" t="s">
        <v>3806</v>
      </c>
      <c r="D889" s="7" t="s">
        <v>3805</v>
      </c>
      <c r="E889" s="7" t="s">
        <v>182</v>
      </c>
      <c r="F889" s="7" t="s">
        <v>2190</v>
      </c>
      <c r="G889" s="17" t="s">
        <v>7747</v>
      </c>
      <c r="H889" s="7" t="s">
        <v>28</v>
      </c>
      <c r="I889" s="7" t="s">
        <v>1461</v>
      </c>
      <c r="J889" s="7" t="s">
        <v>185</v>
      </c>
      <c r="K889" s="7" t="s">
        <v>1462</v>
      </c>
      <c r="L889" s="7" t="s">
        <v>136</v>
      </c>
      <c r="M889" s="7">
        <v>3.8087650000000002</v>
      </c>
      <c r="N889" s="7">
        <v>11.501658000000001</v>
      </c>
      <c r="O889" s="7" t="s">
        <v>23</v>
      </c>
      <c r="P889" s="3"/>
      <c r="Q889" s="3"/>
      <c r="R889" s="3"/>
    </row>
    <row r="890" spans="1:18" x14ac:dyDescent="0.25">
      <c r="A890" s="2">
        <v>2093</v>
      </c>
      <c r="B890" s="7" t="s">
        <v>3807</v>
      </c>
      <c r="C890" s="7" t="s">
        <v>3808</v>
      </c>
      <c r="D890" s="7" t="s">
        <v>3807</v>
      </c>
      <c r="E890" s="7" t="s">
        <v>182</v>
      </c>
      <c r="F890" s="7" t="s">
        <v>3809</v>
      </c>
      <c r="G890" s="17" t="s">
        <v>7747</v>
      </c>
      <c r="H890" s="7" t="s">
        <v>28</v>
      </c>
      <c r="I890" s="7" t="s">
        <v>1553</v>
      </c>
      <c r="J890" s="7" t="s">
        <v>185</v>
      </c>
      <c r="K890" s="7" t="s">
        <v>1367</v>
      </c>
      <c r="L890" s="7" t="s">
        <v>136</v>
      </c>
      <c r="M890" s="7">
        <v>3.8681869999999998</v>
      </c>
      <c r="N890" s="7">
        <v>11.570098</v>
      </c>
      <c r="O890" s="7" t="s">
        <v>23</v>
      </c>
      <c r="P890" s="3"/>
      <c r="Q890" s="3"/>
      <c r="R890" s="3"/>
    </row>
    <row r="891" spans="1:18" x14ac:dyDescent="0.25">
      <c r="A891" s="2">
        <v>2094</v>
      </c>
      <c r="B891" s="7" t="s">
        <v>3810</v>
      </c>
      <c r="C891" s="7" t="s">
        <v>3811</v>
      </c>
      <c r="D891" s="7" t="s">
        <v>3810</v>
      </c>
      <c r="E891" s="7" t="s">
        <v>182</v>
      </c>
      <c r="F891" s="7" t="s">
        <v>2125</v>
      </c>
      <c r="G891" s="17" t="s">
        <v>7747</v>
      </c>
      <c r="H891" s="7" t="s">
        <v>19</v>
      </c>
      <c r="I891" s="7" t="s">
        <v>1766</v>
      </c>
      <c r="J891" s="7" t="s">
        <v>185</v>
      </c>
      <c r="K891" s="7" t="s">
        <v>808</v>
      </c>
      <c r="L891" s="7" t="s">
        <v>136</v>
      </c>
      <c r="M891" s="7">
        <v>3.9113329999999999</v>
      </c>
      <c r="N891" s="7">
        <v>11.527361000000001</v>
      </c>
      <c r="O891" s="7" t="s">
        <v>613</v>
      </c>
      <c r="P891" s="3"/>
      <c r="Q891" s="3"/>
      <c r="R891" s="3"/>
    </row>
    <row r="892" spans="1:18" x14ac:dyDescent="0.25">
      <c r="A892" s="2">
        <v>2095</v>
      </c>
      <c r="B892" s="7" t="s">
        <v>3815</v>
      </c>
      <c r="C892" s="7" t="s">
        <v>3816</v>
      </c>
      <c r="D892" s="7" t="s">
        <v>3815</v>
      </c>
      <c r="E892" s="7" t="s">
        <v>182</v>
      </c>
      <c r="F892" s="7" t="s">
        <v>3817</v>
      </c>
      <c r="G892" s="17" t="s">
        <v>7747</v>
      </c>
      <c r="H892" s="7" t="s">
        <v>28</v>
      </c>
      <c r="I892" s="7" t="s">
        <v>374</v>
      </c>
      <c r="J892" s="7" t="s">
        <v>134</v>
      </c>
      <c r="K892" s="7" t="s">
        <v>375</v>
      </c>
      <c r="L892" s="7" t="s">
        <v>136</v>
      </c>
      <c r="M892" s="7">
        <v>4.4404159999999999</v>
      </c>
      <c r="N892" s="7">
        <v>11.631307</v>
      </c>
      <c r="O892" s="7" t="s">
        <v>23</v>
      </c>
      <c r="P892" s="3"/>
      <c r="Q892" s="3"/>
      <c r="R892" s="3"/>
    </row>
    <row r="893" spans="1:18" x14ac:dyDescent="0.25">
      <c r="A893" s="2">
        <v>2096</v>
      </c>
      <c r="B893" s="7" t="s">
        <v>3832</v>
      </c>
      <c r="C893" s="7" t="s">
        <v>3833</v>
      </c>
      <c r="D893" s="7" t="s">
        <v>3832</v>
      </c>
      <c r="E893" s="7" t="s">
        <v>182</v>
      </c>
      <c r="F893" s="7" t="s">
        <v>3834</v>
      </c>
      <c r="G893" s="17" t="s">
        <v>7747</v>
      </c>
      <c r="H893" s="7" t="s">
        <v>28</v>
      </c>
      <c r="I893" s="7" t="s">
        <v>1385</v>
      </c>
      <c r="J893" s="7" t="s">
        <v>185</v>
      </c>
      <c r="K893" s="7" t="s">
        <v>1367</v>
      </c>
      <c r="L893" s="7" t="s">
        <v>136</v>
      </c>
      <c r="M893" s="7">
        <v>3.8289800000000001</v>
      </c>
      <c r="N893" s="7">
        <v>11.54363</v>
      </c>
      <c r="O893" s="7" t="s">
        <v>23</v>
      </c>
      <c r="P893" s="3"/>
      <c r="Q893" s="3"/>
      <c r="R893" s="3"/>
    </row>
    <row r="894" spans="1:18" x14ac:dyDescent="0.25">
      <c r="A894" s="2">
        <v>2097</v>
      </c>
      <c r="B894" s="7" t="s">
        <v>3841</v>
      </c>
      <c r="C894" s="7" t="s">
        <v>3842</v>
      </c>
      <c r="D894" s="7" t="s">
        <v>3841</v>
      </c>
      <c r="E894" s="7" t="s">
        <v>182</v>
      </c>
      <c r="F894" s="7" t="s">
        <v>3843</v>
      </c>
      <c r="G894" s="17" t="s">
        <v>7747</v>
      </c>
      <c r="H894" s="7" t="s">
        <v>28</v>
      </c>
      <c r="I894" s="7" t="s">
        <v>184</v>
      </c>
      <c r="J894" s="7" t="s">
        <v>185</v>
      </c>
      <c r="K894" s="7" t="s">
        <v>186</v>
      </c>
      <c r="L894" s="7" t="s">
        <v>136</v>
      </c>
      <c r="M894" s="7">
        <v>3.8914499999999999</v>
      </c>
      <c r="N894" s="7">
        <v>11.56758</v>
      </c>
      <c r="O894" s="7" t="s">
        <v>23</v>
      </c>
      <c r="P894" s="3"/>
      <c r="Q894" s="3"/>
      <c r="R894" s="3"/>
    </row>
    <row r="895" spans="1:18" x14ac:dyDescent="0.25">
      <c r="A895" s="2">
        <v>2098</v>
      </c>
      <c r="B895" s="7" t="s">
        <v>3844</v>
      </c>
      <c r="C895" s="7" t="s">
        <v>3845</v>
      </c>
      <c r="D895" s="7" t="s">
        <v>3844</v>
      </c>
      <c r="E895" s="7" t="s">
        <v>182</v>
      </c>
      <c r="F895" s="7" t="s">
        <v>3846</v>
      </c>
      <c r="G895" s="17" t="s">
        <v>7747</v>
      </c>
      <c r="H895" s="7" t="s">
        <v>28</v>
      </c>
      <c r="I895" s="7" t="s">
        <v>1553</v>
      </c>
      <c r="J895" s="7" t="s">
        <v>185</v>
      </c>
      <c r="K895" s="7" t="s">
        <v>1367</v>
      </c>
      <c r="L895" s="7" t="s">
        <v>136</v>
      </c>
      <c r="M895" s="7">
        <v>3.8730000000000002</v>
      </c>
      <c r="N895" s="7">
        <v>11.555999999999999</v>
      </c>
      <c r="O895" s="7" t="s">
        <v>613</v>
      </c>
      <c r="P895" s="3"/>
      <c r="Q895" s="3"/>
      <c r="R895" s="3"/>
    </row>
    <row r="896" spans="1:18" x14ac:dyDescent="0.25">
      <c r="A896" s="2">
        <v>2099</v>
      </c>
      <c r="B896" s="7" t="s">
        <v>3863</v>
      </c>
      <c r="C896" s="7" t="s">
        <v>3864</v>
      </c>
      <c r="D896" s="7" t="s">
        <v>3863</v>
      </c>
      <c r="E896" s="7" t="s">
        <v>182</v>
      </c>
      <c r="F896" s="7" t="s">
        <v>3865</v>
      </c>
      <c r="G896" s="17" t="s">
        <v>7747</v>
      </c>
      <c r="H896" s="7" t="s">
        <v>28</v>
      </c>
      <c r="I896" s="7" t="s">
        <v>817</v>
      </c>
      <c r="J896" s="7" t="s">
        <v>826</v>
      </c>
      <c r="K896" s="7" t="s">
        <v>3866</v>
      </c>
      <c r="L896" s="7" t="s">
        <v>136</v>
      </c>
      <c r="M896" s="7">
        <v>3.762346</v>
      </c>
      <c r="N896" s="7">
        <v>11.883974</v>
      </c>
      <c r="O896" s="7" t="s">
        <v>23</v>
      </c>
      <c r="P896" s="3"/>
      <c r="Q896" s="3"/>
      <c r="R896" s="3"/>
    </row>
    <row r="897" spans="1:18" x14ac:dyDescent="0.25">
      <c r="A897" s="2">
        <v>2100</v>
      </c>
      <c r="B897" s="7" t="s">
        <v>3867</v>
      </c>
      <c r="C897" s="7" t="s">
        <v>3868</v>
      </c>
      <c r="D897" s="7" t="s">
        <v>3867</v>
      </c>
      <c r="E897" s="7" t="s">
        <v>182</v>
      </c>
      <c r="F897" s="7" t="s">
        <v>3869</v>
      </c>
      <c r="G897" s="17" t="s">
        <v>7747</v>
      </c>
      <c r="H897" s="7" t="s">
        <v>28</v>
      </c>
      <c r="I897" s="7" t="s">
        <v>1553</v>
      </c>
      <c r="J897" s="7" t="s">
        <v>826</v>
      </c>
      <c r="K897" s="7" t="s">
        <v>819</v>
      </c>
      <c r="L897" s="7" t="s">
        <v>136</v>
      </c>
      <c r="M897" s="7">
        <v>3.8174169999999998</v>
      </c>
      <c r="N897" s="7">
        <v>11.572167</v>
      </c>
      <c r="O897" s="7" t="s">
        <v>23</v>
      </c>
      <c r="P897" s="3"/>
      <c r="Q897" s="3"/>
      <c r="R897" s="3"/>
    </row>
    <row r="898" spans="1:18" x14ac:dyDescent="0.25">
      <c r="A898" s="2">
        <v>2101</v>
      </c>
      <c r="B898" s="7" t="s">
        <v>3870</v>
      </c>
      <c r="C898" s="7" t="s">
        <v>3871</v>
      </c>
      <c r="D898" s="7" t="s">
        <v>3870</v>
      </c>
      <c r="E898" s="7" t="s">
        <v>182</v>
      </c>
      <c r="F898" s="7" t="s">
        <v>3872</v>
      </c>
      <c r="G898" s="17" t="s">
        <v>7747</v>
      </c>
      <c r="H898" s="7" t="s">
        <v>28</v>
      </c>
      <c r="I898" s="7" t="s">
        <v>1553</v>
      </c>
      <c r="J898" s="7" t="s">
        <v>185</v>
      </c>
      <c r="K898" s="7" t="s">
        <v>1367</v>
      </c>
      <c r="L898" s="7" t="s">
        <v>136</v>
      </c>
      <c r="M898" s="7">
        <v>3.849637</v>
      </c>
      <c r="N898" s="7">
        <v>11.564577999999999</v>
      </c>
      <c r="O898" s="7" t="s">
        <v>23</v>
      </c>
      <c r="P898" s="3"/>
      <c r="Q898" s="3"/>
      <c r="R898" s="3"/>
    </row>
    <row r="899" spans="1:18" x14ac:dyDescent="0.25">
      <c r="A899" s="2">
        <v>2102</v>
      </c>
      <c r="B899" s="7" t="s">
        <v>3873</v>
      </c>
      <c r="C899" s="7" t="s">
        <v>3874</v>
      </c>
      <c r="D899" s="7" t="s">
        <v>3873</v>
      </c>
      <c r="E899" s="7" t="s">
        <v>182</v>
      </c>
      <c r="F899" s="7" t="s">
        <v>3875</v>
      </c>
      <c r="G899" s="17" t="s">
        <v>7747</v>
      </c>
      <c r="H899" s="7" t="s">
        <v>28</v>
      </c>
      <c r="I899" s="7" t="s">
        <v>184</v>
      </c>
      <c r="J899" s="7" t="s">
        <v>185</v>
      </c>
      <c r="K899" s="7" t="s">
        <v>1435</v>
      </c>
      <c r="L899" s="7" t="s">
        <v>136</v>
      </c>
      <c r="M899" s="7">
        <v>3.8967499999999999</v>
      </c>
      <c r="N899" s="7">
        <v>11.573924999999999</v>
      </c>
      <c r="O899" s="7" t="s">
        <v>23</v>
      </c>
      <c r="P899" s="3"/>
      <c r="Q899" s="3"/>
      <c r="R899" s="3"/>
    </row>
    <row r="900" spans="1:18" x14ac:dyDescent="0.25">
      <c r="A900" s="2">
        <v>2103</v>
      </c>
      <c r="B900" s="7" t="s">
        <v>3876</v>
      </c>
      <c r="C900" s="7" t="s">
        <v>3877</v>
      </c>
      <c r="D900" s="7" t="s">
        <v>3876</v>
      </c>
      <c r="E900" s="7" t="s">
        <v>182</v>
      </c>
      <c r="F900" s="7" t="s">
        <v>3878</v>
      </c>
      <c r="G900" s="17" t="s">
        <v>7747</v>
      </c>
      <c r="H900" s="7" t="s">
        <v>19</v>
      </c>
      <c r="I900" s="7" t="s">
        <v>1284</v>
      </c>
      <c r="J900" s="7" t="s">
        <v>185</v>
      </c>
      <c r="K900" s="7" t="s">
        <v>1322</v>
      </c>
      <c r="L900" s="7" t="s">
        <v>136</v>
      </c>
      <c r="M900" s="7">
        <v>3.8420000000000001</v>
      </c>
      <c r="N900" s="7">
        <v>11.462999999999999</v>
      </c>
      <c r="O900" s="7" t="s">
        <v>23</v>
      </c>
      <c r="P900" s="3"/>
      <c r="Q900" s="3"/>
      <c r="R900" s="3"/>
    </row>
    <row r="901" spans="1:18" x14ac:dyDescent="0.25">
      <c r="A901" s="2">
        <v>2104</v>
      </c>
      <c r="B901" s="7" t="s">
        <v>3902</v>
      </c>
      <c r="C901" s="7" t="s">
        <v>3903</v>
      </c>
      <c r="D901" s="7" t="s">
        <v>3902</v>
      </c>
      <c r="E901" s="7" t="s">
        <v>182</v>
      </c>
      <c r="F901" s="7" t="s">
        <v>3904</v>
      </c>
      <c r="G901" s="17" t="s">
        <v>7747</v>
      </c>
      <c r="H901" s="7" t="s">
        <v>28</v>
      </c>
      <c r="I901" s="7" t="s">
        <v>1366</v>
      </c>
      <c r="J901" s="7" t="s">
        <v>185</v>
      </c>
      <c r="K901" s="7" t="s">
        <v>1435</v>
      </c>
      <c r="L901" s="7" t="s">
        <v>136</v>
      </c>
      <c r="M901" s="7">
        <v>3.8802729999999999</v>
      </c>
      <c r="N901" s="7">
        <v>11.560905</v>
      </c>
      <c r="O901" s="7" t="s">
        <v>23</v>
      </c>
      <c r="P901" s="3"/>
      <c r="Q901" s="3"/>
      <c r="R901" s="3"/>
    </row>
    <row r="902" spans="1:18" x14ac:dyDescent="0.25">
      <c r="A902" s="2">
        <v>2105</v>
      </c>
      <c r="B902" s="7" t="s">
        <v>3905</v>
      </c>
      <c r="C902" s="7" t="s">
        <v>3906</v>
      </c>
      <c r="D902" s="7" t="s">
        <v>3905</v>
      </c>
      <c r="E902" s="7" t="s">
        <v>182</v>
      </c>
      <c r="F902" s="7" t="s">
        <v>3907</v>
      </c>
      <c r="G902" s="17" t="s">
        <v>7747</v>
      </c>
      <c r="H902" s="7" t="s">
        <v>28</v>
      </c>
      <c r="I902" s="7" t="s">
        <v>297</v>
      </c>
      <c r="J902" s="7" t="s">
        <v>185</v>
      </c>
      <c r="K902" s="7" t="s">
        <v>1393</v>
      </c>
      <c r="L902" s="7" t="s">
        <v>136</v>
      </c>
      <c r="M902" s="7">
        <v>3.89303</v>
      </c>
      <c r="N902" s="7">
        <v>11.46855</v>
      </c>
      <c r="O902" s="7" t="s">
        <v>23</v>
      </c>
      <c r="P902" s="3"/>
      <c r="Q902" s="3"/>
      <c r="R902" s="3"/>
    </row>
    <row r="903" spans="1:18" x14ac:dyDescent="0.25">
      <c r="A903" s="2">
        <v>2106</v>
      </c>
      <c r="B903" s="7" t="s">
        <v>3908</v>
      </c>
      <c r="C903" s="7" t="s">
        <v>3909</v>
      </c>
      <c r="D903" s="7" t="s">
        <v>3908</v>
      </c>
      <c r="E903" s="7" t="s">
        <v>182</v>
      </c>
      <c r="F903" s="7" t="s">
        <v>3910</v>
      </c>
      <c r="G903" s="17" t="s">
        <v>7747</v>
      </c>
      <c r="H903" s="7" t="s">
        <v>19</v>
      </c>
      <c r="I903" s="7" t="s">
        <v>1385</v>
      </c>
      <c r="J903" s="7" t="s">
        <v>185</v>
      </c>
      <c r="K903" s="7" t="s">
        <v>1367</v>
      </c>
      <c r="L903" s="7" t="s">
        <v>136</v>
      </c>
      <c r="M903" s="7">
        <v>3.810467</v>
      </c>
      <c r="N903" s="7">
        <v>11.531677</v>
      </c>
      <c r="O903" s="7" t="s">
        <v>23</v>
      </c>
      <c r="P903" s="3"/>
      <c r="Q903" s="3"/>
      <c r="R903" s="3"/>
    </row>
    <row r="904" spans="1:18" x14ac:dyDescent="0.25">
      <c r="A904" s="2">
        <v>2107</v>
      </c>
      <c r="B904" s="7" t="s">
        <v>3911</v>
      </c>
      <c r="C904" s="7" t="s">
        <v>3912</v>
      </c>
      <c r="D904" s="7" t="s">
        <v>3911</v>
      </c>
      <c r="E904" s="7" t="s">
        <v>182</v>
      </c>
      <c r="F904" s="7" t="s">
        <v>3913</v>
      </c>
      <c r="G904" s="17" t="s">
        <v>7747</v>
      </c>
      <c r="H904" s="7" t="s">
        <v>28</v>
      </c>
      <c r="I904" s="7" t="s">
        <v>1637</v>
      </c>
      <c r="J904" s="7" t="s">
        <v>185</v>
      </c>
      <c r="K904" s="7" t="s">
        <v>1462</v>
      </c>
      <c r="L904" s="7" t="s">
        <v>136</v>
      </c>
      <c r="M904" s="7">
        <v>3.851</v>
      </c>
      <c r="N904" s="7">
        <v>11.495749999999999</v>
      </c>
      <c r="O904" s="7" t="s">
        <v>613</v>
      </c>
      <c r="P904" s="3"/>
      <c r="Q904" s="3"/>
      <c r="R904" s="3"/>
    </row>
    <row r="905" spans="1:18" x14ac:dyDescent="0.25">
      <c r="A905" s="2">
        <v>2108</v>
      </c>
      <c r="B905" s="7" t="s">
        <v>3929</v>
      </c>
      <c r="C905" s="7" t="s">
        <v>3930</v>
      </c>
      <c r="D905" s="7" t="s">
        <v>3929</v>
      </c>
      <c r="E905" s="7" t="s">
        <v>250</v>
      </c>
      <c r="F905" s="7" t="s">
        <v>3931</v>
      </c>
      <c r="G905" s="17" t="s">
        <v>7747</v>
      </c>
      <c r="H905" s="7" t="s">
        <v>28</v>
      </c>
      <c r="I905" s="7" t="s">
        <v>322</v>
      </c>
      <c r="J905" s="7" t="s">
        <v>253</v>
      </c>
      <c r="K905" s="7" t="s">
        <v>324</v>
      </c>
      <c r="L905" s="7" t="s">
        <v>136</v>
      </c>
      <c r="M905" s="7">
        <v>3.1497709999999999</v>
      </c>
      <c r="N905" s="7">
        <v>12.114305999999999</v>
      </c>
      <c r="O905" s="7" t="s">
        <v>23</v>
      </c>
      <c r="P905" s="3"/>
      <c r="Q905" s="3"/>
      <c r="R905" s="3"/>
    </row>
    <row r="906" spans="1:18" x14ac:dyDescent="0.25">
      <c r="A906" s="2">
        <v>2109</v>
      </c>
      <c r="B906" s="7" t="s">
        <v>3932</v>
      </c>
      <c r="C906" s="7" t="s">
        <v>3933</v>
      </c>
      <c r="D906" s="7" t="s">
        <v>3932</v>
      </c>
      <c r="E906" s="7" t="s">
        <v>182</v>
      </c>
      <c r="F906" s="7" t="s">
        <v>3934</v>
      </c>
      <c r="G906" s="17" t="s">
        <v>7747</v>
      </c>
      <c r="H906" s="7" t="s">
        <v>28</v>
      </c>
      <c r="I906" s="7" t="s">
        <v>297</v>
      </c>
      <c r="J906" s="7" t="s">
        <v>185</v>
      </c>
      <c r="K906" s="7" t="s">
        <v>1393</v>
      </c>
      <c r="L906" s="7" t="s">
        <v>136</v>
      </c>
      <c r="M906" s="7">
        <v>3.888417</v>
      </c>
      <c r="N906" s="7">
        <v>11.453438</v>
      </c>
      <c r="O906" s="7" t="s">
        <v>23</v>
      </c>
      <c r="P906" s="3"/>
      <c r="Q906" s="3"/>
      <c r="R906" s="3"/>
    </row>
    <row r="907" spans="1:18" x14ac:dyDescent="0.25">
      <c r="A907" s="2">
        <v>2110</v>
      </c>
      <c r="B907" s="7" t="s">
        <v>3938</v>
      </c>
      <c r="C907" s="7" t="s">
        <v>3939</v>
      </c>
      <c r="D907" s="7" t="s">
        <v>3938</v>
      </c>
      <c r="E907" s="7" t="s">
        <v>182</v>
      </c>
      <c r="F907" s="7" t="s">
        <v>3940</v>
      </c>
      <c r="G907" s="17" t="s">
        <v>7747</v>
      </c>
      <c r="H907" s="7" t="s">
        <v>19</v>
      </c>
      <c r="I907" s="7" t="s">
        <v>1374</v>
      </c>
      <c r="J907" s="7" t="s">
        <v>185</v>
      </c>
      <c r="K907" s="7" t="s">
        <v>1375</v>
      </c>
      <c r="L907" s="7" t="s">
        <v>136</v>
      </c>
      <c r="M907" s="7">
        <v>3.8838889999999999</v>
      </c>
      <c r="N907" s="7">
        <v>11.503181</v>
      </c>
      <c r="O907" s="7" t="s">
        <v>613</v>
      </c>
      <c r="P907" s="3"/>
      <c r="Q907" s="3"/>
      <c r="R907" s="3"/>
    </row>
    <row r="908" spans="1:18" x14ac:dyDescent="0.25">
      <c r="A908" s="2">
        <v>2111</v>
      </c>
      <c r="B908" s="7" t="s">
        <v>3941</v>
      </c>
      <c r="C908" s="7" t="s">
        <v>3942</v>
      </c>
      <c r="D908" s="7" t="s">
        <v>3941</v>
      </c>
      <c r="E908" s="7" t="s">
        <v>182</v>
      </c>
      <c r="F908" s="7" t="s">
        <v>3943</v>
      </c>
      <c r="G908" s="17" t="s">
        <v>7747</v>
      </c>
      <c r="H908" s="7" t="s">
        <v>28</v>
      </c>
      <c r="I908" s="7" t="s">
        <v>1385</v>
      </c>
      <c r="J908" s="7" t="s">
        <v>185</v>
      </c>
      <c r="K908" s="7" t="s">
        <v>1367</v>
      </c>
      <c r="L908" s="7" t="s">
        <v>136</v>
      </c>
      <c r="M908" s="7">
        <v>3.7755000000000001</v>
      </c>
      <c r="N908" s="7">
        <v>11.53762</v>
      </c>
      <c r="O908" s="7" t="s">
        <v>23</v>
      </c>
      <c r="P908" s="3"/>
      <c r="Q908" s="3"/>
      <c r="R908" s="3"/>
    </row>
    <row r="909" spans="1:18" x14ac:dyDescent="0.25">
      <c r="A909" s="2">
        <v>2112</v>
      </c>
      <c r="B909" s="7" t="s">
        <v>3947</v>
      </c>
      <c r="C909" s="7" t="s">
        <v>3948</v>
      </c>
      <c r="D909" s="7" t="s">
        <v>3947</v>
      </c>
      <c r="E909" s="7" t="s">
        <v>182</v>
      </c>
      <c r="F909" s="7" t="s">
        <v>3949</v>
      </c>
      <c r="G909" s="17" t="s">
        <v>7747</v>
      </c>
      <c r="H909" s="7" t="s">
        <v>19</v>
      </c>
      <c r="I909" s="7" t="s">
        <v>807</v>
      </c>
      <c r="J909" s="7" t="s">
        <v>185</v>
      </c>
      <c r="K909" s="7" t="s">
        <v>808</v>
      </c>
      <c r="L909" s="7" t="s">
        <v>136</v>
      </c>
      <c r="M909" s="7">
        <v>3.9055</v>
      </c>
      <c r="N909" s="7">
        <v>11.533401</v>
      </c>
      <c r="O909" s="7" t="s">
        <v>613</v>
      </c>
      <c r="P909" s="3"/>
      <c r="Q909" s="3"/>
      <c r="R909" s="3"/>
    </row>
    <row r="910" spans="1:18" x14ac:dyDescent="0.25">
      <c r="A910" s="2">
        <v>2113</v>
      </c>
      <c r="B910" s="7" t="s">
        <v>3950</v>
      </c>
      <c r="C910" s="7" t="s">
        <v>3951</v>
      </c>
      <c r="D910" s="7" t="s">
        <v>3950</v>
      </c>
      <c r="E910" s="7" t="s">
        <v>182</v>
      </c>
      <c r="F910" s="7" t="s">
        <v>3952</v>
      </c>
      <c r="G910" s="17" t="s">
        <v>7747</v>
      </c>
      <c r="H910" s="7" t="s">
        <v>28</v>
      </c>
      <c r="I910" s="7" t="s">
        <v>1374</v>
      </c>
      <c r="J910" s="7" t="s">
        <v>185</v>
      </c>
      <c r="K910" s="7" t="s">
        <v>1375</v>
      </c>
      <c r="L910" s="7" t="s">
        <v>136</v>
      </c>
      <c r="M910" s="7">
        <v>3.889472</v>
      </c>
      <c r="N910" s="7">
        <v>11.507250000000001</v>
      </c>
      <c r="O910" s="7" t="s">
        <v>613</v>
      </c>
      <c r="P910" s="3"/>
      <c r="Q910" s="3"/>
      <c r="R910" s="3"/>
    </row>
    <row r="911" spans="1:18" x14ac:dyDescent="0.25">
      <c r="A911" s="2">
        <v>2114</v>
      </c>
      <c r="B911" s="7" t="s">
        <v>3953</v>
      </c>
      <c r="C911" s="7" t="s">
        <v>3954</v>
      </c>
      <c r="D911" s="7" t="s">
        <v>3953</v>
      </c>
      <c r="E911" s="7" t="s">
        <v>182</v>
      </c>
      <c r="F911" s="7" t="s">
        <v>3955</v>
      </c>
      <c r="G911" s="17" t="s">
        <v>7747</v>
      </c>
      <c r="H911" s="7" t="s">
        <v>19</v>
      </c>
      <c r="I911" s="7" t="s">
        <v>1385</v>
      </c>
      <c r="J911" s="7" t="s">
        <v>185</v>
      </c>
      <c r="K911" s="7" t="s">
        <v>1367</v>
      </c>
      <c r="L911" s="7" t="s">
        <v>136</v>
      </c>
      <c r="M911" s="7">
        <v>3.75454</v>
      </c>
      <c r="N911" s="7">
        <v>11.53454</v>
      </c>
      <c r="O911" s="7" t="s">
        <v>23</v>
      </c>
      <c r="P911" s="3"/>
      <c r="Q911" s="3"/>
      <c r="R911" s="3"/>
    </row>
    <row r="912" spans="1:18" x14ac:dyDescent="0.25">
      <c r="A912" s="2">
        <v>2115</v>
      </c>
      <c r="B912" s="7" t="s">
        <v>3956</v>
      </c>
      <c r="C912" s="7" t="s">
        <v>3957</v>
      </c>
      <c r="D912" s="7" t="s">
        <v>3956</v>
      </c>
      <c r="E912" s="7" t="s">
        <v>182</v>
      </c>
      <c r="F912" s="7" t="s">
        <v>3958</v>
      </c>
      <c r="G912" s="17" t="s">
        <v>7747</v>
      </c>
      <c r="H912" s="7" t="s">
        <v>19</v>
      </c>
      <c r="I912" s="7" t="s">
        <v>184</v>
      </c>
      <c r="J912" s="7" t="s">
        <v>185</v>
      </c>
      <c r="K912" s="7" t="s">
        <v>1435</v>
      </c>
      <c r="L912" s="7" t="s">
        <v>136</v>
      </c>
      <c r="M912" s="7">
        <v>3.8879999999999999</v>
      </c>
      <c r="N912" s="7">
        <v>11.54</v>
      </c>
      <c r="O912" s="7" t="s">
        <v>613</v>
      </c>
      <c r="P912" s="3"/>
      <c r="Q912" s="3"/>
      <c r="R912" s="3"/>
    </row>
    <row r="913" spans="1:18" x14ac:dyDescent="0.25">
      <c r="A913" s="2">
        <v>2116</v>
      </c>
      <c r="B913" s="7" t="s">
        <v>3959</v>
      </c>
      <c r="C913" s="7" t="s">
        <v>3960</v>
      </c>
      <c r="D913" s="7" t="s">
        <v>3959</v>
      </c>
      <c r="E913" s="7" t="s">
        <v>182</v>
      </c>
      <c r="F913" s="7" t="s">
        <v>3961</v>
      </c>
      <c r="G913" s="17" t="s">
        <v>7747</v>
      </c>
      <c r="H913" s="7" t="s">
        <v>28</v>
      </c>
      <c r="I913" s="7" t="s">
        <v>1461</v>
      </c>
      <c r="J913" s="7" t="s">
        <v>185</v>
      </c>
      <c r="K913" s="7" t="s">
        <v>1367</v>
      </c>
      <c r="L913" s="7" t="s">
        <v>136</v>
      </c>
      <c r="M913" s="7">
        <v>3.8257110000000001</v>
      </c>
      <c r="N913" s="7">
        <v>11.492353</v>
      </c>
      <c r="O913" s="7" t="s">
        <v>23</v>
      </c>
      <c r="P913" s="3"/>
      <c r="Q913" s="3"/>
      <c r="R913" s="3"/>
    </row>
    <row r="914" spans="1:18" x14ac:dyDescent="0.25">
      <c r="A914" s="2">
        <v>2117</v>
      </c>
      <c r="B914" s="7" t="s">
        <v>3976</v>
      </c>
      <c r="C914" s="7" t="s">
        <v>3977</v>
      </c>
      <c r="D914" s="7" t="s">
        <v>3976</v>
      </c>
      <c r="E914" s="7" t="s">
        <v>182</v>
      </c>
      <c r="F914" s="7" t="s">
        <v>3978</v>
      </c>
      <c r="G914" s="17" t="s">
        <v>7747</v>
      </c>
      <c r="H914" s="7" t="s">
        <v>28</v>
      </c>
      <c r="I914" s="7" t="s">
        <v>1461</v>
      </c>
      <c r="J914" s="7" t="s">
        <v>185</v>
      </c>
      <c r="K914" s="7" t="s">
        <v>1367</v>
      </c>
      <c r="L914" s="7" t="s">
        <v>136</v>
      </c>
      <c r="M914" s="7">
        <v>3.8236400000000001</v>
      </c>
      <c r="N914" s="7">
        <v>11.516439999999999</v>
      </c>
      <c r="O914" s="7" t="s">
        <v>613</v>
      </c>
      <c r="P914" s="3"/>
      <c r="Q914" s="3"/>
      <c r="R914" s="3"/>
    </row>
    <row r="915" spans="1:18" x14ac:dyDescent="0.25">
      <c r="A915" s="2">
        <v>2118</v>
      </c>
      <c r="B915" s="7" t="s">
        <v>3985</v>
      </c>
      <c r="C915" s="7" t="s">
        <v>3986</v>
      </c>
      <c r="D915" s="7" t="s">
        <v>3985</v>
      </c>
      <c r="E915" s="7" t="s">
        <v>182</v>
      </c>
      <c r="F915" s="7" t="s">
        <v>3987</v>
      </c>
      <c r="G915" s="17" t="s">
        <v>7747</v>
      </c>
      <c r="H915" s="7" t="s">
        <v>28</v>
      </c>
      <c r="I915" s="7" t="s">
        <v>1766</v>
      </c>
      <c r="J915" s="7" t="s">
        <v>185</v>
      </c>
      <c r="K915" s="7" t="s">
        <v>808</v>
      </c>
      <c r="L915" s="7" t="s">
        <v>136</v>
      </c>
      <c r="M915" s="7">
        <v>3.9587219999999999</v>
      </c>
      <c r="N915" s="7">
        <v>11.508889</v>
      </c>
      <c r="O915" s="7" t="s">
        <v>23</v>
      </c>
      <c r="P915" s="3"/>
      <c r="Q915" s="3"/>
      <c r="R915" s="3"/>
    </row>
    <row r="916" spans="1:18" x14ac:dyDescent="0.25">
      <c r="A916" s="2">
        <v>2119</v>
      </c>
      <c r="B916" s="7" t="s">
        <v>3997</v>
      </c>
      <c r="C916" s="7" t="s">
        <v>3998</v>
      </c>
      <c r="D916" s="7" t="s">
        <v>3997</v>
      </c>
      <c r="E916" s="7" t="s">
        <v>182</v>
      </c>
      <c r="F916" s="7" t="s">
        <v>2175</v>
      </c>
      <c r="G916" s="17" t="s">
        <v>7747</v>
      </c>
      <c r="H916" s="7" t="s">
        <v>19</v>
      </c>
      <c r="I916" s="7" t="s">
        <v>817</v>
      </c>
      <c r="J916" s="7" t="s">
        <v>826</v>
      </c>
      <c r="K916" s="7" t="s">
        <v>819</v>
      </c>
      <c r="L916" s="7" t="s">
        <v>136</v>
      </c>
      <c r="M916" s="7">
        <v>3.8914390000000001</v>
      </c>
      <c r="N916" s="7">
        <v>11.88335</v>
      </c>
      <c r="O916" s="7" t="s">
        <v>23</v>
      </c>
      <c r="P916" s="3"/>
      <c r="Q916" s="3"/>
      <c r="R916" s="3"/>
    </row>
    <row r="917" spans="1:18" x14ac:dyDescent="0.25">
      <c r="A917" s="2">
        <v>2120</v>
      </c>
      <c r="B917" s="7" t="s">
        <v>4003</v>
      </c>
      <c r="C917" s="7" t="s">
        <v>4004</v>
      </c>
      <c r="D917" s="7" t="s">
        <v>4003</v>
      </c>
      <c r="E917" s="7" t="s">
        <v>250</v>
      </c>
      <c r="F917" s="7" t="s">
        <v>4005</v>
      </c>
      <c r="G917" s="17" t="s">
        <v>7747</v>
      </c>
      <c r="H917" s="7" t="s">
        <v>28</v>
      </c>
      <c r="I917" s="7" t="s">
        <v>311</v>
      </c>
      <c r="J917" s="7" t="s">
        <v>312</v>
      </c>
      <c r="K917" s="7" t="s">
        <v>4006</v>
      </c>
      <c r="L917" s="7" t="s">
        <v>136</v>
      </c>
      <c r="M917" s="7">
        <v>2.8772549999999999</v>
      </c>
      <c r="N917" s="7">
        <v>11.147535</v>
      </c>
      <c r="O917" s="7" t="s">
        <v>23</v>
      </c>
      <c r="P917" s="3"/>
      <c r="Q917" s="3"/>
      <c r="R917" s="3"/>
    </row>
    <row r="918" spans="1:18" x14ac:dyDescent="0.25">
      <c r="A918" s="2">
        <v>2121</v>
      </c>
      <c r="B918" s="7" t="s">
        <v>4019</v>
      </c>
      <c r="C918" s="7" t="s">
        <v>4020</v>
      </c>
      <c r="D918" s="7" t="s">
        <v>4019</v>
      </c>
      <c r="E918" s="7" t="s">
        <v>182</v>
      </c>
      <c r="F918" s="7" t="s">
        <v>4021</v>
      </c>
      <c r="G918" s="17" t="s">
        <v>7747</v>
      </c>
      <c r="H918" s="7" t="s">
        <v>28</v>
      </c>
      <c r="I918" s="7" t="s">
        <v>286</v>
      </c>
      <c r="J918" s="7" t="s">
        <v>298</v>
      </c>
      <c r="K918" s="7" t="s">
        <v>1746</v>
      </c>
      <c r="L918" s="7" t="s">
        <v>136</v>
      </c>
      <c r="M918" s="7">
        <v>4.5143500000000003</v>
      </c>
      <c r="N918" s="7">
        <v>12.116822000000001</v>
      </c>
      <c r="O918" s="7" t="s">
        <v>23</v>
      </c>
      <c r="P918" s="3"/>
      <c r="Q918" s="3"/>
      <c r="R918" s="3"/>
    </row>
    <row r="919" spans="1:18" x14ac:dyDescent="0.25">
      <c r="A919" s="2">
        <v>2122</v>
      </c>
      <c r="B919" s="7" t="s">
        <v>4041</v>
      </c>
      <c r="C919" s="7" t="s">
        <v>4042</v>
      </c>
      <c r="D919" s="7" t="s">
        <v>4041</v>
      </c>
      <c r="E919" s="7" t="s">
        <v>182</v>
      </c>
      <c r="F919" s="7" t="s">
        <v>1615</v>
      </c>
      <c r="G919" s="17" t="s">
        <v>7747</v>
      </c>
      <c r="H919" s="7" t="s">
        <v>19</v>
      </c>
      <c r="I919" s="7" t="s">
        <v>374</v>
      </c>
      <c r="J919" s="7" t="s">
        <v>287</v>
      </c>
      <c r="K919" s="7" t="s">
        <v>337</v>
      </c>
      <c r="L919" s="7" t="s">
        <v>136</v>
      </c>
      <c r="M919" s="7">
        <v>4.246747</v>
      </c>
      <c r="N919" s="7">
        <v>11.190440000000001</v>
      </c>
      <c r="O919" s="7" t="s">
        <v>23</v>
      </c>
      <c r="P919" s="3"/>
      <c r="Q919" s="3"/>
      <c r="R919" s="3"/>
    </row>
    <row r="920" spans="1:18" x14ac:dyDescent="0.25">
      <c r="A920" s="2">
        <v>2124</v>
      </c>
      <c r="B920" s="7" t="s">
        <v>4109</v>
      </c>
      <c r="C920" s="7" t="s">
        <v>4110</v>
      </c>
      <c r="D920" s="7" t="s">
        <v>4109</v>
      </c>
      <c r="E920" s="7" t="s">
        <v>182</v>
      </c>
      <c r="F920" s="7" t="s">
        <v>4111</v>
      </c>
      <c r="G920" s="17" t="s">
        <v>7747</v>
      </c>
      <c r="H920" s="7" t="s">
        <v>28</v>
      </c>
      <c r="I920" s="7" t="s">
        <v>184</v>
      </c>
      <c r="J920" s="7" t="s">
        <v>185</v>
      </c>
      <c r="K920" s="7" t="s">
        <v>186</v>
      </c>
      <c r="L920" s="7" t="s">
        <v>136</v>
      </c>
      <c r="M920" s="7">
        <v>3.9709099999999999</v>
      </c>
      <c r="N920" s="7">
        <v>11.604179999999999</v>
      </c>
      <c r="O920" s="7" t="s">
        <v>23</v>
      </c>
      <c r="P920" s="3"/>
      <c r="Q920" s="3"/>
      <c r="R920" s="3"/>
    </row>
    <row r="921" spans="1:18" x14ac:dyDescent="0.25">
      <c r="A921" s="2">
        <v>2125</v>
      </c>
      <c r="B921" s="7" t="s">
        <v>4124</v>
      </c>
      <c r="C921" s="7" t="s">
        <v>4125</v>
      </c>
      <c r="D921" s="7" t="s">
        <v>4124</v>
      </c>
      <c r="E921" s="7" t="s">
        <v>182</v>
      </c>
      <c r="F921" s="7" t="s">
        <v>4126</v>
      </c>
      <c r="G921" s="17" t="s">
        <v>7747</v>
      </c>
      <c r="H921" s="7" t="s">
        <v>28</v>
      </c>
      <c r="I921" s="7" t="s">
        <v>1461</v>
      </c>
      <c r="J921" s="7" t="s">
        <v>185</v>
      </c>
      <c r="K921" s="7" t="s">
        <v>1367</v>
      </c>
      <c r="L921" s="7" t="s">
        <v>136</v>
      </c>
      <c r="M921" s="7">
        <v>3.783995</v>
      </c>
      <c r="N921" s="7">
        <v>11.511380000000001</v>
      </c>
      <c r="O921" s="7" t="s">
        <v>23</v>
      </c>
      <c r="P921" s="3"/>
      <c r="Q921" s="3"/>
      <c r="R921" s="3"/>
    </row>
    <row r="922" spans="1:18" x14ac:dyDescent="0.25">
      <c r="A922" s="2">
        <v>2126</v>
      </c>
      <c r="B922" s="7" t="s">
        <v>4147</v>
      </c>
      <c r="C922" s="7" t="s">
        <v>4148</v>
      </c>
      <c r="D922" s="7" t="s">
        <v>4147</v>
      </c>
      <c r="E922" s="7" t="s">
        <v>182</v>
      </c>
      <c r="F922" s="7" t="s">
        <v>1539</v>
      </c>
      <c r="G922" s="17" t="s">
        <v>7747</v>
      </c>
      <c r="H922" s="7" t="s">
        <v>19</v>
      </c>
      <c r="I922" s="7" t="s">
        <v>817</v>
      </c>
      <c r="J922" s="7" t="s">
        <v>818</v>
      </c>
      <c r="K922" s="7" t="s">
        <v>1540</v>
      </c>
      <c r="L922" s="7" t="s">
        <v>136</v>
      </c>
      <c r="M922" s="7">
        <v>3.9162249999999998</v>
      </c>
      <c r="N922" s="7">
        <v>12.527517</v>
      </c>
      <c r="O922" s="7" t="s">
        <v>23</v>
      </c>
      <c r="P922" s="3"/>
      <c r="Q922" s="3"/>
      <c r="R922" s="3"/>
    </row>
    <row r="923" spans="1:18" x14ac:dyDescent="0.25">
      <c r="A923" s="2">
        <v>2127</v>
      </c>
      <c r="B923" s="7" t="s">
        <v>4155</v>
      </c>
      <c r="C923" s="7" t="s">
        <v>4156</v>
      </c>
      <c r="D923" s="7" t="s">
        <v>4155</v>
      </c>
      <c r="E923" s="7" t="s">
        <v>182</v>
      </c>
      <c r="F923" s="7" t="s">
        <v>4157</v>
      </c>
      <c r="G923" s="17" t="s">
        <v>7747</v>
      </c>
      <c r="H923" s="7" t="s">
        <v>28</v>
      </c>
      <c r="I923" s="7" t="s">
        <v>275</v>
      </c>
      <c r="J923" s="7" t="s">
        <v>276</v>
      </c>
      <c r="K923" s="7" t="s">
        <v>4158</v>
      </c>
      <c r="L923" s="7" t="s">
        <v>136</v>
      </c>
      <c r="M923" s="7">
        <v>3.6002890000000001</v>
      </c>
      <c r="N923" s="7">
        <v>11.254806</v>
      </c>
      <c r="O923" s="7" t="s">
        <v>23</v>
      </c>
      <c r="P923" s="3"/>
      <c r="Q923" s="3"/>
      <c r="R923" s="3"/>
    </row>
    <row r="924" spans="1:18" x14ac:dyDescent="0.25">
      <c r="A924" s="2">
        <v>2129</v>
      </c>
      <c r="B924" s="7" t="s">
        <v>4171</v>
      </c>
      <c r="C924" s="7" t="s">
        <v>4172</v>
      </c>
      <c r="D924" s="7" t="s">
        <v>4171</v>
      </c>
      <c r="E924" s="7" t="s">
        <v>182</v>
      </c>
      <c r="F924" s="7" t="s">
        <v>4173</v>
      </c>
      <c r="G924" s="17" t="s">
        <v>7747</v>
      </c>
      <c r="H924" s="7" t="s">
        <v>19</v>
      </c>
      <c r="I924" s="7" t="s">
        <v>286</v>
      </c>
      <c r="J924" s="7" t="s">
        <v>287</v>
      </c>
      <c r="K924" s="7" t="s">
        <v>288</v>
      </c>
      <c r="L924" s="7" t="s">
        <v>136</v>
      </c>
      <c r="M924" s="7">
        <v>4.161861</v>
      </c>
      <c r="N924" s="7">
        <v>11.538111000000001</v>
      </c>
      <c r="O924" s="7" t="s">
        <v>23</v>
      </c>
      <c r="P924" s="3"/>
      <c r="Q924" s="3"/>
      <c r="R924" s="3"/>
    </row>
    <row r="925" spans="1:18" x14ac:dyDescent="0.25">
      <c r="A925" s="2">
        <v>2130</v>
      </c>
      <c r="B925" s="7" t="s">
        <v>4205</v>
      </c>
      <c r="C925" s="7" t="s">
        <v>4206</v>
      </c>
      <c r="D925" s="7" t="s">
        <v>4205</v>
      </c>
      <c r="E925" s="7" t="s">
        <v>182</v>
      </c>
      <c r="F925" s="7" t="s">
        <v>4207</v>
      </c>
      <c r="G925" s="17" t="s">
        <v>7747</v>
      </c>
      <c r="H925" s="7" t="s">
        <v>28</v>
      </c>
      <c r="I925" s="7" t="s">
        <v>1461</v>
      </c>
      <c r="J925" s="7" t="s">
        <v>185</v>
      </c>
      <c r="K925" s="7" t="s">
        <v>1462</v>
      </c>
      <c r="L925" s="7" t="s">
        <v>136</v>
      </c>
      <c r="M925" s="7">
        <v>3.8144300000000002</v>
      </c>
      <c r="N925" s="7">
        <v>11.505129999999999</v>
      </c>
      <c r="O925" s="7" t="s">
        <v>613</v>
      </c>
      <c r="P925" s="3"/>
      <c r="Q925" s="3"/>
      <c r="R925" s="3"/>
    </row>
    <row r="926" spans="1:18" x14ac:dyDescent="0.25">
      <c r="A926" s="2">
        <v>2131</v>
      </c>
      <c r="B926" s="7" t="s">
        <v>4226</v>
      </c>
      <c r="C926" s="7" t="s">
        <v>4227</v>
      </c>
      <c r="D926" s="7" t="s">
        <v>4226</v>
      </c>
      <c r="E926" s="7" t="s">
        <v>182</v>
      </c>
      <c r="F926" s="7" t="s">
        <v>4228</v>
      </c>
      <c r="G926" s="17" t="s">
        <v>7747</v>
      </c>
      <c r="H926" s="7" t="s">
        <v>28</v>
      </c>
      <c r="I926" s="7" t="s">
        <v>1766</v>
      </c>
      <c r="J926" s="7" t="s">
        <v>185</v>
      </c>
      <c r="K926" s="7" t="s">
        <v>808</v>
      </c>
      <c r="L926" s="7" t="s">
        <v>136</v>
      </c>
      <c r="M926" s="7">
        <v>3.9268610000000002</v>
      </c>
      <c r="N926" s="7">
        <v>11.520417</v>
      </c>
      <c r="O926" s="7" t="s">
        <v>23</v>
      </c>
      <c r="P926" s="3"/>
      <c r="Q926" s="3"/>
      <c r="R926" s="3"/>
    </row>
    <row r="927" spans="1:18" x14ac:dyDescent="0.25">
      <c r="A927" s="2">
        <v>2132</v>
      </c>
      <c r="B927" s="7" t="s">
        <v>4232</v>
      </c>
      <c r="C927" s="7" t="s">
        <v>4233</v>
      </c>
      <c r="D927" s="7" t="s">
        <v>4232</v>
      </c>
      <c r="E927" s="7" t="s">
        <v>182</v>
      </c>
      <c r="F927" s="7" t="s">
        <v>4234</v>
      </c>
      <c r="G927" s="17" t="s">
        <v>7747</v>
      </c>
      <c r="H927" s="7" t="s">
        <v>28</v>
      </c>
      <c r="I927" s="7" t="s">
        <v>1553</v>
      </c>
      <c r="J927" s="7" t="s">
        <v>826</v>
      </c>
      <c r="K927" s="7" t="s">
        <v>819</v>
      </c>
      <c r="L927" s="7" t="s">
        <v>136</v>
      </c>
      <c r="M927" s="7">
        <v>3.8754599999999999</v>
      </c>
      <c r="N927" s="7">
        <v>11.587070000000001</v>
      </c>
      <c r="O927" s="7" t="s">
        <v>23</v>
      </c>
      <c r="P927" s="3"/>
      <c r="Q927" s="3"/>
      <c r="R927" s="3"/>
    </row>
    <row r="928" spans="1:18" x14ac:dyDescent="0.25">
      <c r="A928" s="2">
        <v>2133</v>
      </c>
      <c r="B928" s="7" t="s">
        <v>4252</v>
      </c>
      <c r="C928" s="7" t="s">
        <v>4253</v>
      </c>
      <c r="D928" s="7" t="s">
        <v>4252</v>
      </c>
      <c r="E928" s="7" t="s">
        <v>182</v>
      </c>
      <c r="F928" s="7" t="s">
        <v>4254</v>
      </c>
      <c r="G928" s="17" t="s">
        <v>7747</v>
      </c>
      <c r="H928" s="7" t="s">
        <v>28</v>
      </c>
      <c r="I928" s="7" t="s">
        <v>600</v>
      </c>
      <c r="J928" s="7" t="s">
        <v>208</v>
      </c>
      <c r="K928" s="7" t="s">
        <v>1965</v>
      </c>
      <c r="L928" s="7" t="s">
        <v>136</v>
      </c>
      <c r="M928" s="7">
        <v>3.94997</v>
      </c>
      <c r="N928" s="7">
        <v>10.83384</v>
      </c>
      <c r="O928" s="7" t="s">
        <v>23</v>
      </c>
      <c r="P928" s="3"/>
      <c r="Q928" s="3"/>
      <c r="R928" s="3"/>
    </row>
    <row r="929" spans="1:18" x14ac:dyDescent="0.25">
      <c r="A929" s="2">
        <v>2134</v>
      </c>
      <c r="B929" s="7" t="s">
        <v>4261</v>
      </c>
      <c r="C929" s="7" t="s">
        <v>4262</v>
      </c>
      <c r="D929" s="7" t="s">
        <v>4261</v>
      </c>
      <c r="E929" s="7" t="s">
        <v>182</v>
      </c>
      <c r="F929" s="7" t="s">
        <v>4263</v>
      </c>
      <c r="G929" s="17" t="s">
        <v>7747</v>
      </c>
      <c r="H929" s="7" t="s">
        <v>19</v>
      </c>
      <c r="I929" s="7" t="s">
        <v>275</v>
      </c>
      <c r="J929" s="7" t="s">
        <v>208</v>
      </c>
      <c r="K929" s="7" t="s">
        <v>485</v>
      </c>
      <c r="L929" s="7" t="s">
        <v>136</v>
      </c>
      <c r="M929" s="7">
        <v>3.6194630000000001</v>
      </c>
      <c r="N929" s="7">
        <v>11.107618</v>
      </c>
      <c r="O929" s="7" t="s">
        <v>23</v>
      </c>
      <c r="P929" s="3"/>
      <c r="Q929" s="3"/>
      <c r="R929" s="3"/>
    </row>
    <row r="930" spans="1:18" x14ac:dyDescent="0.25">
      <c r="A930" s="2">
        <v>2135</v>
      </c>
      <c r="B930" s="7" t="s">
        <v>4292</v>
      </c>
      <c r="C930" s="7" t="s">
        <v>4293</v>
      </c>
      <c r="D930" s="7" t="s">
        <v>4292</v>
      </c>
      <c r="E930" s="7" t="s">
        <v>250</v>
      </c>
      <c r="F930" s="7" t="s">
        <v>4294</v>
      </c>
      <c r="G930" s="17" t="s">
        <v>7747</v>
      </c>
      <c r="H930" s="7" t="s">
        <v>19</v>
      </c>
      <c r="I930" s="7" t="s">
        <v>322</v>
      </c>
      <c r="J930" s="7" t="s">
        <v>253</v>
      </c>
      <c r="K930" s="7" t="s">
        <v>324</v>
      </c>
      <c r="L930" s="7" t="s">
        <v>136</v>
      </c>
      <c r="M930" s="7">
        <v>3.2509000000000001</v>
      </c>
      <c r="N930" s="7">
        <v>11.787701999999999</v>
      </c>
      <c r="O930" s="7" t="s">
        <v>23</v>
      </c>
      <c r="P930" s="3"/>
      <c r="Q930" s="3"/>
      <c r="R930" s="3"/>
    </row>
    <row r="931" spans="1:18" x14ac:dyDescent="0.25">
      <c r="A931" s="2">
        <v>2136</v>
      </c>
      <c r="B931" s="7" t="s">
        <v>4316</v>
      </c>
      <c r="C931" s="7" t="s">
        <v>4317</v>
      </c>
      <c r="D931" s="7" t="s">
        <v>4316</v>
      </c>
      <c r="E931" s="7" t="s">
        <v>182</v>
      </c>
      <c r="F931" s="7" t="s">
        <v>4318</v>
      </c>
      <c r="G931" s="17" t="s">
        <v>7747</v>
      </c>
      <c r="H931" s="7" t="s">
        <v>19</v>
      </c>
      <c r="I931" s="7" t="s">
        <v>600</v>
      </c>
      <c r="J931" s="7" t="s">
        <v>208</v>
      </c>
      <c r="K931" s="7" t="s">
        <v>1762</v>
      </c>
      <c r="L931" s="7" t="s">
        <v>136</v>
      </c>
      <c r="M931" s="7">
        <v>3.8881860000000001</v>
      </c>
      <c r="N931" s="7">
        <v>10.860806</v>
      </c>
      <c r="O931" s="7" t="s">
        <v>23</v>
      </c>
      <c r="P931" s="3"/>
      <c r="Q931" s="3"/>
      <c r="R931" s="3"/>
    </row>
    <row r="932" spans="1:18" x14ac:dyDescent="0.25">
      <c r="A932" s="2">
        <v>2137</v>
      </c>
      <c r="B932" s="7" t="s">
        <v>4325</v>
      </c>
      <c r="C932" s="7" t="s">
        <v>4326</v>
      </c>
      <c r="D932" s="7" t="s">
        <v>4325</v>
      </c>
      <c r="E932" s="7" t="s">
        <v>182</v>
      </c>
      <c r="F932" s="7" t="s">
        <v>4327</v>
      </c>
      <c r="G932" s="17" t="s">
        <v>7747</v>
      </c>
      <c r="H932" s="7" t="s">
        <v>28</v>
      </c>
      <c r="I932" s="7" t="s">
        <v>286</v>
      </c>
      <c r="J932" s="7" t="s">
        <v>287</v>
      </c>
      <c r="K932" s="7" t="s">
        <v>288</v>
      </c>
      <c r="L932" s="7" t="s">
        <v>136</v>
      </c>
      <c r="M932" s="7">
        <v>4.2094360000000002</v>
      </c>
      <c r="N932" s="7">
        <v>11.445254</v>
      </c>
      <c r="O932" s="7" t="s">
        <v>23</v>
      </c>
      <c r="P932" s="3"/>
      <c r="Q932" s="3"/>
      <c r="R932" s="3"/>
    </row>
    <row r="933" spans="1:18" x14ac:dyDescent="0.25">
      <c r="A933" s="2">
        <v>2138</v>
      </c>
      <c r="B933" s="7" t="s">
        <v>4333</v>
      </c>
      <c r="C933" s="7" t="s">
        <v>4334</v>
      </c>
      <c r="D933" s="7" t="s">
        <v>4333</v>
      </c>
      <c r="E933" s="7" t="s">
        <v>250</v>
      </c>
      <c r="F933" s="7" t="s">
        <v>4335</v>
      </c>
      <c r="G933" s="17" t="s">
        <v>7747</v>
      </c>
      <c r="H933" s="7" t="s">
        <v>28</v>
      </c>
      <c r="I933" s="7" t="s">
        <v>322</v>
      </c>
      <c r="J933" s="7" t="s">
        <v>253</v>
      </c>
      <c r="K933" s="7" t="s">
        <v>324</v>
      </c>
      <c r="L933" s="7" t="s">
        <v>136</v>
      </c>
      <c r="M933" s="7">
        <v>3.0377869999999998</v>
      </c>
      <c r="N933" s="7">
        <v>11.960108</v>
      </c>
      <c r="O933" s="7" t="s">
        <v>23</v>
      </c>
      <c r="P933" s="3"/>
      <c r="Q933" s="3"/>
      <c r="R933" s="3"/>
    </row>
    <row r="934" spans="1:18" x14ac:dyDescent="0.25">
      <c r="A934" s="2">
        <v>2139</v>
      </c>
      <c r="B934" s="7" t="s">
        <v>4368</v>
      </c>
      <c r="C934" s="7" t="s">
        <v>4369</v>
      </c>
      <c r="D934" s="7" t="s">
        <v>4368</v>
      </c>
      <c r="E934" s="7" t="s">
        <v>182</v>
      </c>
      <c r="F934" s="7" t="s">
        <v>4370</v>
      </c>
      <c r="G934" s="17" t="s">
        <v>7747</v>
      </c>
      <c r="H934" s="7" t="s">
        <v>28</v>
      </c>
      <c r="I934" s="7" t="s">
        <v>1553</v>
      </c>
      <c r="J934" s="7" t="s">
        <v>826</v>
      </c>
      <c r="K934" s="7" t="s">
        <v>819</v>
      </c>
      <c r="L934" s="7" t="s">
        <v>136</v>
      </c>
      <c r="M934" s="7">
        <v>3.8251710000000001</v>
      </c>
      <c r="N934" s="7">
        <v>11.553167</v>
      </c>
      <c r="O934" s="7" t="s">
        <v>23</v>
      </c>
      <c r="P934" s="3"/>
      <c r="Q934" s="3"/>
      <c r="R934" s="3"/>
    </row>
    <row r="935" spans="1:18" x14ac:dyDescent="0.25">
      <c r="A935" s="2">
        <v>2140</v>
      </c>
      <c r="B935" s="7" t="s">
        <v>4378</v>
      </c>
      <c r="C935" s="7" t="s">
        <v>4379</v>
      </c>
      <c r="D935" s="7" t="s">
        <v>4378</v>
      </c>
      <c r="E935" s="7" t="s">
        <v>250</v>
      </c>
      <c r="F935" s="7" t="s">
        <v>4380</v>
      </c>
      <c r="G935" s="17" t="s">
        <v>7747</v>
      </c>
      <c r="H935" s="7" t="s">
        <v>28</v>
      </c>
      <c r="I935" s="7" t="s">
        <v>322</v>
      </c>
      <c r="J935" s="7" t="s">
        <v>253</v>
      </c>
      <c r="K935" s="7" t="s">
        <v>4381</v>
      </c>
      <c r="L935" s="7" t="s">
        <v>136</v>
      </c>
      <c r="M935" s="7">
        <v>2.9537279999999999</v>
      </c>
      <c r="N935" s="7">
        <v>11.989599999999999</v>
      </c>
      <c r="O935" s="7" t="s">
        <v>23</v>
      </c>
      <c r="P935" s="3"/>
      <c r="Q935" s="3"/>
      <c r="R935" s="3"/>
    </row>
    <row r="936" spans="1:18" x14ac:dyDescent="0.25">
      <c r="A936" s="2">
        <v>2141</v>
      </c>
      <c r="B936" s="7" t="s">
        <v>4397</v>
      </c>
      <c r="C936" s="7" t="s">
        <v>4398</v>
      </c>
      <c r="D936" s="7" t="s">
        <v>4397</v>
      </c>
      <c r="E936" s="7" t="s">
        <v>182</v>
      </c>
      <c r="F936" s="7" t="s">
        <v>4399</v>
      </c>
      <c r="G936" s="17" t="s">
        <v>7747</v>
      </c>
      <c r="H936" s="7" t="s">
        <v>28</v>
      </c>
      <c r="I936" s="7" t="s">
        <v>1284</v>
      </c>
      <c r="J936" s="7" t="s">
        <v>185</v>
      </c>
      <c r="K936" s="7" t="s">
        <v>1322</v>
      </c>
      <c r="L936" s="7" t="s">
        <v>136</v>
      </c>
      <c r="M936" s="7">
        <v>3.798918</v>
      </c>
      <c r="N936" s="7">
        <v>11.486045000000001</v>
      </c>
      <c r="O936" s="7" t="s">
        <v>23</v>
      </c>
      <c r="P936" s="3"/>
      <c r="Q936" s="3"/>
      <c r="R936" s="3"/>
    </row>
    <row r="937" spans="1:18" x14ac:dyDescent="0.25">
      <c r="A937" s="2">
        <v>2142</v>
      </c>
      <c r="B937" s="7" t="s">
        <v>4409</v>
      </c>
      <c r="C937" s="7" t="s">
        <v>4410</v>
      </c>
      <c r="D937" s="7" t="s">
        <v>4409</v>
      </c>
      <c r="E937" s="7" t="s">
        <v>182</v>
      </c>
      <c r="F937" s="7" t="s">
        <v>4411</v>
      </c>
      <c r="G937" s="17" t="s">
        <v>7747</v>
      </c>
      <c r="H937" s="7" t="s">
        <v>19</v>
      </c>
      <c r="I937" s="7" t="s">
        <v>1461</v>
      </c>
      <c r="J937" s="7" t="s">
        <v>185</v>
      </c>
      <c r="K937" s="7" t="s">
        <v>1462</v>
      </c>
      <c r="L937" s="7" t="s">
        <v>136</v>
      </c>
      <c r="M937" s="7">
        <v>3.824872</v>
      </c>
      <c r="N937" s="7">
        <v>11.503826999999999</v>
      </c>
      <c r="O937" s="7" t="s">
        <v>23</v>
      </c>
      <c r="P937" s="3"/>
      <c r="Q937" s="3"/>
      <c r="R937" s="3"/>
    </row>
    <row r="938" spans="1:18" x14ac:dyDescent="0.25">
      <c r="A938" s="2">
        <v>2143</v>
      </c>
      <c r="B938" s="7" t="s">
        <v>4418</v>
      </c>
      <c r="C938" s="7" t="s">
        <v>4419</v>
      </c>
      <c r="D938" s="7" t="s">
        <v>4418</v>
      </c>
      <c r="E938" s="7" t="s">
        <v>182</v>
      </c>
      <c r="F938" s="7" t="s">
        <v>2043</v>
      </c>
      <c r="G938" s="17" t="s">
        <v>7747</v>
      </c>
      <c r="H938" s="7" t="s">
        <v>28</v>
      </c>
      <c r="I938" s="7" t="s">
        <v>297</v>
      </c>
      <c r="J938" s="7" t="s">
        <v>185</v>
      </c>
      <c r="K938" s="7" t="s">
        <v>1393</v>
      </c>
      <c r="L938" s="7" t="s">
        <v>136</v>
      </c>
      <c r="M938" s="7">
        <v>3.8803299999999998</v>
      </c>
      <c r="N938" s="7">
        <v>11.469139999999999</v>
      </c>
      <c r="O938" s="7" t="s">
        <v>23</v>
      </c>
      <c r="P938" s="3"/>
      <c r="Q938" s="3"/>
      <c r="R938" s="3"/>
    </row>
    <row r="939" spans="1:18" x14ac:dyDescent="0.25">
      <c r="A939" s="2">
        <v>2144</v>
      </c>
      <c r="B939" s="7" t="s">
        <v>4423</v>
      </c>
      <c r="C939" s="7" t="s">
        <v>4424</v>
      </c>
      <c r="D939" s="7" t="s">
        <v>4423</v>
      </c>
      <c r="E939" s="7" t="s">
        <v>182</v>
      </c>
      <c r="F939" s="7" t="s">
        <v>2677</v>
      </c>
      <c r="G939" s="17" t="s">
        <v>7747</v>
      </c>
      <c r="H939" s="7" t="s">
        <v>19</v>
      </c>
      <c r="I939" s="7" t="s">
        <v>1766</v>
      </c>
      <c r="J939" s="7" t="s">
        <v>185</v>
      </c>
      <c r="K939" s="7" t="s">
        <v>808</v>
      </c>
      <c r="L939" s="7" t="s">
        <v>136</v>
      </c>
      <c r="M939" s="7">
        <v>3.9659439999999999</v>
      </c>
      <c r="N939" s="7">
        <v>11.538278</v>
      </c>
      <c r="O939" s="7" t="s">
        <v>23</v>
      </c>
      <c r="P939" s="3"/>
      <c r="Q939" s="3"/>
      <c r="R939" s="3"/>
    </row>
    <row r="940" spans="1:18" x14ac:dyDescent="0.25">
      <c r="A940" s="2">
        <v>2145</v>
      </c>
      <c r="B940" s="7" t="s">
        <v>4435</v>
      </c>
      <c r="C940" s="7" t="s">
        <v>4436</v>
      </c>
      <c r="D940" s="7" t="s">
        <v>4435</v>
      </c>
      <c r="E940" s="7" t="s">
        <v>182</v>
      </c>
      <c r="F940" s="7" t="s">
        <v>4437</v>
      </c>
      <c r="G940" s="17" t="s">
        <v>7747</v>
      </c>
      <c r="H940" s="7" t="s">
        <v>28</v>
      </c>
      <c r="I940" s="7" t="s">
        <v>1461</v>
      </c>
      <c r="J940" s="7" t="s">
        <v>185</v>
      </c>
      <c r="K940" s="7" t="s">
        <v>1462</v>
      </c>
      <c r="L940" s="7" t="s">
        <v>136</v>
      </c>
      <c r="M940" s="7">
        <v>3.8394300000000001</v>
      </c>
      <c r="N940" s="7">
        <v>11.507379999999999</v>
      </c>
      <c r="O940" s="7" t="s">
        <v>613</v>
      </c>
      <c r="P940" s="3"/>
      <c r="Q940" s="3"/>
      <c r="R940" s="3"/>
    </row>
    <row r="941" spans="1:18" x14ac:dyDescent="0.25">
      <c r="A941" s="2">
        <v>2146</v>
      </c>
      <c r="B941" s="7" t="s">
        <v>4441</v>
      </c>
      <c r="C941" s="7" t="s">
        <v>4442</v>
      </c>
      <c r="D941" s="7" t="s">
        <v>4441</v>
      </c>
      <c r="E941" s="7" t="s">
        <v>182</v>
      </c>
      <c r="F941" s="7" t="s">
        <v>4443</v>
      </c>
      <c r="G941" s="17" t="s">
        <v>7747</v>
      </c>
      <c r="H941" s="7" t="s">
        <v>28</v>
      </c>
      <c r="I941" s="7" t="s">
        <v>1766</v>
      </c>
      <c r="J941" s="7" t="s">
        <v>185</v>
      </c>
      <c r="K941" s="7" t="s">
        <v>808</v>
      </c>
      <c r="L941" s="7" t="s">
        <v>136</v>
      </c>
      <c r="M941" s="7">
        <v>3.9577499999999999</v>
      </c>
      <c r="N941" s="7">
        <v>11.492305999999999</v>
      </c>
      <c r="O941" s="7" t="s">
        <v>23</v>
      </c>
      <c r="P941" s="3"/>
      <c r="Q941" s="3"/>
      <c r="R941" s="3"/>
    </row>
    <row r="942" spans="1:18" x14ac:dyDescent="0.25">
      <c r="A942" s="2">
        <v>2147</v>
      </c>
      <c r="B942" s="7" t="s">
        <v>4444</v>
      </c>
      <c r="C942" s="7" t="s">
        <v>4445</v>
      </c>
      <c r="D942" s="7" t="s">
        <v>4444</v>
      </c>
      <c r="E942" s="7" t="s">
        <v>250</v>
      </c>
      <c r="F942" s="7" t="s">
        <v>4446</v>
      </c>
      <c r="G942" s="17" t="s">
        <v>7747</v>
      </c>
      <c r="H942" s="7" t="s">
        <v>28</v>
      </c>
      <c r="I942" s="7" t="s">
        <v>322</v>
      </c>
      <c r="J942" s="7" t="s">
        <v>253</v>
      </c>
      <c r="K942" s="7" t="s">
        <v>324</v>
      </c>
      <c r="L942" s="7" t="s">
        <v>136</v>
      </c>
      <c r="M942" s="7">
        <v>2.9374349999999998</v>
      </c>
      <c r="N942" s="7">
        <v>11.975880999999999</v>
      </c>
      <c r="O942" s="7" t="s">
        <v>23</v>
      </c>
      <c r="P942" s="3"/>
      <c r="Q942" s="3"/>
      <c r="R942" s="3"/>
    </row>
    <row r="943" spans="1:18" x14ac:dyDescent="0.25">
      <c r="A943" s="2">
        <v>2148</v>
      </c>
      <c r="B943" s="7" t="s">
        <v>4453</v>
      </c>
      <c r="C943" s="7" t="s">
        <v>4454</v>
      </c>
      <c r="D943" s="7" t="s">
        <v>4453</v>
      </c>
      <c r="E943" s="7" t="s">
        <v>182</v>
      </c>
      <c r="F943" s="7" t="s">
        <v>4455</v>
      </c>
      <c r="G943" s="17" t="s">
        <v>7747</v>
      </c>
      <c r="H943" s="7" t="s">
        <v>19</v>
      </c>
      <c r="I943" s="7" t="s">
        <v>1461</v>
      </c>
      <c r="J943" s="7" t="s">
        <v>185</v>
      </c>
      <c r="K943" s="7" t="s">
        <v>1462</v>
      </c>
      <c r="L943" s="7" t="s">
        <v>136</v>
      </c>
      <c r="M943" s="7">
        <v>3.8405499999999999</v>
      </c>
      <c r="N943" s="7">
        <v>11.497529999999999</v>
      </c>
      <c r="O943" s="7" t="s">
        <v>613</v>
      </c>
      <c r="P943" s="3"/>
      <c r="Q943" s="3"/>
      <c r="R943" s="3"/>
    </row>
    <row r="944" spans="1:18" x14ac:dyDescent="0.25">
      <c r="A944" s="2">
        <v>2149</v>
      </c>
      <c r="B944" s="7" t="s">
        <v>4456</v>
      </c>
      <c r="C944" s="7" t="s">
        <v>4457</v>
      </c>
      <c r="D944" s="7" t="s">
        <v>4456</v>
      </c>
      <c r="E944" s="7" t="s">
        <v>182</v>
      </c>
      <c r="F944" s="7" t="s">
        <v>4458</v>
      </c>
      <c r="G944" s="17" t="s">
        <v>7747</v>
      </c>
      <c r="H944" s="7" t="s">
        <v>28</v>
      </c>
      <c r="I944" s="7" t="s">
        <v>1461</v>
      </c>
      <c r="J944" s="7" t="s">
        <v>185</v>
      </c>
      <c r="K944" s="7" t="s">
        <v>1367</v>
      </c>
      <c r="L944" s="7" t="s">
        <v>136</v>
      </c>
      <c r="M944" s="7">
        <v>3.7937400000000001</v>
      </c>
      <c r="N944" s="7">
        <v>11.51366</v>
      </c>
      <c r="O944" s="7" t="s">
        <v>23</v>
      </c>
      <c r="P944" s="3"/>
      <c r="Q944" s="3"/>
      <c r="R944" s="3"/>
    </row>
    <row r="945" spans="1:18" x14ac:dyDescent="0.25">
      <c r="A945" s="2">
        <v>2150</v>
      </c>
      <c r="B945" s="7" t="s">
        <v>4465</v>
      </c>
      <c r="C945" s="7" t="s">
        <v>4466</v>
      </c>
      <c r="D945" s="7" t="s">
        <v>4465</v>
      </c>
      <c r="E945" s="7" t="s">
        <v>182</v>
      </c>
      <c r="F945" s="7" t="s">
        <v>4467</v>
      </c>
      <c r="G945" s="17" t="s">
        <v>7747</v>
      </c>
      <c r="H945" s="7" t="s">
        <v>28</v>
      </c>
      <c r="I945" s="7" t="s">
        <v>1461</v>
      </c>
      <c r="J945" s="7" t="s">
        <v>185</v>
      </c>
      <c r="K945" s="7" t="s">
        <v>1367</v>
      </c>
      <c r="L945" s="7" t="s">
        <v>136</v>
      </c>
      <c r="M945" s="7">
        <v>3.8004880000000001</v>
      </c>
      <c r="N945" s="7">
        <v>11.516728000000001</v>
      </c>
      <c r="O945" s="7" t="s">
        <v>23</v>
      </c>
      <c r="P945" s="3"/>
      <c r="Q945" s="3"/>
      <c r="R945" s="3"/>
    </row>
    <row r="946" spans="1:18" x14ac:dyDescent="0.25">
      <c r="A946" s="2">
        <v>2151</v>
      </c>
      <c r="B946" s="7" t="s">
        <v>4471</v>
      </c>
      <c r="C946" s="7" t="s">
        <v>4472</v>
      </c>
      <c r="D946" s="7" t="s">
        <v>4471</v>
      </c>
      <c r="E946" s="7" t="s">
        <v>182</v>
      </c>
      <c r="F946" s="7" t="s">
        <v>4473</v>
      </c>
      <c r="G946" s="17" t="s">
        <v>7747</v>
      </c>
      <c r="H946" s="7" t="s">
        <v>28</v>
      </c>
      <c r="I946" s="7" t="s">
        <v>1385</v>
      </c>
      <c r="J946" s="7" t="s">
        <v>185</v>
      </c>
      <c r="K946" s="7" t="s">
        <v>1367</v>
      </c>
      <c r="L946" s="7" t="s">
        <v>136</v>
      </c>
      <c r="M946" s="7">
        <v>3.7898000000000001</v>
      </c>
      <c r="N946" s="7">
        <v>11.52439</v>
      </c>
      <c r="O946" s="7" t="s">
        <v>23</v>
      </c>
      <c r="P946" s="3"/>
      <c r="Q946" s="3"/>
      <c r="R946" s="3"/>
    </row>
    <row r="947" spans="1:18" x14ac:dyDescent="0.25">
      <c r="A947" s="2">
        <v>2152</v>
      </c>
      <c r="B947" s="7" t="s">
        <v>4474</v>
      </c>
      <c r="C947" s="7" t="s">
        <v>4475</v>
      </c>
      <c r="D947" s="7" t="s">
        <v>4474</v>
      </c>
      <c r="E947" s="7" t="s">
        <v>182</v>
      </c>
      <c r="F947" s="7" t="s">
        <v>4476</v>
      </c>
      <c r="G947" s="17" t="s">
        <v>7747</v>
      </c>
      <c r="H947" s="7" t="s">
        <v>28</v>
      </c>
      <c r="I947" s="7" t="s">
        <v>297</v>
      </c>
      <c r="J947" s="7" t="s">
        <v>185</v>
      </c>
      <c r="K947" s="7" t="s">
        <v>1322</v>
      </c>
      <c r="L947" s="7" t="s">
        <v>136</v>
      </c>
      <c r="M947" s="7">
        <v>3.8608470000000001</v>
      </c>
      <c r="N947" s="7">
        <v>11.481797</v>
      </c>
      <c r="O947" s="7" t="s">
        <v>23</v>
      </c>
      <c r="P947" s="3"/>
      <c r="Q947" s="3"/>
      <c r="R947" s="3"/>
    </row>
    <row r="948" spans="1:18" x14ac:dyDescent="0.25">
      <c r="A948" s="2">
        <v>2153</v>
      </c>
      <c r="B948" s="7" t="s">
        <v>4477</v>
      </c>
      <c r="C948" s="7" t="s">
        <v>4478</v>
      </c>
      <c r="D948" s="7" t="s">
        <v>4477</v>
      </c>
      <c r="E948" s="7" t="s">
        <v>182</v>
      </c>
      <c r="F948" s="7" t="s">
        <v>4479</v>
      </c>
      <c r="G948" s="17" t="s">
        <v>7747</v>
      </c>
      <c r="H948" s="7" t="s">
        <v>28</v>
      </c>
      <c r="I948" s="7" t="s">
        <v>297</v>
      </c>
      <c r="J948" s="7" t="s">
        <v>185</v>
      </c>
      <c r="K948" s="7" t="s">
        <v>1393</v>
      </c>
      <c r="L948" s="7" t="s">
        <v>136</v>
      </c>
      <c r="M948" s="7">
        <v>3.8985280000000002</v>
      </c>
      <c r="N948" s="7">
        <v>11.454442</v>
      </c>
      <c r="O948" s="7" t="s">
        <v>23</v>
      </c>
      <c r="P948" s="3"/>
      <c r="Q948" s="3"/>
      <c r="R948" s="3"/>
    </row>
    <row r="949" spans="1:18" x14ac:dyDescent="0.25">
      <c r="A949" s="2">
        <v>2154</v>
      </c>
      <c r="B949" s="7" t="s">
        <v>4491</v>
      </c>
      <c r="C949" s="7" t="s">
        <v>4492</v>
      </c>
      <c r="D949" s="7" t="s">
        <v>4491</v>
      </c>
      <c r="E949" s="7" t="s">
        <v>182</v>
      </c>
      <c r="F949" s="7" t="s">
        <v>4493</v>
      </c>
      <c r="G949" s="17" t="s">
        <v>7747</v>
      </c>
      <c r="H949" s="7" t="s">
        <v>28</v>
      </c>
      <c r="I949" s="7" t="s">
        <v>807</v>
      </c>
      <c r="J949" s="7" t="s">
        <v>185</v>
      </c>
      <c r="K949" s="7" t="s">
        <v>808</v>
      </c>
      <c r="L949" s="7" t="s">
        <v>136</v>
      </c>
      <c r="M949" s="7">
        <v>3.8918249999999999</v>
      </c>
      <c r="N949" s="7">
        <v>11.522106000000001</v>
      </c>
      <c r="O949" s="7" t="s">
        <v>613</v>
      </c>
      <c r="P949" s="3"/>
      <c r="Q949" s="3"/>
      <c r="R949" s="3"/>
    </row>
    <row r="950" spans="1:18" x14ac:dyDescent="0.25">
      <c r="A950" s="2">
        <v>2155</v>
      </c>
      <c r="B950" s="7" t="s">
        <v>4505</v>
      </c>
      <c r="C950" s="7" t="s">
        <v>4506</v>
      </c>
      <c r="D950" s="7" t="s">
        <v>4505</v>
      </c>
      <c r="E950" s="7" t="s">
        <v>182</v>
      </c>
      <c r="F950" s="7" t="s">
        <v>186</v>
      </c>
      <c r="G950" s="17" t="s">
        <v>7747</v>
      </c>
      <c r="H950" s="7" t="s">
        <v>19</v>
      </c>
      <c r="I950" s="7" t="s">
        <v>184</v>
      </c>
      <c r="J950" s="7" t="s">
        <v>185</v>
      </c>
      <c r="K950" s="7" t="s">
        <v>186</v>
      </c>
      <c r="L950" s="7" t="s">
        <v>136</v>
      </c>
      <c r="M950" s="7">
        <v>3.9721190000000002</v>
      </c>
      <c r="N950" s="7">
        <v>11.594478000000001</v>
      </c>
      <c r="O950" s="7" t="s">
        <v>23</v>
      </c>
      <c r="P950" s="3"/>
      <c r="Q950" s="3"/>
      <c r="R950" s="3"/>
    </row>
    <row r="951" spans="1:18" x14ac:dyDescent="0.25">
      <c r="A951" s="2">
        <v>2156</v>
      </c>
      <c r="B951" s="7" t="s">
        <v>4509</v>
      </c>
      <c r="C951" s="7" t="s">
        <v>4510</v>
      </c>
      <c r="D951" s="7" t="s">
        <v>4509</v>
      </c>
      <c r="E951" s="7" t="s">
        <v>250</v>
      </c>
      <c r="F951" s="7" t="s">
        <v>4511</v>
      </c>
      <c r="G951" s="17" t="s">
        <v>7747</v>
      </c>
      <c r="H951" s="7" t="s">
        <v>28</v>
      </c>
      <c r="I951" s="7" t="s">
        <v>817</v>
      </c>
      <c r="J951" s="7" t="s">
        <v>253</v>
      </c>
      <c r="K951" s="7" t="s">
        <v>4512</v>
      </c>
      <c r="L951" s="7" t="s">
        <v>136</v>
      </c>
      <c r="M951" s="7">
        <v>3.5058220000000002</v>
      </c>
      <c r="N951" s="7">
        <v>12.098992000000001</v>
      </c>
      <c r="O951" s="7" t="s">
        <v>23</v>
      </c>
      <c r="P951" s="3"/>
      <c r="Q951" s="3"/>
      <c r="R951" s="3"/>
    </row>
    <row r="952" spans="1:18" x14ac:dyDescent="0.25">
      <c r="A952" s="2">
        <v>2157</v>
      </c>
      <c r="B952" s="7" t="s">
        <v>4513</v>
      </c>
      <c r="C952" s="7" t="s">
        <v>4514</v>
      </c>
      <c r="D952" s="7" t="s">
        <v>4513</v>
      </c>
      <c r="E952" s="7" t="s">
        <v>182</v>
      </c>
      <c r="F952" s="7" t="s">
        <v>4515</v>
      </c>
      <c r="G952" s="17" t="s">
        <v>7747</v>
      </c>
      <c r="H952" s="7" t="s">
        <v>19</v>
      </c>
      <c r="I952" s="7" t="s">
        <v>1374</v>
      </c>
      <c r="J952" s="7" t="s">
        <v>185</v>
      </c>
      <c r="K952" s="7" t="s">
        <v>1375</v>
      </c>
      <c r="L952" s="7" t="s">
        <v>136</v>
      </c>
      <c r="M952" s="7">
        <v>3.8789229999999999</v>
      </c>
      <c r="N952" s="7">
        <v>11.509757</v>
      </c>
      <c r="O952" s="7" t="s">
        <v>613</v>
      </c>
      <c r="P952" s="3"/>
      <c r="Q952" s="3"/>
      <c r="R952" s="3"/>
    </row>
    <row r="953" spans="1:18" x14ac:dyDescent="0.25">
      <c r="A953" s="2">
        <v>2158</v>
      </c>
      <c r="B953" s="7" t="s">
        <v>4516</v>
      </c>
      <c r="C953" s="7" t="s">
        <v>4517</v>
      </c>
      <c r="D953" s="7" t="s">
        <v>4516</v>
      </c>
      <c r="E953" s="7" t="s">
        <v>250</v>
      </c>
      <c r="F953" s="7" t="s">
        <v>4518</v>
      </c>
      <c r="G953" s="17" t="s">
        <v>7747</v>
      </c>
      <c r="H953" s="7" t="s">
        <v>28</v>
      </c>
      <c r="I953" s="7" t="s">
        <v>311</v>
      </c>
      <c r="J953" s="7" t="s">
        <v>312</v>
      </c>
      <c r="K953" s="7" t="s">
        <v>2594</v>
      </c>
      <c r="L953" s="7" t="s">
        <v>136</v>
      </c>
      <c r="M953" s="7">
        <v>2.9209200000000002</v>
      </c>
      <c r="N953" s="7">
        <v>11.153930000000001</v>
      </c>
      <c r="O953" s="7" t="s">
        <v>23</v>
      </c>
      <c r="P953" s="3"/>
      <c r="Q953" s="3"/>
      <c r="R953" s="3"/>
    </row>
    <row r="954" spans="1:18" x14ac:dyDescent="0.25">
      <c r="A954" s="2">
        <v>2159</v>
      </c>
      <c r="B954" s="7" t="s">
        <v>4519</v>
      </c>
      <c r="C954" s="7" t="s">
        <v>4520</v>
      </c>
      <c r="D954" s="7" t="s">
        <v>4519</v>
      </c>
      <c r="E954" s="7" t="s">
        <v>182</v>
      </c>
      <c r="F954" s="7" t="s">
        <v>4521</v>
      </c>
      <c r="G954" s="17" t="s">
        <v>7747</v>
      </c>
      <c r="H954" s="7" t="s">
        <v>19</v>
      </c>
      <c r="I954" s="7" t="s">
        <v>184</v>
      </c>
      <c r="J954" s="7" t="s">
        <v>185</v>
      </c>
      <c r="K954" s="7" t="s">
        <v>186</v>
      </c>
      <c r="L954" s="7" t="s">
        <v>136</v>
      </c>
      <c r="M954" s="7">
        <v>3.9227099999999999</v>
      </c>
      <c r="N954" s="7">
        <v>11.578709999999999</v>
      </c>
      <c r="O954" s="7" t="s">
        <v>23</v>
      </c>
      <c r="P954" s="3"/>
      <c r="Q954" s="3"/>
      <c r="R954" s="3"/>
    </row>
    <row r="955" spans="1:18" x14ac:dyDescent="0.25">
      <c r="A955" s="2">
        <v>2160</v>
      </c>
      <c r="B955" s="7" t="s">
        <v>4525</v>
      </c>
      <c r="C955" s="7" t="s">
        <v>4526</v>
      </c>
      <c r="D955" s="7" t="s">
        <v>4525</v>
      </c>
      <c r="E955" s="7" t="s">
        <v>250</v>
      </c>
      <c r="F955" s="7" t="s">
        <v>4527</v>
      </c>
      <c r="G955" s="17" t="s">
        <v>7747</v>
      </c>
      <c r="H955" s="7" t="s">
        <v>28</v>
      </c>
      <c r="I955" s="7" t="s">
        <v>311</v>
      </c>
      <c r="J955" s="7" t="s">
        <v>312</v>
      </c>
      <c r="K955" s="7" t="s">
        <v>4006</v>
      </c>
      <c r="L955" s="7" t="s">
        <v>136</v>
      </c>
      <c r="M955" s="7">
        <v>2.899756</v>
      </c>
      <c r="N955" s="7">
        <v>11.151517</v>
      </c>
      <c r="O955" s="7" t="s">
        <v>23</v>
      </c>
      <c r="P955" s="3"/>
      <c r="Q955" s="3"/>
      <c r="R955" s="3"/>
    </row>
    <row r="956" spans="1:18" x14ac:dyDescent="0.25">
      <c r="A956" s="2">
        <v>2161</v>
      </c>
      <c r="B956" s="7" t="s">
        <v>4531</v>
      </c>
      <c r="C956" s="7" t="s">
        <v>4532</v>
      </c>
      <c r="D956" s="7" t="s">
        <v>4531</v>
      </c>
      <c r="E956" s="7" t="s">
        <v>182</v>
      </c>
      <c r="F956" s="7" t="s">
        <v>4533</v>
      </c>
      <c r="G956" s="17" t="s">
        <v>7747</v>
      </c>
      <c r="H956" s="7" t="s">
        <v>19</v>
      </c>
      <c r="I956" s="7" t="s">
        <v>807</v>
      </c>
      <c r="J956" s="7" t="s">
        <v>185</v>
      </c>
      <c r="K956" s="7" t="s">
        <v>1435</v>
      </c>
      <c r="L956" s="7" t="s">
        <v>136</v>
      </c>
      <c r="M956" s="7">
        <v>3.8760819999999998</v>
      </c>
      <c r="N956" s="7">
        <v>11.531153</v>
      </c>
      <c r="O956" s="7" t="s">
        <v>613</v>
      </c>
      <c r="P956" s="3"/>
      <c r="Q956" s="3"/>
      <c r="R956" s="3"/>
    </row>
    <row r="957" spans="1:18" x14ac:dyDescent="0.25">
      <c r="A957" s="2">
        <v>2162</v>
      </c>
      <c r="B957" s="7" t="s">
        <v>4534</v>
      </c>
      <c r="C957" s="7" t="s">
        <v>4535</v>
      </c>
      <c r="D957" s="7" t="s">
        <v>4534</v>
      </c>
      <c r="E957" s="7" t="s">
        <v>182</v>
      </c>
      <c r="F957" s="7" t="s">
        <v>4536</v>
      </c>
      <c r="G957" s="17" t="s">
        <v>7747</v>
      </c>
      <c r="H957" s="7" t="s">
        <v>19</v>
      </c>
      <c r="I957" s="7" t="s">
        <v>1366</v>
      </c>
      <c r="J957" s="7" t="s">
        <v>185</v>
      </c>
      <c r="K957" s="7" t="s">
        <v>1435</v>
      </c>
      <c r="L957" s="7" t="s">
        <v>136</v>
      </c>
      <c r="M957" s="7">
        <v>3.8559269999999999</v>
      </c>
      <c r="N957" s="7">
        <v>11.527175</v>
      </c>
      <c r="O957" s="7" t="s">
        <v>613</v>
      </c>
      <c r="P957" s="3"/>
      <c r="Q957" s="3"/>
      <c r="R957" s="3"/>
    </row>
    <row r="958" spans="1:18" x14ac:dyDescent="0.25">
      <c r="A958" s="2">
        <v>2163</v>
      </c>
      <c r="B958" s="7" t="s">
        <v>4537</v>
      </c>
      <c r="C958" s="7" t="s">
        <v>4538</v>
      </c>
      <c r="D958" s="7" t="s">
        <v>4537</v>
      </c>
      <c r="E958" s="7" t="s">
        <v>182</v>
      </c>
      <c r="F958" s="7" t="s">
        <v>4539</v>
      </c>
      <c r="G958" s="17" t="s">
        <v>7747</v>
      </c>
      <c r="H958" s="7" t="s">
        <v>19</v>
      </c>
      <c r="I958" s="7" t="s">
        <v>184</v>
      </c>
      <c r="J958" s="7" t="s">
        <v>185</v>
      </c>
      <c r="K958" s="7" t="s">
        <v>186</v>
      </c>
      <c r="L958" s="7" t="s">
        <v>136</v>
      </c>
      <c r="M958" s="7">
        <v>3.979285</v>
      </c>
      <c r="N958" s="7">
        <v>11.593386000000001</v>
      </c>
      <c r="O958" s="7" t="s">
        <v>23</v>
      </c>
      <c r="P958" s="3"/>
      <c r="Q958" s="3"/>
      <c r="R958" s="3"/>
    </row>
    <row r="959" spans="1:18" x14ac:dyDescent="0.25">
      <c r="A959" s="2">
        <v>2166</v>
      </c>
      <c r="B959" s="7" t="s">
        <v>4558</v>
      </c>
      <c r="C959" s="7" t="s">
        <v>4559</v>
      </c>
      <c r="D959" s="7" t="s">
        <v>4558</v>
      </c>
      <c r="E959" s="7" t="s">
        <v>250</v>
      </c>
      <c r="F959" s="7" t="s">
        <v>4560</v>
      </c>
      <c r="G959" s="17" t="s">
        <v>7747</v>
      </c>
      <c r="H959" s="7" t="s">
        <v>28</v>
      </c>
      <c r="I959" s="7" t="s">
        <v>311</v>
      </c>
      <c r="J959" s="7" t="s">
        <v>312</v>
      </c>
      <c r="K959" s="7" t="s">
        <v>4006</v>
      </c>
      <c r="L959" s="7" t="s">
        <v>136</v>
      </c>
      <c r="M959" s="7">
        <v>2.8041969999999998</v>
      </c>
      <c r="N959" s="7">
        <v>11.128335</v>
      </c>
      <c r="O959" s="7" t="s">
        <v>23</v>
      </c>
      <c r="P959" s="3"/>
      <c r="Q959" s="3"/>
      <c r="R959" s="3"/>
    </row>
    <row r="960" spans="1:18" x14ac:dyDescent="0.25">
      <c r="A960" s="2">
        <v>2167</v>
      </c>
      <c r="B960" s="7" t="s">
        <v>4679</v>
      </c>
      <c r="C960" s="7" t="s">
        <v>4680</v>
      </c>
      <c r="D960" s="7" t="s">
        <v>4679</v>
      </c>
      <c r="E960" s="7" t="s">
        <v>182</v>
      </c>
      <c r="F960" s="7" t="s">
        <v>4681</v>
      </c>
      <c r="G960" s="17" t="s">
        <v>7747</v>
      </c>
      <c r="H960" s="7" t="s">
        <v>19</v>
      </c>
      <c r="I960" s="7" t="s">
        <v>600</v>
      </c>
      <c r="J960" s="7" t="s">
        <v>208</v>
      </c>
      <c r="K960" s="7" t="s">
        <v>1762</v>
      </c>
      <c r="L960" s="7" t="s">
        <v>136</v>
      </c>
      <c r="M960" s="7">
        <v>3.8521890000000001</v>
      </c>
      <c r="N960" s="7">
        <v>10.965028</v>
      </c>
      <c r="O960" s="7" t="s">
        <v>23</v>
      </c>
      <c r="P960" s="3"/>
      <c r="Q960" s="3"/>
      <c r="R960" s="3"/>
    </row>
    <row r="961" spans="1:18" x14ac:dyDescent="0.25">
      <c r="A961" s="2">
        <v>2168</v>
      </c>
      <c r="B961" s="7" t="s">
        <v>4682</v>
      </c>
      <c r="C961" s="7" t="s">
        <v>4683</v>
      </c>
      <c r="D961" s="7" t="s">
        <v>4682</v>
      </c>
      <c r="E961" s="7" t="s">
        <v>182</v>
      </c>
      <c r="F961" s="7" t="s">
        <v>4318</v>
      </c>
      <c r="G961" s="17" t="s">
        <v>7747</v>
      </c>
      <c r="H961" s="7" t="s">
        <v>19</v>
      </c>
      <c r="I961" s="7" t="s">
        <v>600</v>
      </c>
      <c r="J961" s="7" t="s">
        <v>208</v>
      </c>
      <c r="K961" s="7" t="s">
        <v>1762</v>
      </c>
      <c r="L961" s="7" t="s">
        <v>136</v>
      </c>
      <c r="M961" s="7">
        <v>3.8856999999999999</v>
      </c>
      <c r="N961" s="7">
        <v>10.8545</v>
      </c>
      <c r="O961" s="7" t="s">
        <v>23</v>
      </c>
      <c r="P961" s="3"/>
      <c r="Q961" s="3"/>
      <c r="R961" s="3"/>
    </row>
    <row r="962" spans="1:18" x14ac:dyDescent="0.25">
      <c r="A962" s="2">
        <v>2169</v>
      </c>
      <c r="B962" s="7" t="s">
        <v>4684</v>
      </c>
      <c r="C962" s="7" t="s">
        <v>4685</v>
      </c>
      <c r="D962" s="7" t="s">
        <v>4684</v>
      </c>
      <c r="E962" s="7" t="s">
        <v>182</v>
      </c>
      <c r="F962" s="7" t="s">
        <v>4686</v>
      </c>
      <c r="G962" s="17" t="s">
        <v>7747</v>
      </c>
      <c r="H962" s="7" t="s">
        <v>19</v>
      </c>
      <c r="I962" s="7" t="s">
        <v>275</v>
      </c>
      <c r="J962" s="7" t="s">
        <v>276</v>
      </c>
      <c r="K962" s="7" t="s">
        <v>557</v>
      </c>
      <c r="L962" s="7" t="s">
        <v>136</v>
      </c>
      <c r="M962" s="7">
        <v>3.7852760000000001</v>
      </c>
      <c r="N962" s="7">
        <v>11.400499</v>
      </c>
      <c r="O962" s="7" t="s">
        <v>23</v>
      </c>
      <c r="P962" s="3"/>
      <c r="Q962" s="3"/>
      <c r="R962" s="3"/>
    </row>
    <row r="963" spans="1:18" x14ac:dyDescent="0.25">
      <c r="A963" s="2">
        <v>2171</v>
      </c>
      <c r="B963" s="7" t="s">
        <v>4689</v>
      </c>
      <c r="C963" s="7" t="s">
        <v>4690</v>
      </c>
      <c r="D963" s="7" t="s">
        <v>4689</v>
      </c>
      <c r="E963" s="7" t="s">
        <v>182</v>
      </c>
      <c r="F963" s="7" t="s">
        <v>2046</v>
      </c>
      <c r="G963" s="17" t="s">
        <v>7747</v>
      </c>
      <c r="H963" s="7" t="s">
        <v>28</v>
      </c>
      <c r="I963" s="7" t="s">
        <v>297</v>
      </c>
      <c r="J963" s="7" t="s">
        <v>185</v>
      </c>
      <c r="K963" s="7" t="s">
        <v>2047</v>
      </c>
      <c r="L963" s="7" t="s">
        <v>136</v>
      </c>
      <c r="M963" s="7">
        <v>4.031873</v>
      </c>
      <c r="N963" s="7">
        <v>11.384066000000001</v>
      </c>
      <c r="O963" s="7" t="s">
        <v>23</v>
      </c>
      <c r="P963" s="3"/>
      <c r="Q963" s="3"/>
      <c r="R963" s="3"/>
    </row>
    <row r="964" spans="1:18" x14ac:dyDescent="0.25">
      <c r="A964" s="2">
        <v>2172</v>
      </c>
      <c r="B964" s="7" t="s">
        <v>4749</v>
      </c>
      <c r="C964" s="7" t="s">
        <v>4750</v>
      </c>
      <c r="D964" s="7" t="s">
        <v>4749</v>
      </c>
      <c r="E964" s="7" t="s">
        <v>182</v>
      </c>
      <c r="F964" s="7" t="s">
        <v>4437</v>
      </c>
      <c r="G964" s="17" t="s">
        <v>7747</v>
      </c>
      <c r="H964" s="7" t="s">
        <v>28</v>
      </c>
      <c r="I964" s="7" t="s">
        <v>1461</v>
      </c>
      <c r="J964" s="7" t="s">
        <v>185</v>
      </c>
      <c r="K964" s="7" t="s">
        <v>1462</v>
      </c>
      <c r="L964" s="7" t="s">
        <v>136</v>
      </c>
      <c r="M964" s="7">
        <v>3.8321200000000002</v>
      </c>
      <c r="N964" s="7">
        <v>11.505229999999999</v>
      </c>
      <c r="O964" s="7" t="s">
        <v>23</v>
      </c>
      <c r="P964" s="3"/>
      <c r="Q964" s="3"/>
      <c r="R964" s="3"/>
    </row>
    <row r="965" spans="1:18" x14ac:dyDescent="0.25">
      <c r="A965" s="2">
        <v>2173</v>
      </c>
      <c r="B965" s="7" t="s">
        <v>4751</v>
      </c>
      <c r="C965" s="7" t="s">
        <v>4752</v>
      </c>
      <c r="D965" s="7" t="s">
        <v>4751</v>
      </c>
      <c r="E965" s="7" t="s">
        <v>182</v>
      </c>
      <c r="F965" s="7" t="s">
        <v>4521</v>
      </c>
      <c r="G965" s="17" t="s">
        <v>7747</v>
      </c>
      <c r="H965" s="7" t="s">
        <v>28</v>
      </c>
      <c r="I965" s="7" t="s">
        <v>184</v>
      </c>
      <c r="J965" s="7" t="s">
        <v>185</v>
      </c>
      <c r="K965" s="7" t="s">
        <v>186</v>
      </c>
      <c r="L965" s="7" t="s">
        <v>136</v>
      </c>
      <c r="M965" s="7">
        <v>3.9300280000000001</v>
      </c>
      <c r="N965" s="7">
        <v>11.578059</v>
      </c>
      <c r="O965" s="7" t="s">
        <v>23</v>
      </c>
      <c r="P965" s="3"/>
      <c r="Q965" s="3"/>
      <c r="R965" s="3"/>
    </row>
    <row r="966" spans="1:18" x14ac:dyDescent="0.25">
      <c r="A966" s="2">
        <v>2174</v>
      </c>
      <c r="B966" s="7" t="s">
        <v>4781</v>
      </c>
      <c r="C966" s="7" t="s">
        <v>4782</v>
      </c>
      <c r="D966" s="7" t="s">
        <v>4781</v>
      </c>
      <c r="E966" s="7" t="s">
        <v>182</v>
      </c>
      <c r="F966" s="7" t="s">
        <v>4783</v>
      </c>
      <c r="G966" s="17" t="s">
        <v>7747</v>
      </c>
      <c r="H966" s="7" t="s">
        <v>28</v>
      </c>
      <c r="I966" s="7" t="s">
        <v>1284</v>
      </c>
      <c r="J966" s="7" t="s">
        <v>185</v>
      </c>
      <c r="K966" s="7" t="s">
        <v>1322</v>
      </c>
      <c r="L966" s="7" t="s">
        <v>136</v>
      </c>
      <c r="M966" s="7">
        <v>3.756507</v>
      </c>
      <c r="N966" s="7">
        <v>11.470447</v>
      </c>
      <c r="O966" s="7" t="s">
        <v>23</v>
      </c>
      <c r="P966" s="3"/>
      <c r="Q966" s="3"/>
      <c r="R966" s="3"/>
    </row>
    <row r="967" spans="1:18" x14ac:dyDescent="0.25">
      <c r="A967" s="2">
        <v>2175</v>
      </c>
      <c r="B967" s="7" t="s">
        <v>4791</v>
      </c>
      <c r="C967" s="7" t="s">
        <v>4792</v>
      </c>
      <c r="D967" s="7" t="s">
        <v>4791</v>
      </c>
      <c r="E967" s="7" t="s">
        <v>250</v>
      </c>
      <c r="F967" s="7" t="s">
        <v>4793</v>
      </c>
      <c r="G967" s="17" t="s">
        <v>7747</v>
      </c>
      <c r="H967" s="7" t="s">
        <v>28</v>
      </c>
      <c r="I967" s="7" t="s">
        <v>341</v>
      </c>
      <c r="J967" s="7" t="s">
        <v>323</v>
      </c>
      <c r="K967" s="7" t="s">
        <v>4793</v>
      </c>
      <c r="L967" s="7" t="s">
        <v>136</v>
      </c>
      <c r="M967" s="7">
        <v>3.1926839999999999</v>
      </c>
      <c r="N967" s="7">
        <v>11.572149</v>
      </c>
      <c r="O967" s="7" t="s">
        <v>23</v>
      </c>
      <c r="P967" s="3"/>
      <c r="Q967" s="3"/>
      <c r="R967" s="3"/>
    </row>
    <row r="968" spans="1:18" x14ac:dyDescent="0.25">
      <c r="A968" s="2">
        <v>2176</v>
      </c>
      <c r="B968" s="7" t="s">
        <v>4794</v>
      </c>
      <c r="C968" s="7" t="s">
        <v>4795</v>
      </c>
      <c r="D968" s="7" t="s">
        <v>4794</v>
      </c>
      <c r="E968" s="7" t="s">
        <v>250</v>
      </c>
      <c r="F968" s="7" t="s">
        <v>4796</v>
      </c>
      <c r="G968" s="17" t="s">
        <v>7747</v>
      </c>
      <c r="H968" s="7" t="s">
        <v>28</v>
      </c>
      <c r="I968" s="7" t="s">
        <v>341</v>
      </c>
      <c r="J968" s="7" t="s">
        <v>323</v>
      </c>
      <c r="K968" s="7" t="s">
        <v>4797</v>
      </c>
      <c r="L968" s="7" t="s">
        <v>136</v>
      </c>
      <c r="M968" s="7">
        <v>3.2484989999999998</v>
      </c>
      <c r="N968" s="7">
        <v>11.402512</v>
      </c>
      <c r="O968" s="7" t="s">
        <v>23</v>
      </c>
      <c r="P968" s="3"/>
      <c r="Q968" s="3"/>
      <c r="R968" s="3"/>
    </row>
    <row r="969" spans="1:18" x14ac:dyDescent="0.25">
      <c r="A969" s="2">
        <v>2177</v>
      </c>
      <c r="B969" s="7" t="s">
        <v>4798</v>
      </c>
      <c r="C969" s="7" t="s">
        <v>4799</v>
      </c>
      <c r="D969" s="7" t="s">
        <v>4798</v>
      </c>
      <c r="E969" s="7" t="s">
        <v>250</v>
      </c>
      <c r="F969" s="7" t="s">
        <v>1997</v>
      </c>
      <c r="G969" s="17" t="s">
        <v>7747</v>
      </c>
      <c r="H969" s="7" t="s">
        <v>19</v>
      </c>
      <c r="I969" s="7" t="s">
        <v>322</v>
      </c>
      <c r="J969" s="7" t="s">
        <v>253</v>
      </c>
      <c r="K969" s="7" t="s">
        <v>324</v>
      </c>
      <c r="L969" s="7" t="s">
        <v>136</v>
      </c>
      <c r="M969" s="7">
        <v>3.2496399999999999</v>
      </c>
      <c r="N969" s="7">
        <v>11.895173</v>
      </c>
      <c r="O969" s="7" t="s">
        <v>23</v>
      </c>
      <c r="P969" s="3"/>
      <c r="Q969" s="3"/>
      <c r="R969" s="3"/>
    </row>
    <row r="970" spans="1:18" x14ac:dyDescent="0.25">
      <c r="A970" s="2">
        <v>2178</v>
      </c>
      <c r="B970" s="7" t="s">
        <v>4800</v>
      </c>
      <c r="C970" s="7" t="s">
        <v>4801</v>
      </c>
      <c r="D970" s="7" t="s">
        <v>4800</v>
      </c>
      <c r="E970" s="7" t="s">
        <v>182</v>
      </c>
      <c r="F970" s="7" t="s">
        <v>4802</v>
      </c>
      <c r="G970" s="17" t="s">
        <v>7747</v>
      </c>
      <c r="H970" s="7" t="s">
        <v>19</v>
      </c>
      <c r="I970" s="7" t="s">
        <v>275</v>
      </c>
      <c r="J970" s="7" t="s">
        <v>276</v>
      </c>
      <c r="K970" s="7" t="s">
        <v>4158</v>
      </c>
      <c r="L970" s="7" t="s">
        <v>136</v>
      </c>
      <c r="M970" s="7">
        <v>3.6143860000000001</v>
      </c>
      <c r="N970" s="7">
        <v>11.238886000000001</v>
      </c>
      <c r="O970" s="7" t="s">
        <v>23</v>
      </c>
      <c r="P970" s="3"/>
      <c r="Q970" s="3"/>
      <c r="R970" s="3"/>
    </row>
    <row r="971" spans="1:18" x14ac:dyDescent="0.25">
      <c r="A971" s="2">
        <v>2179</v>
      </c>
      <c r="B971" s="7" t="s">
        <v>4803</v>
      </c>
      <c r="C971" s="7" t="s">
        <v>4804</v>
      </c>
      <c r="D971" s="7" t="s">
        <v>4803</v>
      </c>
      <c r="E971" s="7" t="s">
        <v>250</v>
      </c>
      <c r="F971" s="7" t="s">
        <v>2053</v>
      </c>
      <c r="G971" s="17" t="s">
        <v>7747</v>
      </c>
      <c r="H971" s="7" t="s">
        <v>19</v>
      </c>
      <c r="I971" s="7" t="s">
        <v>322</v>
      </c>
      <c r="J971" s="7" t="s">
        <v>253</v>
      </c>
      <c r="K971" s="7" t="s">
        <v>324</v>
      </c>
      <c r="L971" s="7" t="s">
        <v>136</v>
      </c>
      <c r="M971" s="7">
        <v>3.1129799999999999</v>
      </c>
      <c r="N971" s="7">
        <v>11.84829</v>
      </c>
      <c r="O971" s="7" t="s">
        <v>23</v>
      </c>
      <c r="P971" s="3"/>
      <c r="Q971" s="3"/>
      <c r="R971" s="3"/>
    </row>
    <row r="972" spans="1:18" x14ac:dyDescent="0.25">
      <c r="A972" s="2">
        <v>2180</v>
      </c>
      <c r="B972" s="7" t="s">
        <v>4805</v>
      </c>
      <c r="C972" s="7" t="s">
        <v>4806</v>
      </c>
      <c r="D972" s="7" t="s">
        <v>4805</v>
      </c>
      <c r="E972" s="7" t="s">
        <v>182</v>
      </c>
      <c r="F972" s="7" t="s">
        <v>4807</v>
      </c>
      <c r="G972" s="17" t="s">
        <v>7747</v>
      </c>
      <c r="H972" s="7" t="s">
        <v>19</v>
      </c>
      <c r="I972" s="7" t="s">
        <v>275</v>
      </c>
      <c r="J972" s="7" t="s">
        <v>276</v>
      </c>
      <c r="K972" s="7" t="s">
        <v>1462</v>
      </c>
      <c r="L972" s="7" t="s">
        <v>136</v>
      </c>
      <c r="M972" s="7">
        <v>3.7879999999999998</v>
      </c>
      <c r="N972" s="7">
        <v>11.448867</v>
      </c>
      <c r="O972" s="7" t="s">
        <v>23</v>
      </c>
      <c r="P972" s="3"/>
      <c r="Q972" s="3"/>
      <c r="R972" s="3"/>
    </row>
    <row r="973" spans="1:18" x14ac:dyDescent="0.25">
      <c r="A973" s="2">
        <v>2181</v>
      </c>
      <c r="B973" s="7" t="s">
        <v>4825</v>
      </c>
      <c r="C973" s="7" t="s">
        <v>4826</v>
      </c>
      <c r="D973" s="7" t="s">
        <v>4825</v>
      </c>
      <c r="E973" s="7" t="s">
        <v>182</v>
      </c>
      <c r="F973" s="7" t="s">
        <v>4827</v>
      </c>
      <c r="G973" s="17" t="s">
        <v>7747</v>
      </c>
      <c r="H973" s="7" t="s">
        <v>28</v>
      </c>
      <c r="I973" s="7" t="s">
        <v>1385</v>
      </c>
      <c r="J973" s="7" t="s">
        <v>185</v>
      </c>
      <c r="K973" s="7" t="s">
        <v>1367</v>
      </c>
      <c r="L973" s="7" t="s">
        <v>136</v>
      </c>
      <c r="M973" s="7">
        <v>3.80294</v>
      </c>
      <c r="N973" s="7">
        <v>11.52408</v>
      </c>
      <c r="O973" s="7" t="s">
        <v>613</v>
      </c>
      <c r="P973" s="3"/>
      <c r="Q973" s="3"/>
      <c r="R973" s="3"/>
    </row>
    <row r="974" spans="1:18" x14ac:dyDescent="0.25">
      <c r="A974" s="2">
        <v>2182</v>
      </c>
      <c r="B974" s="7" t="s">
        <v>4828</v>
      </c>
      <c r="C974" s="7" t="s">
        <v>4829</v>
      </c>
      <c r="D974" s="7" t="s">
        <v>4828</v>
      </c>
      <c r="E974" s="7" t="s">
        <v>182</v>
      </c>
      <c r="F974" s="7" t="s">
        <v>4830</v>
      </c>
      <c r="G974" s="17" t="s">
        <v>7747</v>
      </c>
      <c r="H974" s="7" t="s">
        <v>28</v>
      </c>
      <c r="I974" s="7" t="s">
        <v>1637</v>
      </c>
      <c r="J974" s="7" t="s">
        <v>185</v>
      </c>
      <c r="K974" s="7" t="s">
        <v>1462</v>
      </c>
      <c r="L974" s="7" t="s">
        <v>136</v>
      </c>
      <c r="M974" s="7">
        <v>3.8448060000000002</v>
      </c>
      <c r="N974" s="7">
        <v>11.500194</v>
      </c>
      <c r="O974" s="7" t="s">
        <v>23</v>
      </c>
      <c r="P974" s="3"/>
      <c r="Q974" s="3"/>
      <c r="R974" s="3"/>
    </row>
    <row r="975" spans="1:18" x14ac:dyDescent="0.25">
      <c r="A975" s="2">
        <v>2183</v>
      </c>
      <c r="B975" s="7" t="s">
        <v>4831</v>
      </c>
      <c r="C975" s="7" t="s">
        <v>4832</v>
      </c>
      <c r="D975" s="7" t="s">
        <v>4831</v>
      </c>
      <c r="E975" s="7" t="s">
        <v>182</v>
      </c>
      <c r="F975" s="7" t="s">
        <v>4833</v>
      </c>
      <c r="G975" s="17" t="s">
        <v>7747</v>
      </c>
      <c r="H975" s="7" t="s">
        <v>28</v>
      </c>
      <c r="I975" s="7" t="s">
        <v>1637</v>
      </c>
      <c r="J975" s="7" t="s">
        <v>185</v>
      </c>
      <c r="K975" s="7" t="s">
        <v>1462</v>
      </c>
      <c r="L975" s="7" t="s">
        <v>136</v>
      </c>
      <c r="M975" s="7">
        <v>3.8673500000000001</v>
      </c>
      <c r="N975" s="7">
        <v>11.495520000000001</v>
      </c>
      <c r="O975" s="7" t="s">
        <v>613</v>
      </c>
      <c r="P975" s="3"/>
      <c r="Q975" s="3"/>
      <c r="R975" s="3"/>
    </row>
    <row r="976" spans="1:18" x14ac:dyDescent="0.25">
      <c r="A976" s="2">
        <v>2184</v>
      </c>
      <c r="B976" s="7" t="s">
        <v>4843</v>
      </c>
      <c r="C976" s="7" t="s">
        <v>4844</v>
      </c>
      <c r="D976" s="7" t="s">
        <v>4843</v>
      </c>
      <c r="E976" s="7" t="s">
        <v>182</v>
      </c>
      <c r="F976" s="7" t="s">
        <v>4845</v>
      </c>
      <c r="G976" s="17" t="s">
        <v>7747</v>
      </c>
      <c r="H976" s="7" t="s">
        <v>19</v>
      </c>
      <c r="I976" s="7" t="s">
        <v>817</v>
      </c>
      <c r="J976" s="7" t="s">
        <v>818</v>
      </c>
      <c r="K976" s="7" t="s">
        <v>2187</v>
      </c>
      <c r="L976" s="7" t="s">
        <v>136</v>
      </c>
      <c r="M976" s="7">
        <v>3.884722</v>
      </c>
      <c r="N976" s="7">
        <v>12.211667</v>
      </c>
      <c r="O976" s="7" t="s">
        <v>23</v>
      </c>
      <c r="P976" s="3"/>
      <c r="Q976" s="3"/>
      <c r="R976" s="3"/>
    </row>
    <row r="977" spans="1:18" x14ac:dyDescent="0.25">
      <c r="A977" s="2">
        <v>2185</v>
      </c>
      <c r="B977" s="7" t="s">
        <v>4846</v>
      </c>
      <c r="C977" s="7" t="s">
        <v>4847</v>
      </c>
      <c r="D977" s="7" t="s">
        <v>4846</v>
      </c>
      <c r="E977" s="7" t="s">
        <v>250</v>
      </c>
      <c r="F977" s="7" t="s">
        <v>4848</v>
      </c>
      <c r="G977" s="17" t="s">
        <v>7747</v>
      </c>
      <c r="H977" s="7" t="s">
        <v>28</v>
      </c>
      <c r="I977" s="7" t="s">
        <v>322</v>
      </c>
      <c r="J977" s="7" t="s">
        <v>253</v>
      </c>
      <c r="K977" s="7" t="s">
        <v>4849</v>
      </c>
      <c r="L977" s="7" t="s">
        <v>136</v>
      </c>
      <c r="M977" s="7">
        <v>2.8126190000000002</v>
      </c>
      <c r="N977" s="7">
        <v>12.124891999999999</v>
      </c>
      <c r="O977" s="7" t="s">
        <v>23</v>
      </c>
      <c r="P977" s="3"/>
      <c r="Q977" s="3"/>
      <c r="R977" s="3"/>
    </row>
    <row r="978" spans="1:18" x14ac:dyDescent="0.25">
      <c r="A978" s="2">
        <v>2186</v>
      </c>
      <c r="B978" s="7" t="s">
        <v>4850</v>
      </c>
      <c r="C978" s="7" t="s">
        <v>4851</v>
      </c>
      <c r="D978" s="7" t="s">
        <v>4850</v>
      </c>
      <c r="E978" s="7" t="s">
        <v>182</v>
      </c>
      <c r="F978" s="7" t="s">
        <v>4852</v>
      </c>
      <c r="G978" s="17" t="s">
        <v>7747</v>
      </c>
      <c r="H978" s="7" t="s">
        <v>19</v>
      </c>
      <c r="I978" s="7" t="s">
        <v>374</v>
      </c>
      <c r="J978" s="7" t="s">
        <v>287</v>
      </c>
      <c r="K978" s="7" t="s">
        <v>337</v>
      </c>
      <c r="L978" s="7" t="s">
        <v>136</v>
      </c>
      <c r="M978" s="7">
        <v>4.2738940000000003</v>
      </c>
      <c r="N978" s="7">
        <v>11.367495</v>
      </c>
      <c r="O978" s="7" t="s">
        <v>23</v>
      </c>
      <c r="P978" s="3"/>
      <c r="Q978" s="3"/>
      <c r="R978" s="3"/>
    </row>
    <row r="979" spans="1:18" x14ac:dyDescent="0.25">
      <c r="A979" s="2">
        <v>2187</v>
      </c>
      <c r="B979" s="7" t="s">
        <v>4873</v>
      </c>
      <c r="C979" s="7" t="s">
        <v>4874</v>
      </c>
      <c r="D979" s="7" t="s">
        <v>4873</v>
      </c>
      <c r="E979" s="7" t="s">
        <v>250</v>
      </c>
      <c r="F979" s="7" t="s">
        <v>4875</v>
      </c>
      <c r="G979" s="17" t="s">
        <v>7747</v>
      </c>
      <c r="H979" s="7" t="s">
        <v>28</v>
      </c>
      <c r="I979" s="7" t="s">
        <v>311</v>
      </c>
      <c r="J979" s="7" t="s">
        <v>312</v>
      </c>
      <c r="K979" s="7" t="s">
        <v>4006</v>
      </c>
      <c r="L979" s="7" t="s">
        <v>136</v>
      </c>
      <c r="M979" s="7">
        <v>2.9102399999999999</v>
      </c>
      <c r="N979" s="7">
        <v>11.148289999999999</v>
      </c>
      <c r="O979" s="7" t="s">
        <v>23</v>
      </c>
      <c r="P979" s="3"/>
      <c r="Q979" s="3"/>
      <c r="R979" s="3"/>
    </row>
    <row r="980" spans="1:18" x14ac:dyDescent="0.25">
      <c r="A980" s="2">
        <v>2188</v>
      </c>
      <c r="B980" s="7" t="s">
        <v>4895</v>
      </c>
      <c r="C980" s="7" t="s">
        <v>4896</v>
      </c>
      <c r="D980" s="7" t="s">
        <v>4895</v>
      </c>
      <c r="E980" s="7" t="s">
        <v>182</v>
      </c>
      <c r="F980" s="7" t="s">
        <v>4897</v>
      </c>
      <c r="G980" s="17" t="s">
        <v>7747</v>
      </c>
      <c r="H980" s="7" t="s">
        <v>28</v>
      </c>
      <c r="I980" s="7" t="s">
        <v>275</v>
      </c>
      <c r="J980" s="7" t="s">
        <v>276</v>
      </c>
      <c r="K980" s="7" t="s">
        <v>1322</v>
      </c>
      <c r="L980" s="7" t="s">
        <v>136</v>
      </c>
      <c r="M980" s="7">
        <v>3.8140830000000001</v>
      </c>
      <c r="N980" s="7">
        <v>11.474444</v>
      </c>
      <c r="O980" s="7" t="s">
        <v>23</v>
      </c>
      <c r="P980" s="3"/>
      <c r="Q980" s="3"/>
      <c r="R980" s="3"/>
    </row>
    <row r="981" spans="1:18" x14ac:dyDescent="0.25">
      <c r="A981" s="2">
        <v>2189</v>
      </c>
      <c r="B981" s="7" t="s">
        <v>4898</v>
      </c>
      <c r="C981" s="7" t="s">
        <v>4899</v>
      </c>
      <c r="D981" s="7" t="s">
        <v>4898</v>
      </c>
      <c r="E981" s="7" t="s">
        <v>250</v>
      </c>
      <c r="F981" s="7" t="s">
        <v>4900</v>
      </c>
      <c r="G981" s="17" t="s">
        <v>7747</v>
      </c>
      <c r="H981" s="7" t="s">
        <v>28</v>
      </c>
      <c r="I981" s="7" t="s">
        <v>322</v>
      </c>
      <c r="J981" s="7" t="s">
        <v>253</v>
      </c>
      <c r="K981" s="7" t="s">
        <v>324</v>
      </c>
      <c r="L981" s="7" t="s">
        <v>136</v>
      </c>
      <c r="M981" s="7">
        <v>2.9542480000000002</v>
      </c>
      <c r="N981" s="7">
        <v>11.972784000000001</v>
      </c>
      <c r="O981" s="7" t="s">
        <v>23</v>
      </c>
      <c r="P981" s="3"/>
      <c r="Q981" s="3"/>
      <c r="R981" s="3"/>
    </row>
    <row r="982" spans="1:18" x14ac:dyDescent="0.25">
      <c r="A982" s="2">
        <v>2190</v>
      </c>
      <c r="B982" s="7" t="s">
        <v>4901</v>
      </c>
      <c r="C982" s="7" t="s">
        <v>4902</v>
      </c>
      <c r="D982" s="7" t="s">
        <v>4901</v>
      </c>
      <c r="E982" s="7" t="s">
        <v>182</v>
      </c>
      <c r="F982" s="7" t="s">
        <v>4903</v>
      </c>
      <c r="G982" s="17" t="s">
        <v>7747</v>
      </c>
      <c r="H982" s="7" t="s">
        <v>19</v>
      </c>
      <c r="I982" s="7" t="s">
        <v>1637</v>
      </c>
      <c r="J982" s="7" t="s">
        <v>185</v>
      </c>
      <c r="K982" s="7" t="s">
        <v>1322</v>
      </c>
      <c r="L982" s="7" t="s">
        <v>136</v>
      </c>
      <c r="M982" s="7">
        <v>3.8660399999999999</v>
      </c>
      <c r="N982" s="7">
        <v>11.481339999999999</v>
      </c>
      <c r="O982" s="7" t="s">
        <v>23</v>
      </c>
      <c r="P982" s="3"/>
      <c r="Q982" s="3"/>
      <c r="R982" s="3"/>
    </row>
    <row r="983" spans="1:18" x14ac:dyDescent="0.25">
      <c r="A983" s="2">
        <v>2191</v>
      </c>
      <c r="B983" s="7" t="s">
        <v>4907</v>
      </c>
      <c r="C983" s="7" t="s">
        <v>4908</v>
      </c>
      <c r="D983" s="7" t="s">
        <v>4907</v>
      </c>
      <c r="E983" s="7" t="s">
        <v>250</v>
      </c>
      <c r="F983" s="7" t="s">
        <v>4909</v>
      </c>
      <c r="G983" s="17" t="s">
        <v>7747</v>
      </c>
      <c r="H983" s="7" t="s">
        <v>28</v>
      </c>
      <c r="I983" s="7" t="s">
        <v>311</v>
      </c>
      <c r="J983" s="7" t="s">
        <v>312</v>
      </c>
      <c r="K983" s="7" t="s">
        <v>2594</v>
      </c>
      <c r="L983" s="7" t="s">
        <v>136</v>
      </c>
      <c r="M983" s="7">
        <v>2.9420999999999999</v>
      </c>
      <c r="N983" s="7">
        <v>11.1602</v>
      </c>
      <c r="O983" s="7" t="s">
        <v>23</v>
      </c>
      <c r="P983" s="3"/>
      <c r="Q983" s="3"/>
      <c r="R983" s="3"/>
    </row>
    <row r="984" spans="1:18" x14ac:dyDescent="0.25">
      <c r="A984" s="2">
        <v>2192</v>
      </c>
      <c r="B984" s="7" t="s">
        <v>4919</v>
      </c>
      <c r="C984" s="7" t="s">
        <v>4920</v>
      </c>
      <c r="D984" s="7" t="s">
        <v>4919</v>
      </c>
      <c r="E984" s="7" t="s">
        <v>182</v>
      </c>
      <c r="F984" s="7" t="s">
        <v>4921</v>
      </c>
      <c r="G984" s="17" t="s">
        <v>7747</v>
      </c>
      <c r="H984" s="7" t="s">
        <v>28</v>
      </c>
      <c r="I984" s="7" t="s">
        <v>1366</v>
      </c>
      <c r="J984" s="7" t="s">
        <v>185</v>
      </c>
      <c r="K984" s="7" t="s">
        <v>1435</v>
      </c>
      <c r="L984" s="7" t="s">
        <v>136</v>
      </c>
      <c r="M984" s="7">
        <v>3.86199</v>
      </c>
      <c r="N984" s="7">
        <v>11.52491</v>
      </c>
      <c r="O984" s="7" t="s">
        <v>613</v>
      </c>
      <c r="P984" s="3"/>
      <c r="Q984" s="3"/>
      <c r="R984" s="3"/>
    </row>
    <row r="985" spans="1:18" x14ac:dyDescent="0.25">
      <c r="A985" s="2">
        <v>2193</v>
      </c>
      <c r="B985" s="7" t="s">
        <v>4928</v>
      </c>
      <c r="C985" s="7" t="s">
        <v>4929</v>
      </c>
      <c r="D985" s="7" t="s">
        <v>4928</v>
      </c>
      <c r="E985" s="7" t="s">
        <v>250</v>
      </c>
      <c r="F985" s="7" t="s">
        <v>4930</v>
      </c>
      <c r="G985" s="17" t="s">
        <v>7747</v>
      </c>
      <c r="H985" s="7" t="s">
        <v>28</v>
      </c>
      <c r="I985" s="7" t="s">
        <v>341</v>
      </c>
      <c r="J985" s="7" t="s">
        <v>323</v>
      </c>
      <c r="K985" s="7" t="s">
        <v>341</v>
      </c>
      <c r="L985" s="7" t="s">
        <v>136</v>
      </c>
      <c r="M985" s="7">
        <v>3.5324140000000002</v>
      </c>
      <c r="N985" s="7">
        <v>11.522751</v>
      </c>
      <c r="O985" s="7" t="s">
        <v>23</v>
      </c>
      <c r="P985" s="3"/>
      <c r="Q985" s="3"/>
      <c r="R985" s="3"/>
    </row>
    <row r="986" spans="1:18" x14ac:dyDescent="0.25">
      <c r="A986" s="2">
        <v>2194</v>
      </c>
      <c r="B986" s="7" t="s">
        <v>4933</v>
      </c>
      <c r="C986" s="7" t="s">
        <v>4934</v>
      </c>
      <c r="D986" s="7" t="s">
        <v>4933</v>
      </c>
      <c r="E986" s="7" t="s">
        <v>182</v>
      </c>
      <c r="F986" s="7" t="s">
        <v>2428</v>
      </c>
      <c r="G986" s="17" t="s">
        <v>7747</v>
      </c>
      <c r="H986" s="7" t="s">
        <v>28</v>
      </c>
      <c r="I986" s="7" t="s">
        <v>275</v>
      </c>
      <c r="J986" s="7" t="s">
        <v>185</v>
      </c>
      <c r="K986" s="7" t="s">
        <v>1322</v>
      </c>
      <c r="L986" s="7" t="s">
        <v>136</v>
      </c>
      <c r="M986" s="7">
        <v>3.8130000000000002</v>
      </c>
      <c r="N986" s="7">
        <v>11.476000000000001</v>
      </c>
      <c r="O986" s="7" t="s">
        <v>23</v>
      </c>
      <c r="P986" s="3"/>
      <c r="Q986" s="3"/>
      <c r="R986" s="3"/>
    </row>
    <row r="987" spans="1:18" x14ac:dyDescent="0.25">
      <c r="A987" s="2">
        <v>2195</v>
      </c>
      <c r="B987" s="7" t="s">
        <v>4946</v>
      </c>
      <c r="C987" s="7" t="s">
        <v>4947</v>
      </c>
      <c r="D987" s="7" t="s">
        <v>4946</v>
      </c>
      <c r="E987" s="7" t="s">
        <v>182</v>
      </c>
      <c r="F987" s="7" t="s">
        <v>4948</v>
      </c>
      <c r="G987" s="17" t="s">
        <v>7747</v>
      </c>
      <c r="H987" s="7" t="s">
        <v>28</v>
      </c>
      <c r="I987" s="7" t="s">
        <v>374</v>
      </c>
      <c r="J987" s="7" t="s">
        <v>287</v>
      </c>
      <c r="K987" s="7" t="s">
        <v>337</v>
      </c>
      <c r="L987" s="7" t="s">
        <v>136</v>
      </c>
      <c r="M987" s="7">
        <v>4.1776350000000004</v>
      </c>
      <c r="N987" s="7">
        <v>11.226846999999999</v>
      </c>
      <c r="O987" s="7" t="s">
        <v>23</v>
      </c>
      <c r="P987" s="3"/>
      <c r="Q987" s="3"/>
      <c r="R987" s="3"/>
    </row>
    <row r="988" spans="1:18" x14ac:dyDescent="0.25">
      <c r="A988" s="2">
        <v>2196</v>
      </c>
      <c r="B988" s="7" t="s">
        <v>4949</v>
      </c>
      <c r="C988" s="7" t="s">
        <v>4950</v>
      </c>
      <c r="D988" s="7" t="s">
        <v>4949</v>
      </c>
      <c r="E988" s="7" t="s">
        <v>182</v>
      </c>
      <c r="F988" s="7" t="s">
        <v>4951</v>
      </c>
      <c r="G988" s="17" t="s">
        <v>7747</v>
      </c>
      <c r="H988" s="7" t="s">
        <v>28</v>
      </c>
      <c r="I988" s="7" t="s">
        <v>286</v>
      </c>
      <c r="J988" s="7" t="s">
        <v>287</v>
      </c>
      <c r="K988" s="7" t="s">
        <v>4952</v>
      </c>
      <c r="L988" s="7" t="s">
        <v>136</v>
      </c>
      <c r="M988" s="7">
        <v>4.157</v>
      </c>
      <c r="N988" s="7">
        <v>11.352</v>
      </c>
      <c r="O988" s="7" t="s">
        <v>23</v>
      </c>
      <c r="P988" s="3"/>
      <c r="Q988" s="3"/>
      <c r="R988" s="3"/>
    </row>
    <row r="989" spans="1:18" x14ac:dyDescent="0.25">
      <c r="A989" s="2">
        <v>2197</v>
      </c>
      <c r="B989" s="7" t="s">
        <v>4953</v>
      </c>
      <c r="C989" s="7" t="s">
        <v>4954</v>
      </c>
      <c r="D989" s="7" t="s">
        <v>4953</v>
      </c>
      <c r="E989" s="7" t="s">
        <v>182</v>
      </c>
      <c r="F989" s="7" t="s">
        <v>4955</v>
      </c>
      <c r="G989" s="17" t="s">
        <v>7747</v>
      </c>
      <c r="H989" s="7" t="s">
        <v>19</v>
      </c>
      <c r="I989" s="7" t="s">
        <v>1637</v>
      </c>
      <c r="J989" s="7" t="s">
        <v>185</v>
      </c>
      <c r="K989" s="7" t="s">
        <v>808</v>
      </c>
      <c r="L989" s="7" t="s">
        <v>136</v>
      </c>
      <c r="M989" s="7">
        <v>3.8645</v>
      </c>
      <c r="N989" s="7">
        <v>11.512280000000001</v>
      </c>
      <c r="O989" s="7" t="s">
        <v>613</v>
      </c>
      <c r="P989" s="3"/>
      <c r="Q989" s="3"/>
      <c r="R989" s="3"/>
    </row>
    <row r="990" spans="1:18" x14ac:dyDescent="0.25">
      <c r="A990" s="2">
        <v>2198</v>
      </c>
      <c r="B990" s="7" t="s">
        <v>4959</v>
      </c>
      <c r="C990" s="7" t="s">
        <v>4960</v>
      </c>
      <c r="D990" s="7" t="s">
        <v>4959</v>
      </c>
      <c r="E990" s="7" t="s">
        <v>182</v>
      </c>
      <c r="F990" s="7" t="s">
        <v>4961</v>
      </c>
      <c r="G990" s="17" t="s">
        <v>7747</v>
      </c>
      <c r="H990" s="7" t="s">
        <v>28</v>
      </c>
      <c r="I990" s="7" t="s">
        <v>297</v>
      </c>
      <c r="J990" s="7" t="s">
        <v>185</v>
      </c>
      <c r="K990" s="7" t="s">
        <v>1393</v>
      </c>
      <c r="L990" s="7" t="s">
        <v>136</v>
      </c>
      <c r="M990" s="7">
        <v>3.8701699999999999</v>
      </c>
      <c r="N990" s="7">
        <v>11.46077</v>
      </c>
      <c r="O990" s="7" t="s">
        <v>23</v>
      </c>
      <c r="P990" s="3"/>
      <c r="Q990" s="3"/>
      <c r="R990" s="3"/>
    </row>
    <row r="991" spans="1:18" x14ac:dyDescent="0.25">
      <c r="A991" s="2">
        <v>2199</v>
      </c>
      <c r="B991" s="7" t="s">
        <v>4965</v>
      </c>
      <c r="C991" s="7" t="s">
        <v>4966</v>
      </c>
      <c r="D991" s="7" t="s">
        <v>4965</v>
      </c>
      <c r="E991" s="7" t="s">
        <v>250</v>
      </c>
      <c r="F991" s="7" t="s">
        <v>4967</v>
      </c>
      <c r="G991" s="17" t="s">
        <v>7747</v>
      </c>
      <c r="H991" s="7" t="s">
        <v>28</v>
      </c>
      <c r="I991" s="7" t="s">
        <v>341</v>
      </c>
      <c r="J991" s="7" t="s">
        <v>323</v>
      </c>
      <c r="K991" s="7" t="s">
        <v>341</v>
      </c>
      <c r="L991" s="7" t="s">
        <v>136</v>
      </c>
      <c r="M991" s="7">
        <v>3.5270929999999998</v>
      </c>
      <c r="N991" s="7">
        <v>11.503443000000001</v>
      </c>
      <c r="O991" s="7" t="s">
        <v>23</v>
      </c>
      <c r="P991" s="3"/>
      <c r="Q991" s="3"/>
      <c r="R991" s="3"/>
    </row>
    <row r="992" spans="1:18" x14ac:dyDescent="0.25">
      <c r="A992" s="2">
        <v>2200</v>
      </c>
      <c r="B992" s="7" t="s">
        <v>4968</v>
      </c>
      <c r="C992" s="7" t="s">
        <v>4969</v>
      </c>
      <c r="D992" s="7" t="s">
        <v>4968</v>
      </c>
      <c r="E992" s="7" t="s">
        <v>182</v>
      </c>
      <c r="F992" s="7" t="s">
        <v>4970</v>
      </c>
      <c r="G992" s="17" t="s">
        <v>7747</v>
      </c>
      <c r="H992" s="7" t="s">
        <v>28</v>
      </c>
      <c r="I992" s="7" t="s">
        <v>1637</v>
      </c>
      <c r="J992" s="7" t="s">
        <v>185</v>
      </c>
      <c r="K992" s="7" t="s">
        <v>1322</v>
      </c>
      <c r="L992" s="7" t="s">
        <v>136</v>
      </c>
      <c r="M992" s="7">
        <v>3.8539720000000002</v>
      </c>
      <c r="N992" s="7">
        <v>11.488306</v>
      </c>
      <c r="O992" s="7" t="s">
        <v>23</v>
      </c>
      <c r="P992" s="3"/>
      <c r="Q992" s="3"/>
      <c r="R992" s="3"/>
    </row>
    <row r="993" spans="1:18" x14ac:dyDescent="0.25">
      <c r="A993" s="2">
        <v>2201</v>
      </c>
      <c r="B993" s="7" t="s">
        <v>4971</v>
      </c>
      <c r="C993" s="7" t="s">
        <v>4972</v>
      </c>
      <c r="D993" s="7" t="s">
        <v>4971</v>
      </c>
      <c r="E993" s="7" t="s">
        <v>182</v>
      </c>
      <c r="F993" s="7" t="s">
        <v>4973</v>
      </c>
      <c r="G993" s="17" t="s">
        <v>7747</v>
      </c>
      <c r="H993" s="7" t="s">
        <v>19</v>
      </c>
      <c r="I993" s="7" t="s">
        <v>1337</v>
      </c>
      <c r="J993" s="7" t="s">
        <v>185</v>
      </c>
      <c r="K993" s="7" t="s">
        <v>1375</v>
      </c>
      <c r="L993" s="7" t="s">
        <v>136</v>
      </c>
      <c r="M993" s="7">
        <v>3.8692190000000002</v>
      </c>
      <c r="N993" s="7">
        <v>11.516116</v>
      </c>
      <c r="O993" s="7" t="s">
        <v>613</v>
      </c>
      <c r="P993" s="3"/>
      <c r="Q993" s="3"/>
      <c r="R993" s="3"/>
    </row>
    <row r="994" spans="1:18" x14ac:dyDescent="0.25">
      <c r="A994" s="2">
        <v>2202</v>
      </c>
      <c r="B994" s="7" t="s">
        <v>4980</v>
      </c>
      <c r="C994" s="7" t="s">
        <v>4981</v>
      </c>
      <c r="D994" s="7" t="s">
        <v>4980</v>
      </c>
      <c r="E994" s="7" t="s">
        <v>182</v>
      </c>
      <c r="F994" s="7" t="s">
        <v>4982</v>
      </c>
      <c r="G994" s="17" t="s">
        <v>7747</v>
      </c>
      <c r="H994" s="7" t="s">
        <v>28</v>
      </c>
      <c r="I994" s="7" t="s">
        <v>1385</v>
      </c>
      <c r="J994" s="7" t="s">
        <v>185</v>
      </c>
      <c r="K994" s="7" t="s">
        <v>1367</v>
      </c>
      <c r="L994" s="7" t="s">
        <v>136</v>
      </c>
      <c r="M994" s="7">
        <v>3.75447</v>
      </c>
      <c r="N994" s="7">
        <v>11.53373</v>
      </c>
      <c r="O994" s="7" t="s">
        <v>23</v>
      </c>
      <c r="P994" s="3"/>
      <c r="Q994" s="3"/>
      <c r="R994" s="3"/>
    </row>
    <row r="995" spans="1:18" x14ac:dyDescent="0.25">
      <c r="A995" s="2">
        <v>2203</v>
      </c>
      <c r="B995" s="7" t="s">
        <v>4997</v>
      </c>
      <c r="C995" s="7" t="s">
        <v>4998</v>
      </c>
      <c r="D995" s="7" t="s">
        <v>4997</v>
      </c>
      <c r="E995" s="7" t="s">
        <v>182</v>
      </c>
      <c r="F995" s="7" t="s">
        <v>4999</v>
      </c>
      <c r="G995" s="17" t="s">
        <v>7747</v>
      </c>
      <c r="H995" s="7" t="s">
        <v>28</v>
      </c>
      <c r="I995" s="7" t="s">
        <v>1337</v>
      </c>
      <c r="J995" s="7" t="s">
        <v>185</v>
      </c>
      <c r="K995" s="7" t="s">
        <v>1375</v>
      </c>
      <c r="L995" s="7" t="s">
        <v>136</v>
      </c>
      <c r="M995" s="7">
        <v>3.8732730000000002</v>
      </c>
      <c r="N995" s="7">
        <v>11.506537</v>
      </c>
      <c r="O995" s="7" t="s">
        <v>23</v>
      </c>
      <c r="P995" s="3"/>
      <c r="Q995" s="3"/>
      <c r="R995" s="3"/>
    </row>
    <row r="996" spans="1:18" x14ac:dyDescent="0.25">
      <c r="A996" s="2">
        <v>2205</v>
      </c>
      <c r="B996" s="7" t="s">
        <v>5014</v>
      </c>
      <c r="C996" s="7" t="s">
        <v>5015</v>
      </c>
      <c r="D996" s="7" t="s">
        <v>5014</v>
      </c>
      <c r="E996" s="7" t="s">
        <v>250</v>
      </c>
      <c r="F996" s="7" t="s">
        <v>5016</v>
      </c>
      <c r="G996" s="17" t="s">
        <v>7747</v>
      </c>
      <c r="H996" s="7" t="s">
        <v>28</v>
      </c>
      <c r="I996" s="7" t="s">
        <v>311</v>
      </c>
      <c r="J996" s="7" t="s">
        <v>312</v>
      </c>
      <c r="K996" s="7" t="s">
        <v>2594</v>
      </c>
      <c r="L996" s="7" t="s">
        <v>136</v>
      </c>
      <c r="M996" s="7">
        <v>2.9041000000000001</v>
      </c>
      <c r="N996" s="7">
        <v>11.271800000000001</v>
      </c>
      <c r="O996" s="7" t="s">
        <v>23</v>
      </c>
      <c r="P996" s="3"/>
      <c r="Q996" s="3"/>
      <c r="R996" s="3"/>
    </row>
    <row r="997" spans="1:18" x14ac:dyDescent="0.25">
      <c r="A997" s="2">
        <v>2206</v>
      </c>
      <c r="B997" s="7" t="s">
        <v>5020</v>
      </c>
      <c r="C997" s="7" t="s">
        <v>5021</v>
      </c>
      <c r="D997" s="7" t="s">
        <v>5020</v>
      </c>
      <c r="E997" s="7" t="s">
        <v>250</v>
      </c>
      <c r="F997" s="7" t="s">
        <v>5022</v>
      </c>
      <c r="G997" s="17" t="s">
        <v>7747</v>
      </c>
      <c r="H997" s="7" t="s">
        <v>28</v>
      </c>
      <c r="I997" s="7" t="s">
        <v>322</v>
      </c>
      <c r="J997" s="7" t="s">
        <v>253</v>
      </c>
      <c r="K997" s="7" t="s">
        <v>1606</v>
      </c>
      <c r="L997" s="7" t="s">
        <v>136</v>
      </c>
      <c r="M997" s="7">
        <v>3.3941530000000002</v>
      </c>
      <c r="N997" s="7">
        <v>11.884703</v>
      </c>
      <c r="O997" s="7" t="s">
        <v>23</v>
      </c>
      <c r="P997" s="3"/>
      <c r="Q997" s="3"/>
      <c r="R997" s="3"/>
    </row>
    <row r="998" spans="1:18" x14ac:dyDescent="0.25">
      <c r="A998" s="2">
        <v>2207</v>
      </c>
      <c r="B998" s="7" t="s">
        <v>5023</v>
      </c>
      <c r="C998" s="7" t="s">
        <v>5024</v>
      </c>
      <c r="D998" s="7" t="s">
        <v>5023</v>
      </c>
      <c r="E998" s="7" t="s">
        <v>182</v>
      </c>
      <c r="F998" s="7" t="s">
        <v>5025</v>
      </c>
      <c r="G998" s="17" t="s">
        <v>7747</v>
      </c>
      <c r="H998" s="7" t="s">
        <v>28</v>
      </c>
      <c r="I998" s="7" t="s">
        <v>1337</v>
      </c>
      <c r="J998" s="7" t="s">
        <v>185</v>
      </c>
      <c r="K998" s="7" t="s">
        <v>808</v>
      </c>
      <c r="L998" s="7" t="s">
        <v>136</v>
      </c>
      <c r="M998" s="7">
        <v>3.86511</v>
      </c>
      <c r="N998" s="7">
        <v>11.517519999999999</v>
      </c>
      <c r="O998" s="7" t="s">
        <v>613</v>
      </c>
      <c r="P998" s="3"/>
      <c r="Q998" s="3"/>
      <c r="R998" s="3"/>
    </row>
    <row r="999" spans="1:18" x14ac:dyDescent="0.25">
      <c r="A999" s="2">
        <v>2208</v>
      </c>
      <c r="B999" s="7" t="s">
        <v>5035</v>
      </c>
      <c r="C999" s="7" t="s">
        <v>5036</v>
      </c>
      <c r="D999" s="7" t="s">
        <v>5035</v>
      </c>
      <c r="E999" s="7" t="s">
        <v>182</v>
      </c>
      <c r="F999" s="7" t="s">
        <v>5037</v>
      </c>
      <c r="G999" s="17" t="s">
        <v>7747</v>
      </c>
      <c r="H999" s="7" t="s">
        <v>28</v>
      </c>
      <c r="I999" s="7" t="s">
        <v>1366</v>
      </c>
      <c r="J999" s="7" t="s">
        <v>185</v>
      </c>
      <c r="K999" s="7" t="s">
        <v>1435</v>
      </c>
      <c r="L999" s="7" t="s">
        <v>136</v>
      </c>
      <c r="M999" s="7">
        <v>3.8623599999999998</v>
      </c>
      <c r="N999" s="7">
        <v>11.524330000000001</v>
      </c>
      <c r="O999" s="7" t="s">
        <v>613</v>
      </c>
      <c r="P999" s="3"/>
      <c r="Q999" s="3"/>
      <c r="R999" s="3"/>
    </row>
    <row r="1000" spans="1:18" x14ac:dyDescent="0.25">
      <c r="A1000" s="2">
        <v>2209</v>
      </c>
      <c r="B1000" s="7" t="s">
        <v>5041</v>
      </c>
      <c r="C1000" s="7" t="s">
        <v>5042</v>
      </c>
      <c r="D1000" s="7" t="s">
        <v>5041</v>
      </c>
      <c r="E1000" s="7" t="s">
        <v>182</v>
      </c>
      <c r="F1000" s="7" t="s">
        <v>5043</v>
      </c>
      <c r="G1000" s="17" t="s">
        <v>7747</v>
      </c>
      <c r="H1000" s="7" t="s">
        <v>19</v>
      </c>
      <c r="I1000" s="7" t="s">
        <v>1637</v>
      </c>
      <c r="J1000" s="7" t="s">
        <v>185</v>
      </c>
      <c r="K1000" s="7" t="s">
        <v>1322</v>
      </c>
      <c r="L1000" s="7" t="s">
        <v>136</v>
      </c>
      <c r="M1000" s="7">
        <v>3.857056</v>
      </c>
      <c r="N1000" s="7">
        <v>11.492027999999999</v>
      </c>
      <c r="O1000" s="7" t="s">
        <v>613</v>
      </c>
      <c r="P1000" s="3"/>
      <c r="Q1000" s="3"/>
      <c r="R1000" s="3"/>
    </row>
    <row r="1001" spans="1:18" x14ac:dyDescent="0.25">
      <c r="A1001" s="2">
        <v>2210</v>
      </c>
      <c r="B1001" s="7" t="s">
        <v>5044</v>
      </c>
      <c r="C1001" s="7" t="s">
        <v>5045</v>
      </c>
      <c r="D1001" s="7" t="s">
        <v>5044</v>
      </c>
      <c r="E1001" s="7" t="s">
        <v>182</v>
      </c>
      <c r="F1001" s="7" t="s">
        <v>5046</v>
      </c>
      <c r="G1001" s="17" t="s">
        <v>7747</v>
      </c>
      <c r="H1001" s="7" t="s">
        <v>19</v>
      </c>
      <c r="I1001" s="7" t="s">
        <v>1337</v>
      </c>
      <c r="J1001" s="7" t="s">
        <v>185</v>
      </c>
      <c r="K1001" s="7" t="s">
        <v>1375</v>
      </c>
      <c r="L1001" s="7" t="s">
        <v>136</v>
      </c>
      <c r="M1001" s="7">
        <v>3.8712300000000002</v>
      </c>
      <c r="N1001" s="7">
        <v>11.517849999999999</v>
      </c>
      <c r="O1001" s="7" t="s">
        <v>613</v>
      </c>
      <c r="P1001" s="3"/>
      <c r="Q1001" s="3"/>
      <c r="R1001" s="3"/>
    </row>
    <row r="1002" spans="1:18" x14ac:dyDescent="0.25">
      <c r="A1002" s="2">
        <v>2211</v>
      </c>
      <c r="B1002" s="7" t="s">
        <v>5050</v>
      </c>
      <c r="C1002" s="7" t="s">
        <v>5051</v>
      </c>
      <c r="D1002" s="7" t="s">
        <v>5050</v>
      </c>
      <c r="E1002" s="7" t="s">
        <v>182</v>
      </c>
      <c r="F1002" s="7" t="s">
        <v>5052</v>
      </c>
      <c r="G1002" s="17" t="s">
        <v>7747</v>
      </c>
      <c r="H1002" s="7" t="s">
        <v>19</v>
      </c>
      <c r="I1002" s="7" t="s">
        <v>1461</v>
      </c>
      <c r="J1002" s="7" t="s">
        <v>185</v>
      </c>
      <c r="K1002" s="7" t="s">
        <v>1462</v>
      </c>
      <c r="L1002" s="7" t="s">
        <v>136</v>
      </c>
      <c r="M1002" s="7">
        <v>3.83548</v>
      </c>
      <c r="N1002" s="7">
        <v>11.49536</v>
      </c>
      <c r="O1002" s="7" t="s">
        <v>613</v>
      </c>
      <c r="P1002" s="3"/>
      <c r="Q1002" s="3"/>
      <c r="R1002" s="3"/>
    </row>
    <row r="1003" spans="1:18" x14ac:dyDescent="0.25">
      <c r="A1003" s="2">
        <v>2212</v>
      </c>
      <c r="B1003" s="7" t="s">
        <v>5053</v>
      </c>
      <c r="C1003" s="7" t="s">
        <v>5054</v>
      </c>
      <c r="D1003" s="7" t="s">
        <v>5053</v>
      </c>
      <c r="E1003" s="7" t="s">
        <v>182</v>
      </c>
      <c r="F1003" s="7" t="s">
        <v>5055</v>
      </c>
      <c r="G1003" s="17" t="s">
        <v>7747</v>
      </c>
      <c r="H1003" s="7" t="s">
        <v>28</v>
      </c>
      <c r="I1003" s="7" t="s">
        <v>1637</v>
      </c>
      <c r="J1003" s="7" t="s">
        <v>185</v>
      </c>
      <c r="K1003" s="7" t="s">
        <v>1322</v>
      </c>
      <c r="L1003" s="7" t="s">
        <v>136</v>
      </c>
      <c r="M1003" s="7">
        <v>3.8483299999999998</v>
      </c>
      <c r="N1003" s="7">
        <v>11.486409999999999</v>
      </c>
      <c r="O1003" s="7" t="s">
        <v>613</v>
      </c>
      <c r="P1003" s="3"/>
      <c r="Q1003" s="3"/>
      <c r="R1003" s="3"/>
    </row>
    <row r="1004" spans="1:18" x14ac:dyDescent="0.25">
      <c r="A1004" s="2">
        <v>2213</v>
      </c>
      <c r="B1004" s="7" t="s">
        <v>5062</v>
      </c>
      <c r="C1004" s="7" t="s">
        <v>5063</v>
      </c>
      <c r="D1004" s="7" t="s">
        <v>5062</v>
      </c>
      <c r="E1004" s="7" t="s">
        <v>182</v>
      </c>
      <c r="F1004" s="7" t="s">
        <v>5064</v>
      </c>
      <c r="G1004" s="17" t="s">
        <v>7747</v>
      </c>
      <c r="H1004" s="7" t="s">
        <v>28</v>
      </c>
      <c r="I1004" s="7" t="s">
        <v>184</v>
      </c>
      <c r="J1004" s="7" t="s">
        <v>185</v>
      </c>
      <c r="K1004" s="7" t="s">
        <v>1435</v>
      </c>
      <c r="L1004" s="7" t="s">
        <v>136</v>
      </c>
      <c r="M1004" s="7">
        <v>3.8976099999999998</v>
      </c>
      <c r="N1004" s="7">
        <v>11.541930000000001</v>
      </c>
      <c r="O1004" s="7" t="s">
        <v>613</v>
      </c>
      <c r="P1004" s="3"/>
      <c r="Q1004" s="3"/>
      <c r="R1004" s="3"/>
    </row>
    <row r="1005" spans="1:18" x14ac:dyDescent="0.25">
      <c r="A1005" s="2">
        <v>2214</v>
      </c>
      <c r="B1005" s="7" t="s">
        <v>5068</v>
      </c>
      <c r="C1005" s="7" t="s">
        <v>5069</v>
      </c>
      <c r="D1005" s="7" t="s">
        <v>5068</v>
      </c>
      <c r="E1005" s="7" t="s">
        <v>182</v>
      </c>
      <c r="F1005" s="7" t="s">
        <v>5070</v>
      </c>
      <c r="G1005" s="17" t="s">
        <v>7747</v>
      </c>
      <c r="H1005" s="7" t="s">
        <v>19</v>
      </c>
      <c r="I1005" s="7" t="s">
        <v>1461</v>
      </c>
      <c r="J1005" s="7" t="s">
        <v>185</v>
      </c>
      <c r="K1005" s="7" t="s">
        <v>1367</v>
      </c>
      <c r="L1005" s="7" t="s">
        <v>136</v>
      </c>
      <c r="M1005" s="7">
        <v>3.8495499999999998</v>
      </c>
      <c r="N1005" s="7">
        <v>11.520799999999999</v>
      </c>
      <c r="O1005" s="7" t="s">
        <v>613</v>
      </c>
      <c r="P1005" s="3"/>
      <c r="Q1005" s="3"/>
      <c r="R1005" s="3"/>
    </row>
    <row r="1006" spans="1:18" x14ac:dyDescent="0.25">
      <c r="A1006" s="2">
        <v>2215</v>
      </c>
      <c r="B1006" s="7" t="s">
        <v>5089</v>
      </c>
      <c r="C1006" s="7" t="s">
        <v>5090</v>
      </c>
      <c r="D1006" s="7" t="s">
        <v>5089</v>
      </c>
      <c r="E1006" s="7" t="s">
        <v>182</v>
      </c>
      <c r="F1006" s="7" t="s">
        <v>5091</v>
      </c>
      <c r="G1006" s="17" t="s">
        <v>7747</v>
      </c>
      <c r="H1006" s="7" t="s">
        <v>28</v>
      </c>
      <c r="I1006" s="7" t="s">
        <v>1766</v>
      </c>
      <c r="J1006" s="7" t="s">
        <v>185</v>
      </c>
      <c r="K1006" s="7" t="s">
        <v>808</v>
      </c>
      <c r="L1006" s="7" t="s">
        <v>136</v>
      </c>
      <c r="M1006" s="7">
        <v>3.9248599999999998</v>
      </c>
      <c r="N1006" s="7">
        <v>11.5198</v>
      </c>
      <c r="O1006" s="7" t="s">
        <v>613</v>
      </c>
      <c r="P1006" s="3"/>
      <c r="Q1006" s="3"/>
      <c r="R1006" s="3"/>
    </row>
    <row r="1007" spans="1:18" x14ac:dyDescent="0.25">
      <c r="A1007" s="2">
        <v>2216</v>
      </c>
      <c r="B1007" s="7" t="s">
        <v>5104</v>
      </c>
      <c r="C1007" s="7" t="s">
        <v>5105</v>
      </c>
      <c r="D1007" s="7" t="s">
        <v>5104</v>
      </c>
      <c r="E1007" s="7" t="s">
        <v>182</v>
      </c>
      <c r="F1007" s="7" t="s">
        <v>5106</v>
      </c>
      <c r="G1007" s="17" t="s">
        <v>7747</v>
      </c>
      <c r="H1007" s="7" t="s">
        <v>19</v>
      </c>
      <c r="I1007" s="7" t="s">
        <v>1366</v>
      </c>
      <c r="J1007" s="7" t="s">
        <v>185</v>
      </c>
      <c r="K1007" s="7" t="s">
        <v>1435</v>
      </c>
      <c r="L1007" s="7" t="s">
        <v>136</v>
      </c>
      <c r="M1007" s="7">
        <v>3.86443</v>
      </c>
      <c r="N1007" s="7">
        <v>11.527979999999999</v>
      </c>
      <c r="O1007" s="7" t="s">
        <v>613</v>
      </c>
      <c r="P1007" s="3"/>
      <c r="Q1007" s="3"/>
      <c r="R1007" s="3"/>
    </row>
    <row r="1008" spans="1:18" x14ac:dyDescent="0.25">
      <c r="A1008" s="2">
        <v>2217</v>
      </c>
      <c r="B1008" s="7" t="s">
        <v>5107</v>
      </c>
      <c r="C1008" s="7" t="s">
        <v>5108</v>
      </c>
      <c r="D1008" s="7" t="s">
        <v>5107</v>
      </c>
      <c r="E1008" s="7" t="s">
        <v>182</v>
      </c>
      <c r="F1008" s="7" t="s">
        <v>5109</v>
      </c>
      <c r="G1008" s="17" t="s">
        <v>7747</v>
      </c>
      <c r="H1008" s="7" t="s">
        <v>19</v>
      </c>
      <c r="I1008" s="7" t="s">
        <v>1766</v>
      </c>
      <c r="J1008" s="7" t="s">
        <v>185</v>
      </c>
      <c r="K1008" s="7" t="s">
        <v>808</v>
      </c>
      <c r="L1008" s="7" t="s">
        <v>136</v>
      </c>
      <c r="M1008" s="7">
        <v>3.8914749999999998</v>
      </c>
      <c r="N1008" s="7">
        <v>11.529622</v>
      </c>
      <c r="O1008" s="7" t="s">
        <v>613</v>
      </c>
      <c r="P1008" s="3"/>
      <c r="Q1008" s="3"/>
      <c r="R1008" s="3"/>
    </row>
    <row r="1009" spans="1:18" x14ac:dyDescent="0.25">
      <c r="A1009" s="2">
        <v>2218</v>
      </c>
      <c r="B1009" s="7" t="s">
        <v>5113</v>
      </c>
      <c r="C1009" s="7" t="s">
        <v>5114</v>
      </c>
      <c r="D1009" s="7" t="s">
        <v>5113</v>
      </c>
      <c r="E1009" s="7" t="s">
        <v>182</v>
      </c>
      <c r="F1009" s="7" t="s">
        <v>5115</v>
      </c>
      <c r="G1009" s="17" t="s">
        <v>7747</v>
      </c>
      <c r="H1009" s="7" t="s">
        <v>28</v>
      </c>
      <c r="I1009" s="7" t="s">
        <v>1553</v>
      </c>
      <c r="J1009" s="7" t="s">
        <v>826</v>
      </c>
      <c r="K1009" s="7" t="s">
        <v>819</v>
      </c>
      <c r="L1009" s="7" t="s">
        <v>136</v>
      </c>
      <c r="M1009" s="7">
        <v>3.8349440000000001</v>
      </c>
      <c r="N1009" s="7">
        <v>11.553722</v>
      </c>
      <c r="O1009" s="7" t="s">
        <v>613</v>
      </c>
      <c r="P1009" s="3"/>
      <c r="Q1009" s="3"/>
      <c r="R1009" s="3"/>
    </row>
    <row r="1010" spans="1:18" x14ac:dyDescent="0.25">
      <c r="A1010" s="2">
        <v>2219</v>
      </c>
      <c r="B1010" s="7" t="s">
        <v>5132</v>
      </c>
      <c r="C1010" s="7" t="s">
        <v>5133</v>
      </c>
      <c r="D1010" s="7" t="s">
        <v>5132</v>
      </c>
      <c r="E1010" s="7" t="s">
        <v>182</v>
      </c>
      <c r="F1010" s="7" t="s">
        <v>5134</v>
      </c>
      <c r="G1010" s="17" t="s">
        <v>7747</v>
      </c>
      <c r="H1010" s="7" t="s">
        <v>28</v>
      </c>
      <c r="I1010" s="7" t="s">
        <v>1385</v>
      </c>
      <c r="J1010" s="7" t="s">
        <v>185</v>
      </c>
      <c r="K1010" s="7" t="s">
        <v>1367</v>
      </c>
      <c r="L1010" s="7" t="s">
        <v>136</v>
      </c>
      <c r="M1010" s="7">
        <v>3.8326699999999998</v>
      </c>
      <c r="N1010" s="7">
        <v>11.53046</v>
      </c>
      <c r="O1010" s="7" t="s">
        <v>613</v>
      </c>
      <c r="P1010" s="3"/>
      <c r="Q1010" s="3"/>
      <c r="R1010" s="3"/>
    </row>
    <row r="1011" spans="1:18" x14ac:dyDescent="0.25">
      <c r="A1011" s="2">
        <v>2220</v>
      </c>
      <c r="B1011" s="7" t="s">
        <v>5144</v>
      </c>
      <c r="C1011" s="7" t="s">
        <v>5145</v>
      </c>
      <c r="D1011" s="7" t="s">
        <v>5144</v>
      </c>
      <c r="E1011" s="7" t="s">
        <v>182</v>
      </c>
      <c r="F1011" s="7" t="s">
        <v>2931</v>
      </c>
      <c r="G1011" s="17" t="s">
        <v>7747</v>
      </c>
      <c r="H1011" s="7" t="s">
        <v>28</v>
      </c>
      <c r="I1011" s="7" t="s">
        <v>1337</v>
      </c>
      <c r="J1011" s="7" t="s">
        <v>185</v>
      </c>
      <c r="K1011" s="7" t="s">
        <v>1375</v>
      </c>
      <c r="L1011" s="7" t="s">
        <v>136</v>
      </c>
      <c r="M1011" s="7">
        <v>3.8828040000000001</v>
      </c>
      <c r="N1011" s="7">
        <v>11.492381999999999</v>
      </c>
      <c r="O1011" s="7" t="s">
        <v>613</v>
      </c>
      <c r="P1011" s="3"/>
      <c r="Q1011" s="3"/>
      <c r="R1011" s="3"/>
    </row>
    <row r="1012" spans="1:18" x14ac:dyDescent="0.25">
      <c r="A1012" s="2">
        <v>2221</v>
      </c>
      <c r="B1012" s="7" t="s">
        <v>5150</v>
      </c>
      <c r="C1012" s="7" t="s">
        <v>5151</v>
      </c>
      <c r="D1012" s="7" t="s">
        <v>5150</v>
      </c>
      <c r="E1012" s="7" t="s">
        <v>182</v>
      </c>
      <c r="F1012" s="7" t="s">
        <v>5152</v>
      </c>
      <c r="G1012" s="17" t="s">
        <v>7747</v>
      </c>
      <c r="H1012" s="7" t="s">
        <v>28</v>
      </c>
      <c r="I1012" s="7" t="s">
        <v>807</v>
      </c>
      <c r="J1012" s="7" t="s">
        <v>185</v>
      </c>
      <c r="K1012" s="7" t="s">
        <v>808</v>
      </c>
      <c r="L1012" s="7" t="s">
        <v>136</v>
      </c>
      <c r="M1012" s="7">
        <v>3.904417</v>
      </c>
      <c r="N1012" s="7">
        <v>11.526417</v>
      </c>
      <c r="O1012" s="7" t="s">
        <v>613</v>
      </c>
      <c r="P1012" s="3"/>
      <c r="Q1012" s="3"/>
      <c r="R1012" s="3"/>
    </row>
    <row r="1013" spans="1:18" x14ac:dyDescent="0.25">
      <c r="A1013" s="2">
        <v>2222</v>
      </c>
      <c r="B1013" s="7" t="s">
        <v>5177</v>
      </c>
      <c r="C1013" s="7" t="s">
        <v>5178</v>
      </c>
      <c r="D1013" s="7" t="s">
        <v>5177</v>
      </c>
      <c r="E1013" s="7" t="s">
        <v>182</v>
      </c>
      <c r="F1013" s="7" t="s">
        <v>5179</v>
      </c>
      <c r="G1013" s="17" t="s">
        <v>7747</v>
      </c>
      <c r="H1013" s="7" t="s">
        <v>19</v>
      </c>
      <c r="I1013" s="7" t="s">
        <v>1366</v>
      </c>
      <c r="J1013" s="7" t="s">
        <v>185</v>
      </c>
      <c r="K1013" s="7" t="s">
        <v>1435</v>
      </c>
      <c r="L1013" s="7" t="s">
        <v>136</v>
      </c>
      <c r="M1013" s="7">
        <v>3.8561100000000001</v>
      </c>
      <c r="N1013" s="7">
        <v>11.52849</v>
      </c>
      <c r="O1013" s="7" t="s">
        <v>613</v>
      </c>
      <c r="P1013" s="3"/>
      <c r="Q1013" s="3"/>
      <c r="R1013" s="3"/>
    </row>
    <row r="1014" spans="1:18" x14ac:dyDescent="0.25">
      <c r="A1014" s="2">
        <v>2223</v>
      </c>
      <c r="B1014" s="7" t="s">
        <v>5186</v>
      </c>
      <c r="C1014" s="7" t="s">
        <v>5187</v>
      </c>
      <c r="D1014" s="7" t="s">
        <v>5186</v>
      </c>
      <c r="E1014" s="7" t="s">
        <v>182</v>
      </c>
      <c r="F1014" s="7" t="s">
        <v>5188</v>
      </c>
      <c r="G1014" s="17" t="s">
        <v>7747</v>
      </c>
      <c r="H1014" s="7" t="s">
        <v>19</v>
      </c>
      <c r="I1014" s="7" t="s">
        <v>1637</v>
      </c>
      <c r="J1014" s="7" t="s">
        <v>185</v>
      </c>
      <c r="K1014" s="7" t="s">
        <v>1462</v>
      </c>
      <c r="L1014" s="7" t="s">
        <v>136</v>
      </c>
      <c r="M1014" s="7">
        <v>3.85256</v>
      </c>
      <c r="N1014" s="7">
        <v>11.498900000000001</v>
      </c>
      <c r="O1014" s="7" t="s">
        <v>613</v>
      </c>
      <c r="P1014" s="3"/>
      <c r="Q1014" s="3"/>
      <c r="R1014" s="3"/>
    </row>
    <row r="1015" spans="1:18" x14ac:dyDescent="0.25">
      <c r="A1015" s="2">
        <v>2224</v>
      </c>
      <c r="B1015" s="7" t="s">
        <v>5226</v>
      </c>
      <c r="C1015" s="7" t="s">
        <v>5227</v>
      </c>
      <c r="D1015" s="7" t="s">
        <v>5226</v>
      </c>
      <c r="E1015" s="7" t="s">
        <v>182</v>
      </c>
      <c r="F1015" s="7" t="s">
        <v>5228</v>
      </c>
      <c r="G1015" s="17" t="s">
        <v>7747</v>
      </c>
      <c r="H1015" s="7" t="s">
        <v>28</v>
      </c>
      <c r="I1015" s="7" t="s">
        <v>1337</v>
      </c>
      <c r="J1015" s="7" t="s">
        <v>185</v>
      </c>
      <c r="K1015" s="7" t="s">
        <v>1375</v>
      </c>
      <c r="L1015" s="7" t="s">
        <v>136</v>
      </c>
      <c r="M1015" s="7">
        <v>3.8760059999999998</v>
      </c>
      <c r="N1015" s="7">
        <v>11.496975000000001</v>
      </c>
      <c r="O1015" s="7" t="s">
        <v>613</v>
      </c>
      <c r="P1015" s="3"/>
      <c r="Q1015" s="3"/>
      <c r="R1015" s="3"/>
    </row>
    <row r="1016" spans="1:18" x14ac:dyDescent="0.25">
      <c r="A1016" s="2">
        <v>2225</v>
      </c>
      <c r="B1016" s="7" t="s">
        <v>5235</v>
      </c>
      <c r="C1016" s="7" t="s">
        <v>5236</v>
      </c>
      <c r="D1016" s="7" t="s">
        <v>5235</v>
      </c>
      <c r="E1016" s="7" t="s">
        <v>182</v>
      </c>
      <c r="F1016" s="7" t="s">
        <v>5237</v>
      </c>
      <c r="G1016" s="17" t="s">
        <v>7747</v>
      </c>
      <c r="H1016" s="7" t="s">
        <v>28</v>
      </c>
      <c r="I1016" s="7" t="s">
        <v>1284</v>
      </c>
      <c r="J1016" s="7" t="s">
        <v>185</v>
      </c>
      <c r="K1016" s="7" t="s">
        <v>1322</v>
      </c>
      <c r="L1016" s="7" t="s">
        <v>136</v>
      </c>
      <c r="M1016" s="7">
        <v>3.8429190000000002</v>
      </c>
      <c r="N1016" s="7">
        <v>11.479481</v>
      </c>
      <c r="O1016" s="7" t="s">
        <v>613</v>
      </c>
      <c r="P1016" s="3"/>
      <c r="Q1016" s="3"/>
      <c r="R1016" s="3"/>
    </row>
    <row r="1017" spans="1:18" x14ac:dyDescent="0.25">
      <c r="A1017" s="2">
        <v>2226</v>
      </c>
      <c r="B1017" s="7" t="s">
        <v>5238</v>
      </c>
      <c r="C1017" s="7" t="s">
        <v>5239</v>
      </c>
      <c r="D1017" s="7" t="s">
        <v>5238</v>
      </c>
      <c r="E1017" s="7" t="s">
        <v>182</v>
      </c>
      <c r="F1017" s="7" t="s">
        <v>5240</v>
      </c>
      <c r="G1017" s="17" t="s">
        <v>7747</v>
      </c>
      <c r="H1017" s="7" t="s">
        <v>28</v>
      </c>
      <c r="I1017" s="7" t="s">
        <v>1284</v>
      </c>
      <c r="J1017" s="7" t="s">
        <v>185</v>
      </c>
      <c r="K1017" s="7" t="s">
        <v>1322</v>
      </c>
      <c r="L1017" s="7" t="s">
        <v>136</v>
      </c>
      <c r="M1017" s="7">
        <v>3.8348170000000001</v>
      </c>
      <c r="N1017" s="7">
        <v>11.478031</v>
      </c>
      <c r="O1017" s="7" t="s">
        <v>613</v>
      </c>
      <c r="P1017" s="3"/>
      <c r="Q1017" s="3"/>
      <c r="R1017" s="3"/>
    </row>
    <row r="1018" spans="1:18" x14ac:dyDescent="0.25">
      <c r="A1018" s="2">
        <v>2227</v>
      </c>
      <c r="B1018" s="7" t="s">
        <v>5241</v>
      </c>
      <c r="C1018" s="7" t="s">
        <v>5242</v>
      </c>
      <c r="D1018" s="7" t="s">
        <v>5241</v>
      </c>
      <c r="E1018" s="7" t="s">
        <v>182</v>
      </c>
      <c r="F1018" s="7" t="s">
        <v>5243</v>
      </c>
      <c r="G1018" s="17" t="s">
        <v>7747</v>
      </c>
      <c r="H1018" s="7" t="s">
        <v>28</v>
      </c>
      <c r="I1018" s="7" t="s">
        <v>1374</v>
      </c>
      <c r="J1018" s="7" t="s">
        <v>185</v>
      </c>
      <c r="K1018" s="7" t="s">
        <v>1375</v>
      </c>
      <c r="L1018" s="7" t="s">
        <v>136</v>
      </c>
      <c r="M1018" s="7">
        <v>3.8978890000000002</v>
      </c>
      <c r="N1018" s="7">
        <v>11.509055999999999</v>
      </c>
      <c r="O1018" s="7" t="s">
        <v>613</v>
      </c>
      <c r="P1018" s="3"/>
      <c r="Q1018" s="3"/>
      <c r="R1018" s="3"/>
    </row>
    <row r="1019" spans="1:18" x14ac:dyDescent="0.25">
      <c r="A1019" s="2">
        <v>2228</v>
      </c>
      <c r="B1019" s="7" t="s">
        <v>5250</v>
      </c>
      <c r="C1019" s="7" t="s">
        <v>5251</v>
      </c>
      <c r="D1019" s="7" t="s">
        <v>5250</v>
      </c>
      <c r="E1019" s="7" t="s">
        <v>182</v>
      </c>
      <c r="F1019" s="7" t="s">
        <v>5252</v>
      </c>
      <c r="G1019" s="17" t="s">
        <v>7747</v>
      </c>
      <c r="H1019" s="7" t="s">
        <v>19</v>
      </c>
      <c r="I1019" s="7" t="s">
        <v>1461</v>
      </c>
      <c r="J1019" s="7" t="s">
        <v>185</v>
      </c>
      <c r="K1019" s="7" t="s">
        <v>1367</v>
      </c>
      <c r="L1019" s="7" t="s">
        <v>136</v>
      </c>
      <c r="M1019" s="7">
        <v>3.83738</v>
      </c>
      <c r="N1019" s="7">
        <v>11.517440000000001</v>
      </c>
      <c r="O1019" s="7" t="s">
        <v>613</v>
      </c>
      <c r="P1019" s="3"/>
      <c r="Q1019" s="3"/>
      <c r="R1019" s="3"/>
    </row>
    <row r="1020" spans="1:18" x14ac:dyDescent="0.25">
      <c r="A1020" s="2">
        <v>2229</v>
      </c>
      <c r="B1020" s="7" t="s">
        <v>5253</v>
      </c>
      <c r="C1020" s="7" t="s">
        <v>5254</v>
      </c>
      <c r="D1020" s="7" t="s">
        <v>5253</v>
      </c>
      <c r="E1020" s="7" t="s">
        <v>182</v>
      </c>
      <c r="F1020" s="7" t="s">
        <v>5255</v>
      </c>
      <c r="G1020" s="17" t="s">
        <v>7747</v>
      </c>
      <c r="H1020" s="7" t="s">
        <v>28</v>
      </c>
      <c r="I1020" s="7" t="s">
        <v>1366</v>
      </c>
      <c r="J1020" s="7" t="s">
        <v>185</v>
      </c>
      <c r="K1020" s="7" t="s">
        <v>1435</v>
      </c>
      <c r="L1020" s="7" t="s">
        <v>136</v>
      </c>
      <c r="M1020" s="7">
        <v>3.866069</v>
      </c>
      <c r="N1020" s="7">
        <v>11.533047</v>
      </c>
      <c r="O1020" s="7" t="s">
        <v>613</v>
      </c>
      <c r="P1020" s="3"/>
      <c r="Q1020" s="3"/>
      <c r="R1020" s="3"/>
    </row>
    <row r="1021" spans="1:18" x14ac:dyDescent="0.25">
      <c r="A1021" s="2">
        <v>2230</v>
      </c>
      <c r="B1021" s="7" t="s">
        <v>5259</v>
      </c>
      <c r="C1021" s="7" t="s">
        <v>5260</v>
      </c>
      <c r="D1021" s="7" t="s">
        <v>5259</v>
      </c>
      <c r="E1021" s="7" t="s">
        <v>182</v>
      </c>
      <c r="F1021" s="7" t="s">
        <v>5261</v>
      </c>
      <c r="G1021" s="17" t="s">
        <v>7747</v>
      </c>
      <c r="H1021" s="7" t="s">
        <v>19</v>
      </c>
      <c r="I1021" s="7" t="s">
        <v>1553</v>
      </c>
      <c r="J1021" s="7" t="s">
        <v>185</v>
      </c>
      <c r="K1021" s="7" t="s">
        <v>1367</v>
      </c>
      <c r="L1021" s="7" t="s">
        <v>136</v>
      </c>
      <c r="M1021" s="7">
        <v>3.8675120000000001</v>
      </c>
      <c r="N1021" s="7">
        <v>11.549084000000001</v>
      </c>
      <c r="O1021" s="7" t="s">
        <v>613</v>
      </c>
      <c r="P1021" s="3"/>
      <c r="Q1021" s="3"/>
      <c r="R1021" s="3"/>
    </row>
    <row r="1022" spans="1:18" x14ac:dyDescent="0.25">
      <c r="A1022" s="2">
        <v>2231</v>
      </c>
      <c r="B1022" s="7" t="s">
        <v>5262</v>
      </c>
      <c r="C1022" s="7" t="s">
        <v>5263</v>
      </c>
      <c r="D1022" s="7" t="s">
        <v>5262</v>
      </c>
      <c r="E1022" s="7" t="s">
        <v>182</v>
      </c>
      <c r="F1022" s="7" t="s">
        <v>2535</v>
      </c>
      <c r="G1022" s="17" t="s">
        <v>7747</v>
      </c>
      <c r="H1022" s="7" t="s">
        <v>19</v>
      </c>
      <c r="I1022" s="7" t="s">
        <v>1553</v>
      </c>
      <c r="J1022" s="7" t="s">
        <v>185</v>
      </c>
      <c r="K1022" s="7" t="s">
        <v>1367</v>
      </c>
      <c r="L1022" s="7" t="s">
        <v>136</v>
      </c>
      <c r="M1022" s="7">
        <v>3.8625250000000002</v>
      </c>
      <c r="N1022" s="7">
        <v>11.553697</v>
      </c>
      <c r="O1022" s="7" t="s">
        <v>613</v>
      </c>
      <c r="P1022" s="3"/>
      <c r="Q1022" s="3"/>
      <c r="R1022" s="3"/>
    </row>
    <row r="1023" spans="1:18" x14ac:dyDescent="0.25">
      <c r="A1023" s="2">
        <v>2232</v>
      </c>
      <c r="B1023" s="7" t="s">
        <v>5270</v>
      </c>
      <c r="C1023" s="7" t="s">
        <v>5271</v>
      </c>
      <c r="D1023" s="7" t="s">
        <v>5270</v>
      </c>
      <c r="E1023" s="7" t="s">
        <v>182</v>
      </c>
      <c r="F1023" s="7" t="s">
        <v>5272</v>
      </c>
      <c r="G1023" s="17" t="s">
        <v>7747</v>
      </c>
      <c r="H1023" s="7" t="s">
        <v>28</v>
      </c>
      <c r="I1023" s="7" t="s">
        <v>184</v>
      </c>
      <c r="J1023" s="7" t="s">
        <v>185</v>
      </c>
      <c r="K1023" s="7" t="s">
        <v>1435</v>
      </c>
      <c r="L1023" s="7" t="s">
        <v>136</v>
      </c>
      <c r="M1023" s="7">
        <v>3.8933140000000002</v>
      </c>
      <c r="N1023" s="7">
        <v>11.547955</v>
      </c>
      <c r="O1023" s="7" t="s">
        <v>613</v>
      </c>
      <c r="P1023" s="3"/>
      <c r="Q1023" s="3"/>
      <c r="R1023" s="3"/>
    </row>
    <row r="1024" spans="1:18" x14ac:dyDescent="0.25">
      <c r="A1024" s="2">
        <v>2233</v>
      </c>
      <c r="B1024" s="7" t="s">
        <v>5290</v>
      </c>
      <c r="C1024" s="7" t="s">
        <v>5291</v>
      </c>
      <c r="D1024" s="7" t="s">
        <v>5290</v>
      </c>
      <c r="E1024" s="7" t="s">
        <v>182</v>
      </c>
      <c r="F1024" s="7" t="s">
        <v>5292</v>
      </c>
      <c r="G1024" s="17" t="s">
        <v>7747</v>
      </c>
      <c r="H1024" s="7" t="s">
        <v>28</v>
      </c>
      <c r="I1024" s="7" t="s">
        <v>1637</v>
      </c>
      <c r="J1024" s="7" t="s">
        <v>185</v>
      </c>
      <c r="K1024" s="7" t="s">
        <v>1462</v>
      </c>
      <c r="L1024" s="7" t="s">
        <v>136</v>
      </c>
      <c r="M1024" s="7">
        <v>3.849361</v>
      </c>
      <c r="N1024" s="7">
        <v>11.501306</v>
      </c>
      <c r="O1024" s="7" t="s">
        <v>613</v>
      </c>
      <c r="P1024" s="3"/>
      <c r="Q1024" s="3"/>
      <c r="R1024" s="3"/>
    </row>
    <row r="1025" spans="1:18" x14ac:dyDescent="0.25">
      <c r="A1025" s="2">
        <v>2234</v>
      </c>
      <c r="B1025" s="7" t="s">
        <v>5296</v>
      </c>
      <c r="C1025" s="7" t="s">
        <v>5297</v>
      </c>
      <c r="D1025" s="7" t="s">
        <v>5296</v>
      </c>
      <c r="E1025" s="7" t="s">
        <v>182</v>
      </c>
      <c r="F1025" s="7" t="s">
        <v>5298</v>
      </c>
      <c r="G1025" s="17" t="s">
        <v>7747</v>
      </c>
      <c r="H1025" s="7" t="s">
        <v>28</v>
      </c>
      <c r="I1025" s="7" t="s">
        <v>1461</v>
      </c>
      <c r="J1025" s="7" t="s">
        <v>185</v>
      </c>
      <c r="K1025" s="7" t="s">
        <v>1462</v>
      </c>
      <c r="L1025" s="7" t="s">
        <v>136</v>
      </c>
      <c r="M1025" s="7">
        <v>3.8308200000000001</v>
      </c>
      <c r="N1025" s="7">
        <v>11.51024</v>
      </c>
      <c r="O1025" s="7" t="s">
        <v>613</v>
      </c>
      <c r="P1025" s="3"/>
      <c r="Q1025" s="3"/>
      <c r="R1025" s="3"/>
    </row>
    <row r="1026" spans="1:18" x14ac:dyDescent="0.25">
      <c r="A1026" s="2">
        <v>2235</v>
      </c>
      <c r="B1026" s="7" t="s">
        <v>5308</v>
      </c>
      <c r="C1026" s="7" t="s">
        <v>5309</v>
      </c>
      <c r="D1026" s="7" t="s">
        <v>5308</v>
      </c>
      <c r="E1026" s="7" t="s">
        <v>182</v>
      </c>
      <c r="F1026" s="7" t="s">
        <v>5310</v>
      </c>
      <c r="G1026" s="17" t="s">
        <v>7747</v>
      </c>
      <c r="H1026" s="7" t="s">
        <v>28</v>
      </c>
      <c r="I1026" s="7" t="s">
        <v>1461</v>
      </c>
      <c r="J1026" s="7" t="s">
        <v>185</v>
      </c>
      <c r="K1026" s="7" t="s">
        <v>1462</v>
      </c>
      <c r="L1026" s="7" t="s">
        <v>136</v>
      </c>
      <c r="M1026" s="7">
        <v>3.8488199999999999</v>
      </c>
      <c r="N1026" s="7">
        <v>11.51446</v>
      </c>
      <c r="O1026" s="7" t="s">
        <v>613</v>
      </c>
      <c r="P1026" s="3"/>
      <c r="Q1026" s="3"/>
      <c r="R1026" s="3"/>
    </row>
    <row r="1027" spans="1:18" x14ac:dyDescent="0.25">
      <c r="A1027" s="2">
        <v>2236</v>
      </c>
      <c r="B1027" s="7" t="s">
        <v>5318</v>
      </c>
      <c r="C1027" s="7" t="s">
        <v>5319</v>
      </c>
      <c r="D1027" s="7" t="s">
        <v>5318</v>
      </c>
      <c r="E1027" s="7" t="s">
        <v>182</v>
      </c>
      <c r="F1027" s="7" t="s">
        <v>5320</v>
      </c>
      <c r="G1027" s="17" t="s">
        <v>7747</v>
      </c>
      <c r="H1027" s="7" t="s">
        <v>28</v>
      </c>
      <c r="I1027" s="7" t="s">
        <v>1637</v>
      </c>
      <c r="J1027" s="7" t="s">
        <v>185</v>
      </c>
      <c r="K1027" s="7" t="s">
        <v>1462</v>
      </c>
      <c r="L1027" s="7" t="s">
        <v>136</v>
      </c>
      <c r="M1027" s="7">
        <v>3.8463750000000001</v>
      </c>
      <c r="N1027" s="7">
        <v>11.496733000000001</v>
      </c>
      <c r="O1027" s="7" t="s">
        <v>613</v>
      </c>
      <c r="P1027" s="3"/>
      <c r="Q1027" s="3"/>
      <c r="R1027" s="3"/>
    </row>
    <row r="1028" spans="1:18" x14ac:dyDescent="0.25">
      <c r="A1028" s="2">
        <v>2237</v>
      </c>
      <c r="B1028" s="7" t="s">
        <v>5321</v>
      </c>
      <c r="C1028" s="7" t="s">
        <v>5322</v>
      </c>
      <c r="D1028" s="7" t="s">
        <v>5321</v>
      </c>
      <c r="E1028" s="7" t="s">
        <v>182</v>
      </c>
      <c r="F1028" s="7" t="s">
        <v>5323</v>
      </c>
      <c r="G1028" s="17" t="s">
        <v>7747</v>
      </c>
      <c r="H1028" s="7" t="s">
        <v>19</v>
      </c>
      <c r="I1028" s="7" t="s">
        <v>1766</v>
      </c>
      <c r="J1028" s="7" t="s">
        <v>185</v>
      </c>
      <c r="K1028" s="7" t="s">
        <v>808</v>
      </c>
      <c r="L1028" s="7" t="s">
        <v>136</v>
      </c>
      <c r="M1028" s="7">
        <v>3.9176190000000002</v>
      </c>
      <c r="N1028" s="7">
        <v>11.532389</v>
      </c>
      <c r="O1028" s="7" t="s">
        <v>613</v>
      </c>
      <c r="P1028" s="3"/>
      <c r="Q1028" s="3"/>
      <c r="R1028" s="3"/>
    </row>
    <row r="1029" spans="1:18" x14ac:dyDescent="0.25">
      <c r="A1029" s="2">
        <v>2238</v>
      </c>
      <c r="B1029" s="7" t="s">
        <v>5324</v>
      </c>
      <c r="C1029" s="7" t="s">
        <v>5325</v>
      </c>
      <c r="D1029" s="7" t="s">
        <v>5324</v>
      </c>
      <c r="E1029" s="7" t="s">
        <v>182</v>
      </c>
      <c r="F1029" s="7" t="s">
        <v>5326</v>
      </c>
      <c r="G1029" s="17" t="s">
        <v>7747</v>
      </c>
      <c r="H1029" s="7" t="s">
        <v>28</v>
      </c>
      <c r="I1029" s="7" t="s">
        <v>1284</v>
      </c>
      <c r="J1029" s="7" t="s">
        <v>185</v>
      </c>
      <c r="K1029" s="7" t="s">
        <v>1322</v>
      </c>
      <c r="L1029" s="7" t="s">
        <v>136</v>
      </c>
      <c r="M1029" s="7">
        <v>3.8320989999999999</v>
      </c>
      <c r="N1029" s="7">
        <v>11.462910000000001</v>
      </c>
      <c r="O1029" s="7" t="s">
        <v>613</v>
      </c>
      <c r="P1029" s="3"/>
      <c r="Q1029" s="3"/>
      <c r="R1029" s="3"/>
    </row>
    <row r="1030" spans="1:18" x14ac:dyDescent="0.25">
      <c r="A1030" s="2">
        <v>2239</v>
      </c>
      <c r="B1030" s="7" t="s">
        <v>5327</v>
      </c>
      <c r="C1030" s="7" t="s">
        <v>5328</v>
      </c>
      <c r="D1030" s="7" t="s">
        <v>5327</v>
      </c>
      <c r="E1030" s="7" t="s">
        <v>182</v>
      </c>
      <c r="F1030" s="7" t="s">
        <v>5272</v>
      </c>
      <c r="G1030" s="17" t="s">
        <v>7747</v>
      </c>
      <c r="H1030" s="7" t="s">
        <v>28</v>
      </c>
      <c r="I1030" s="7" t="s">
        <v>184</v>
      </c>
      <c r="J1030" s="7" t="s">
        <v>185</v>
      </c>
      <c r="K1030" s="7" t="s">
        <v>1435</v>
      </c>
      <c r="L1030" s="7" t="s">
        <v>136</v>
      </c>
      <c r="M1030" s="7">
        <v>3.8935840000000002</v>
      </c>
      <c r="N1030" s="7">
        <v>11.548038999999999</v>
      </c>
      <c r="O1030" s="7" t="s">
        <v>613</v>
      </c>
      <c r="P1030" s="3"/>
      <c r="Q1030" s="3"/>
      <c r="R1030" s="3"/>
    </row>
    <row r="1031" spans="1:18" x14ac:dyDescent="0.25">
      <c r="A1031" s="2">
        <v>2240</v>
      </c>
      <c r="B1031" s="7" t="s">
        <v>5332</v>
      </c>
      <c r="C1031" s="7" t="s">
        <v>5333</v>
      </c>
      <c r="D1031" s="7" t="s">
        <v>5332</v>
      </c>
      <c r="E1031" s="7" t="s">
        <v>182</v>
      </c>
      <c r="F1031" s="7" t="s">
        <v>5334</v>
      </c>
      <c r="G1031" s="17" t="s">
        <v>7747</v>
      </c>
      <c r="H1031" s="7" t="s">
        <v>28</v>
      </c>
      <c r="I1031" s="7" t="s">
        <v>1337</v>
      </c>
      <c r="J1031" s="7" t="s">
        <v>185</v>
      </c>
      <c r="K1031" s="7" t="s">
        <v>1375</v>
      </c>
      <c r="L1031" s="7" t="s">
        <v>136</v>
      </c>
      <c r="M1031" s="7">
        <v>3.8748610000000001</v>
      </c>
      <c r="N1031" s="7">
        <v>11.498556000000001</v>
      </c>
      <c r="O1031" s="7" t="s">
        <v>613</v>
      </c>
      <c r="P1031" s="3"/>
      <c r="Q1031" s="3"/>
      <c r="R1031" s="3"/>
    </row>
    <row r="1032" spans="1:18" x14ac:dyDescent="0.25">
      <c r="A1032" s="2">
        <v>2241</v>
      </c>
      <c r="B1032" s="7" t="s">
        <v>5335</v>
      </c>
      <c r="C1032" s="7" t="s">
        <v>5336</v>
      </c>
      <c r="D1032" s="7" t="s">
        <v>5335</v>
      </c>
      <c r="E1032" s="7" t="s">
        <v>182</v>
      </c>
      <c r="F1032" s="7" t="s">
        <v>5337</v>
      </c>
      <c r="G1032" s="17" t="s">
        <v>7747</v>
      </c>
      <c r="H1032" s="7" t="s">
        <v>28</v>
      </c>
      <c r="I1032" s="7" t="s">
        <v>1461</v>
      </c>
      <c r="J1032" s="7" t="s">
        <v>185</v>
      </c>
      <c r="K1032" s="7" t="s">
        <v>1367</v>
      </c>
      <c r="L1032" s="7" t="s">
        <v>136</v>
      </c>
      <c r="M1032" s="7">
        <v>3.850158</v>
      </c>
      <c r="N1032" s="7">
        <v>11.521658</v>
      </c>
      <c r="O1032" s="7" t="s">
        <v>613</v>
      </c>
      <c r="P1032" s="3"/>
      <c r="Q1032" s="3"/>
      <c r="R1032" s="3"/>
    </row>
    <row r="1033" spans="1:18" x14ac:dyDescent="0.25">
      <c r="A1033" s="2">
        <v>2242</v>
      </c>
      <c r="B1033" s="7" t="s">
        <v>5341</v>
      </c>
      <c r="C1033" s="7" t="s">
        <v>5342</v>
      </c>
      <c r="D1033" s="7" t="s">
        <v>5341</v>
      </c>
      <c r="E1033" s="7" t="s">
        <v>182</v>
      </c>
      <c r="F1033" s="7" t="s">
        <v>5343</v>
      </c>
      <c r="G1033" s="17" t="s">
        <v>7747</v>
      </c>
      <c r="H1033" s="7" t="s">
        <v>28</v>
      </c>
      <c r="I1033" s="7" t="s">
        <v>1284</v>
      </c>
      <c r="J1033" s="7" t="s">
        <v>185</v>
      </c>
      <c r="K1033" s="7" t="s">
        <v>1322</v>
      </c>
      <c r="L1033" s="7" t="s">
        <v>136</v>
      </c>
      <c r="M1033" s="7">
        <v>3.8230919999999999</v>
      </c>
      <c r="N1033" s="7">
        <v>11.482225</v>
      </c>
      <c r="O1033" s="7" t="s">
        <v>613</v>
      </c>
      <c r="P1033" s="3"/>
      <c r="Q1033" s="3"/>
      <c r="R1033" s="3"/>
    </row>
    <row r="1034" spans="1:18" x14ac:dyDescent="0.25">
      <c r="A1034" s="2">
        <v>2243</v>
      </c>
      <c r="B1034" s="7" t="s">
        <v>5344</v>
      </c>
      <c r="C1034" s="7" t="s">
        <v>5345</v>
      </c>
      <c r="D1034" s="7" t="s">
        <v>5344</v>
      </c>
      <c r="E1034" s="7" t="s">
        <v>182</v>
      </c>
      <c r="F1034" s="7" t="s">
        <v>5346</v>
      </c>
      <c r="G1034" s="17" t="s">
        <v>7747</v>
      </c>
      <c r="H1034" s="7" t="s">
        <v>19</v>
      </c>
      <c r="I1034" s="7" t="s">
        <v>807</v>
      </c>
      <c r="J1034" s="7" t="s">
        <v>185</v>
      </c>
      <c r="K1034" s="7" t="s">
        <v>1435</v>
      </c>
      <c r="L1034" s="7" t="s">
        <v>136</v>
      </c>
      <c r="M1034" s="7">
        <v>3.8853900000000001</v>
      </c>
      <c r="N1034" s="7">
        <v>11.535636999999999</v>
      </c>
      <c r="O1034" s="7" t="s">
        <v>613</v>
      </c>
      <c r="P1034" s="3"/>
      <c r="Q1034" s="3"/>
      <c r="R1034" s="3"/>
    </row>
    <row r="1035" spans="1:18" x14ac:dyDescent="0.25">
      <c r="A1035" s="2">
        <v>2244</v>
      </c>
      <c r="B1035" s="7" t="s">
        <v>5359</v>
      </c>
      <c r="C1035" s="7" t="s">
        <v>5360</v>
      </c>
      <c r="D1035" s="7" t="s">
        <v>5359</v>
      </c>
      <c r="E1035" s="7" t="s">
        <v>182</v>
      </c>
      <c r="F1035" s="7" t="s">
        <v>5361</v>
      </c>
      <c r="G1035" s="17" t="s">
        <v>7747</v>
      </c>
      <c r="H1035" s="7" t="s">
        <v>28</v>
      </c>
      <c r="I1035" s="7" t="s">
        <v>1374</v>
      </c>
      <c r="J1035" s="7" t="s">
        <v>185</v>
      </c>
      <c r="K1035" s="7" t="s">
        <v>1375</v>
      </c>
      <c r="L1035" s="7" t="s">
        <v>136</v>
      </c>
      <c r="M1035" s="7">
        <v>3.8840370000000002</v>
      </c>
      <c r="N1035" s="7">
        <v>11.491237999999999</v>
      </c>
      <c r="O1035" s="7" t="s">
        <v>613</v>
      </c>
      <c r="P1035" s="3"/>
      <c r="Q1035" s="3"/>
      <c r="R1035" s="3"/>
    </row>
    <row r="1036" spans="1:18" x14ac:dyDescent="0.25">
      <c r="A1036" s="2">
        <v>2245</v>
      </c>
      <c r="B1036" s="7" t="s">
        <v>5362</v>
      </c>
      <c r="C1036" s="7" t="s">
        <v>5363</v>
      </c>
      <c r="D1036" s="7" t="s">
        <v>5362</v>
      </c>
      <c r="E1036" s="7" t="s">
        <v>182</v>
      </c>
      <c r="F1036" s="7" t="s">
        <v>5364</v>
      </c>
      <c r="G1036" s="17" t="s">
        <v>7747</v>
      </c>
      <c r="H1036" s="7" t="s">
        <v>19</v>
      </c>
      <c r="I1036" s="7" t="s">
        <v>1366</v>
      </c>
      <c r="J1036" s="7" t="s">
        <v>185</v>
      </c>
      <c r="K1036" s="7" t="s">
        <v>1435</v>
      </c>
      <c r="L1036" s="7" t="s">
        <v>136</v>
      </c>
      <c r="M1036" s="7">
        <v>3.86869</v>
      </c>
      <c r="N1036" s="7">
        <v>11.53341</v>
      </c>
      <c r="O1036" s="7" t="s">
        <v>613</v>
      </c>
      <c r="P1036" s="3"/>
      <c r="Q1036" s="3"/>
      <c r="R1036" s="3"/>
    </row>
    <row r="1037" spans="1:18" x14ac:dyDescent="0.25">
      <c r="A1037" s="2">
        <v>2246</v>
      </c>
      <c r="B1037" s="7" t="s">
        <v>5365</v>
      </c>
      <c r="C1037" s="7" t="s">
        <v>5366</v>
      </c>
      <c r="D1037" s="7" t="s">
        <v>5365</v>
      </c>
      <c r="E1037" s="7" t="s">
        <v>182</v>
      </c>
      <c r="F1037" s="7" t="s">
        <v>5367</v>
      </c>
      <c r="G1037" s="17" t="s">
        <v>7747</v>
      </c>
      <c r="H1037" s="7" t="s">
        <v>28</v>
      </c>
      <c r="I1037" s="7" t="s">
        <v>807</v>
      </c>
      <c r="J1037" s="7" t="s">
        <v>185</v>
      </c>
      <c r="K1037" s="7" t="s">
        <v>1375</v>
      </c>
      <c r="L1037" s="7" t="s">
        <v>136</v>
      </c>
      <c r="M1037" s="7">
        <v>3.8950710000000002</v>
      </c>
      <c r="N1037" s="7">
        <v>11.518775</v>
      </c>
      <c r="O1037" s="7" t="s">
        <v>613</v>
      </c>
      <c r="P1037" s="3"/>
      <c r="Q1037" s="3"/>
      <c r="R1037" s="3"/>
    </row>
    <row r="1038" spans="1:18" x14ac:dyDescent="0.25">
      <c r="A1038" s="2">
        <v>2247</v>
      </c>
      <c r="B1038" s="7" t="s">
        <v>5374</v>
      </c>
      <c r="C1038" s="7" t="s">
        <v>5375</v>
      </c>
      <c r="D1038" s="7" t="s">
        <v>5374</v>
      </c>
      <c r="E1038" s="7" t="s">
        <v>182</v>
      </c>
      <c r="F1038" s="7" t="s">
        <v>5376</v>
      </c>
      <c r="G1038" s="17" t="s">
        <v>7747</v>
      </c>
      <c r="H1038" s="7" t="s">
        <v>19</v>
      </c>
      <c r="I1038" s="7" t="s">
        <v>1637</v>
      </c>
      <c r="J1038" s="7" t="s">
        <v>185</v>
      </c>
      <c r="K1038" s="7" t="s">
        <v>1462</v>
      </c>
      <c r="L1038" s="7" t="s">
        <v>136</v>
      </c>
      <c r="M1038" s="7">
        <v>3.8635470000000001</v>
      </c>
      <c r="N1038" s="7">
        <v>11.501331</v>
      </c>
      <c r="O1038" s="7" t="s">
        <v>613</v>
      </c>
      <c r="P1038" s="3"/>
      <c r="Q1038" s="3"/>
      <c r="R1038" s="3"/>
    </row>
    <row r="1039" spans="1:18" x14ac:dyDescent="0.25">
      <c r="A1039" s="2">
        <v>2248</v>
      </c>
      <c r="B1039" s="7" t="s">
        <v>5389</v>
      </c>
      <c r="C1039" s="7" t="s">
        <v>5390</v>
      </c>
      <c r="D1039" s="7" t="s">
        <v>5389</v>
      </c>
      <c r="E1039" s="7" t="s">
        <v>182</v>
      </c>
      <c r="F1039" s="7" t="s">
        <v>5391</v>
      </c>
      <c r="G1039" s="17" t="s">
        <v>7747</v>
      </c>
      <c r="H1039" s="7" t="s">
        <v>19</v>
      </c>
      <c r="I1039" s="7" t="s">
        <v>1374</v>
      </c>
      <c r="J1039" s="7" t="s">
        <v>185</v>
      </c>
      <c r="K1039" s="7" t="s">
        <v>1375</v>
      </c>
      <c r="L1039" s="7" t="s">
        <v>136</v>
      </c>
      <c r="M1039" s="7">
        <v>3.8853610000000001</v>
      </c>
      <c r="N1039" s="7">
        <v>11.513417</v>
      </c>
      <c r="O1039" s="7" t="s">
        <v>613</v>
      </c>
      <c r="P1039" s="3"/>
      <c r="Q1039" s="3"/>
      <c r="R1039" s="3"/>
    </row>
    <row r="1040" spans="1:18" x14ac:dyDescent="0.25">
      <c r="A1040" s="2">
        <v>2249</v>
      </c>
      <c r="B1040" s="7" t="s">
        <v>5395</v>
      </c>
      <c r="C1040" s="7" t="s">
        <v>5396</v>
      </c>
      <c r="D1040" s="7" t="s">
        <v>5395</v>
      </c>
      <c r="E1040" s="7" t="s">
        <v>182</v>
      </c>
      <c r="F1040" s="7" t="s">
        <v>5397</v>
      </c>
      <c r="G1040" s="17" t="s">
        <v>7747</v>
      </c>
      <c r="H1040" s="7" t="s">
        <v>19</v>
      </c>
      <c r="I1040" s="7" t="s">
        <v>1337</v>
      </c>
      <c r="J1040" s="7" t="s">
        <v>185</v>
      </c>
      <c r="K1040" s="7" t="s">
        <v>1375</v>
      </c>
      <c r="L1040" s="7" t="s">
        <v>136</v>
      </c>
      <c r="M1040" s="7">
        <v>3.8730000000000002</v>
      </c>
      <c r="N1040" s="7">
        <v>11.502000000000001</v>
      </c>
      <c r="O1040" s="7" t="s">
        <v>613</v>
      </c>
      <c r="P1040" s="3"/>
      <c r="Q1040" s="3"/>
      <c r="R1040" s="3"/>
    </row>
    <row r="1041" spans="1:18" x14ac:dyDescent="0.25">
      <c r="A1041" s="2">
        <v>2250</v>
      </c>
      <c r="B1041" s="7" t="s">
        <v>5413</v>
      </c>
      <c r="C1041" s="7" t="s">
        <v>5414</v>
      </c>
      <c r="D1041" s="7" t="s">
        <v>5413</v>
      </c>
      <c r="E1041" s="7" t="s">
        <v>182</v>
      </c>
      <c r="F1041" s="7" t="s">
        <v>5152</v>
      </c>
      <c r="G1041" s="17" t="s">
        <v>7747</v>
      </c>
      <c r="H1041" s="7" t="s">
        <v>19</v>
      </c>
      <c r="I1041" s="7" t="s">
        <v>1766</v>
      </c>
      <c r="J1041" s="7" t="s">
        <v>185</v>
      </c>
      <c r="K1041" s="7" t="s">
        <v>808</v>
      </c>
      <c r="L1041" s="7" t="s">
        <v>136</v>
      </c>
      <c r="M1041" s="7">
        <v>3.9080699999999999</v>
      </c>
      <c r="N1041" s="7">
        <v>11.52284</v>
      </c>
      <c r="O1041" s="7" t="s">
        <v>613</v>
      </c>
      <c r="P1041" s="3"/>
      <c r="Q1041" s="3"/>
      <c r="R1041" s="3"/>
    </row>
    <row r="1042" spans="1:18" x14ac:dyDescent="0.25">
      <c r="A1042" s="2">
        <v>2251</v>
      </c>
      <c r="B1042" s="7" t="s">
        <v>5415</v>
      </c>
      <c r="C1042" s="7" t="s">
        <v>5416</v>
      </c>
      <c r="D1042" s="7" t="s">
        <v>5415</v>
      </c>
      <c r="E1042" s="7" t="s">
        <v>182</v>
      </c>
      <c r="F1042" s="7" t="s">
        <v>5417</v>
      </c>
      <c r="G1042" s="17" t="s">
        <v>7747</v>
      </c>
      <c r="H1042" s="7" t="s">
        <v>19</v>
      </c>
      <c r="I1042" s="7" t="s">
        <v>1366</v>
      </c>
      <c r="J1042" s="7" t="s">
        <v>185</v>
      </c>
      <c r="K1042" s="7" t="s">
        <v>1367</v>
      </c>
      <c r="L1042" s="7" t="s">
        <v>136</v>
      </c>
      <c r="M1042" s="7">
        <v>3.8533439999999999</v>
      </c>
      <c r="N1042" s="7">
        <v>11.537210999999999</v>
      </c>
      <c r="O1042" s="7" t="s">
        <v>613</v>
      </c>
      <c r="P1042" s="3"/>
      <c r="Q1042" s="3"/>
      <c r="R1042" s="3"/>
    </row>
    <row r="1043" spans="1:18" x14ac:dyDescent="0.25">
      <c r="A1043" s="2">
        <v>2252</v>
      </c>
      <c r="B1043" s="7" t="s">
        <v>5418</v>
      </c>
      <c r="C1043" s="7" t="s">
        <v>5419</v>
      </c>
      <c r="D1043" s="7" t="s">
        <v>5418</v>
      </c>
      <c r="E1043" s="7" t="s">
        <v>182</v>
      </c>
      <c r="F1043" s="7" t="s">
        <v>5420</v>
      </c>
      <c r="G1043" s="17" t="s">
        <v>7747</v>
      </c>
      <c r="H1043" s="7" t="s">
        <v>28</v>
      </c>
      <c r="I1043" s="7" t="s">
        <v>1553</v>
      </c>
      <c r="J1043" s="7" t="s">
        <v>185</v>
      </c>
      <c r="K1043" s="7" t="s">
        <v>1367</v>
      </c>
      <c r="L1043" s="7" t="s">
        <v>136</v>
      </c>
      <c r="M1043" s="7">
        <v>3.8570419999999999</v>
      </c>
      <c r="N1043" s="7">
        <v>11.559414</v>
      </c>
      <c r="O1043" s="7" t="s">
        <v>613</v>
      </c>
      <c r="P1043" s="3"/>
      <c r="Q1043" s="3"/>
      <c r="R1043" s="3"/>
    </row>
    <row r="1044" spans="1:18" x14ac:dyDescent="0.25">
      <c r="A1044" s="2">
        <v>2253</v>
      </c>
      <c r="B1044" s="7" t="s">
        <v>5421</v>
      </c>
      <c r="C1044" s="7" t="s">
        <v>5422</v>
      </c>
      <c r="D1044" s="7" t="s">
        <v>5421</v>
      </c>
      <c r="E1044" s="7" t="s">
        <v>182</v>
      </c>
      <c r="F1044" s="7" t="s">
        <v>5423</v>
      </c>
      <c r="G1044" s="17" t="s">
        <v>7747</v>
      </c>
      <c r="H1044" s="7" t="s">
        <v>28</v>
      </c>
      <c r="I1044" s="7" t="s">
        <v>1374</v>
      </c>
      <c r="J1044" s="7" t="s">
        <v>185</v>
      </c>
      <c r="K1044" s="7" t="s">
        <v>1375</v>
      </c>
      <c r="L1044" s="7" t="s">
        <v>136</v>
      </c>
      <c r="M1044" s="7">
        <v>3.8927200000000002</v>
      </c>
      <c r="N1044" s="7">
        <v>11.49225</v>
      </c>
      <c r="O1044" s="7" t="s">
        <v>613</v>
      </c>
      <c r="P1044" s="3"/>
      <c r="Q1044" s="3"/>
      <c r="R1044" s="3"/>
    </row>
    <row r="1045" spans="1:18" x14ac:dyDescent="0.25">
      <c r="A1045" s="2">
        <v>2254</v>
      </c>
      <c r="B1045" s="7" t="s">
        <v>5424</v>
      </c>
      <c r="C1045" s="7" t="s">
        <v>5425</v>
      </c>
      <c r="D1045" s="7" t="s">
        <v>5424</v>
      </c>
      <c r="E1045" s="7" t="s">
        <v>182</v>
      </c>
      <c r="F1045" s="7" t="s">
        <v>5426</v>
      </c>
      <c r="G1045" s="17" t="s">
        <v>7747</v>
      </c>
      <c r="H1045" s="7" t="s">
        <v>19</v>
      </c>
      <c r="I1045" s="7" t="s">
        <v>1374</v>
      </c>
      <c r="J1045" s="7" t="s">
        <v>185</v>
      </c>
      <c r="K1045" s="7" t="s">
        <v>1375</v>
      </c>
      <c r="L1045" s="7" t="s">
        <v>136</v>
      </c>
      <c r="M1045" s="7">
        <v>3.878139</v>
      </c>
      <c r="N1045" s="7">
        <v>11.494444</v>
      </c>
      <c r="O1045" s="7" t="s">
        <v>613</v>
      </c>
      <c r="P1045" s="3"/>
      <c r="Q1045" s="3"/>
      <c r="R1045" s="3"/>
    </row>
    <row r="1046" spans="1:18" x14ac:dyDescent="0.25">
      <c r="A1046" s="2">
        <v>2255</v>
      </c>
      <c r="B1046" s="7" t="s">
        <v>5427</v>
      </c>
      <c r="C1046" s="7" t="s">
        <v>5428</v>
      </c>
      <c r="D1046" s="7" t="s">
        <v>5427</v>
      </c>
      <c r="E1046" s="7" t="s">
        <v>182</v>
      </c>
      <c r="F1046" s="7" t="s">
        <v>5429</v>
      </c>
      <c r="G1046" s="17" t="s">
        <v>7747</v>
      </c>
      <c r="H1046" s="7" t="s">
        <v>19</v>
      </c>
      <c r="I1046" s="7" t="s">
        <v>184</v>
      </c>
      <c r="J1046" s="7" t="s">
        <v>185</v>
      </c>
      <c r="K1046" s="7" t="s">
        <v>1435</v>
      </c>
      <c r="L1046" s="7" t="s">
        <v>136</v>
      </c>
      <c r="M1046" s="7">
        <v>3.8818100000000002</v>
      </c>
      <c r="N1046" s="7">
        <v>11.539199999999999</v>
      </c>
      <c r="O1046" s="7" t="s">
        <v>613</v>
      </c>
      <c r="P1046" s="3"/>
      <c r="Q1046" s="3"/>
      <c r="R1046" s="3"/>
    </row>
    <row r="1047" spans="1:18" x14ac:dyDescent="0.25">
      <c r="A1047" s="2">
        <v>2256</v>
      </c>
      <c r="B1047" s="7" t="s">
        <v>5430</v>
      </c>
      <c r="C1047" s="7" t="s">
        <v>5431</v>
      </c>
      <c r="D1047" s="7" t="s">
        <v>5430</v>
      </c>
      <c r="E1047" s="7" t="s">
        <v>182</v>
      </c>
      <c r="F1047" s="7" t="s">
        <v>5432</v>
      </c>
      <c r="G1047" s="17" t="s">
        <v>7747</v>
      </c>
      <c r="H1047" s="7" t="s">
        <v>19</v>
      </c>
      <c r="I1047" s="7" t="s">
        <v>1374</v>
      </c>
      <c r="J1047" s="7" t="s">
        <v>185</v>
      </c>
      <c r="K1047" s="7" t="s">
        <v>1375</v>
      </c>
      <c r="L1047" s="7" t="s">
        <v>136</v>
      </c>
      <c r="M1047" s="7">
        <v>3.8813610000000001</v>
      </c>
      <c r="N1047" s="7">
        <v>11.502722</v>
      </c>
      <c r="O1047" s="7" t="s">
        <v>613</v>
      </c>
      <c r="P1047" s="3"/>
      <c r="Q1047" s="3"/>
      <c r="R1047" s="3"/>
    </row>
    <row r="1048" spans="1:18" x14ac:dyDescent="0.25">
      <c r="A1048" s="2">
        <v>2257</v>
      </c>
      <c r="B1048" s="7" t="s">
        <v>5442</v>
      </c>
      <c r="C1048" s="7" t="s">
        <v>5443</v>
      </c>
      <c r="D1048" s="7" t="s">
        <v>5442</v>
      </c>
      <c r="E1048" s="7" t="s">
        <v>182</v>
      </c>
      <c r="F1048" s="7" t="s">
        <v>5444</v>
      </c>
      <c r="G1048" s="17" t="s">
        <v>7747</v>
      </c>
      <c r="H1048" s="7" t="s">
        <v>28</v>
      </c>
      <c r="I1048" s="7" t="s">
        <v>1374</v>
      </c>
      <c r="J1048" s="7" t="s">
        <v>185</v>
      </c>
      <c r="K1048" s="7" t="s">
        <v>1375</v>
      </c>
      <c r="L1048" s="7" t="s">
        <v>136</v>
      </c>
      <c r="M1048" s="7">
        <v>3.8851719999999998</v>
      </c>
      <c r="N1048" s="7">
        <v>11.512689</v>
      </c>
      <c r="O1048" s="7" t="s">
        <v>613</v>
      </c>
      <c r="P1048" s="3"/>
      <c r="Q1048" s="3"/>
      <c r="R1048" s="3"/>
    </row>
    <row r="1049" spans="1:18" x14ac:dyDescent="0.25">
      <c r="A1049" s="2">
        <v>2258</v>
      </c>
      <c r="B1049" s="7" t="s">
        <v>5445</v>
      </c>
      <c r="C1049" s="7" t="s">
        <v>5446</v>
      </c>
      <c r="D1049" s="7" t="s">
        <v>5445</v>
      </c>
      <c r="E1049" s="7" t="s">
        <v>182</v>
      </c>
      <c r="F1049" s="7" t="s">
        <v>5447</v>
      </c>
      <c r="G1049" s="17" t="s">
        <v>7747</v>
      </c>
      <c r="H1049" s="7" t="s">
        <v>28</v>
      </c>
      <c r="I1049" s="7" t="s">
        <v>1385</v>
      </c>
      <c r="J1049" s="7" t="s">
        <v>185</v>
      </c>
      <c r="K1049" s="7" t="s">
        <v>1367</v>
      </c>
      <c r="L1049" s="7" t="s">
        <v>136</v>
      </c>
      <c r="M1049" s="7">
        <v>3.8430399999999998</v>
      </c>
      <c r="N1049" s="7">
        <v>11.52308</v>
      </c>
      <c r="O1049" s="7" t="s">
        <v>613</v>
      </c>
      <c r="P1049" s="3"/>
      <c r="Q1049" s="3"/>
      <c r="R1049" s="3"/>
    </row>
    <row r="1050" spans="1:18" x14ac:dyDescent="0.25">
      <c r="A1050" s="2">
        <v>2259</v>
      </c>
      <c r="B1050" s="7" t="s">
        <v>5478</v>
      </c>
      <c r="C1050" s="7" t="s">
        <v>5479</v>
      </c>
      <c r="D1050" s="7" t="s">
        <v>5478</v>
      </c>
      <c r="E1050" s="7" t="s">
        <v>182</v>
      </c>
      <c r="F1050" s="7" t="s">
        <v>5480</v>
      </c>
      <c r="G1050" s="17" t="s">
        <v>7747</v>
      </c>
      <c r="H1050" s="7" t="s">
        <v>28</v>
      </c>
      <c r="I1050" s="7" t="s">
        <v>1553</v>
      </c>
      <c r="J1050" s="7" t="s">
        <v>185</v>
      </c>
      <c r="K1050" s="7" t="s">
        <v>1367</v>
      </c>
      <c r="L1050" s="7" t="s">
        <v>136</v>
      </c>
      <c r="M1050" s="7">
        <v>3.874552</v>
      </c>
      <c r="N1050" s="7">
        <v>11.562711999999999</v>
      </c>
      <c r="O1050" s="7" t="s">
        <v>613</v>
      </c>
      <c r="P1050" s="3"/>
      <c r="Q1050" s="3"/>
      <c r="R1050" s="3"/>
    </row>
    <row r="1051" spans="1:18" x14ac:dyDescent="0.25">
      <c r="A1051" s="2">
        <v>2260</v>
      </c>
      <c r="B1051" s="7" t="s">
        <v>5484</v>
      </c>
      <c r="C1051" s="7" t="s">
        <v>5485</v>
      </c>
      <c r="D1051" s="7" t="s">
        <v>5484</v>
      </c>
      <c r="E1051" s="7" t="s">
        <v>182</v>
      </c>
      <c r="F1051" s="7" t="s">
        <v>5486</v>
      </c>
      <c r="G1051" s="17" t="s">
        <v>7747</v>
      </c>
      <c r="H1051" s="7" t="s">
        <v>28</v>
      </c>
      <c r="I1051" s="7" t="s">
        <v>1284</v>
      </c>
      <c r="J1051" s="7" t="s">
        <v>185</v>
      </c>
      <c r="K1051" s="7" t="s">
        <v>1322</v>
      </c>
      <c r="L1051" s="7" t="s">
        <v>136</v>
      </c>
      <c r="M1051" s="7">
        <v>3.83</v>
      </c>
      <c r="N1051" s="7">
        <v>11.465999999999999</v>
      </c>
      <c r="O1051" s="7" t="s">
        <v>613</v>
      </c>
      <c r="P1051" s="3"/>
      <c r="Q1051" s="3"/>
      <c r="R1051" s="3"/>
    </row>
    <row r="1052" spans="1:18" x14ac:dyDescent="0.25">
      <c r="A1052" s="2">
        <v>2261</v>
      </c>
      <c r="B1052" s="7" t="s">
        <v>5493</v>
      </c>
      <c r="C1052" s="7" t="s">
        <v>5494</v>
      </c>
      <c r="D1052" s="7" t="s">
        <v>5493</v>
      </c>
      <c r="E1052" s="7" t="s">
        <v>182</v>
      </c>
      <c r="F1052" s="7" t="s">
        <v>5495</v>
      </c>
      <c r="G1052" s="17" t="s">
        <v>7747</v>
      </c>
      <c r="H1052" s="7" t="s">
        <v>28</v>
      </c>
      <c r="I1052" s="7" t="s">
        <v>1637</v>
      </c>
      <c r="J1052" s="7" t="s">
        <v>185</v>
      </c>
      <c r="K1052" s="7" t="s">
        <v>1462</v>
      </c>
      <c r="L1052" s="7" t="s">
        <v>136</v>
      </c>
      <c r="M1052" s="7">
        <v>3.86612</v>
      </c>
      <c r="N1052" s="7">
        <v>11.504390000000001</v>
      </c>
      <c r="O1052" s="7" t="s">
        <v>613</v>
      </c>
      <c r="P1052" s="3"/>
      <c r="Q1052" s="3"/>
      <c r="R1052" s="3"/>
    </row>
    <row r="1053" spans="1:18" x14ac:dyDescent="0.25">
      <c r="A1053" s="2">
        <v>2262</v>
      </c>
      <c r="B1053" s="7" t="s">
        <v>5505</v>
      </c>
      <c r="C1053" s="7" t="s">
        <v>5506</v>
      </c>
      <c r="D1053" s="7" t="s">
        <v>5505</v>
      </c>
      <c r="E1053" s="7" t="s">
        <v>182</v>
      </c>
      <c r="F1053" s="7" t="s">
        <v>5507</v>
      </c>
      <c r="G1053" s="17" t="s">
        <v>7747</v>
      </c>
      <c r="H1053" s="7" t="s">
        <v>19</v>
      </c>
      <c r="I1053" s="7" t="s">
        <v>1374</v>
      </c>
      <c r="J1053" s="7" t="s">
        <v>185</v>
      </c>
      <c r="K1053" s="7" t="s">
        <v>1375</v>
      </c>
      <c r="L1053" s="7" t="s">
        <v>136</v>
      </c>
      <c r="M1053" s="7">
        <v>3.8880279999999998</v>
      </c>
      <c r="N1053" s="7">
        <v>11.492417</v>
      </c>
      <c r="O1053" s="7" t="s">
        <v>613</v>
      </c>
      <c r="P1053" s="3"/>
      <c r="Q1053" s="3"/>
      <c r="R1053" s="3"/>
    </row>
    <row r="1054" spans="1:18" x14ac:dyDescent="0.25">
      <c r="A1054" s="2">
        <v>2263</v>
      </c>
      <c r="B1054" s="7" t="s">
        <v>5523</v>
      </c>
      <c r="C1054" s="7" t="s">
        <v>5524</v>
      </c>
      <c r="D1054" s="7" t="s">
        <v>5523</v>
      </c>
      <c r="E1054" s="7" t="s">
        <v>182</v>
      </c>
      <c r="F1054" s="7" t="s">
        <v>5525</v>
      </c>
      <c r="G1054" s="17" t="s">
        <v>7747</v>
      </c>
      <c r="H1054" s="7" t="s">
        <v>28</v>
      </c>
      <c r="I1054" s="7" t="s">
        <v>1461</v>
      </c>
      <c r="J1054" s="7" t="s">
        <v>185</v>
      </c>
      <c r="K1054" s="7" t="s">
        <v>1462</v>
      </c>
      <c r="L1054" s="7" t="s">
        <v>136</v>
      </c>
      <c r="M1054" s="7">
        <v>3.8332890000000002</v>
      </c>
      <c r="N1054" s="7">
        <v>11.493629</v>
      </c>
      <c r="O1054" s="7" t="s">
        <v>613</v>
      </c>
      <c r="P1054" s="3"/>
      <c r="Q1054" s="3"/>
      <c r="R1054" s="3"/>
    </row>
    <row r="1055" spans="1:18" x14ac:dyDescent="0.25">
      <c r="A1055" s="2">
        <v>2264</v>
      </c>
      <c r="B1055" s="7" t="s">
        <v>5526</v>
      </c>
      <c r="C1055" s="7" t="s">
        <v>5527</v>
      </c>
      <c r="D1055" s="7" t="s">
        <v>5526</v>
      </c>
      <c r="E1055" s="7" t="s">
        <v>182</v>
      </c>
      <c r="F1055" s="7" t="s">
        <v>5528</v>
      </c>
      <c r="G1055" s="17" t="s">
        <v>7747</v>
      </c>
      <c r="H1055" s="7" t="s">
        <v>19</v>
      </c>
      <c r="I1055" s="7" t="s">
        <v>1637</v>
      </c>
      <c r="J1055" s="7" t="s">
        <v>185</v>
      </c>
      <c r="K1055" s="7" t="s">
        <v>1462</v>
      </c>
      <c r="L1055" s="7" t="s">
        <v>136</v>
      </c>
      <c r="M1055" s="7">
        <v>3.850139</v>
      </c>
      <c r="N1055" s="7">
        <v>11.500833</v>
      </c>
      <c r="O1055" s="7" t="s">
        <v>613</v>
      </c>
      <c r="P1055" s="3"/>
      <c r="Q1055" s="3"/>
      <c r="R1055" s="3"/>
    </row>
    <row r="1056" spans="1:18" x14ac:dyDescent="0.25">
      <c r="A1056" s="2">
        <v>2265</v>
      </c>
      <c r="B1056" s="7" t="s">
        <v>5529</v>
      </c>
      <c r="C1056" s="7" t="s">
        <v>5530</v>
      </c>
      <c r="D1056" s="7" t="s">
        <v>5529</v>
      </c>
      <c r="E1056" s="7" t="s">
        <v>182</v>
      </c>
      <c r="F1056" s="7" t="s">
        <v>2448</v>
      </c>
      <c r="G1056" s="17" t="s">
        <v>7747</v>
      </c>
      <c r="H1056" s="7" t="s">
        <v>28</v>
      </c>
      <c r="I1056" s="7" t="s">
        <v>1766</v>
      </c>
      <c r="J1056" s="7" t="s">
        <v>185</v>
      </c>
      <c r="K1056" s="7" t="s">
        <v>808</v>
      </c>
      <c r="L1056" s="7" t="s">
        <v>136</v>
      </c>
      <c r="M1056" s="7">
        <v>3.95418</v>
      </c>
      <c r="N1056" s="7">
        <v>11.53173</v>
      </c>
      <c r="O1056" s="7" t="s">
        <v>613</v>
      </c>
      <c r="P1056" s="3"/>
      <c r="Q1056" s="3"/>
      <c r="R1056" s="3"/>
    </row>
    <row r="1057" spans="1:18" x14ac:dyDescent="0.25">
      <c r="A1057" s="2">
        <v>2266</v>
      </c>
      <c r="B1057" s="7" t="s">
        <v>5540</v>
      </c>
      <c r="C1057" s="7" t="s">
        <v>5541</v>
      </c>
      <c r="D1057" s="7" t="s">
        <v>5540</v>
      </c>
      <c r="E1057" s="7" t="s">
        <v>182</v>
      </c>
      <c r="F1057" s="7" t="s">
        <v>5542</v>
      </c>
      <c r="G1057" s="17" t="s">
        <v>7747</v>
      </c>
      <c r="H1057" s="7" t="s">
        <v>28</v>
      </c>
      <c r="I1057" s="7" t="s">
        <v>1461</v>
      </c>
      <c r="J1057" s="7" t="s">
        <v>185</v>
      </c>
      <c r="K1057" s="7" t="s">
        <v>1462</v>
      </c>
      <c r="L1057" s="7" t="s">
        <v>136</v>
      </c>
      <c r="M1057" s="7">
        <v>3.8171400000000002</v>
      </c>
      <c r="N1057" s="7">
        <v>11.509270000000001</v>
      </c>
      <c r="O1057" s="7" t="s">
        <v>613</v>
      </c>
      <c r="P1057" s="3"/>
      <c r="Q1057" s="3"/>
      <c r="R1057" s="3"/>
    </row>
    <row r="1058" spans="1:18" x14ac:dyDescent="0.25">
      <c r="A1058" s="2">
        <v>2267</v>
      </c>
      <c r="B1058" s="7" t="s">
        <v>5545</v>
      </c>
      <c r="C1058" s="7" t="s">
        <v>5546</v>
      </c>
      <c r="D1058" s="7" t="s">
        <v>5545</v>
      </c>
      <c r="E1058" s="7" t="s">
        <v>182</v>
      </c>
      <c r="F1058" s="7" t="s">
        <v>5547</v>
      </c>
      <c r="G1058" s="17" t="s">
        <v>7747</v>
      </c>
      <c r="H1058" s="7" t="s">
        <v>28</v>
      </c>
      <c r="I1058" s="7" t="s">
        <v>1461</v>
      </c>
      <c r="J1058" s="7" t="s">
        <v>185</v>
      </c>
      <c r="K1058" s="7" t="s">
        <v>1462</v>
      </c>
      <c r="L1058" s="7" t="s">
        <v>136</v>
      </c>
      <c r="M1058" s="7">
        <v>3.8423060000000002</v>
      </c>
      <c r="N1058" s="7">
        <v>11.509444</v>
      </c>
      <c r="O1058" s="7" t="s">
        <v>613</v>
      </c>
      <c r="P1058" s="3"/>
      <c r="Q1058" s="3"/>
      <c r="R1058" s="3"/>
    </row>
    <row r="1059" spans="1:18" x14ac:dyDescent="0.25">
      <c r="A1059" s="2">
        <v>2268</v>
      </c>
      <c r="B1059" s="7" t="s">
        <v>5557</v>
      </c>
      <c r="C1059" s="7" t="s">
        <v>5558</v>
      </c>
      <c r="D1059" s="7" t="s">
        <v>5557</v>
      </c>
      <c r="E1059" s="7" t="s">
        <v>182</v>
      </c>
      <c r="F1059" s="7" t="s">
        <v>5559</v>
      </c>
      <c r="G1059" s="17" t="s">
        <v>7747</v>
      </c>
      <c r="H1059" s="7" t="s">
        <v>28</v>
      </c>
      <c r="I1059" s="7" t="s">
        <v>1374</v>
      </c>
      <c r="J1059" s="7" t="s">
        <v>185</v>
      </c>
      <c r="K1059" s="7" t="s">
        <v>1375</v>
      </c>
      <c r="L1059" s="7" t="s">
        <v>136</v>
      </c>
      <c r="M1059" s="7">
        <v>3.8779720000000002</v>
      </c>
      <c r="N1059" s="7">
        <v>11.50475</v>
      </c>
      <c r="O1059" s="7" t="s">
        <v>613</v>
      </c>
      <c r="P1059" s="3"/>
      <c r="Q1059" s="3"/>
      <c r="R1059" s="3"/>
    </row>
    <row r="1060" spans="1:18" x14ac:dyDescent="0.25">
      <c r="A1060" s="2">
        <v>2269</v>
      </c>
      <c r="B1060" s="7" t="s">
        <v>5563</v>
      </c>
      <c r="C1060" s="7" t="s">
        <v>5564</v>
      </c>
      <c r="D1060" s="7" t="s">
        <v>5563</v>
      </c>
      <c r="E1060" s="7" t="s">
        <v>182</v>
      </c>
      <c r="F1060" s="7" t="s">
        <v>5495</v>
      </c>
      <c r="G1060" s="17" t="s">
        <v>7747</v>
      </c>
      <c r="H1060" s="7" t="s">
        <v>28</v>
      </c>
      <c r="I1060" s="7" t="s">
        <v>1637</v>
      </c>
      <c r="J1060" s="7" t="s">
        <v>185</v>
      </c>
      <c r="K1060" s="7" t="s">
        <v>1462</v>
      </c>
      <c r="L1060" s="7" t="s">
        <v>136</v>
      </c>
      <c r="M1060" s="7">
        <v>3.8595619999999999</v>
      </c>
      <c r="N1060" s="7">
        <v>11.504611000000001</v>
      </c>
      <c r="O1060" s="7" t="s">
        <v>613</v>
      </c>
      <c r="P1060" s="3"/>
      <c r="Q1060" s="3"/>
      <c r="R1060" s="3"/>
    </row>
    <row r="1061" spans="1:18" x14ac:dyDescent="0.25">
      <c r="A1061" s="2">
        <v>2270</v>
      </c>
      <c r="B1061" s="7" t="s">
        <v>5565</v>
      </c>
      <c r="C1061" s="7" t="s">
        <v>5566</v>
      </c>
      <c r="D1061" s="7" t="s">
        <v>5565</v>
      </c>
      <c r="E1061" s="7" t="s">
        <v>182</v>
      </c>
      <c r="F1061" s="7" t="s">
        <v>5567</v>
      </c>
      <c r="G1061" s="17" t="s">
        <v>7747</v>
      </c>
      <c r="H1061" s="7" t="s">
        <v>19</v>
      </c>
      <c r="I1061" s="7" t="s">
        <v>1766</v>
      </c>
      <c r="J1061" s="7" t="s">
        <v>185</v>
      </c>
      <c r="K1061" s="7" t="s">
        <v>808</v>
      </c>
      <c r="L1061" s="7" t="s">
        <v>136</v>
      </c>
      <c r="M1061" s="7">
        <v>3.8974440000000001</v>
      </c>
      <c r="N1061" s="7">
        <v>11.524027999999999</v>
      </c>
      <c r="O1061" s="7" t="s">
        <v>613</v>
      </c>
      <c r="P1061" s="3"/>
      <c r="Q1061" s="3"/>
      <c r="R1061" s="3"/>
    </row>
    <row r="1062" spans="1:18" x14ac:dyDescent="0.25">
      <c r="A1062" s="2">
        <v>2271</v>
      </c>
      <c r="B1062" s="7" t="s">
        <v>5568</v>
      </c>
      <c r="C1062" s="7" t="s">
        <v>5569</v>
      </c>
      <c r="D1062" s="7" t="s">
        <v>5568</v>
      </c>
      <c r="E1062" s="7" t="s">
        <v>182</v>
      </c>
      <c r="F1062" s="7" t="s">
        <v>5570</v>
      </c>
      <c r="G1062" s="17" t="s">
        <v>7747</v>
      </c>
      <c r="H1062" s="7" t="s">
        <v>19</v>
      </c>
      <c r="I1062" s="7" t="s">
        <v>1374</v>
      </c>
      <c r="J1062" s="7" t="s">
        <v>185</v>
      </c>
      <c r="K1062" s="7" t="s">
        <v>1375</v>
      </c>
      <c r="L1062" s="7" t="s">
        <v>136</v>
      </c>
      <c r="M1062" s="7">
        <v>3.8769999999999998</v>
      </c>
      <c r="N1062" s="7">
        <v>11.511443999999999</v>
      </c>
      <c r="O1062" s="7" t="s">
        <v>613</v>
      </c>
      <c r="P1062" s="3"/>
      <c r="Q1062" s="3"/>
      <c r="R1062" s="3"/>
    </row>
    <row r="1063" spans="1:18" x14ac:dyDescent="0.25">
      <c r="A1063" s="2">
        <v>2272</v>
      </c>
      <c r="B1063" s="7" t="s">
        <v>5571</v>
      </c>
      <c r="C1063" s="7" t="s">
        <v>5572</v>
      </c>
      <c r="D1063" s="7" t="s">
        <v>5571</v>
      </c>
      <c r="E1063" s="7" t="s">
        <v>182</v>
      </c>
      <c r="F1063" s="7" t="s">
        <v>5573</v>
      </c>
      <c r="G1063" s="17" t="s">
        <v>7747</v>
      </c>
      <c r="H1063" s="7" t="s">
        <v>28</v>
      </c>
      <c r="I1063" s="7" t="s">
        <v>1284</v>
      </c>
      <c r="J1063" s="7" t="s">
        <v>185</v>
      </c>
      <c r="K1063" s="7" t="s">
        <v>1322</v>
      </c>
      <c r="L1063" s="7" t="s">
        <v>136</v>
      </c>
      <c r="M1063" s="7">
        <v>3.8266800000000001</v>
      </c>
      <c r="N1063" s="7">
        <v>11.47922</v>
      </c>
      <c r="O1063" s="7" t="s">
        <v>613</v>
      </c>
      <c r="P1063" s="3"/>
      <c r="Q1063" s="3"/>
      <c r="R1063" s="3"/>
    </row>
    <row r="1064" spans="1:18" x14ac:dyDescent="0.25">
      <c r="A1064" s="2">
        <v>2273</v>
      </c>
      <c r="B1064" s="7" t="s">
        <v>5586</v>
      </c>
      <c r="C1064" s="7" t="s">
        <v>5587</v>
      </c>
      <c r="D1064" s="7" t="s">
        <v>5586</v>
      </c>
      <c r="E1064" s="7" t="s">
        <v>182</v>
      </c>
      <c r="F1064" s="7" t="s">
        <v>5588</v>
      </c>
      <c r="G1064" s="17" t="s">
        <v>7747</v>
      </c>
      <c r="H1064" s="7" t="s">
        <v>28</v>
      </c>
      <c r="I1064" s="7" t="s">
        <v>1284</v>
      </c>
      <c r="J1064" s="7" t="s">
        <v>185</v>
      </c>
      <c r="K1064" s="7" t="s">
        <v>1322</v>
      </c>
      <c r="L1064" s="7" t="s">
        <v>136</v>
      </c>
      <c r="M1064" s="7">
        <v>3.83161</v>
      </c>
      <c r="N1064" s="7">
        <v>11.48864</v>
      </c>
      <c r="O1064" s="7" t="s">
        <v>613</v>
      </c>
      <c r="P1064" s="3"/>
      <c r="Q1064" s="3"/>
      <c r="R1064" s="3"/>
    </row>
    <row r="1065" spans="1:18" x14ac:dyDescent="0.25">
      <c r="A1065" s="2">
        <v>2274</v>
      </c>
      <c r="B1065" s="7" t="s">
        <v>5599</v>
      </c>
      <c r="C1065" s="7" t="s">
        <v>5600</v>
      </c>
      <c r="D1065" s="7" t="s">
        <v>5599</v>
      </c>
      <c r="E1065" s="7" t="s">
        <v>182</v>
      </c>
      <c r="F1065" s="7" t="s">
        <v>5601</v>
      </c>
      <c r="G1065" s="17" t="s">
        <v>7747</v>
      </c>
      <c r="H1065" s="7" t="s">
        <v>28</v>
      </c>
      <c r="I1065" s="7" t="s">
        <v>1284</v>
      </c>
      <c r="J1065" s="7" t="s">
        <v>185</v>
      </c>
      <c r="K1065" s="7" t="s">
        <v>1322</v>
      </c>
      <c r="L1065" s="7" t="s">
        <v>136</v>
      </c>
      <c r="M1065" s="7">
        <v>3.8412839999999999</v>
      </c>
      <c r="N1065" s="7">
        <v>11.489136999999999</v>
      </c>
      <c r="O1065" s="7" t="s">
        <v>613</v>
      </c>
      <c r="P1065" s="3"/>
      <c r="Q1065" s="3"/>
      <c r="R1065" s="3"/>
    </row>
    <row r="1066" spans="1:18" x14ac:dyDescent="0.25">
      <c r="A1066" s="2">
        <v>2275</v>
      </c>
      <c r="B1066" s="7" t="s">
        <v>5602</v>
      </c>
      <c r="C1066" s="7" t="s">
        <v>5603</v>
      </c>
      <c r="D1066" s="7" t="s">
        <v>5602</v>
      </c>
      <c r="E1066" s="7" t="s">
        <v>182</v>
      </c>
      <c r="F1066" s="7" t="s">
        <v>5604</v>
      </c>
      <c r="G1066" s="17" t="s">
        <v>7747</v>
      </c>
      <c r="H1066" s="7" t="s">
        <v>19</v>
      </c>
      <c r="I1066" s="7" t="s">
        <v>1337</v>
      </c>
      <c r="J1066" s="7" t="s">
        <v>185</v>
      </c>
      <c r="K1066" s="7" t="s">
        <v>808</v>
      </c>
      <c r="L1066" s="7" t="s">
        <v>136</v>
      </c>
      <c r="M1066" s="7">
        <v>3.8688899999999999</v>
      </c>
      <c r="N1066" s="7">
        <v>11.52209</v>
      </c>
      <c r="O1066" s="7" t="s">
        <v>613</v>
      </c>
      <c r="P1066" s="3"/>
      <c r="Q1066" s="3"/>
      <c r="R1066" s="3"/>
    </row>
    <row r="1067" spans="1:18" x14ac:dyDescent="0.25">
      <c r="A1067" s="2">
        <v>2276</v>
      </c>
      <c r="B1067" s="7" t="s">
        <v>5605</v>
      </c>
      <c r="C1067" s="7" t="s">
        <v>5606</v>
      </c>
      <c r="D1067" s="7" t="s">
        <v>5605</v>
      </c>
      <c r="E1067" s="7" t="s">
        <v>182</v>
      </c>
      <c r="F1067" s="7" t="s">
        <v>5607</v>
      </c>
      <c r="G1067" s="17" t="s">
        <v>7747</v>
      </c>
      <c r="H1067" s="7" t="s">
        <v>19</v>
      </c>
      <c r="I1067" s="7" t="s">
        <v>1374</v>
      </c>
      <c r="J1067" s="7" t="s">
        <v>185</v>
      </c>
      <c r="K1067" s="7" t="s">
        <v>1375</v>
      </c>
      <c r="L1067" s="7" t="s">
        <v>136</v>
      </c>
      <c r="M1067" s="7">
        <v>3.8921000000000001</v>
      </c>
      <c r="N1067" s="7">
        <v>11.509</v>
      </c>
      <c r="O1067" s="7" t="s">
        <v>613</v>
      </c>
      <c r="P1067" s="3"/>
      <c r="Q1067" s="3"/>
      <c r="R1067" s="3"/>
    </row>
    <row r="1068" spans="1:18" x14ac:dyDescent="0.25">
      <c r="A1068" s="2">
        <v>2277</v>
      </c>
      <c r="B1068" s="7" t="s">
        <v>5608</v>
      </c>
      <c r="C1068" s="7" t="s">
        <v>5609</v>
      </c>
      <c r="D1068" s="7" t="s">
        <v>5608</v>
      </c>
      <c r="E1068" s="7" t="s">
        <v>182</v>
      </c>
      <c r="F1068" s="7" t="s">
        <v>5610</v>
      </c>
      <c r="G1068" s="17" t="s">
        <v>7747</v>
      </c>
      <c r="H1068" s="7" t="s">
        <v>28</v>
      </c>
      <c r="I1068" s="7" t="s">
        <v>1366</v>
      </c>
      <c r="J1068" s="7" t="s">
        <v>185</v>
      </c>
      <c r="K1068" s="7" t="s">
        <v>1367</v>
      </c>
      <c r="L1068" s="7" t="s">
        <v>136</v>
      </c>
      <c r="M1068" s="7">
        <v>3.8731</v>
      </c>
      <c r="N1068" s="7">
        <v>11.55161</v>
      </c>
      <c r="O1068" s="7" t="s">
        <v>613</v>
      </c>
      <c r="P1068" s="3"/>
      <c r="Q1068" s="3"/>
      <c r="R1068" s="3"/>
    </row>
    <row r="1069" spans="1:18" x14ac:dyDescent="0.25">
      <c r="A1069" s="2">
        <v>2278</v>
      </c>
      <c r="B1069" s="7" t="s">
        <v>5611</v>
      </c>
      <c r="C1069" s="7" t="s">
        <v>5612</v>
      </c>
      <c r="D1069" s="7" t="s">
        <v>5611</v>
      </c>
      <c r="E1069" s="7" t="s">
        <v>182</v>
      </c>
      <c r="F1069" s="7" t="s">
        <v>5613</v>
      </c>
      <c r="G1069" s="17" t="s">
        <v>7747</v>
      </c>
      <c r="H1069" s="7" t="s">
        <v>28</v>
      </c>
      <c r="I1069" s="7" t="s">
        <v>1637</v>
      </c>
      <c r="J1069" s="7" t="s">
        <v>185</v>
      </c>
      <c r="K1069" s="7" t="s">
        <v>1462</v>
      </c>
      <c r="L1069" s="7" t="s">
        <v>136</v>
      </c>
      <c r="M1069" s="7">
        <v>3.861221</v>
      </c>
      <c r="N1069" s="7">
        <v>11.510953000000001</v>
      </c>
      <c r="O1069" s="7" t="s">
        <v>613</v>
      </c>
      <c r="P1069" s="3"/>
      <c r="Q1069" s="3"/>
      <c r="R1069" s="3"/>
    </row>
    <row r="1070" spans="1:18" x14ac:dyDescent="0.25">
      <c r="A1070" s="2">
        <v>2279</v>
      </c>
      <c r="B1070" s="7" t="s">
        <v>5614</v>
      </c>
      <c r="C1070" s="7" t="s">
        <v>5615</v>
      </c>
      <c r="D1070" s="7" t="s">
        <v>5614</v>
      </c>
      <c r="E1070" s="7" t="s">
        <v>182</v>
      </c>
      <c r="F1070" s="7" t="s">
        <v>5616</v>
      </c>
      <c r="G1070" s="17" t="s">
        <v>7747</v>
      </c>
      <c r="H1070" s="7" t="s">
        <v>28</v>
      </c>
      <c r="I1070" s="7" t="s">
        <v>1766</v>
      </c>
      <c r="J1070" s="7" t="s">
        <v>185</v>
      </c>
      <c r="K1070" s="7" t="s">
        <v>808</v>
      </c>
      <c r="L1070" s="7" t="s">
        <v>136</v>
      </c>
      <c r="M1070" s="7">
        <v>3.9367700000000001</v>
      </c>
      <c r="N1070" s="7">
        <v>11.516819999999999</v>
      </c>
      <c r="O1070" s="7" t="s">
        <v>613</v>
      </c>
      <c r="P1070" s="3"/>
      <c r="Q1070" s="3"/>
      <c r="R1070" s="3"/>
    </row>
    <row r="1071" spans="1:18" x14ac:dyDescent="0.25">
      <c r="A1071" s="2">
        <v>2280</v>
      </c>
      <c r="B1071" s="7" t="s">
        <v>5620</v>
      </c>
      <c r="C1071" s="7" t="s">
        <v>5621</v>
      </c>
      <c r="D1071" s="7" t="s">
        <v>5620</v>
      </c>
      <c r="E1071" s="7" t="s">
        <v>182</v>
      </c>
      <c r="F1071" s="7" t="s">
        <v>5622</v>
      </c>
      <c r="G1071" s="17" t="s">
        <v>7747</v>
      </c>
      <c r="H1071" s="7" t="s">
        <v>28</v>
      </c>
      <c r="I1071" s="7" t="s">
        <v>1337</v>
      </c>
      <c r="J1071" s="7" t="s">
        <v>185</v>
      </c>
      <c r="K1071" s="7" t="s">
        <v>808</v>
      </c>
      <c r="L1071" s="7" t="s">
        <v>136</v>
      </c>
      <c r="M1071" s="7">
        <v>3.8649900000000001</v>
      </c>
      <c r="N1071" s="7">
        <v>11.520239999999999</v>
      </c>
      <c r="O1071" s="7" t="s">
        <v>613</v>
      </c>
      <c r="P1071" s="3"/>
      <c r="Q1071" s="3"/>
      <c r="R1071" s="3"/>
    </row>
    <row r="1072" spans="1:18" x14ac:dyDescent="0.25">
      <c r="A1072" s="2">
        <v>2281</v>
      </c>
      <c r="B1072" s="7" t="s">
        <v>5623</v>
      </c>
      <c r="C1072" s="7" t="s">
        <v>5624</v>
      </c>
      <c r="D1072" s="7" t="s">
        <v>5623</v>
      </c>
      <c r="E1072" s="7" t="s">
        <v>182</v>
      </c>
      <c r="F1072" s="7" t="s">
        <v>5625</v>
      </c>
      <c r="G1072" s="17" t="s">
        <v>7747</v>
      </c>
      <c r="H1072" s="7" t="s">
        <v>28</v>
      </c>
      <c r="I1072" s="7" t="s">
        <v>1337</v>
      </c>
      <c r="J1072" s="7" t="s">
        <v>185</v>
      </c>
      <c r="K1072" s="7" t="s">
        <v>808</v>
      </c>
      <c r="L1072" s="7" t="s">
        <v>136</v>
      </c>
      <c r="M1072" s="7">
        <v>3.8664100000000001</v>
      </c>
      <c r="N1072" s="7">
        <v>11.51768</v>
      </c>
      <c r="O1072" s="7" t="s">
        <v>613</v>
      </c>
      <c r="P1072" s="3"/>
      <c r="Q1072" s="3"/>
      <c r="R1072" s="3"/>
    </row>
    <row r="1073" spans="1:18" x14ac:dyDescent="0.25">
      <c r="A1073" s="2">
        <v>2282</v>
      </c>
      <c r="B1073" s="7" t="s">
        <v>5626</v>
      </c>
      <c r="C1073" s="7" t="s">
        <v>5627</v>
      </c>
      <c r="D1073" s="7" t="s">
        <v>5626</v>
      </c>
      <c r="E1073" s="7" t="s">
        <v>182</v>
      </c>
      <c r="F1073" s="7" t="s">
        <v>5628</v>
      </c>
      <c r="G1073" s="17" t="s">
        <v>7747</v>
      </c>
      <c r="H1073" s="7" t="s">
        <v>28</v>
      </c>
      <c r="I1073" s="7" t="s">
        <v>1637</v>
      </c>
      <c r="J1073" s="7" t="s">
        <v>185</v>
      </c>
      <c r="K1073" s="7" t="s">
        <v>808</v>
      </c>
      <c r="L1073" s="7" t="s">
        <v>136</v>
      </c>
      <c r="M1073" s="7">
        <v>3.8595999999999999</v>
      </c>
      <c r="N1073" s="7">
        <v>11.51806</v>
      </c>
      <c r="O1073" s="7" t="s">
        <v>613</v>
      </c>
      <c r="P1073" s="3"/>
      <c r="Q1073" s="3"/>
      <c r="R1073" s="3"/>
    </row>
    <row r="1074" spans="1:18" x14ac:dyDescent="0.25">
      <c r="A1074" s="2">
        <v>2283</v>
      </c>
      <c r="B1074" s="7" t="s">
        <v>5629</v>
      </c>
      <c r="C1074" s="7" t="s">
        <v>5630</v>
      </c>
      <c r="D1074" s="7" t="s">
        <v>5629</v>
      </c>
      <c r="E1074" s="7" t="s">
        <v>182</v>
      </c>
      <c r="F1074" s="7" t="s">
        <v>5631</v>
      </c>
      <c r="G1074" s="17" t="s">
        <v>7747</v>
      </c>
      <c r="H1074" s="7" t="s">
        <v>28</v>
      </c>
      <c r="I1074" s="7" t="s">
        <v>1284</v>
      </c>
      <c r="J1074" s="7" t="s">
        <v>185</v>
      </c>
      <c r="K1074" s="7" t="s">
        <v>1322</v>
      </c>
      <c r="L1074" s="7" t="s">
        <v>136</v>
      </c>
      <c r="M1074" s="7">
        <v>3.8289439999999999</v>
      </c>
      <c r="N1074" s="7">
        <v>11.480055999999999</v>
      </c>
      <c r="O1074" s="7" t="s">
        <v>613</v>
      </c>
      <c r="P1074" s="3"/>
      <c r="Q1074" s="3"/>
      <c r="R1074" s="3"/>
    </row>
    <row r="1075" spans="1:18" x14ac:dyDescent="0.25">
      <c r="A1075" s="2">
        <v>2284</v>
      </c>
      <c r="B1075" s="7" t="s">
        <v>5638</v>
      </c>
      <c r="C1075" s="7" t="s">
        <v>5639</v>
      </c>
      <c r="D1075" s="7" t="s">
        <v>5638</v>
      </c>
      <c r="E1075" s="7" t="s">
        <v>182</v>
      </c>
      <c r="F1075" s="7" t="s">
        <v>5640</v>
      </c>
      <c r="G1075" s="17" t="s">
        <v>7747</v>
      </c>
      <c r="H1075" s="7" t="s">
        <v>19</v>
      </c>
      <c r="I1075" s="7" t="s">
        <v>1284</v>
      </c>
      <c r="J1075" s="7" t="s">
        <v>185</v>
      </c>
      <c r="K1075" s="7" t="s">
        <v>1322</v>
      </c>
      <c r="L1075" s="7" t="s">
        <v>136</v>
      </c>
      <c r="M1075" s="7">
        <v>3.835194</v>
      </c>
      <c r="N1075" s="7">
        <v>11.484944</v>
      </c>
      <c r="O1075" s="7" t="s">
        <v>613</v>
      </c>
      <c r="P1075" s="3"/>
      <c r="Q1075" s="3"/>
      <c r="R1075" s="3"/>
    </row>
    <row r="1076" spans="1:18" x14ac:dyDescent="0.25">
      <c r="A1076" s="2">
        <v>2285</v>
      </c>
      <c r="B1076" s="7" t="s">
        <v>5641</v>
      </c>
      <c r="C1076" s="7" t="s">
        <v>5642</v>
      </c>
      <c r="D1076" s="7" t="s">
        <v>5641</v>
      </c>
      <c r="E1076" s="7" t="s">
        <v>182</v>
      </c>
      <c r="F1076" s="7" t="s">
        <v>5643</v>
      </c>
      <c r="G1076" s="17" t="s">
        <v>7747</v>
      </c>
      <c r="H1076" s="7" t="s">
        <v>19</v>
      </c>
      <c r="I1076" s="7" t="s">
        <v>1374</v>
      </c>
      <c r="J1076" s="7" t="s">
        <v>185</v>
      </c>
      <c r="K1076" s="7" t="s">
        <v>1375</v>
      </c>
      <c r="L1076" s="7" t="s">
        <v>136</v>
      </c>
      <c r="M1076" s="7">
        <v>3.8926940000000001</v>
      </c>
      <c r="N1076" s="7">
        <v>11.511556000000001</v>
      </c>
      <c r="O1076" s="7" t="s">
        <v>613</v>
      </c>
      <c r="P1076" s="3"/>
      <c r="Q1076" s="3"/>
      <c r="R1076" s="3"/>
    </row>
    <row r="1077" spans="1:18" x14ac:dyDescent="0.25">
      <c r="A1077" s="2">
        <v>2286</v>
      </c>
      <c r="B1077" s="7" t="s">
        <v>5647</v>
      </c>
      <c r="C1077" s="7" t="s">
        <v>5648</v>
      </c>
      <c r="D1077" s="7" t="s">
        <v>5647</v>
      </c>
      <c r="E1077" s="7" t="s">
        <v>182</v>
      </c>
      <c r="F1077" s="7" t="s">
        <v>5649</v>
      </c>
      <c r="G1077" s="17" t="s">
        <v>7747</v>
      </c>
      <c r="H1077" s="7" t="s">
        <v>28</v>
      </c>
      <c r="I1077" s="7" t="s">
        <v>1553</v>
      </c>
      <c r="J1077" s="7" t="s">
        <v>185</v>
      </c>
      <c r="K1077" s="7" t="s">
        <v>1367</v>
      </c>
      <c r="L1077" s="7" t="s">
        <v>136</v>
      </c>
      <c r="M1077" s="7">
        <v>3.8583059999999998</v>
      </c>
      <c r="N1077" s="7">
        <v>11.547860999999999</v>
      </c>
      <c r="O1077" s="7" t="s">
        <v>613</v>
      </c>
      <c r="P1077" s="3"/>
      <c r="Q1077" s="3"/>
      <c r="R1077" s="3"/>
    </row>
    <row r="1078" spans="1:18" x14ac:dyDescent="0.25">
      <c r="A1078" s="2">
        <v>2287</v>
      </c>
      <c r="B1078" s="7" t="s">
        <v>5650</v>
      </c>
      <c r="C1078" s="7" t="s">
        <v>5651</v>
      </c>
      <c r="D1078" s="7" t="s">
        <v>5650</v>
      </c>
      <c r="E1078" s="7" t="s">
        <v>182</v>
      </c>
      <c r="F1078" s="7" t="s">
        <v>5652</v>
      </c>
      <c r="G1078" s="17" t="s">
        <v>7747</v>
      </c>
      <c r="H1078" s="7" t="s">
        <v>28</v>
      </c>
      <c r="I1078" s="7" t="s">
        <v>1284</v>
      </c>
      <c r="J1078" s="7" t="s">
        <v>185</v>
      </c>
      <c r="K1078" s="7" t="s">
        <v>1322</v>
      </c>
      <c r="L1078" s="7" t="s">
        <v>136</v>
      </c>
      <c r="M1078" s="7">
        <v>3.8450730000000002</v>
      </c>
      <c r="N1078" s="7">
        <v>11.493395</v>
      </c>
      <c r="O1078" s="7" t="s">
        <v>613</v>
      </c>
      <c r="P1078" s="3"/>
      <c r="Q1078" s="3"/>
      <c r="R1078" s="3"/>
    </row>
    <row r="1079" spans="1:18" x14ac:dyDescent="0.25">
      <c r="A1079" s="2">
        <v>2288</v>
      </c>
      <c r="B1079" s="7" t="s">
        <v>5653</v>
      </c>
      <c r="C1079" s="7" t="s">
        <v>5654</v>
      </c>
      <c r="D1079" s="7" t="s">
        <v>5653</v>
      </c>
      <c r="E1079" s="7" t="s">
        <v>182</v>
      </c>
      <c r="F1079" s="7" t="s">
        <v>5655</v>
      </c>
      <c r="G1079" s="17" t="s">
        <v>7747</v>
      </c>
      <c r="H1079" s="7" t="s">
        <v>28</v>
      </c>
      <c r="I1079" s="7" t="s">
        <v>1337</v>
      </c>
      <c r="J1079" s="7" t="s">
        <v>185</v>
      </c>
      <c r="K1079" s="7" t="s">
        <v>1322</v>
      </c>
      <c r="L1079" s="7" t="s">
        <v>136</v>
      </c>
      <c r="M1079" s="7">
        <v>3.8749600000000002</v>
      </c>
      <c r="N1079" s="7">
        <v>11.488910000000001</v>
      </c>
      <c r="O1079" s="7" t="s">
        <v>613</v>
      </c>
      <c r="P1079" s="3"/>
      <c r="Q1079" s="3"/>
      <c r="R1079" s="3"/>
    </row>
    <row r="1080" spans="1:18" x14ac:dyDescent="0.25">
      <c r="A1080" s="2">
        <v>2289</v>
      </c>
      <c r="B1080" s="7" t="s">
        <v>5659</v>
      </c>
      <c r="C1080" s="7" t="s">
        <v>5660</v>
      </c>
      <c r="D1080" s="7" t="s">
        <v>5659</v>
      </c>
      <c r="E1080" s="7" t="s">
        <v>182</v>
      </c>
      <c r="F1080" s="7" t="s">
        <v>5661</v>
      </c>
      <c r="G1080" s="17" t="s">
        <v>7747</v>
      </c>
      <c r="H1080" s="7" t="s">
        <v>19</v>
      </c>
      <c r="I1080" s="7" t="s">
        <v>1366</v>
      </c>
      <c r="J1080" s="7" t="s">
        <v>185</v>
      </c>
      <c r="K1080" s="7" t="s">
        <v>1435</v>
      </c>
      <c r="L1080" s="7" t="s">
        <v>136</v>
      </c>
      <c r="M1080" s="7">
        <v>3.8748659999999999</v>
      </c>
      <c r="N1080" s="7">
        <v>11.541677</v>
      </c>
      <c r="O1080" s="7" t="s">
        <v>613</v>
      </c>
      <c r="P1080" s="3"/>
      <c r="Q1080" s="3"/>
      <c r="R1080" s="3"/>
    </row>
    <row r="1081" spans="1:18" x14ac:dyDescent="0.25">
      <c r="A1081" s="2">
        <v>2290</v>
      </c>
      <c r="B1081" s="7" t="s">
        <v>5665</v>
      </c>
      <c r="C1081" s="7" t="s">
        <v>5666</v>
      </c>
      <c r="D1081" s="7" t="s">
        <v>5665</v>
      </c>
      <c r="E1081" s="7" t="s">
        <v>182</v>
      </c>
      <c r="F1081" s="7" t="s">
        <v>5667</v>
      </c>
      <c r="G1081" s="17" t="s">
        <v>7747</v>
      </c>
      <c r="H1081" s="7" t="s">
        <v>28</v>
      </c>
      <c r="I1081" s="7" t="s">
        <v>1284</v>
      </c>
      <c r="J1081" s="7" t="s">
        <v>185</v>
      </c>
      <c r="K1081" s="7" t="s">
        <v>1322</v>
      </c>
      <c r="L1081" s="7" t="s">
        <v>136</v>
      </c>
      <c r="M1081" s="7">
        <v>3.8381789999999998</v>
      </c>
      <c r="N1081" s="7">
        <v>11.489259000000001</v>
      </c>
      <c r="O1081" s="7" t="s">
        <v>613</v>
      </c>
      <c r="P1081" s="3"/>
      <c r="Q1081" s="3"/>
      <c r="R1081" s="3"/>
    </row>
    <row r="1082" spans="1:18" x14ac:dyDescent="0.25">
      <c r="A1082" s="2">
        <v>2291</v>
      </c>
      <c r="B1082" s="7" t="s">
        <v>5671</v>
      </c>
      <c r="C1082" s="7" t="s">
        <v>5672</v>
      </c>
      <c r="D1082" s="7" t="s">
        <v>5671</v>
      </c>
      <c r="E1082" s="7" t="s">
        <v>182</v>
      </c>
      <c r="F1082" s="7" t="s">
        <v>5673</v>
      </c>
      <c r="G1082" s="17" t="s">
        <v>7747</v>
      </c>
      <c r="H1082" s="7" t="s">
        <v>28</v>
      </c>
      <c r="I1082" s="7" t="s">
        <v>1637</v>
      </c>
      <c r="J1082" s="7" t="s">
        <v>185</v>
      </c>
      <c r="K1082" s="7" t="s">
        <v>1322</v>
      </c>
      <c r="L1082" s="7" t="s">
        <v>136</v>
      </c>
      <c r="M1082" s="7">
        <v>3.86971</v>
      </c>
      <c r="N1082" s="7">
        <v>11.489369999999999</v>
      </c>
      <c r="O1082" s="7" t="s">
        <v>613</v>
      </c>
      <c r="P1082" s="3"/>
      <c r="Q1082" s="3"/>
      <c r="R1082" s="3"/>
    </row>
    <row r="1083" spans="1:18" x14ac:dyDescent="0.25">
      <c r="A1083" s="2">
        <v>2292</v>
      </c>
      <c r="B1083" s="7" t="s">
        <v>5685</v>
      </c>
      <c r="C1083" s="7" t="s">
        <v>5686</v>
      </c>
      <c r="D1083" s="7" t="s">
        <v>5685</v>
      </c>
      <c r="E1083" s="7" t="s">
        <v>182</v>
      </c>
      <c r="F1083" s="7" t="s">
        <v>5687</v>
      </c>
      <c r="G1083" s="17" t="s">
        <v>7747</v>
      </c>
      <c r="H1083" s="7" t="s">
        <v>28</v>
      </c>
      <c r="I1083" s="7" t="s">
        <v>807</v>
      </c>
      <c r="J1083" s="7" t="s">
        <v>185</v>
      </c>
      <c r="K1083" s="7" t="s">
        <v>808</v>
      </c>
      <c r="L1083" s="7" t="s">
        <v>136</v>
      </c>
      <c r="M1083" s="7">
        <v>3.8993280000000001</v>
      </c>
      <c r="N1083" s="7">
        <v>11.51666</v>
      </c>
      <c r="O1083" s="7" t="s">
        <v>613</v>
      </c>
      <c r="P1083" s="3"/>
      <c r="Q1083" s="3"/>
      <c r="R1083" s="3"/>
    </row>
    <row r="1084" spans="1:18" x14ac:dyDescent="0.25">
      <c r="A1084" s="2">
        <v>2293</v>
      </c>
      <c r="B1084" s="7" t="s">
        <v>5688</v>
      </c>
      <c r="C1084" s="7" t="s">
        <v>5689</v>
      </c>
      <c r="D1084" s="7" t="s">
        <v>5688</v>
      </c>
      <c r="E1084" s="7" t="s">
        <v>182</v>
      </c>
      <c r="F1084" s="7" t="s">
        <v>5690</v>
      </c>
      <c r="G1084" s="17" t="s">
        <v>7747</v>
      </c>
      <c r="H1084" s="7" t="s">
        <v>19</v>
      </c>
      <c r="I1084" s="7" t="s">
        <v>297</v>
      </c>
      <c r="J1084" s="7" t="s">
        <v>185</v>
      </c>
      <c r="K1084" s="7" t="s">
        <v>1393</v>
      </c>
      <c r="L1084" s="7" t="s">
        <v>136</v>
      </c>
      <c r="M1084" s="7">
        <v>3.8674680000000001</v>
      </c>
      <c r="N1084" s="7">
        <v>11.446289999999999</v>
      </c>
      <c r="O1084" s="7" t="s">
        <v>613</v>
      </c>
      <c r="P1084" s="3"/>
      <c r="Q1084" s="3"/>
      <c r="R1084" s="3"/>
    </row>
    <row r="1085" spans="1:18" x14ac:dyDescent="0.25">
      <c r="A1085" s="2">
        <v>2294</v>
      </c>
      <c r="B1085" s="7" t="s">
        <v>5691</v>
      </c>
      <c r="C1085" s="7" t="s">
        <v>5692</v>
      </c>
      <c r="D1085" s="7" t="s">
        <v>5691</v>
      </c>
      <c r="E1085" s="7" t="s">
        <v>182</v>
      </c>
      <c r="F1085" s="7" t="s">
        <v>5310</v>
      </c>
      <c r="G1085" s="17" t="s">
        <v>7747</v>
      </c>
      <c r="H1085" s="7" t="s">
        <v>19</v>
      </c>
      <c r="I1085" s="7" t="s">
        <v>1461</v>
      </c>
      <c r="J1085" s="7" t="s">
        <v>185</v>
      </c>
      <c r="K1085" s="7" t="s">
        <v>1462</v>
      </c>
      <c r="L1085" s="7" t="s">
        <v>136</v>
      </c>
      <c r="M1085" s="7">
        <v>3.8469699999999998</v>
      </c>
      <c r="N1085" s="7">
        <v>11.51501</v>
      </c>
      <c r="O1085" s="7" t="s">
        <v>613</v>
      </c>
      <c r="P1085" s="3"/>
      <c r="Q1085" s="3"/>
      <c r="R1085" s="3"/>
    </row>
    <row r="1086" spans="1:18" x14ac:dyDescent="0.25">
      <c r="A1086" s="2">
        <v>2295</v>
      </c>
      <c r="B1086" s="7" t="s">
        <v>5696</v>
      </c>
      <c r="C1086" s="7" t="s">
        <v>5697</v>
      </c>
      <c r="D1086" s="7" t="s">
        <v>5696</v>
      </c>
      <c r="E1086" s="7" t="s">
        <v>182</v>
      </c>
      <c r="F1086" s="7" t="s">
        <v>5698</v>
      </c>
      <c r="G1086" s="17" t="s">
        <v>7747</v>
      </c>
      <c r="H1086" s="7" t="s">
        <v>28</v>
      </c>
      <c r="I1086" s="7" t="s">
        <v>1374</v>
      </c>
      <c r="J1086" s="7" t="s">
        <v>185</v>
      </c>
      <c r="K1086" s="7" t="s">
        <v>1375</v>
      </c>
      <c r="L1086" s="7" t="s">
        <v>136</v>
      </c>
      <c r="M1086" s="7">
        <v>3.8808889999999998</v>
      </c>
      <c r="N1086" s="7">
        <v>11.506667</v>
      </c>
      <c r="O1086" s="7" t="s">
        <v>613</v>
      </c>
      <c r="P1086" s="3"/>
      <c r="Q1086" s="3"/>
      <c r="R1086" s="3"/>
    </row>
    <row r="1087" spans="1:18" x14ac:dyDescent="0.25">
      <c r="A1087" s="2">
        <v>2296</v>
      </c>
      <c r="B1087" s="7" t="s">
        <v>5699</v>
      </c>
      <c r="C1087" s="7" t="s">
        <v>5700</v>
      </c>
      <c r="D1087" s="7" t="s">
        <v>5699</v>
      </c>
      <c r="E1087" s="7" t="s">
        <v>182</v>
      </c>
      <c r="F1087" s="7" t="s">
        <v>5701</v>
      </c>
      <c r="G1087" s="17" t="s">
        <v>7747</v>
      </c>
      <c r="H1087" s="7" t="s">
        <v>28</v>
      </c>
      <c r="I1087" s="7" t="s">
        <v>1337</v>
      </c>
      <c r="J1087" s="7" t="s">
        <v>185</v>
      </c>
      <c r="K1087" s="7" t="s">
        <v>808</v>
      </c>
      <c r="L1087" s="7" t="s">
        <v>136</v>
      </c>
      <c r="M1087" s="7">
        <v>3.865297</v>
      </c>
      <c r="N1087" s="7">
        <v>11.52229</v>
      </c>
      <c r="O1087" s="7" t="s">
        <v>613</v>
      </c>
      <c r="P1087" s="3"/>
      <c r="Q1087" s="3"/>
      <c r="R1087" s="3"/>
    </row>
    <row r="1088" spans="1:18" x14ac:dyDescent="0.25">
      <c r="A1088" s="2">
        <v>2297</v>
      </c>
      <c r="B1088" s="7" t="s">
        <v>5702</v>
      </c>
      <c r="C1088" s="7" t="s">
        <v>5703</v>
      </c>
      <c r="D1088" s="7" t="s">
        <v>5702</v>
      </c>
      <c r="E1088" s="7" t="s">
        <v>182</v>
      </c>
      <c r="F1088" s="7" t="s">
        <v>5704</v>
      </c>
      <c r="G1088" s="17" t="s">
        <v>7747</v>
      </c>
      <c r="H1088" s="7" t="s">
        <v>28</v>
      </c>
      <c r="I1088" s="7" t="s">
        <v>1637</v>
      </c>
      <c r="J1088" s="7" t="s">
        <v>185</v>
      </c>
      <c r="K1088" s="7" t="s">
        <v>1462</v>
      </c>
      <c r="L1088" s="7" t="s">
        <v>136</v>
      </c>
      <c r="M1088" s="7">
        <v>3.863972</v>
      </c>
      <c r="N1088" s="7">
        <v>11.495305999999999</v>
      </c>
      <c r="O1088" s="7" t="s">
        <v>613</v>
      </c>
      <c r="P1088" s="3"/>
      <c r="Q1088" s="3"/>
      <c r="R1088" s="3"/>
    </row>
    <row r="1089" spans="1:18" x14ac:dyDescent="0.25">
      <c r="A1089" s="2">
        <v>2298</v>
      </c>
      <c r="B1089" s="7" t="s">
        <v>5705</v>
      </c>
      <c r="C1089" s="7" t="s">
        <v>5706</v>
      </c>
      <c r="D1089" s="7" t="s">
        <v>5705</v>
      </c>
      <c r="E1089" s="7" t="s">
        <v>182</v>
      </c>
      <c r="F1089" s="7" t="s">
        <v>5146</v>
      </c>
      <c r="G1089" s="17" t="s">
        <v>7747</v>
      </c>
      <c r="H1089" s="7" t="s">
        <v>28</v>
      </c>
      <c r="I1089" s="7" t="s">
        <v>1337</v>
      </c>
      <c r="J1089" s="7" t="s">
        <v>185</v>
      </c>
      <c r="K1089" s="7" t="s">
        <v>1322</v>
      </c>
      <c r="L1089" s="7" t="s">
        <v>136</v>
      </c>
      <c r="M1089" s="7">
        <v>3.8786299999999998</v>
      </c>
      <c r="N1089" s="7">
        <v>11.48537</v>
      </c>
      <c r="O1089" s="7" t="s">
        <v>613</v>
      </c>
      <c r="P1089" s="3"/>
      <c r="Q1089" s="3"/>
      <c r="R1089" s="3"/>
    </row>
    <row r="1090" spans="1:18" x14ac:dyDescent="0.25">
      <c r="A1090" s="2">
        <v>2299</v>
      </c>
      <c r="B1090" s="7" t="s">
        <v>5707</v>
      </c>
      <c r="C1090" s="7" t="s">
        <v>5708</v>
      </c>
      <c r="D1090" s="7" t="s">
        <v>5707</v>
      </c>
      <c r="E1090" s="7" t="s">
        <v>182</v>
      </c>
      <c r="F1090" s="7" t="s">
        <v>5709</v>
      </c>
      <c r="G1090" s="17" t="s">
        <v>7747</v>
      </c>
      <c r="H1090" s="7" t="s">
        <v>28</v>
      </c>
      <c r="I1090" s="7" t="s">
        <v>1337</v>
      </c>
      <c r="J1090" s="7" t="s">
        <v>185</v>
      </c>
      <c r="K1090" s="7" t="s">
        <v>808</v>
      </c>
      <c r="L1090" s="7" t="s">
        <v>136</v>
      </c>
      <c r="M1090" s="7">
        <v>3.867569</v>
      </c>
      <c r="N1090" s="7">
        <v>11.519473</v>
      </c>
      <c r="O1090" s="7" t="s">
        <v>613</v>
      </c>
      <c r="P1090" s="3"/>
      <c r="Q1090" s="3"/>
      <c r="R1090" s="3"/>
    </row>
    <row r="1091" spans="1:18" x14ac:dyDescent="0.25">
      <c r="A1091" s="2">
        <v>2300</v>
      </c>
      <c r="B1091" s="7" t="s">
        <v>5713</v>
      </c>
      <c r="C1091" s="7" t="s">
        <v>5714</v>
      </c>
      <c r="D1091" s="7" t="s">
        <v>5713</v>
      </c>
      <c r="E1091" s="7" t="s">
        <v>182</v>
      </c>
      <c r="F1091" s="7" t="s">
        <v>5715</v>
      </c>
      <c r="G1091" s="17" t="s">
        <v>7747</v>
      </c>
      <c r="H1091" s="7" t="s">
        <v>19</v>
      </c>
      <c r="I1091" s="7" t="s">
        <v>1374</v>
      </c>
      <c r="J1091" s="7" t="s">
        <v>185</v>
      </c>
      <c r="K1091" s="7" t="s">
        <v>1375</v>
      </c>
      <c r="L1091" s="7" t="s">
        <v>136</v>
      </c>
      <c r="M1091" s="7">
        <v>3.8915280000000001</v>
      </c>
      <c r="N1091" s="7">
        <v>11.501250000000001</v>
      </c>
      <c r="O1091" s="7" t="s">
        <v>613</v>
      </c>
      <c r="P1091" s="3"/>
      <c r="Q1091" s="3"/>
      <c r="R1091" s="3"/>
    </row>
    <row r="1092" spans="1:18" x14ac:dyDescent="0.25">
      <c r="A1092" s="2">
        <v>2301</v>
      </c>
      <c r="B1092" s="7" t="s">
        <v>5718</v>
      </c>
      <c r="C1092" s="7" t="s">
        <v>5719</v>
      </c>
      <c r="D1092" s="7" t="s">
        <v>5718</v>
      </c>
      <c r="E1092" s="7" t="s">
        <v>182</v>
      </c>
      <c r="F1092" s="7" t="s">
        <v>5720</v>
      </c>
      <c r="G1092" s="17" t="s">
        <v>7747</v>
      </c>
      <c r="H1092" s="7" t="s">
        <v>28</v>
      </c>
      <c r="I1092" s="7" t="s">
        <v>1637</v>
      </c>
      <c r="J1092" s="7" t="s">
        <v>185</v>
      </c>
      <c r="K1092" s="7" t="s">
        <v>1375</v>
      </c>
      <c r="L1092" s="7" t="s">
        <v>136</v>
      </c>
      <c r="M1092" s="7">
        <v>3.8708200000000001</v>
      </c>
      <c r="N1092" s="7">
        <v>11.51093</v>
      </c>
      <c r="O1092" s="7" t="s">
        <v>613</v>
      </c>
      <c r="P1092" s="3"/>
      <c r="Q1092" s="3"/>
      <c r="R1092" s="3"/>
    </row>
    <row r="1093" spans="1:18" x14ac:dyDescent="0.25">
      <c r="A1093" s="2">
        <v>2302</v>
      </c>
      <c r="B1093" s="7" t="s">
        <v>5721</v>
      </c>
      <c r="C1093" s="7" t="s">
        <v>5722</v>
      </c>
      <c r="D1093" s="7" t="s">
        <v>5721</v>
      </c>
      <c r="E1093" s="7" t="s">
        <v>182</v>
      </c>
      <c r="F1093" s="7" t="s">
        <v>5723</v>
      </c>
      <c r="G1093" s="17" t="s">
        <v>7747</v>
      </c>
      <c r="H1093" s="7" t="s">
        <v>28</v>
      </c>
      <c r="I1093" s="7" t="s">
        <v>184</v>
      </c>
      <c r="J1093" s="7" t="s">
        <v>185</v>
      </c>
      <c r="K1093" s="7" t="s">
        <v>1435</v>
      </c>
      <c r="L1093" s="7" t="s">
        <v>136</v>
      </c>
      <c r="M1093" s="7">
        <v>3.90788</v>
      </c>
      <c r="N1093" s="7">
        <v>11.542439999999999</v>
      </c>
      <c r="O1093" s="7" t="s">
        <v>613</v>
      </c>
      <c r="P1093" s="3"/>
      <c r="Q1093" s="3"/>
      <c r="R1093" s="3"/>
    </row>
    <row r="1094" spans="1:18" x14ac:dyDescent="0.25">
      <c r="A1094" s="2">
        <v>2303</v>
      </c>
      <c r="B1094" s="7" t="s">
        <v>5724</v>
      </c>
      <c r="C1094" s="7" t="s">
        <v>5725</v>
      </c>
      <c r="D1094" s="7" t="s">
        <v>5724</v>
      </c>
      <c r="E1094" s="7" t="s">
        <v>182</v>
      </c>
      <c r="F1094" s="7" t="s">
        <v>5726</v>
      </c>
      <c r="G1094" s="17" t="s">
        <v>7747</v>
      </c>
      <c r="H1094" s="7" t="s">
        <v>28</v>
      </c>
      <c r="I1094" s="7" t="s">
        <v>1337</v>
      </c>
      <c r="J1094" s="7" t="s">
        <v>185</v>
      </c>
      <c r="K1094" s="7" t="s">
        <v>1322</v>
      </c>
      <c r="L1094" s="7" t="s">
        <v>136</v>
      </c>
      <c r="M1094" s="7">
        <v>3.8740000000000001</v>
      </c>
      <c r="N1094" s="7">
        <v>11.488</v>
      </c>
      <c r="O1094" s="7" t="s">
        <v>613</v>
      </c>
      <c r="P1094" s="3"/>
      <c r="Q1094" s="3"/>
      <c r="R1094" s="3"/>
    </row>
    <row r="1095" spans="1:18" x14ac:dyDescent="0.25">
      <c r="A1095" s="2">
        <v>2304</v>
      </c>
      <c r="B1095" s="7" t="s">
        <v>5727</v>
      </c>
      <c r="C1095" s="7" t="s">
        <v>5728</v>
      </c>
      <c r="D1095" s="7" t="s">
        <v>5727</v>
      </c>
      <c r="E1095" s="7" t="s">
        <v>182</v>
      </c>
      <c r="F1095" s="7" t="s">
        <v>5729</v>
      </c>
      <c r="G1095" s="17" t="s">
        <v>7747</v>
      </c>
      <c r="H1095" s="7" t="s">
        <v>19</v>
      </c>
      <c r="I1095" s="7" t="s">
        <v>1337</v>
      </c>
      <c r="J1095" s="7" t="s">
        <v>185</v>
      </c>
      <c r="K1095" s="7" t="s">
        <v>808</v>
      </c>
      <c r="L1095" s="7" t="s">
        <v>136</v>
      </c>
      <c r="M1095" s="7">
        <v>3.8677199999999998</v>
      </c>
      <c r="N1095" s="7">
        <v>11.518980000000001</v>
      </c>
      <c r="O1095" s="7" t="s">
        <v>613</v>
      </c>
      <c r="P1095" s="3"/>
      <c r="Q1095" s="3"/>
      <c r="R1095" s="3"/>
    </row>
    <row r="1096" spans="1:18" x14ac:dyDescent="0.25">
      <c r="A1096" s="2">
        <v>2305</v>
      </c>
      <c r="B1096" s="7" t="s">
        <v>5730</v>
      </c>
      <c r="C1096" s="7" t="s">
        <v>5731</v>
      </c>
      <c r="D1096" s="7" t="s">
        <v>5730</v>
      </c>
      <c r="E1096" s="7" t="s">
        <v>182</v>
      </c>
      <c r="F1096" s="7" t="s">
        <v>5732</v>
      </c>
      <c r="G1096" s="17" t="s">
        <v>7747</v>
      </c>
      <c r="H1096" s="7" t="s">
        <v>19</v>
      </c>
      <c r="I1096" s="7" t="s">
        <v>1337</v>
      </c>
      <c r="J1096" s="7" t="s">
        <v>185</v>
      </c>
      <c r="K1096" s="7" t="s">
        <v>1375</v>
      </c>
      <c r="L1096" s="7" t="s">
        <v>136</v>
      </c>
      <c r="M1096" s="7">
        <v>3.8733059999999999</v>
      </c>
      <c r="N1096" s="7">
        <v>11.500722</v>
      </c>
      <c r="O1096" s="7" t="s">
        <v>613</v>
      </c>
      <c r="P1096" s="3"/>
      <c r="Q1096" s="3"/>
      <c r="R1096" s="3"/>
    </row>
    <row r="1097" spans="1:18" x14ac:dyDescent="0.25">
      <c r="A1097" s="2">
        <v>2306</v>
      </c>
      <c r="B1097" s="7" t="s">
        <v>5733</v>
      </c>
      <c r="C1097" s="7" t="s">
        <v>5734</v>
      </c>
      <c r="D1097" s="7" t="s">
        <v>5733</v>
      </c>
      <c r="E1097" s="7" t="s">
        <v>182</v>
      </c>
      <c r="F1097" s="7" t="s">
        <v>5735</v>
      </c>
      <c r="G1097" s="17" t="s">
        <v>7747</v>
      </c>
      <c r="H1097" s="7" t="s">
        <v>19</v>
      </c>
      <c r="I1097" s="7" t="s">
        <v>1337</v>
      </c>
      <c r="J1097" s="7" t="s">
        <v>185</v>
      </c>
      <c r="K1097" s="7" t="s">
        <v>1375</v>
      </c>
      <c r="L1097" s="7" t="s">
        <v>136</v>
      </c>
      <c r="M1097" s="7">
        <v>3.86957</v>
      </c>
      <c r="N1097" s="7">
        <v>11.515689999999999</v>
      </c>
      <c r="O1097" s="7" t="s">
        <v>613</v>
      </c>
      <c r="P1097" s="3"/>
      <c r="Q1097" s="3"/>
      <c r="R1097" s="3"/>
    </row>
    <row r="1098" spans="1:18" x14ac:dyDescent="0.25">
      <c r="A1098" s="2">
        <v>2307</v>
      </c>
      <c r="B1098" s="7" t="s">
        <v>5736</v>
      </c>
      <c r="C1098" s="7" t="s">
        <v>5737</v>
      </c>
      <c r="D1098" s="7" t="s">
        <v>5736</v>
      </c>
      <c r="E1098" s="7" t="s">
        <v>182</v>
      </c>
      <c r="F1098" s="7" t="s">
        <v>5738</v>
      </c>
      <c r="G1098" s="17" t="s">
        <v>7747</v>
      </c>
      <c r="H1098" s="7" t="s">
        <v>19</v>
      </c>
      <c r="I1098" s="7" t="s">
        <v>807</v>
      </c>
      <c r="J1098" s="7" t="s">
        <v>185</v>
      </c>
      <c r="K1098" s="7" t="s">
        <v>1375</v>
      </c>
      <c r="L1098" s="7" t="s">
        <v>136</v>
      </c>
      <c r="M1098" s="7">
        <v>3.8891110000000002</v>
      </c>
      <c r="N1098" s="7">
        <v>11.517639000000001</v>
      </c>
      <c r="O1098" s="7" t="s">
        <v>613</v>
      </c>
      <c r="P1098" s="3"/>
      <c r="Q1098" s="3"/>
      <c r="R1098" s="3"/>
    </row>
    <row r="1099" spans="1:18" x14ac:dyDescent="0.25">
      <c r="A1099" s="2">
        <v>2308</v>
      </c>
      <c r="B1099" s="7" t="s">
        <v>5739</v>
      </c>
      <c r="C1099" s="7" t="s">
        <v>5740</v>
      </c>
      <c r="D1099" s="7" t="s">
        <v>5739</v>
      </c>
      <c r="E1099" s="7" t="s">
        <v>182</v>
      </c>
      <c r="F1099" s="7" t="s">
        <v>5741</v>
      </c>
      <c r="G1099" s="17" t="s">
        <v>7747</v>
      </c>
      <c r="H1099" s="7" t="s">
        <v>28</v>
      </c>
      <c r="I1099" s="7" t="s">
        <v>1637</v>
      </c>
      <c r="J1099" s="7" t="s">
        <v>185</v>
      </c>
      <c r="K1099" s="7" t="s">
        <v>1462</v>
      </c>
      <c r="L1099" s="7" t="s">
        <v>136</v>
      </c>
      <c r="M1099" s="7">
        <v>3.8571499999999999</v>
      </c>
      <c r="N1099" s="7">
        <v>11.49203</v>
      </c>
      <c r="O1099" s="7" t="s">
        <v>613</v>
      </c>
      <c r="P1099" s="3"/>
      <c r="Q1099" s="3"/>
      <c r="R1099" s="3"/>
    </row>
    <row r="1100" spans="1:18" x14ac:dyDescent="0.25">
      <c r="A1100" s="2">
        <v>2309</v>
      </c>
      <c r="B1100" s="7" t="s">
        <v>5742</v>
      </c>
      <c r="C1100" s="7" t="s">
        <v>5743</v>
      </c>
      <c r="D1100" s="7" t="s">
        <v>5742</v>
      </c>
      <c r="E1100" s="7" t="s">
        <v>182</v>
      </c>
      <c r="F1100" s="7" t="s">
        <v>5744</v>
      </c>
      <c r="G1100" s="17" t="s">
        <v>7747</v>
      </c>
      <c r="H1100" s="7" t="s">
        <v>19</v>
      </c>
      <c r="I1100" s="7" t="s">
        <v>1366</v>
      </c>
      <c r="J1100" s="7" t="s">
        <v>185</v>
      </c>
      <c r="K1100" s="7" t="s">
        <v>808</v>
      </c>
      <c r="L1100" s="7" t="s">
        <v>136</v>
      </c>
      <c r="M1100" s="7">
        <v>3.8762379999999999</v>
      </c>
      <c r="N1100" s="7">
        <v>11.525055</v>
      </c>
      <c r="O1100" s="7" t="s">
        <v>613</v>
      </c>
      <c r="P1100" s="3"/>
      <c r="Q1100" s="3"/>
      <c r="R1100" s="3"/>
    </row>
    <row r="1101" spans="1:18" x14ac:dyDescent="0.25">
      <c r="A1101" s="2">
        <v>2310</v>
      </c>
      <c r="B1101" s="7" t="s">
        <v>5745</v>
      </c>
      <c r="C1101" s="7" t="s">
        <v>5746</v>
      </c>
      <c r="D1101" s="7" t="s">
        <v>5745</v>
      </c>
      <c r="E1101" s="7" t="s">
        <v>182</v>
      </c>
      <c r="F1101" s="7" t="s">
        <v>5747</v>
      </c>
      <c r="G1101" s="17" t="s">
        <v>7747</v>
      </c>
      <c r="H1101" s="7" t="s">
        <v>19</v>
      </c>
      <c r="I1101" s="7" t="s">
        <v>1637</v>
      </c>
      <c r="J1101" s="7" t="s">
        <v>185</v>
      </c>
      <c r="K1101" s="7" t="s">
        <v>808</v>
      </c>
      <c r="L1101" s="7" t="s">
        <v>136</v>
      </c>
      <c r="M1101" s="7">
        <v>3.8656299999999999</v>
      </c>
      <c r="N1101" s="7">
        <v>11.51268</v>
      </c>
      <c r="O1101" s="7" t="s">
        <v>613</v>
      </c>
      <c r="P1101" s="3"/>
      <c r="Q1101" s="3"/>
      <c r="R1101" s="3"/>
    </row>
    <row r="1102" spans="1:18" x14ac:dyDescent="0.25">
      <c r="A1102" s="2">
        <v>2311</v>
      </c>
      <c r="B1102" s="7" t="s">
        <v>5751</v>
      </c>
      <c r="C1102" s="7" t="s">
        <v>5752</v>
      </c>
      <c r="D1102" s="7" t="s">
        <v>5751</v>
      </c>
      <c r="E1102" s="7" t="s">
        <v>182</v>
      </c>
      <c r="F1102" s="7" t="s">
        <v>5753</v>
      </c>
      <c r="G1102" s="17" t="s">
        <v>7747</v>
      </c>
      <c r="H1102" s="7" t="s">
        <v>19</v>
      </c>
      <c r="I1102" s="7" t="s">
        <v>1385</v>
      </c>
      <c r="J1102" s="7" t="s">
        <v>185</v>
      </c>
      <c r="K1102" s="7" t="s">
        <v>1367</v>
      </c>
      <c r="L1102" s="7" t="s">
        <v>136</v>
      </c>
      <c r="M1102" s="7">
        <v>3.7143799999999998</v>
      </c>
      <c r="N1102" s="7">
        <v>11.53791</v>
      </c>
      <c r="O1102" s="7" t="s">
        <v>23</v>
      </c>
      <c r="P1102" s="3"/>
      <c r="Q1102" s="3"/>
      <c r="R1102" s="3"/>
    </row>
    <row r="1103" spans="1:18" x14ac:dyDescent="0.25">
      <c r="A1103" s="2">
        <v>2312</v>
      </c>
      <c r="B1103" s="7" t="s">
        <v>5754</v>
      </c>
      <c r="C1103" s="7" t="s">
        <v>5755</v>
      </c>
      <c r="D1103" s="7" t="s">
        <v>5754</v>
      </c>
      <c r="E1103" s="7" t="s">
        <v>182</v>
      </c>
      <c r="F1103" s="7" t="s">
        <v>5756</v>
      </c>
      <c r="G1103" s="17" t="s">
        <v>7747</v>
      </c>
      <c r="H1103" s="7" t="s">
        <v>19</v>
      </c>
      <c r="I1103" s="7" t="s">
        <v>1337</v>
      </c>
      <c r="J1103" s="7" t="s">
        <v>185</v>
      </c>
      <c r="K1103" s="7" t="s">
        <v>808</v>
      </c>
      <c r="L1103" s="7" t="s">
        <v>136</v>
      </c>
      <c r="M1103" s="7">
        <v>3.8643900000000002</v>
      </c>
      <c r="N1103" s="7">
        <v>11.518974</v>
      </c>
      <c r="O1103" s="7" t="s">
        <v>613</v>
      </c>
      <c r="P1103" s="3"/>
      <c r="Q1103" s="3"/>
      <c r="R1103" s="3"/>
    </row>
    <row r="1104" spans="1:18" x14ac:dyDescent="0.25">
      <c r="A1104" s="2">
        <v>2313</v>
      </c>
      <c r="B1104" s="7" t="s">
        <v>5778</v>
      </c>
      <c r="C1104" s="7" t="s">
        <v>5779</v>
      </c>
      <c r="D1104" s="7" t="s">
        <v>5778</v>
      </c>
      <c r="E1104" s="7" t="s">
        <v>182</v>
      </c>
      <c r="F1104" s="7" t="s">
        <v>5780</v>
      </c>
      <c r="G1104" s="17" t="s">
        <v>7747</v>
      </c>
      <c r="H1104" s="7" t="s">
        <v>19</v>
      </c>
      <c r="I1104" s="7" t="s">
        <v>1637</v>
      </c>
      <c r="J1104" s="7" t="s">
        <v>185</v>
      </c>
      <c r="K1104" s="7" t="s">
        <v>1462</v>
      </c>
      <c r="L1104" s="7" t="s">
        <v>136</v>
      </c>
      <c r="M1104" s="7">
        <v>3.8673609999999998</v>
      </c>
      <c r="N1104" s="7">
        <v>11.496333</v>
      </c>
      <c r="O1104" s="7" t="s">
        <v>613</v>
      </c>
      <c r="P1104" s="3"/>
      <c r="Q1104" s="3"/>
      <c r="R1104" s="3"/>
    </row>
    <row r="1105" spans="1:18" x14ac:dyDescent="0.25">
      <c r="A1105" s="2">
        <v>2314</v>
      </c>
      <c r="B1105" s="7" t="s">
        <v>5784</v>
      </c>
      <c r="C1105" s="7" t="s">
        <v>5785</v>
      </c>
      <c r="D1105" s="7" t="s">
        <v>5784</v>
      </c>
      <c r="E1105" s="7" t="s">
        <v>182</v>
      </c>
      <c r="F1105" s="7" t="s">
        <v>5786</v>
      </c>
      <c r="G1105" s="17" t="s">
        <v>7747</v>
      </c>
      <c r="H1105" s="7" t="s">
        <v>19</v>
      </c>
      <c r="I1105" s="7" t="s">
        <v>1553</v>
      </c>
      <c r="J1105" s="7" t="s">
        <v>185</v>
      </c>
      <c r="K1105" s="7" t="s">
        <v>1367</v>
      </c>
      <c r="L1105" s="7" t="s">
        <v>136</v>
      </c>
      <c r="M1105" s="7">
        <v>3.8445559999999999</v>
      </c>
      <c r="N1105" s="7">
        <v>11.541278</v>
      </c>
      <c r="O1105" s="7" t="s">
        <v>613</v>
      </c>
      <c r="P1105" s="3"/>
      <c r="Q1105" s="3"/>
      <c r="R1105" s="3"/>
    </row>
    <row r="1106" spans="1:18" x14ac:dyDescent="0.25">
      <c r="A1106" s="2">
        <v>2315</v>
      </c>
      <c r="B1106" s="7" t="s">
        <v>5787</v>
      </c>
      <c r="C1106" s="7" t="s">
        <v>5788</v>
      </c>
      <c r="D1106" s="7" t="s">
        <v>5787</v>
      </c>
      <c r="E1106" s="7" t="s">
        <v>182</v>
      </c>
      <c r="F1106" s="7" t="s">
        <v>5789</v>
      </c>
      <c r="G1106" s="17" t="s">
        <v>7747</v>
      </c>
      <c r="H1106" s="7" t="s">
        <v>28</v>
      </c>
      <c r="I1106" s="7" t="s">
        <v>600</v>
      </c>
      <c r="J1106" s="7" t="s">
        <v>208</v>
      </c>
      <c r="K1106" s="7" t="s">
        <v>1965</v>
      </c>
      <c r="L1106" s="7" t="s">
        <v>136</v>
      </c>
      <c r="M1106" s="7">
        <v>4.0110099999999997</v>
      </c>
      <c r="N1106" s="7">
        <v>10.93967</v>
      </c>
      <c r="O1106" s="7" t="s">
        <v>23</v>
      </c>
      <c r="P1106" s="3"/>
      <c r="Q1106" s="3"/>
      <c r="R1106" s="3"/>
    </row>
    <row r="1107" spans="1:18" x14ac:dyDescent="0.25">
      <c r="A1107" s="2">
        <v>2316</v>
      </c>
      <c r="B1107" s="7" t="s">
        <v>5790</v>
      </c>
      <c r="C1107" s="7" t="s">
        <v>5791</v>
      </c>
      <c r="D1107" s="7" t="s">
        <v>5790</v>
      </c>
      <c r="E1107" s="7" t="s">
        <v>182</v>
      </c>
      <c r="F1107" s="7" t="s">
        <v>5792</v>
      </c>
      <c r="G1107" s="17" t="s">
        <v>7747</v>
      </c>
      <c r="H1107" s="7" t="s">
        <v>19</v>
      </c>
      <c r="I1107" s="7" t="s">
        <v>1374</v>
      </c>
      <c r="J1107" s="7" t="s">
        <v>185</v>
      </c>
      <c r="K1107" s="7" t="s">
        <v>1375</v>
      </c>
      <c r="L1107" s="7" t="s">
        <v>136</v>
      </c>
      <c r="M1107" s="7">
        <v>3.8880279999999998</v>
      </c>
      <c r="N1107" s="7">
        <v>11.492417</v>
      </c>
      <c r="O1107" s="7" t="s">
        <v>613</v>
      </c>
      <c r="P1107" s="3"/>
      <c r="Q1107" s="3"/>
      <c r="R1107" s="3"/>
    </row>
    <row r="1108" spans="1:18" x14ac:dyDescent="0.25">
      <c r="A1108" s="2">
        <v>2317</v>
      </c>
      <c r="B1108" s="7" t="s">
        <v>5793</v>
      </c>
      <c r="C1108" s="7" t="s">
        <v>5794</v>
      </c>
      <c r="D1108" s="7" t="s">
        <v>5793</v>
      </c>
      <c r="E1108" s="7" t="s">
        <v>182</v>
      </c>
      <c r="F1108" s="7" t="s">
        <v>5795</v>
      </c>
      <c r="G1108" s="17" t="s">
        <v>7747</v>
      </c>
      <c r="H1108" s="7" t="s">
        <v>28</v>
      </c>
      <c r="I1108" s="7" t="s">
        <v>1374</v>
      </c>
      <c r="J1108" s="7" t="s">
        <v>185</v>
      </c>
      <c r="K1108" s="7" t="s">
        <v>1375</v>
      </c>
      <c r="L1108" s="7" t="s">
        <v>136</v>
      </c>
      <c r="M1108" s="7">
        <v>3.891556</v>
      </c>
      <c r="N1108" s="7">
        <v>11.500999999999999</v>
      </c>
      <c r="O1108" s="7" t="s">
        <v>613</v>
      </c>
      <c r="P1108" s="3"/>
      <c r="Q1108" s="3"/>
      <c r="R1108" s="3"/>
    </row>
    <row r="1109" spans="1:18" x14ac:dyDescent="0.25">
      <c r="A1109" s="2">
        <v>2318</v>
      </c>
      <c r="B1109" s="7" t="s">
        <v>5796</v>
      </c>
      <c r="C1109" s="7" t="s">
        <v>5797</v>
      </c>
      <c r="D1109" s="7" t="s">
        <v>5796</v>
      </c>
      <c r="E1109" s="7" t="s">
        <v>182</v>
      </c>
      <c r="F1109" s="7" t="s">
        <v>5753</v>
      </c>
      <c r="G1109" s="17" t="s">
        <v>7747</v>
      </c>
      <c r="H1109" s="7" t="s">
        <v>19</v>
      </c>
      <c r="I1109" s="7" t="s">
        <v>1385</v>
      </c>
      <c r="J1109" s="7" t="s">
        <v>185</v>
      </c>
      <c r="K1109" s="7" t="s">
        <v>1367</v>
      </c>
      <c r="L1109" s="7" t="s">
        <v>136</v>
      </c>
      <c r="M1109" s="7">
        <v>3.7141999999999999</v>
      </c>
      <c r="N1109" s="7">
        <v>11.537649999999999</v>
      </c>
      <c r="O1109" s="7" t="s">
        <v>23</v>
      </c>
      <c r="P1109" s="3"/>
      <c r="Q1109" s="3"/>
      <c r="R1109" s="3"/>
    </row>
    <row r="1110" spans="1:18" x14ac:dyDescent="0.25">
      <c r="A1110" s="2">
        <v>2319</v>
      </c>
      <c r="B1110" s="7" t="s">
        <v>5798</v>
      </c>
      <c r="C1110" s="7" t="s">
        <v>5799</v>
      </c>
      <c r="D1110" s="7" t="s">
        <v>5798</v>
      </c>
      <c r="E1110" s="7" t="s">
        <v>182</v>
      </c>
      <c r="F1110" s="7" t="s">
        <v>5800</v>
      </c>
      <c r="G1110" s="17" t="s">
        <v>7747</v>
      </c>
      <c r="H1110" s="7" t="s">
        <v>28</v>
      </c>
      <c r="I1110" s="7" t="s">
        <v>184</v>
      </c>
      <c r="J1110" s="7" t="s">
        <v>185</v>
      </c>
      <c r="K1110" s="7" t="s">
        <v>1435</v>
      </c>
      <c r="L1110" s="7" t="s">
        <v>136</v>
      </c>
      <c r="M1110" s="7">
        <v>3.8979339999999998</v>
      </c>
      <c r="N1110" s="7">
        <v>11.550264</v>
      </c>
      <c r="O1110" s="7" t="s">
        <v>613</v>
      </c>
      <c r="P1110" s="3"/>
      <c r="Q1110" s="3"/>
      <c r="R1110" s="3"/>
    </row>
    <row r="1111" spans="1:18" x14ac:dyDescent="0.25">
      <c r="A1111" s="2">
        <v>2320</v>
      </c>
      <c r="B1111" s="7" t="s">
        <v>5807</v>
      </c>
      <c r="C1111" s="7" t="s">
        <v>5808</v>
      </c>
      <c r="D1111" s="7" t="s">
        <v>5807</v>
      </c>
      <c r="E1111" s="7" t="s">
        <v>182</v>
      </c>
      <c r="F1111" s="7" t="s">
        <v>5809</v>
      </c>
      <c r="G1111" s="17" t="s">
        <v>7747</v>
      </c>
      <c r="H1111" s="7" t="s">
        <v>28</v>
      </c>
      <c r="I1111" s="7" t="s">
        <v>1553</v>
      </c>
      <c r="J1111" s="7" t="s">
        <v>185</v>
      </c>
      <c r="K1111" s="7" t="s">
        <v>1435</v>
      </c>
      <c r="L1111" s="7" t="s">
        <v>136</v>
      </c>
      <c r="M1111" s="7">
        <v>3.86938</v>
      </c>
      <c r="N1111" s="7">
        <v>11.554679999999999</v>
      </c>
      <c r="O1111" s="7" t="s">
        <v>98</v>
      </c>
      <c r="P1111" s="3"/>
      <c r="Q1111" s="3"/>
      <c r="R1111" s="3"/>
    </row>
    <row r="1112" spans="1:18" x14ac:dyDescent="0.25">
      <c r="A1112" s="2">
        <v>2321</v>
      </c>
      <c r="B1112" s="7" t="s">
        <v>5810</v>
      </c>
      <c r="C1112" s="7" t="s">
        <v>5811</v>
      </c>
      <c r="D1112" s="7" t="s">
        <v>5810</v>
      </c>
      <c r="E1112" s="7" t="s">
        <v>182</v>
      </c>
      <c r="F1112" s="7" t="s">
        <v>5812</v>
      </c>
      <c r="G1112" s="17" t="s">
        <v>7747</v>
      </c>
      <c r="H1112" s="7" t="s">
        <v>19</v>
      </c>
      <c r="I1112" s="7" t="s">
        <v>1553</v>
      </c>
      <c r="J1112" s="7" t="s">
        <v>185</v>
      </c>
      <c r="K1112" s="7" t="s">
        <v>1435</v>
      </c>
      <c r="L1112" s="7" t="s">
        <v>136</v>
      </c>
      <c r="M1112" s="7">
        <v>3.8684500000000002</v>
      </c>
      <c r="N1112" s="7">
        <v>11.544280000000001</v>
      </c>
      <c r="O1112" s="7" t="s">
        <v>613</v>
      </c>
      <c r="P1112" s="3"/>
      <c r="Q1112" s="3"/>
      <c r="R1112" s="3"/>
    </row>
    <row r="1113" spans="1:18" x14ac:dyDescent="0.25">
      <c r="A1113" s="2">
        <v>2322</v>
      </c>
      <c r="B1113" s="7" t="s">
        <v>5813</v>
      </c>
      <c r="C1113" s="7" t="s">
        <v>5814</v>
      </c>
      <c r="D1113" s="7" t="s">
        <v>5813</v>
      </c>
      <c r="E1113" s="7" t="s">
        <v>182</v>
      </c>
      <c r="F1113" s="7" t="s">
        <v>5815</v>
      </c>
      <c r="G1113" s="17" t="s">
        <v>7747</v>
      </c>
      <c r="H1113" s="7" t="s">
        <v>28</v>
      </c>
      <c r="I1113" s="7" t="s">
        <v>807</v>
      </c>
      <c r="J1113" s="7" t="s">
        <v>185</v>
      </c>
      <c r="K1113" s="7" t="s">
        <v>808</v>
      </c>
      <c r="L1113" s="7" t="s">
        <v>136</v>
      </c>
      <c r="M1113" s="7">
        <v>3.882428</v>
      </c>
      <c r="N1113" s="7">
        <v>11.529622</v>
      </c>
      <c r="O1113" s="7" t="s">
        <v>613</v>
      </c>
      <c r="P1113" s="3"/>
      <c r="Q1113" s="3"/>
      <c r="R1113" s="3"/>
    </row>
    <row r="1114" spans="1:18" x14ac:dyDescent="0.25">
      <c r="A1114" s="2">
        <v>2323</v>
      </c>
      <c r="B1114" s="7" t="s">
        <v>5819</v>
      </c>
      <c r="C1114" s="7" t="s">
        <v>5820</v>
      </c>
      <c r="D1114" s="7" t="s">
        <v>5819</v>
      </c>
      <c r="E1114" s="7" t="s">
        <v>182</v>
      </c>
      <c r="F1114" s="7" t="s">
        <v>5821</v>
      </c>
      <c r="G1114" s="17" t="s">
        <v>7747</v>
      </c>
      <c r="H1114" s="7" t="s">
        <v>28</v>
      </c>
      <c r="I1114" s="7" t="s">
        <v>1374</v>
      </c>
      <c r="J1114" s="7" t="s">
        <v>185</v>
      </c>
      <c r="K1114" s="7" t="s">
        <v>1375</v>
      </c>
      <c r="L1114" s="7" t="s">
        <v>136</v>
      </c>
      <c r="M1114" s="7">
        <v>3.876722</v>
      </c>
      <c r="N1114" s="7">
        <v>11.504611000000001</v>
      </c>
      <c r="O1114" s="7" t="s">
        <v>613</v>
      </c>
      <c r="P1114" s="3"/>
      <c r="Q1114" s="3"/>
      <c r="R1114" s="3"/>
    </row>
    <row r="1115" spans="1:18" x14ac:dyDescent="0.25">
      <c r="A1115" s="2">
        <v>2324</v>
      </c>
      <c r="B1115" s="7" t="s">
        <v>5828</v>
      </c>
      <c r="C1115" s="7" t="s">
        <v>5829</v>
      </c>
      <c r="D1115" s="7" t="s">
        <v>5828</v>
      </c>
      <c r="E1115" s="7" t="s">
        <v>182</v>
      </c>
      <c r="F1115" s="7" t="s">
        <v>5830</v>
      </c>
      <c r="G1115" s="17" t="s">
        <v>7747</v>
      </c>
      <c r="H1115" s="7" t="s">
        <v>19</v>
      </c>
      <c r="I1115" s="7" t="s">
        <v>807</v>
      </c>
      <c r="J1115" s="7" t="s">
        <v>185</v>
      </c>
      <c r="K1115" s="7" t="s">
        <v>808</v>
      </c>
      <c r="L1115" s="7" t="s">
        <v>136</v>
      </c>
      <c r="M1115" s="7">
        <v>3.907</v>
      </c>
      <c r="N1115" s="7">
        <v>11.512</v>
      </c>
      <c r="O1115" s="7" t="s">
        <v>613</v>
      </c>
      <c r="P1115" s="3"/>
      <c r="Q1115" s="3"/>
      <c r="R1115" s="3"/>
    </row>
    <row r="1116" spans="1:18" x14ac:dyDescent="0.25">
      <c r="A1116" s="2">
        <v>2325</v>
      </c>
      <c r="B1116" s="7" t="s">
        <v>5831</v>
      </c>
      <c r="C1116" s="7" t="s">
        <v>5832</v>
      </c>
      <c r="D1116" s="7" t="s">
        <v>5831</v>
      </c>
      <c r="E1116" s="7" t="s">
        <v>182</v>
      </c>
      <c r="F1116" s="7" t="s">
        <v>2181</v>
      </c>
      <c r="G1116" s="17" t="s">
        <v>7747</v>
      </c>
      <c r="H1116" s="7" t="s">
        <v>19</v>
      </c>
      <c r="I1116" s="7" t="s">
        <v>807</v>
      </c>
      <c r="J1116" s="7" t="s">
        <v>185</v>
      </c>
      <c r="K1116" s="7" t="s">
        <v>808</v>
      </c>
      <c r="L1116" s="7" t="s">
        <v>136</v>
      </c>
      <c r="M1116" s="7">
        <v>3.9072779999999998</v>
      </c>
      <c r="N1116" s="7">
        <v>11.511666999999999</v>
      </c>
      <c r="O1116" s="7" t="s">
        <v>613</v>
      </c>
      <c r="P1116" s="3"/>
      <c r="Q1116" s="3"/>
      <c r="R1116" s="3"/>
    </row>
    <row r="1117" spans="1:18" x14ac:dyDescent="0.25">
      <c r="A1117" s="2">
        <v>2326</v>
      </c>
      <c r="B1117" s="7" t="s">
        <v>5842</v>
      </c>
      <c r="C1117" s="7" t="s">
        <v>5843</v>
      </c>
      <c r="D1117" s="7" t="s">
        <v>5842</v>
      </c>
      <c r="E1117" s="7" t="s">
        <v>182</v>
      </c>
      <c r="F1117" s="7" t="s">
        <v>5844</v>
      </c>
      <c r="G1117" s="17" t="s">
        <v>7747</v>
      </c>
      <c r="H1117" s="7" t="s">
        <v>28</v>
      </c>
      <c r="I1117" s="7" t="s">
        <v>297</v>
      </c>
      <c r="J1117" s="7" t="s">
        <v>298</v>
      </c>
      <c r="K1117" s="7" t="s">
        <v>299</v>
      </c>
      <c r="L1117" s="7" t="s">
        <v>136</v>
      </c>
      <c r="M1117" s="7">
        <v>4.1991699999999996</v>
      </c>
      <c r="N1117" s="7">
        <v>10.974460000000001</v>
      </c>
      <c r="O1117" s="7" t="s">
        <v>23</v>
      </c>
      <c r="P1117" s="3"/>
      <c r="Q1117" s="3"/>
      <c r="R1117" s="3"/>
    </row>
    <row r="1118" spans="1:18" x14ac:dyDescent="0.25">
      <c r="A1118" s="2">
        <v>2328</v>
      </c>
      <c r="B1118" s="7" t="s">
        <v>5884</v>
      </c>
      <c r="C1118" s="7" t="s">
        <v>5885</v>
      </c>
      <c r="D1118" s="7" t="s">
        <v>5884</v>
      </c>
      <c r="E1118" s="7" t="s">
        <v>250</v>
      </c>
      <c r="F1118" s="7" t="s">
        <v>5886</v>
      </c>
      <c r="G1118" s="17" t="s">
        <v>7747</v>
      </c>
      <c r="H1118" s="7" t="s">
        <v>28</v>
      </c>
      <c r="I1118" s="7" t="s">
        <v>322</v>
      </c>
      <c r="J1118" s="7" t="s">
        <v>253</v>
      </c>
      <c r="K1118" s="7" t="s">
        <v>324</v>
      </c>
      <c r="L1118" s="7" t="s">
        <v>136</v>
      </c>
      <c r="M1118" s="7">
        <v>2.8376190000000001</v>
      </c>
      <c r="N1118" s="7">
        <v>12.041423</v>
      </c>
      <c r="O1118" s="7" t="s">
        <v>23</v>
      </c>
      <c r="P1118" s="3"/>
      <c r="Q1118" s="3"/>
      <c r="R1118" s="3"/>
    </row>
    <row r="1119" spans="1:18" x14ac:dyDescent="0.25">
      <c r="A1119" s="2">
        <v>2329</v>
      </c>
      <c r="B1119" s="7" t="s">
        <v>5887</v>
      </c>
      <c r="C1119" s="7" t="s">
        <v>5888</v>
      </c>
      <c r="D1119" s="7" t="s">
        <v>5887</v>
      </c>
      <c r="E1119" s="7" t="s">
        <v>250</v>
      </c>
      <c r="F1119" s="7" t="s">
        <v>5889</v>
      </c>
      <c r="G1119" s="17" t="s">
        <v>7747</v>
      </c>
      <c r="H1119" s="7" t="s">
        <v>28</v>
      </c>
      <c r="I1119" s="7" t="s">
        <v>252</v>
      </c>
      <c r="J1119" s="7" t="s">
        <v>253</v>
      </c>
      <c r="K1119" s="7" t="s">
        <v>881</v>
      </c>
      <c r="L1119" s="7" t="s">
        <v>136</v>
      </c>
      <c r="M1119" s="7">
        <v>2.7623489999999999</v>
      </c>
      <c r="N1119" s="7">
        <v>12.567072</v>
      </c>
      <c r="O1119" s="7" t="s">
        <v>23</v>
      </c>
      <c r="P1119" s="3"/>
      <c r="Q1119" s="3"/>
      <c r="R1119" s="3"/>
    </row>
    <row r="1120" spans="1:18" x14ac:dyDescent="0.25">
      <c r="A1120" s="2">
        <v>2330</v>
      </c>
      <c r="B1120" s="7" t="s">
        <v>5893</v>
      </c>
      <c r="C1120" s="7" t="s">
        <v>5894</v>
      </c>
      <c r="D1120" s="7" t="s">
        <v>5893</v>
      </c>
      <c r="E1120" s="7" t="s">
        <v>250</v>
      </c>
      <c r="F1120" s="7" t="s">
        <v>5895</v>
      </c>
      <c r="G1120" s="17" t="s">
        <v>7747</v>
      </c>
      <c r="H1120" s="7" t="s">
        <v>28</v>
      </c>
      <c r="I1120" s="7" t="s">
        <v>311</v>
      </c>
      <c r="J1120" s="7" t="s">
        <v>312</v>
      </c>
      <c r="K1120" s="7" t="s">
        <v>5896</v>
      </c>
      <c r="L1120" s="7" t="s">
        <v>136</v>
      </c>
      <c r="M1120" s="7">
        <v>3.0247660000000001</v>
      </c>
      <c r="N1120" s="7">
        <v>11.409364999999999</v>
      </c>
      <c r="O1120" s="7" t="s">
        <v>23</v>
      </c>
      <c r="P1120" s="3"/>
      <c r="Q1120" s="3"/>
      <c r="R1120" s="3"/>
    </row>
    <row r="1121" spans="1:18" x14ac:dyDescent="0.25">
      <c r="A1121" s="2">
        <v>2331</v>
      </c>
      <c r="B1121" s="7" t="s">
        <v>5897</v>
      </c>
      <c r="C1121" s="7" t="s">
        <v>5898</v>
      </c>
      <c r="D1121" s="7" t="s">
        <v>5897</v>
      </c>
      <c r="E1121" s="7" t="s">
        <v>182</v>
      </c>
      <c r="F1121" s="7" t="s">
        <v>5899</v>
      </c>
      <c r="G1121" s="17" t="s">
        <v>7747</v>
      </c>
      <c r="H1121" s="7" t="s">
        <v>28</v>
      </c>
      <c r="I1121" s="7" t="s">
        <v>374</v>
      </c>
      <c r="J1121" s="7" t="s">
        <v>287</v>
      </c>
      <c r="K1121" s="7" t="s">
        <v>1783</v>
      </c>
      <c r="L1121" s="7" t="s">
        <v>136</v>
      </c>
      <c r="M1121" s="7">
        <v>4.3018070000000002</v>
      </c>
      <c r="N1121" s="7">
        <v>11.516019</v>
      </c>
      <c r="O1121" s="7" t="s">
        <v>23</v>
      </c>
      <c r="P1121" s="3"/>
      <c r="Q1121" s="3"/>
      <c r="R1121" s="3"/>
    </row>
    <row r="1122" spans="1:18" x14ac:dyDescent="0.25">
      <c r="A1122" s="2">
        <v>2332</v>
      </c>
      <c r="B1122" s="7" t="s">
        <v>5906</v>
      </c>
      <c r="C1122" s="7" t="s">
        <v>5907</v>
      </c>
      <c r="D1122" s="7" t="s">
        <v>5906</v>
      </c>
      <c r="E1122" s="7" t="s">
        <v>182</v>
      </c>
      <c r="F1122" s="7" t="s">
        <v>5896</v>
      </c>
      <c r="G1122" s="17" t="s">
        <v>7747</v>
      </c>
      <c r="H1122" s="7" t="s">
        <v>28</v>
      </c>
      <c r="I1122" s="7" t="s">
        <v>817</v>
      </c>
      <c r="J1122" s="7" t="s">
        <v>568</v>
      </c>
      <c r="K1122" s="7" t="s">
        <v>1988</v>
      </c>
      <c r="L1122" s="7" t="s">
        <v>136</v>
      </c>
      <c r="M1122" s="7">
        <v>3.9259330000000001</v>
      </c>
      <c r="N1122" s="7">
        <v>12.672193</v>
      </c>
      <c r="O1122" s="7" t="s">
        <v>23</v>
      </c>
      <c r="P1122" s="3"/>
      <c r="Q1122" s="3"/>
      <c r="R1122" s="3"/>
    </row>
    <row r="1123" spans="1:18" x14ac:dyDescent="0.25">
      <c r="A1123" s="2">
        <v>2334</v>
      </c>
      <c r="B1123" s="7" t="s">
        <v>5945</v>
      </c>
      <c r="C1123" s="7" t="s">
        <v>5946</v>
      </c>
      <c r="D1123" s="7" t="s">
        <v>5945</v>
      </c>
      <c r="E1123" s="7" t="s">
        <v>250</v>
      </c>
      <c r="F1123" s="7" t="s">
        <v>5947</v>
      </c>
      <c r="G1123" s="17" t="s">
        <v>7747</v>
      </c>
      <c r="H1123" s="7" t="s">
        <v>28</v>
      </c>
      <c r="I1123" s="7" t="s">
        <v>252</v>
      </c>
      <c r="J1123" s="7" t="s">
        <v>253</v>
      </c>
      <c r="K1123" s="7" t="s">
        <v>501</v>
      </c>
      <c r="L1123" s="7" t="s">
        <v>136</v>
      </c>
      <c r="M1123" s="7">
        <v>2.7253889999999998</v>
      </c>
      <c r="N1123" s="7">
        <v>13.062111</v>
      </c>
      <c r="O1123" s="7" t="s">
        <v>23</v>
      </c>
      <c r="P1123" s="3"/>
      <c r="Q1123" s="3"/>
      <c r="R1123" s="3"/>
    </row>
    <row r="1124" spans="1:18" x14ac:dyDescent="0.25">
      <c r="A1124" s="2">
        <v>2335</v>
      </c>
      <c r="B1124" s="7" t="s">
        <v>5967</v>
      </c>
      <c r="C1124" s="7" t="s">
        <v>5968</v>
      </c>
      <c r="D1124" s="7" t="s">
        <v>5967</v>
      </c>
      <c r="E1124" s="7" t="s">
        <v>182</v>
      </c>
      <c r="F1124" s="7" t="s">
        <v>5969</v>
      </c>
      <c r="G1124" s="17" t="s">
        <v>7747</v>
      </c>
      <c r="H1124" s="7" t="s">
        <v>28</v>
      </c>
      <c r="I1124" s="7" t="s">
        <v>600</v>
      </c>
      <c r="J1124" s="7" t="s">
        <v>208</v>
      </c>
      <c r="K1124" s="7" t="s">
        <v>485</v>
      </c>
      <c r="L1124" s="7" t="s">
        <v>136</v>
      </c>
      <c r="M1124" s="7">
        <v>3.761517</v>
      </c>
      <c r="N1124" s="7">
        <v>11.092174999999999</v>
      </c>
      <c r="O1124" s="7" t="s">
        <v>23</v>
      </c>
      <c r="P1124" s="3"/>
      <c r="Q1124" s="3"/>
      <c r="R1124" s="3"/>
    </row>
    <row r="1125" spans="1:18" x14ac:dyDescent="0.25">
      <c r="A1125" s="2">
        <v>2336</v>
      </c>
      <c r="B1125" s="7" t="s">
        <v>6009</v>
      </c>
      <c r="C1125" s="7" t="s">
        <v>6010</v>
      </c>
      <c r="D1125" s="7" t="s">
        <v>6009</v>
      </c>
      <c r="E1125" s="7" t="s">
        <v>250</v>
      </c>
      <c r="F1125" s="7" t="s">
        <v>6011</v>
      </c>
      <c r="G1125" s="17" t="s">
        <v>7747</v>
      </c>
      <c r="H1125" s="7" t="s">
        <v>28</v>
      </c>
      <c r="I1125" s="7" t="s">
        <v>252</v>
      </c>
      <c r="J1125" s="7" t="s">
        <v>253</v>
      </c>
      <c r="K1125" s="7" t="s">
        <v>881</v>
      </c>
      <c r="L1125" s="7" t="s">
        <v>136</v>
      </c>
      <c r="M1125" s="7">
        <v>2.660615</v>
      </c>
      <c r="N1125" s="7">
        <v>12.726322</v>
      </c>
      <c r="O1125" s="7" t="s">
        <v>23</v>
      </c>
      <c r="P1125" s="3"/>
      <c r="Q1125" s="3"/>
      <c r="R1125" s="3"/>
    </row>
    <row r="1126" spans="1:18" x14ac:dyDescent="0.25">
      <c r="A1126" s="2">
        <v>2337</v>
      </c>
      <c r="B1126" s="7" t="s">
        <v>6022</v>
      </c>
      <c r="C1126" s="7" t="s">
        <v>6023</v>
      </c>
      <c r="D1126" s="7" t="s">
        <v>6022</v>
      </c>
      <c r="E1126" s="7" t="s">
        <v>182</v>
      </c>
      <c r="F1126" s="7" t="s">
        <v>6024</v>
      </c>
      <c r="G1126" s="17" t="s">
        <v>7747</v>
      </c>
      <c r="H1126" s="7" t="s">
        <v>28</v>
      </c>
      <c r="I1126" s="7" t="s">
        <v>374</v>
      </c>
      <c r="J1126" s="7" t="s">
        <v>134</v>
      </c>
      <c r="K1126" s="7" t="s">
        <v>383</v>
      </c>
      <c r="L1126" s="7" t="s">
        <v>136</v>
      </c>
      <c r="M1126" s="7">
        <v>4.7733400000000001</v>
      </c>
      <c r="N1126" s="7">
        <v>11.800380000000001</v>
      </c>
      <c r="O1126" s="7" t="s">
        <v>23</v>
      </c>
      <c r="P1126" s="3"/>
      <c r="Q1126" s="3"/>
      <c r="R1126" s="3"/>
    </row>
    <row r="1127" spans="1:18" x14ac:dyDescent="0.25">
      <c r="A1127" s="2">
        <v>2338</v>
      </c>
      <c r="B1127" s="7" t="s">
        <v>6025</v>
      </c>
      <c r="C1127" s="7" t="s">
        <v>6026</v>
      </c>
      <c r="D1127" s="7" t="s">
        <v>6025</v>
      </c>
      <c r="E1127" s="7" t="s">
        <v>182</v>
      </c>
      <c r="F1127" s="7" t="s">
        <v>6027</v>
      </c>
      <c r="G1127" s="17" t="s">
        <v>7747</v>
      </c>
      <c r="H1127" s="7" t="s">
        <v>28</v>
      </c>
      <c r="I1127" s="7" t="s">
        <v>374</v>
      </c>
      <c r="J1127" s="7" t="s">
        <v>134</v>
      </c>
      <c r="K1127" s="7" t="s">
        <v>383</v>
      </c>
      <c r="L1127" s="7" t="s">
        <v>136</v>
      </c>
      <c r="M1127" s="7">
        <v>4.9101520000000001</v>
      </c>
      <c r="N1127" s="7">
        <v>11.996760999999999</v>
      </c>
      <c r="O1127" s="7" t="s">
        <v>23</v>
      </c>
      <c r="P1127" s="3"/>
      <c r="Q1127" s="3"/>
      <c r="R1127" s="3"/>
    </row>
    <row r="1128" spans="1:18" x14ac:dyDescent="0.25">
      <c r="A1128" s="2">
        <v>2339</v>
      </c>
      <c r="B1128" s="7" t="s">
        <v>6049</v>
      </c>
      <c r="C1128" s="7" t="s">
        <v>6050</v>
      </c>
      <c r="D1128" s="7" t="s">
        <v>6049</v>
      </c>
      <c r="E1128" s="7" t="s">
        <v>250</v>
      </c>
      <c r="F1128" s="7" t="s">
        <v>6051</v>
      </c>
      <c r="G1128" s="17" t="s">
        <v>7747</v>
      </c>
      <c r="H1128" s="7" t="s">
        <v>28</v>
      </c>
      <c r="I1128" s="7" t="s">
        <v>252</v>
      </c>
      <c r="J1128" s="7" t="s">
        <v>323</v>
      </c>
      <c r="K1128" s="7" t="s">
        <v>4849</v>
      </c>
      <c r="L1128" s="7" t="s">
        <v>136</v>
      </c>
      <c r="M1128" s="7">
        <v>2.8130999999999999</v>
      </c>
      <c r="N1128" s="7">
        <v>12.41282</v>
      </c>
      <c r="O1128" s="7" t="s">
        <v>6052</v>
      </c>
      <c r="P1128" s="3"/>
      <c r="Q1128" s="3"/>
      <c r="R1128" s="3"/>
    </row>
    <row r="1129" spans="1:18" x14ac:dyDescent="0.25">
      <c r="A1129" s="2">
        <v>2340</v>
      </c>
      <c r="B1129" s="7" t="s">
        <v>6087</v>
      </c>
      <c r="C1129" s="7" t="s">
        <v>6088</v>
      </c>
      <c r="D1129" s="7" t="s">
        <v>6087</v>
      </c>
      <c r="E1129" s="7" t="s">
        <v>250</v>
      </c>
      <c r="F1129" s="7" t="s">
        <v>6089</v>
      </c>
      <c r="G1129" s="17" t="s">
        <v>7747</v>
      </c>
      <c r="H1129" s="7" t="s">
        <v>28</v>
      </c>
      <c r="I1129" s="7" t="s">
        <v>252</v>
      </c>
      <c r="J1129" s="7" t="s">
        <v>253</v>
      </c>
      <c r="K1129" s="7" t="s">
        <v>881</v>
      </c>
      <c r="L1129" s="7" t="s">
        <v>136</v>
      </c>
      <c r="M1129" s="7">
        <v>2.7039019999999998</v>
      </c>
      <c r="N1129" s="7">
        <v>12.932112</v>
      </c>
      <c r="O1129" s="7" t="s">
        <v>23</v>
      </c>
      <c r="P1129" s="3"/>
      <c r="Q1129" s="3"/>
      <c r="R1129" s="3"/>
    </row>
    <row r="1130" spans="1:18" x14ac:dyDescent="0.25">
      <c r="A1130" s="2">
        <v>2341</v>
      </c>
      <c r="B1130" s="7" t="s">
        <v>6120</v>
      </c>
      <c r="C1130" s="7" t="s">
        <v>6121</v>
      </c>
      <c r="D1130" s="7" t="s">
        <v>6120</v>
      </c>
      <c r="E1130" s="7" t="s">
        <v>250</v>
      </c>
      <c r="F1130" s="7" t="s">
        <v>6122</v>
      </c>
      <c r="G1130" s="17" t="s">
        <v>7747</v>
      </c>
      <c r="H1130" s="7" t="s">
        <v>28</v>
      </c>
      <c r="I1130" s="7" t="s">
        <v>341</v>
      </c>
      <c r="J1130" s="7" t="s">
        <v>253</v>
      </c>
      <c r="K1130" s="7" t="s">
        <v>1606</v>
      </c>
      <c r="L1130" s="7" t="s">
        <v>136</v>
      </c>
      <c r="M1130" s="7">
        <v>3.4802650000000002</v>
      </c>
      <c r="N1130" s="7">
        <v>11.695266999999999</v>
      </c>
      <c r="O1130" s="7" t="s">
        <v>23</v>
      </c>
      <c r="P1130" s="3"/>
      <c r="Q1130" s="3"/>
      <c r="R1130" s="3"/>
    </row>
    <row r="1131" spans="1:18" x14ac:dyDescent="0.25">
      <c r="A1131" s="2">
        <v>2342</v>
      </c>
      <c r="B1131" s="7" t="s">
        <v>6130</v>
      </c>
      <c r="C1131" s="7" t="s">
        <v>6131</v>
      </c>
      <c r="D1131" s="7" t="s">
        <v>6130</v>
      </c>
      <c r="E1131" s="7" t="s">
        <v>182</v>
      </c>
      <c r="F1131" s="7" t="s">
        <v>6132</v>
      </c>
      <c r="G1131" s="17" t="s">
        <v>7747</v>
      </c>
      <c r="H1131" s="7" t="s">
        <v>28</v>
      </c>
      <c r="I1131" s="7" t="s">
        <v>600</v>
      </c>
      <c r="J1131" s="7" t="s">
        <v>208</v>
      </c>
      <c r="K1131" s="7" t="s">
        <v>485</v>
      </c>
      <c r="L1131" s="7" t="s">
        <v>136</v>
      </c>
      <c r="M1131" s="7">
        <v>3.7754029999999998</v>
      </c>
      <c r="N1131" s="7">
        <v>11.164965</v>
      </c>
      <c r="O1131" s="7" t="s">
        <v>23</v>
      </c>
      <c r="P1131" s="3"/>
      <c r="Q1131" s="3"/>
      <c r="R1131" s="3"/>
    </row>
    <row r="1132" spans="1:18" x14ac:dyDescent="0.25">
      <c r="A1132" s="2">
        <v>2343</v>
      </c>
      <c r="B1132" s="7" t="s">
        <v>6137</v>
      </c>
      <c r="C1132" s="7" t="s">
        <v>6138</v>
      </c>
      <c r="D1132" s="7" t="s">
        <v>6137</v>
      </c>
      <c r="E1132" s="7" t="s">
        <v>182</v>
      </c>
      <c r="F1132" s="7" t="s">
        <v>6139</v>
      </c>
      <c r="G1132" s="17" t="s">
        <v>7747</v>
      </c>
      <c r="H1132" s="7" t="s">
        <v>28</v>
      </c>
      <c r="I1132" s="7" t="s">
        <v>286</v>
      </c>
      <c r="J1132" s="7" t="s">
        <v>287</v>
      </c>
      <c r="K1132" s="7" t="s">
        <v>6140</v>
      </c>
      <c r="L1132" s="7" t="s">
        <v>136</v>
      </c>
      <c r="M1132" s="7">
        <v>4.3758759999999999</v>
      </c>
      <c r="N1132" s="7">
        <v>11.733812</v>
      </c>
      <c r="O1132" s="7" t="s">
        <v>23</v>
      </c>
      <c r="P1132" s="3"/>
      <c r="Q1132" s="3"/>
      <c r="R1132" s="3"/>
    </row>
    <row r="1133" spans="1:18" x14ac:dyDescent="0.25">
      <c r="A1133" s="2">
        <v>2344</v>
      </c>
      <c r="B1133" s="7" t="s">
        <v>6206</v>
      </c>
      <c r="C1133" s="7" t="s">
        <v>6207</v>
      </c>
      <c r="D1133" s="7" t="s">
        <v>6206</v>
      </c>
      <c r="E1133" s="7" t="s">
        <v>182</v>
      </c>
      <c r="F1133" s="7" t="s">
        <v>6208</v>
      </c>
      <c r="G1133" s="17" t="s">
        <v>7747</v>
      </c>
      <c r="H1133" s="7" t="s">
        <v>19</v>
      </c>
      <c r="I1133" s="7" t="s">
        <v>286</v>
      </c>
      <c r="J1133" s="7" t="s">
        <v>287</v>
      </c>
      <c r="K1133" s="7" t="s">
        <v>2370</v>
      </c>
      <c r="L1133" s="7" t="s">
        <v>136</v>
      </c>
      <c r="M1133" s="7">
        <v>4.3396319999999999</v>
      </c>
      <c r="N1133" s="7">
        <v>11.587691</v>
      </c>
      <c r="O1133" s="7" t="s">
        <v>23</v>
      </c>
      <c r="P1133" s="3"/>
      <c r="Q1133" s="3"/>
      <c r="R1133" s="3"/>
    </row>
    <row r="1134" spans="1:18" x14ac:dyDescent="0.25">
      <c r="A1134" s="2">
        <v>2345</v>
      </c>
      <c r="B1134" s="7" t="s">
        <v>6222</v>
      </c>
      <c r="C1134" s="7" t="s">
        <v>6223</v>
      </c>
      <c r="D1134" s="7" t="s">
        <v>6222</v>
      </c>
      <c r="E1134" s="7" t="s">
        <v>182</v>
      </c>
      <c r="F1134" s="7" t="s">
        <v>6224</v>
      </c>
      <c r="G1134" s="17" t="s">
        <v>7747</v>
      </c>
      <c r="H1134" s="7" t="s">
        <v>19</v>
      </c>
      <c r="I1134" s="7" t="s">
        <v>600</v>
      </c>
      <c r="J1134" s="7" t="s">
        <v>208</v>
      </c>
      <c r="K1134" s="7" t="s">
        <v>485</v>
      </c>
      <c r="L1134" s="7" t="s">
        <v>136</v>
      </c>
      <c r="M1134" s="7">
        <v>3.7673920000000001</v>
      </c>
      <c r="N1134" s="7">
        <v>11.204499999999999</v>
      </c>
      <c r="O1134" s="7" t="s">
        <v>23</v>
      </c>
      <c r="P1134" s="3"/>
      <c r="Q1134" s="3"/>
      <c r="R1134" s="3"/>
    </row>
    <row r="1135" spans="1:18" x14ac:dyDescent="0.25">
      <c r="A1135" s="2">
        <v>2346</v>
      </c>
      <c r="B1135" s="7" t="s">
        <v>6225</v>
      </c>
      <c r="C1135" s="7" t="s">
        <v>6226</v>
      </c>
      <c r="D1135" s="7" t="s">
        <v>6225</v>
      </c>
      <c r="E1135" s="7" t="s">
        <v>182</v>
      </c>
      <c r="F1135" s="7" t="s">
        <v>6227</v>
      </c>
      <c r="G1135" s="17" t="s">
        <v>7747</v>
      </c>
      <c r="H1135" s="7" t="s">
        <v>28</v>
      </c>
      <c r="I1135" s="7" t="s">
        <v>600</v>
      </c>
      <c r="J1135" s="7" t="s">
        <v>208</v>
      </c>
      <c r="K1135" s="7" t="s">
        <v>485</v>
      </c>
      <c r="L1135" s="7" t="s">
        <v>136</v>
      </c>
      <c r="M1135" s="7">
        <v>3.7651300000000001</v>
      </c>
      <c r="N1135" s="7">
        <v>11.212809999999999</v>
      </c>
      <c r="O1135" s="7" t="s">
        <v>23</v>
      </c>
      <c r="P1135" s="3"/>
      <c r="Q1135" s="3"/>
      <c r="R1135" s="3"/>
    </row>
    <row r="1136" spans="1:18" x14ac:dyDescent="0.25">
      <c r="A1136" s="2">
        <v>2347</v>
      </c>
      <c r="B1136" s="7" t="s">
        <v>6300</v>
      </c>
      <c r="C1136" s="7" t="s">
        <v>6301</v>
      </c>
      <c r="D1136" s="7" t="s">
        <v>6300</v>
      </c>
      <c r="E1136" s="7" t="s">
        <v>182</v>
      </c>
      <c r="F1136" s="7" t="s">
        <v>6302</v>
      </c>
      <c r="G1136" s="17" t="s">
        <v>7747</v>
      </c>
      <c r="H1136" s="7" t="s">
        <v>28</v>
      </c>
      <c r="I1136" s="7" t="s">
        <v>374</v>
      </c>
      <c r="J1136" s="7" t="s">
        <v>134</v>
      </c>
      <c r="K1136" s="7" t="s">
        <v>383</v>
      </c>
      <c r="L1136" s="7" t="s">
        <v>136</v>
      </c>
      <c r="M1136" s="7">
        <v>5.2323029999999999</v>
      </c>
      <c r="N1136" s="7">
        <v>12.199809999999999</v>
      </c>
      <c r="O1136" s="7" t="s">
        <v>23</v>
      </c>
      <c r="P1136" s="3"/>
      <c r="Q1136" s="3"/>
      <c r="R1136" s="3"/>
    </row>
    <row r="1137" spans="1:18" x14ac:dyDescent="0.25">
      <c r="A1137" s="2">
        <v>2348</v>
      </c>
      <c r="B1137" s="7" t="s">
        <v>6341</v>
      </c>
      <c r="C1137" s="7" t="s">
        <v>6342</v>
      </c>
      <c r="D1137" s="7" t="s">
        <v>6341</v>
      </c>
      <c r="E1137" s="7" t="s">
        <v>182</v>
      </c>
      <c r="F1137" s="7" t="s">
        <v>5969</v>
      </c>
      <c r="G1137" s="17" t="s">
        <v>7747</v>
      </c>
      <c r="H1137" s="7" t="s">
        <v>19</v>
      </c>
      <c r="I1137" s="7" t="s">
        <v>600</v>
      </c>
      <c r="J1137" s="7" t="s">
        <v>208</v>
      </c>
      <c r="K1137" s="7" t="s">
        <v>485</v>
      </c>
      <c r="L1137" s="7" t="s">
        <v>136</v>
      </c>
      <c r="M1137" s="7">
        <v>3.762486</v>
      </c>
      <c r="N1137" s="7">
        <v>11.115888999999999</v>
      </c>
      <c r="O1137" s="7" t="s">
        <v>23</v>
      </c>
      <c r="P1137" s="3"/>
      <c r="Q1137" s="3"/>
      <c r="R1137" s="3"/>
    </row>
    <row r="1138" spans="1:18" x14ac:dyDescent="0.25">
      <c r="A1138" s="2">
        <v>2351</v>
      </c>
      <c r="B1138" s="7" t="s">
        <v>6588</v>
      </c>
      <c r="C1138" s="7" t="s">
        <v>6589</v>
      </c>
      <c r="D1138" s="7" t="s">
        <v>6588</v>
      </c>
      <c r="E1138" s="7" t="s">
        <v>250</v>
      </c>
      <c r="F1138" s="7" t="s">
        <v>6590</v>
      </c>
      <c r="G1138" s="17" t="s">
        <v>7747</v>
      </c>
      <c r="H1138" s="7" t="s">
        <v>28</v>
      </c>
      <c r="I1138" s="7" t="s">
        <v>269</v>
      </c>
      <c r="J1138" s="7" t="s">
        <v>270</v>
      </c>
      <c r="K1138" s="7" t="s">
        <v>6099</v>
      </c>
      <c r="L1138" s="7" t="s">
        <v>136</v>
      </c>
      <c r="M1138" s="7">
        <v>2.4277000000000002</v>
      </c>
      <c r="N1138" s="7">
        <v>11.29785</v>
      </c>
      <c r="O1138" s="7" t="s">
        <v>23</v>
      </c>
      <c r="P1138" s="3"/>
      <c r="Q1138" s="3"/>
      <c r="R1138" s="3"/>
    </row>
    <row r="1139" spans="1:18" x14ac:dyDescent="0.25">
      <c r="A1139" s="2">
        <v>2352</v>
      </c>
      <c r="B1139" s="7" t="s">
        <v>6591</v>
      </c>
      <c r="C1139" s="7" t="s">
        <v>6592</v>
      </c>
      <c r="D1139" s="7" t="s">
        <v>6591</v>
      </c>
      <c r="E1139" s="7" t="s">
        <v>182</v>
      </c>
      <c r="F1139" s="7" t="s">
        <v>6593</v>
      </c>
      <c r="G1139" s="17" t="s">
        <v>7747</v>
      </c>
      <c r="H1139" s="7" t="s">
        <v>28</v>
      </c>
      <c r="I1139" s="7" t="s">
        <v>286</v>
      </c>
      <c r="J1139" s="7" t="s">
        <v>298</v>
      </c>
      <c r="K1139" s="7" t="s">
        <v>6594</v>
      </c>
      <c r="L1139" s="7" t="s">
        <v>136</v>
      </c>
      <c r="M1139" s="7">
        <v>4.6353359999999997</v>
      </c>
      <c r="N1139" s="7">
        <v>12.3055</v>
      </c>
      <c r="O1139" s="7" t="s">
        <v>23</v>
      </c>
      <c r="P1139" s="3"/>
      <c r="Q1139" s="3"/>
      <c r="R1139" s="3"/>
    </row>
    <row r="1140" spans="1:18" x14ac:dyDescent="0.25">
      <c r="A1140" s="2">
        <v>2353</v>
      </c>
      <c r="B1140" s="7" t="s">
        <v>6598</v>
      </c>
      <c r="C1140" s="7" t="s">
        <v>6599</v>
      </c>
      <c r="D1140" s="7" t="s">
        <v>6598</v>
      </c>
      <c r="E1140" s="7" t="s">
        <v>250</v>
      </c>
      <c r="F1140" s="7" t="s">
        <v>6600</v>
      </c>
      <c r="G1140" s="17" t="s">
        <v>7747</v>
      </c>
      <c r="H1140" s="7" t="s">
        <v>28</v>
      </c>
      <c r="I1140" s="7" t="s">
        <v>269</v>
      </c>
      <c r="J1140" s="7" t="s">
        <v>270</v>
      </c>
      <c r="K1140" s="7" t="s">
        <v>6099</v>
      </c>
      <c r="L1140" s="7" t="s">
        <v>136</v>
      </c>
      <c r="M1140" s="7">
        <v>2.3282729999999998</v>
      </c>
      <c r="N1140" s="7">
        <v>11.427134000000001</v>
      </c>
      <c r="O1140" s="7" t="s">
        <v>23</v>
      </c>
      <c r="P1140" s="3"/>
      <c r="Q1140" s="3"/>
      <c r="R1140" s="3"/>
    </row>
    <row r="1141" spans="1:18" x14ac:dyDescent="0.25">
      <c r="A1141" s="2">
        <v>2354</v>
      </c>
      <c r="B1141" s="7" t="s">
        <v>6616</v>
      </c>
      <c r="C1141" s="7" t="s">
        <v>6617</v>
      </c>
      <c r="D1141" s="7" t="s">
        <v>6616</v>
      </c>
      <c r="E1141" s="7" t="s">
        <v>182</v>
      </c>
      <c r="F1141" s="7" t="s">
        <v>6618</v>
      </c>
      <c r="G1141" s="17" t="s">
        <v>7747</v>
      </c>
      <c r="H1141" s="7" t="s">
        <v>28</v>
      </c>
      <c r="I1141" s="7" t="s">
        <v>275</v>
      </c>
      <c r="J1141" s="7" t="s">
        <v>276</v>
      </c>
      <c r="K1141" s="7" t="s">
        <v>557</v>
      </c>
      <c r="L1141" s="7" t="s">
        <v>136</v>
      </c>
      <c r="M1141" s="7">
        <v>3.7778489999999998</v>
      </c>
      <c r="N1141" s="7">
        <v>11.355373999999999</v>
      </c>
      <c r="O1141" s="7" t="s">
        <v>23</v>
      </c>
      <c r="P1141" s="3"/>
      <c r="Q1141" s="3"/>
      <c r="R1141" s="3"/>
    </row>
    <row r="1142" spans="1:18" x14ac:dyDescent="0.25">
      <c r="A1142" s="2">
        <v>2355</v>
      </c>
      <c r="B1142" s="7" t="s">
        <v>6619</v>
      </c>
      <c r="C1142" s="7" t="s">
        <v>6620</v>
      </c>
      <c r="D1142" s="7" t="s">
        <v>6619</v>
      </c>
      <c r="E1142" s="7" t="s">
        <v>182</v>
      </c>
      <c r="F1142" s="7" t="s">
        <v>6621</v>
      </c>
      <c r="G1142" s="17" t="s">
        <v>7747</v>
      </c>
      <c r="H1142" s="7" t="s">
        <v>28</v>
      </c>
      <c r="I1142" s="7" t="s">
        <v>807</v>
      </c>
      <c r="J1142" s="7" t="s">
        <v>185</v>
      </c>
      <c r="K1142" s="7" t="s">
        <v>808</v>
      </c>
      <c r="L1142" s="7" t="s">
        <v>136</v>
      </c>
      <c r="M1142" s="7">
        <v>3.882533</v>
      </c>
      <c r="N1142" s="7">
        <v>11.51979</v>
      </c>
      <c r="O1142" s="7" t="s">
        <v>23</v>
      </c>
      <c r="P1142" s="3"/>
      <c r="Q1142" s="3"/>
      <c r="R1142" s="3"/>
    </row>
    <row r="1143" spans="1:18" x14ac:dyDescent="0.25">
      <c r="A1143" s="2">
        <v>2356</v>
      </c>
      <c r="B1143" s="7" t="s">
        <v>6637</v>
      </c>
      <c r="C1143" s="7" t="s">
        <v>6638</v>
      </c>
      <c r="D1143" s="7" t="s">
        <v>6637</v>
      </c>
      <c r="E1143" s="7" t="s">
        <v>182</v>
      </c>
      <c r="F1143" s="7" t="s">
        <v>6639</v>
      </c>
      <c r="G1143" s="17" t="s">
        <v>7747</v>
      </c>
      <c r="H1143" s="7" t="s">
        <v>28</v>
      </c>
      <c r="I1143" s="7" t="s">
        <v>1553</v>
      </c>
      <c r="J1143" s="7" t="s">
        <v>185</v>
      </c>
      <c r="K1143" s="7" t="s">
        <v>1367</v>
      </c>
      <c r="L1143" s="7" t="s">
        <v>136</v>
      </c>
      <c r="M1143" s="7">
        <v>3.8619829999999999</v>
      </c>
      <c r="N1143" s="7">
        <v>11.573238</v>
      </c>
      <c r="O1143" s="7" t="s">
        <v>23</v>
      </c>
      <c r="P1143" s="3"/>
      <c r="Q1143" s="3"/>
      <c r="R1143" s="3"/>
    </row>
    <row r="1144" spans="1:18" x14ac:dyDescent="0.25">
      <c r="A1144" s="2">
        <v>2357</v>
      </c>
      <c r="B1144" s="7" t="s">
        <v>6646</v>
      </c>
      <c r="C1144" s="7" t="s">
        <v>6647</v>
      </c>
      <c r="D1144" s="7" t="s">
        <v>6646</v>
      </c>
      <c r="E1144" s="7" t="s">
        <v>182</v>
      </c>
      <c r="F1144" s="7" t="s">
        <v>6648</v>
      </c>
      <c r="G1144" s="17" t="s">
        <v>7747</v>
      </c>
      <c r="H1144" s="7" t="s">
        <v>28</v>
      </c>
      <c r="I1144" s="7" t="s">
        <v>1766</v>
      </c>
      <c r="J1144" s="7" t="s">
        <v>185</v>
      </c>
      <c r="K1144" s="7" t="s">
        <v>808</v>
      </c>
      <c r="L1144" s="7" t="s">
        <v>136</v>
      </c>
      <c r="M1144" s="7">
        <v>3.9834100000000001</v>
      </c>
      <c r="N1144" s="7">
        <v>11.52089</v>
      </c>
      <c r="O1144" s="7" t="s">
        <v>23</v>
      </c>
      <c r="P1144" s="3"/>
      <c r="Q1144" s="3"/>
      <c r="R1144" s="3"/>
    </row>
    <row r="1145" spans="1:18" x14ac:dyDescent="0.25">
      <c r="A1145" s="2">
        <v>2358</v>
      </c>
      <c r="B1145" s="7" t="s">
        <v>6661</v>
      </c>
      <c r="C1145" s="7" t="s">
        <v>6662</v>
      </c>
      <c r="D1145" s="7" t="s">
        <v>6661</v>
      </c>
      <c r="E1145" s="7" t="s">
        <v>182</v>
      </c>
      <c r="F1145" s="7" t="s">
        <v>6663</v>
      </c>
      <c r="G1145" s="17" t="s">
        <v>7747</v>
      </c>
      <c r="H1145" s="7" t="s">
        <v>28</v>
      </c>
      <c r="I1145" s="7" t="s">
        <v>184</v>
      </c>
      <c r="J1145" s="7" t="s">
        <v>6664</v>
      </c>
      <c r="K1145" s="7" t="s">
        <v>4539</v>
      </c>
      <c r="L1145" s="7" t="s">
        <v>136</v>
      </c>
      <c r="M1145" s="7">
        <v>3.9308999999999998</v>
      </c>
      <c r="N1145" s="7">
        <v>11.5967</v>
      </c>
      <c r="O1145" s="7" t="s">
        <v>613</v>
      </c>
      <c r="P1145" s="3"/>
      <c r="Q1145" s="3"/>
      <c r="R1145" s="3"/>
    </row>
    <row r="1146" spans="1:18" x14ac:dyDescent="0.25">
      <c r="A1146" s="2">
        <v>2359</v>
      </c>
      <c r="B1146" s="7" t="s">
        <v>6665</v>
      </c>
      <c r="C1146" s="7" t="s">
        <v>6666</v>
      </c>
      <c r="D1146" s="7" t="s">
        <v>6665</v>
      </c>
      <c r="E1146" s="7" t="s">
        <v>250</v>
      </c>
      <c r="F1146" s="7" t="s">
        <v>6667</v>
      </c>
      <c r="G1146" s="17" t="s">
        <v>7747</v>
      </c>
      <c r="H1146" s="7" t="s">
        <v>28</v>
      </c>
      <c r="I1146" s="7" t="s">
        <v>252</v>
      </c>
      <c r="J1146" s="7" t="s">
        <v>323</v>
      </c>
      <c r="K1146" s="7" t="s">
        <v>4849</v>
      </c>
      <c r="L1146" s="7" t="s">
        <v>136</v>
      </c>
      <c r="M1146" s="7">
        <v>2.8146100000000001</v>
      </c>
      <c r="N1146" s="7">
        <v>12.411595</v>
      </c>
      <c r="O1146" s="7" t="s">
        <v>23</v>
      </c>
      <c r="P1146" s="3"/>
      <c r="Q1146" s="3"/>
      <c r="R1146" s="3"/>
    </row>
    <row r="1147" spans="1:18" x14ac:dyDescent="0.25">
      <c r="A1147" s="2">
        <v>2360</v>
      </c>
      <c r="B1147" s="7" t="s">
        <v>6677</v>
      </c>
      <c r="C1147" s="7" t="s">
        <v>6678</v>
      </c>
      <c r="D1147" s="7" t="s">
        <v>6677</v>
      </c>
      <c r="E1147" s="7" t="s">
        <v>250</v>
      </c>
      <c r="F1147" s="7" t="s">
        <v>6679</v>
      </c>
      <c r="G1147" s="17" t="s">
        <v>7747</v>
      </c>
      <c r="H1147" s="7" t="s">
        <v>28</v>
      </c>
      <c r="I1147" s="7" t="s">
        <v>322</v>
      </c>
      <c r="J1147" s="7" t="s">
        <v>253</v>
      </c>
      <c r="K1147" s="7" t="s">
        <v>324</v>
      </c>
      <c r="L1147" s="7" t="s">
        <v>136</v>
      </c>
      <c r="M1147" s="7">
        <v>3.035803</v>
      </c>
      <c r="N1147" s="7">
        <v>11.750847</v>
      </c>
      <c r="O1147" s="7" t="s">
        <v>23</v>
      </c>
      <c r="P1147" s="3"/>
      <c r="Q1147" s="3"/>
      <c r="R1147" s="3"/>
    </row>
    <row r="1148" spans="1:18" x14ac:dyDescent="0.25">
      <c r="A1148" s="2">
        <v>2361</v>
      </c>
      <c r="B1148" s="7" t="s">
        <v>6680</v>
      </c>
      <c r="C1148" s="7" t="s">
        <v>6681</v>
      </c>
      <c r="D1148" s="7" t="s">
        <v>6680</v>
      </c>
      <c r="E1148" s="7" t="s">
        <v>250</v>
      </c>
      <c r="F1148" s="7" t="s">
        <v>6682</v>
      </c>
      <c r="G1148" s="17" t="s">
        <v>7747</v>
      </c>
      <c r="H1148" s="7" t="s">
        <v>28</v>
      </c>
      <c r="I1148" s="7" t="s">
        <v>341</v>
      </c>
      <c r="J1148" s="7" t="s">
        <v>253</v>
      </c>
      <c r="K1148" s="7" t="s">
        <v>1606</v>
      </c>
      <c r="L1148" s="7" t="s">
        <v>136</v>
      </c>
      <c r="M1148" s="7">
        <v>3.4702199999999999</v>
      </c>
      <c r="N1148" s="7">
        <v>11.736280000000001</v>
      </c>
      <c r="O1148" s="7" t="s">
        <v>23</v>
      </c>
      <c r="P1148" s="3"/>
      <c r="Q1148" s="3"/>
      <c r="R1148" s="3"/>
    </row>
    <row r="1149" spans="1:18" x14ac:dyDescent="0.25">
      <c r="A1149" s="2">
        <v>2362</v>
      </c>
      <c r="B1149" s="7" t="s">
        <v>6683</v>
      </c>
      <c r="C1149" s="7" t="s">
        <v>6684</v>
      </c>
      <c r="D1149" s="7" t="s">
        <v>6683</v>
      </c>
      <c r="E1149" s="7" t="s">
        <v>182</v>
      </c>
      <c r="F1149" s="7" t="s">
        <v>6685</v>
      </c>
      <c r="G1149" s="17" t="s">
        <v>7747</v>
      </c>
      <c r="H1149" s="7" t="s">
        <v>28</v>
      </c>
      <c r="I1149" s="7" t="s">
        <v>1637</v>
      </c>
      <c r="J1149" s="7" t="s">
        <v>185</v>
      </c>
      <c r="K1149" s="7" t="s">
        <v>808</v>
      </c>
      <c r="L1149" s="7" t="s">
        <v>136</v>
      </c>
      <c r="M1149" s="7">
        <v>3.85663</v>
      </c>
      <c r="N1149" s="7">
        <v>11.51976</v>
      </c>
      <c r="O1149" s="7" t="s">
        <v>23</v>
      </c>
      <c r="P1149" s="3"/>
      <c r="Q1149" s="3"/>
      <c r="R1149" s="3"/>
    </row>
    <row r="1150" spans="1:18" x14ac:dyDescent="0.25">
      <c r="A1150" s="2">
        <v>2363</v>
      </c>
      <c r="B1150" s="7" t="s">
        <v>6705</v>
      </c>
      <c r="C1150" s="7" t="s">
        <v>6706</v>
      </c>
      <c r="D1150" s="7" t="s">
        <v>6705</v>
      </c>
      <c r="E1150" s="7" t="s">
        <v>182</v>
      </c>
      <c r="F1150" s="7" t="s">
        <v>6707</v>
      </c>
      <c r="G1150" s="17" t="s">
        <v>7747</v>
      </c>
      <c r="H1150" s="7" t="s">
        <v>28</v>
      </c>
      <c r="I1150" s="7" t="s">
        <v>807</v>
      </c>
      <c r="J1150" s="7" t="s">
        <v>185</v>
      </c>
      <c r="K1150" s="7" t="s">
        <v>1375</v>
      </c>
      <c r="L1150" s="7" t="s">
        <v>136</v>
      </c>
      <c r="M1150" s="7">
        <v>3.9420679999999999</v>
      </c>
      <c r="N1150" s="7">
        <v>11.563838000000001</v>
      </c>
      <c r="O1150" s="7" t="s">
        <v>23</v>
      </c>
      <c r="P1150" s="3"/>
      <c r="Q1150" s="3"/>
      <c r="R1150" s="3"/>
    </row>
    <row r="1151" spans="1:18" x14ac:dyDescent="0.25">
      <c r="A1151" s="2">
        <v>2364</v>
      </c>
      <c r="B1151" s="7" t="s">
        <v>6711</v>
      </c>
      <c r="C1151" s="7" t="s">
        <v>6712</v>
      </c>
      <c r="D1151" s="7" t="s">
        <v>6711</v>
      </c>
      <c r="E1151" s="7" t="s">
        <v>250</v>
      </c>
      <c r="F1151" s="7" t="s">
        <v>6713</v>
      </c>
      <c r="G1151" s="17" t="s">
        <v>7747</v>
      </c>
      <c r="H1151" s="7" t="s">
        <v>28</v>
      </c>
      <c r="I1151" s="7" t="s">
        <v>322</v>
      </c>
      <c r="J1151" s="7" t="s">
        <v>253</v>
      </c>
      <c r="K1151" s="7" t="s">
        <v>324</v>
      </c>
      <c r="L1151" s="7" t="s">
        <v>136</v>
      </c>
      <c r="M1151" s="7">
        <v>2.959441</v>
      </c>
      <c r="N1151" s="7">
        <v>11.780295000000001</v>
      </c>
      <c r="O1151" s="7" t="s">
        <v>23</v>
      </c>
      <c r="P1151" s="3"/>
      <c r="Q1151" s="3"/>
      <c r="R1151" s="3"/>
    </row>
    <row r="1152" spans="1:18" x14ac:dyDescent="0.25">
      <c r="A1152" s="2">
        <v>2365</v>
      </c>
      <c r="B1152" s="7" t="s">
        <v>6720</v>
      </c>
      <c r="C1152" s="7" t="s">
        <v>6721</v>
      </c>
      <c r="D1152" s="7" t="s">
        <v>6720</v>
      </c>
      <c r="E1152" s="7" t="s">
        <v>182</v>
      </c>
      <c r="F1152" s="7" t="s">
        <v>6722</v>
      </c>
      <c r="G1152" s="17" t="s">
        <v>7747</v>
      </c>
      <c r="H1152" s="7" t="s">
        <v>28</v>
      </c>
      <c r="I1152" s="7" t="s">
        <v>297</v>
      </c>
      <c r="J1152" s="7" t="s">
        <v>287</v>
      </c>
      <c r="K1152" s="7" t="s">
        <v>645</v>
      </c>
      <c r="L1152" s="7" t="s">
        <v>136</v>
      </c>
      <c r="M1152" s="7">
        <v>3.8882750000000001</v>
      </c>
      <c r="N1152" s="7">
        <v>11.352914999999999</v>
      </c>
      <c r="O1152" s="7" t="s">
        <v>23</v>
      </c>
      <c r="P1152" s="3"/>
      <c r="Q1152" s="3"/>
      <c r="R1152" s="3"/>
    </row>
    <row r="1153" spans="1:18" x14ac:dyDescent="0.25">
      <c r="A1153" s="2">
        <v>2366</v>
      </c>
      <c r="B1153" s="7" t="s">
        <v>6729</v>
      </c>
      <c r="C1153" s="7" t="s">
        <v>6730</v>
      </c>
      <c r="D1153" s="7" t="s">
        <v>6729</v>
      </c>
      <c r="E1153" s="7" t="s">
        <v>182</v>
      </c>
      <c r="F1153" s="7" t="s">
        <v>6731</v>
      </c>
      <c r="G1153" s="17" t="s">
        <v>7747</v>
      </c>
      <c r="H1153" s="7" t="s">
        <v>28</v>
      </c>
      <c r="I1153" s="7" t="s">
        <v>297</v>
      </c>
      <c r="J1153" s="7" t="s">
        <v>185</v>
      </c>
      <c r="K1153" s="7" t="s">
        <v>1393</v>
      </c>
      <c r="L1153" s="7" t="s">
        <v>136</v>
      </c>
      <c r="M1153" s="7">
        <v>3.8660950000000001</v>
      </c>
      <c r="N1153" s="7">
        <v>11.389939999999999</v>
      </c>
      <c r="O1153" s="7" t="s">
        <v>23</v>
      </c>
      <c r="P1153" s="3"/>
      <c r="Q1153" s="3"/>
      <c r="R1153" s="3"/>
    </row>
    <row r="1154" spans="1:18" x14ac:dyDescent="0.25">
      <c r="A1154" s="2">
        <v>2367</v>
      </c>
      <c r="B1154" s="7" t="s">
        <v>6773</v>
      </c>
      <c r="C1154" s="7" t="s">
        <v>6774</v>
      </c>
      <c r="D1154" s="7" t="s">
        <v>6773</v>
      </c>
      <c r="E1154" s="7" t="s">
        <v>182</v>
      </c>
      <c r="F1154" s="7" t="s">
        <v>6775</v>
      </c>
      <c r="G1154" s="17" t="s">
        <v>7747</v>
      </c>
      <c r="H1154" s="7" t="s">
        <v>28</v>
      </c>
      <c r="I1154" s="7" t="s">
        <v>184</v>
      </c>
      <c r="J1154" s="7" t="s">
        <v>185</v>
      </c>
      <c r="K1154" s="7" t="s">
        <v>186</v>
      </c>
      <c r="L1154" s="7" t="s">
        <v>136</v>
      </c>
      <c r="M1154" s="7">
        <v>3.9615070000000001</v>
      </c>
      <c r="N1154" s="7">
        <v>11.583613</v>
      </c>
      <c r="O1154" s="7" t="s">
        <v>613</v>
      </c>
      <c r="P1154" s="3"/>
      <c r="Q1154" s="3"/>
      <c r="R1154" s="3"/>
    </row>
    <row r="1155" spans="1:18" x14ac:dyDescent="0.25">
      <c r="A1155" s="2">
        <v>2368</v>
      </c>
      <c r="B1155" s="7" t="s">
        <v>6779</v>
      </c>
      <c r="C1155" s="7" t="s">
        <v>6780</v>
      </c>
      <c r="D1155" s="7" t="s">
        <v>6779</v>
      </c>
      <c r="E1155" s="7" t="s">
        <v>182</v>
      </c>
      <c r="F1155" s="7" t="s">
        <v>6781</v>
      </c>
      <c r="G1155" s="17" t="s">
        <v>7747</v>
      </c>
      <c r="H1155" s="7" t="s">
        <v>28</v>
      </c>
      <c r="I1155" s="7" t="s">
        <v>1385</v>
      </c>
      <c r="J1155" s="7" t="s">
        <v>185</v>
      </c>
      <c r="K1155" s="7" t="s">
        <v>1367</v>
      </c>
      <c r="L1155" s="7" t="s">
        <v>136</v>
      </c>
      <c r="M1155" s="7">
        <v>3.76973</v>
      </c>
      <c r="N1155" s="7">
        <v>11.520239999999999</v>
      </c>
      <c r="O1155" s="7" t="s">
        <v>23</v>
      </c>
      <c r="P1155" s="3"/>
      <c r="Q1155" s="3"/>
      <c r="R1155" s="3"/>
    </row>
    <row r="1156" spans="1:18" x14ac:dyDescent="0.25">
      <c r="A1156" s="2">
        <v>2369</v>
      </c>
      <c r="B1156" s="7" t="s">
        <v>6822</v>
      </c>
      <c r="C1156" s="7" t="s">
        <v>6823</v>
      </c>
      <c r="D1156" s="7" t="s">
        <v>6822</v>
      </c>
      <c r="E1156" s="7" t="s">
        <v>182</v>
      </c>
      <c r="F1156" s="7" t="s">
        <v>6824</v>
      </c>
      <c r="G1156" s="17" t="s">
        <v>7747</v>
      </c>
      <c r="H1156" s="7" t="s">
        <v>28</v>
      </c>
      <c r="I1156" s="7" t="s">
        <v>286</v>
      </c>
      <c r="J1156" s="7" t="s">
        <v>287</v>
      </c>
      <c r="K1156" s="7" t="s">
        <v>2370</v>
      </c>
      <c r="L1156" s="7" t="s">
        <v>136</v>
      </c>
      <c r="M1156" s="7">
        <v>4.3421149999999997</v>
      </c>
      <c r="N1156" s="7">
        <v>11.628454</v>
      </c>
      <c r="O1156" s="7" t="s">
        <v>23</v>
      </c>
      <c r="P1156" s="3"/>
      <c r="Q1156" s="3"/>
      <c r="R1156" s="3"/>
    </row>
    <row r="1157" spans="1:18" x14ac:dyDescent="0.25">
      <c r="A1157" s="2">
        <v>2370</v>
      </c>
      <c r="B1157" s="7" t="s">
        <v>6832</v>
      </c>
      <c r="C1157" s="7" t="s">
        <v>6833</v>
      </c>
      <c r="D1157" s="7" t="s">
        <v>6832</v>
      </c>
      <c r="E1157" s="7" t="s">
        <v>182</v>
      </c>
      <c r="F1157" s="7" t="s">
        <v>6834</v>
      </c>
      <c r="G1157" s="17" t="s">
        <v>7747</v>
      </c>
      <c r="H1157" s="7" t="s">
        <v>28</v>
      </c>
      <c r="I1157" s="7" t="s">
        <v>286</v>
      </c>
      <c r="J1157" s="7" t="s">
        <v>287</v>
      </c>
      <c r="K1157" s="7" t="s">
        <v>288</v>
      </c>
      <c r="L1157" s="7" t="s">
        <v>136</v>
      </c>
      <c r="M1157" s="7">
        <v>4.1068790000000002</v>
      </c>
      <c r="N1157" s="7">
        <v>11.538074999999999</v>
      </c>
      <c r="O1157" s="7" t="s">
        <v>23</v>
      </c>
      <c r="P1157" s="3"/>
      <c r="Q1157" s="3"/>
      <c r="R1157" s="3"/>
    </row>
    <row r="1158" spans="1:18" x14ac:dyDescent="0.25">
      <c r="A1158" s="2">
        <v>2371</v>
      </c>
      <c r="B1158" s="7" t="s">
        <v>6835</v>
      </c>
      <c r="C1158" s="7" t="s">
        <v>6836</v>
      </c>
      <c r="D1158" s="7" t="s">
        <v>6835</v>
      </c>
      <c r="E1158" s="7" t="s">
        <v>182</v>
      </c>
      <c r="F1158" s="7" t="s">
        <v>6837</v>
      </c>
      <c r="G1158" s="17" t="s">
        <v>7747</v>
      </c>
      <c r="H1158" s="7" t="s">
        <v>28</v>
      </c>
      <c r="I1158" s="7" t="s">
        <v>1284</v>
      </c>
      <c r="J1158" s="7" t="s">
        <v>185</v>
      </c>
      <c r="K1158" s="7" t="s">
        <v>1322</v>
      </c>
      <c r="L1158" s="7" t="s">
        <v>136</v>
      </c>
      <c r="M1158" s="7">
        <v>3.8381940000000001</v>
      </c>
      <c r="N1158" s="7">
        <v>11.486806</v>
      </c>
      <c r="O1158" s="7" t="s">
        <v>613</v>
      </c>
      <c r="P1158" s="3"/>
      <c r="Q1158" s="3"/>
      <c r="R1158" s="3"/>
    </row>
    <row r="1159" spans="1:18" x14ac:dyDescent="0.25">
      <c r="A1159" s="2">
        <v>2372</v>
      </c>
      <c r="B1159" s="7" t="s">
        <v>6838</v>
      </c>
      <c r="C1159" s="7" t="s">
        <v>6839</v>
      </c>
      <c r="D1159" s="7" t="s">
        <v>6838</v>
      </c>
      <c r="E1159" s="7" t="s">
        <v>182</v>
      </c>
      <c r="F1159" s="7" t="s">
        <v>6840</v>
      </c>
      <c r="G1159" s="17" t="s">
        <v>7747</v>
      </c>
      <c r="H1159" s="7" t="s">
        <v>28</v>
      </c>
      <c r="I1159" s="7" t="s">
        <v>1374</v>
      </c>
      <c r="J1159" s="7" t="s">
        <v>185</v>
      </c>
      <c r="K1159" s="7" t="s">
        <v>1375</v>
      </c>
      <c r="L1159" s="7" t="s">
        <v>136</v>
      </c>
      <c r="M1159" s="7">
        <v>3.8965809999999999</v>
      </c>
      <c r="N1159" s="7">
        <v>11.492239</v>
      </c>
      <c r="O1159" s="7" t="s">
        <v>23</v>
      </c>
      <c r="P1159" s="3"/>
      <c r="Q1159" s="3"/>
      <c r="R1159" s="3"/>
    </row>
    <row r="1160" spans="1:18" x14ac:dyDescent="0.25">
      <c r="A1160" s="2">
        <v>2373</v>
      </c>
      <c r="B1160" s="7" t="s">
        <v>6872</v>
      </c>
      <c r="C1160" s="7" t="s">
        <v>6873</v>
      </c>
      <c r="D1160" s="7" t="s">
        <v>6872</v>
      </c>
      <c r="E1160" s="7" t="s">
        <v>182</v>
      </c>
      <c r="F1160" s="7" t="s">
        <v>6874</v>
      </c>
      <c r="G1160" s="17" t="s">
        <v>7747</v>
      </c>
      <c r="H1160" s="7" t="s">
        <v>28</v>
      </c>
      <c r="I1160" s="7" t="s">
        <v>297</v>
      </c>
      <c r="J1160" s="7" t="s">
        <v>287</v>
      </c>
      <c r="K1160" s="7" t="s">
        <v>645</v>
      </c>
      <c r="L1160" s="7" t="s">
        <v>136</v>
      </c>
      <c r="M1160" s="7">
        <v>3.8894500000000001</v>
      </c>
      <c r="N1160" s="7">
        <v>11.264530000000001</v>
      </c>
      <c r="O1160" s="7" t="s">
        <v>23</v>
      </c>
      <c r="P1160" s="3"/>
      <c r="Q1160" s="3"/>
      <c r="R1160" s="3"/>
    </row>
    <row r="1161" spans="1:18" x14ac:dyDescent="0.25">
      <c r="A1161" s="2">
        <v>2374</v>
      </c>
      <c r="B1161" s="12" t="s">
        <v>6875</v>
      </c>
      <c r="C1161" s="7" t="s">
        <v>6876</v>
      </c>
      <c r="D1161" s="12" t="s">
        <v>6875</v>
      </c>
      <c r="E1161" s="7" t="s">
        <v>182</v>
      </c>
      <c r="F1161" s="7" t="s">
        <v>6877</v>
      </c>
      <c r="G1161" s="17" t="s">
        <v>7747</v>
      </c>
      <c r="H1161" s="7" t="s">
        <v>19</v>
      </c>
      <c r="I1161" s="7" t="s">
        <v>1637</v>
      </c>
      <c r="J1161" s="7" t="s">
        <v>185</v>
      </c>
      <c r="K1161" s="7" t="s">
        <v>1462</v>
      </c>
      <c r="L1161" s="7" t="s">
        <v>136</v>
      </c>
      <c r="M1161" s="7">
        <v>3.84775</v>
      </c>
      <c r="N1161" s="7">
        <v>11.49625</v>
      </c>
      <c r="O1161" s="7" t="s">
        <v>613</v>
      </c>
      <c r="P1161" s="3"/>
      <c r="Q1161" s="3"/>
      <c r="R1161" s="3"/>
    </row>
    <row r="1162" spans="1:18" x14ac:dyDescent="0.25">
      <c r="A1162" s="2">
        <v>2375</v>
      </c>
      <c r="B1162" s="7" t="s">
        <v>6903</v>
      </c>
      <c r="C1162" s="7" t="s">
        <v>6904</v>
      </c>
      <c r="D1162" s="7" t="s">
        <v>6903</v>
      </c>
      <c r="E1162" s="7" t="s">
        <v>182</v>
      </c>
      <c r="F1162" s="7" t="s">
        <v>6905</v>
      </c>
      <c r="G1162" s="17" t="s">
        <v>7747</v>
      </c>
      <c r="H1162" s="7" t="s">
        <v>28</v>
      </c>
      <c r="I1162" s="7" t="s">
        <v>1461</v>
      </c>
      <c r="J1162" s="7" t="s">
        <v>185</v>
      </c>
      <c r="K1162" s="7" t="s">
        <v>1367</v>
      </c>
      <c r="L1162" s="7" t="s">
        <v>136</v>
      </c>
      <c r="M1162" s="7">
        <v>3.8600699999999999</v>
      </c>
      <c r="N1162" s="7">
        <v>11.514675</v>
      </c>
      <c r="O1162" s="7" t="s">
        <v>613</v>
      </c>
      <c r="P1162" s="3"/>
      <c r="Q1162" s="3"/>
      <c r="R1162" s="3"/>
    </row>
    <row r="1163" spans="1:18" x14ac:dyDescent="0.25">
      <c r="A1163" s="2">
        <v>2376</v>
      </c>
      <c r="B1163" s="7" t="s">
        <v>6914</v>
      </c>
      <c r="C1163" s="7" t="s">
        <v>6915</v>
      </c>
      <c r="D1163" s="7" t="s">
        <v>6914</v>
      </c>
      <c r="E1163" s="7" t="s">
        <v>182</v>
      </c>
      <c r="F1163" s="7" t="s">
        <v>6916</v>
      </c>
      <c r="G1163" s="17" t="s">
        <v>7747</v>
      </c>
      <c r="H1163" s="7" t="s">
        <v>28</v>
      </c>
      <c r="I1163" s="7" t="s">
        <v>807</v>
      </c>
      <c r="J1163" s="7" t="s">
        <v>185</v>
      </c>
      <c r="K1163" s="7" t="s">
        <v>808</v>
      </c>
      <c r="L1163" s="7" t="s">
        <v>136</v>
      </c>
      <c r="M1163" s="7">
        <v>3.8772890000000002</v>
      </c>
      <c r="N1163" s="7">
        <v>11.523331000000001</v>
      </c>
      <c r="O1163" s="7" t="s">
        <v>23</v>
      </c>
      <c r="P1163" s="3"/>
      <c r="Q1163" s="3"/>
      <c r="R1163" s="3"/>
    </row>
    <row r="1164" spans="1:18" x14ac:dyDescent="0.25">
      <c r="A1164" s="2">
        <v>2377</v>
      </c>
      <c r="B1164" s="7" t="s">
        <v>6917</v>
      </c>
      <c r="C1164" s="7" t="s">
        <v>6918</v>
      </c>
      <c r="D1164" s="7" t="s">
        <v>6917</v>
      </c>
      <c r="E1164" s="7" t="s">
        <v>182</v>
      </c>
      <c r="F1164" s="7" t="s">
        <v>6919</v>
      </c>
      <c r="G1164" s="17" t="s">
        <v>7747</v>
      </c>
      <c r="H1164" s="7" t="s">
        <v>28</v>
      </c>
      <c r="I1164" s="7" t="s">
        <v>1461</v>
      </c>
      <c r="J1164" s="7" t="s">
        <v>185</v>
      </c>
      <c r="K1164" s="7" t="s">
        <v>1462</v>
      </c>
      <c r="L1164" s="7" t="s">
        <v>136</v>
      </c>
      <c r="M1164" s="7">
        <v>3.8218000000000001</v>
      </c>
      <c r="N1164" s="7">
        <v>11.508668</v>
      </c>
      <c r="O1164" s="7" t="s">
        <v>23</v>
      </c>
      <c r="P1164" s="3"/>
      <c r="Q1164" s="3"/>
      <c r="R1164" s="3"/>
    </row>
    <row r="1165" spans="1:18" x14ac:dyDescent="0.25">
      <c r="A1165" s="2">
        <v>2378</v>
      </c>
      <c r="B1165" s="7" t="s">
        <v>6923</v>
      </c>
      <c r="C1165" s="7" t="s">
        <v>6924</v>
      </c>
      <c r="D1165" s="7" t="s">
        <v>6923</v>
      </c>
      <c r="E1165" s="7" t="s">
        <v>182</v>
      </c>
      <c r="F1165" s="7" t="s">
        <v>6925</v>
      </c>
      <c r="G1165" s="17" t="s">
        <v>7747</v>
      </c>
      <c r="H1165" s="7" t="s">
        <v>28</v>
      </c>
      <c r="I1165" s="7" t="s">
        <v>297</v>
      </c>
      <c r="J1165" s="7" t="s">
        <v>185</v>
      </c>
      <c r="K1165" s="7" t="s">
        <v>1393</v>
      </c>
      <c r="L1165" s="7" t="s">
        <v>136</v>
      </c>
      <c r="M1165" s="7">
        <v>3.8641890000000001</v>
      </c>
      <c r="N1165" s="7">
        <v>11.462842</v>
      </c>
      <c r="O1165" s="7" t="s">
        <v>23</v>
      </c>
      <c r="P1165" s="3"/>
      <c r="Q1165" s="3"/>
      <c r="R1165" s="3"/>
    </row>
    <row r="1166" spans="1:18" x14ac:dyDescent="0.25">
      <c r="A1166" s="2">
        <v>2379</v>
      </c>
      <c r="B1166" s="7" t="s">
        <v>6926</v>
      </c>
      <c r="C1166" s="7" t="s">
        <v>6927</v>
      </c>
      <c r="D1166" s="7" t="s">
        <v>6926</v>
      </c>
      <c r="E1166" s="7" t="s">
        <v>182</v>
      </c>
      <c r="F1166" s="7" t="s">
        <v>6928</v>
      </c>
      <c r="G1166" s="17" t="s">
        <v>7747</v>
      </c>
      <c r="H1166" s="7" t="s">
        <v>28</v>
      </c>
      <c r="I1166" s="7" t="s">
        <v>1385</v>
      </c>
      <c r="J1166" s="7" t="s">
        <v>185</v>
      </c>
      <c r="K1166" s="7" t="s">
        <v>1367</v>
      </c>
      <c r="L1166" s="7" t="s">
        <v>136</v>
      </c>
      <c r="M1166" s="7">
        <v>3.8019720000000001</v>
      </c>
      <c r="N1166" s="7">
        <v>11.529464000000001</v>
      </c>
      <c r="O1166" s="7" t="s">
        <v>613</v>
      </c>
      <c r="P1166" s="3"/>
      <c r="Q1166" s="3"/>
      <c r="R1166" s="3"/>
    </row>
    <row r="1167" spans="1:18" x14ac:dyDescent="0.25">
      <c r="A1167" s="2">
        <v>2380</v>
      </c>
      <c r="B1167" s="7" t="s">
        <v>6929</v>
      </c>
      <c r="C1167" s="7" t="s">
        <v>6930</v>
      </c>
      <c r="D1167" s="7" t="s">
        <v>6929</v>
      </c>
      <c r="E1167" s="7" t="s">
        <v>182</v>
      </c>
      <c r="F1167" s="7" t="s">
        <v>6931</v>
      </c>
      <c r="G1167" s="17" t="s">
        <v>7747</v>
      </c>
      <c r="H1167" s="7" t="s">
        <v>28</v>
      </c>
      <c r="I1167" s="7" t="s">
        <v>374</v>
      </c>
      <c r="J1167" s="7" t="s">
        <v>185</v>
      </c>
      <c r="K1167" s="7" t="s">
        <v>3382</v>
      </c>
      <c r="L1167" s="7" t="s">
        <v>136</v>
      </c>
      <c r="M1167" s="7">
        <v>4.2926500000000001</v>
      </c>
      <c r="N1167" s="7">
        <v>11.318232999999999</v>
      </c>
      <c r="O1167" s="7" t="s">
        <v>23</v>
      </c>
      <c r="P1167" s="3"/>
      <c r="Q1167" s="3"/>
      <c r="R1167" s="3"/>
    </row>
    <row r="1168" spans="1:18" x14ac:dyDescent="0.25">
      <c r="A1168" s="2">
        <v>2381</v>
      </c>
      <c r="B1168" s="12" t="s">
        <v>6939</v>
      </c>
      <c r="C1168" s="7" t="s">
        <v>6940</v>
      </c>
      <c r="D1168" s="12" t="s">
        <v>6939</v>
      </c>
      <c r="E1168" s="7" t="s">
        <v>182</v>
      </c>
      <c r="F1168" s="7" t="s">
        <v>6941</v>
      </c>
      <c r="G1168" s="17" t="s">
        <v>7747</v>
      </c>
      <c r="H1168" s="7" t="s">
        <v>28</v>
      </c>
      <c r="I1168" s="7" t="s">
        <v>1374</v>
      </c>
      <c r="J1168" s="7" t="s">
        <v>3940</v>
      </c>
      <c r="K1168" s="7" t="s">
        <v>6942</v>
      </c>
      <c r="L1168" s="7" t="s">
        <v>136</v>
      </c>
      <c r="M1168" s="7">
        <v>3.8853499999999999</v>
      </c>
      <c r="N1168" s="7">
        <v>11.4955</v>
      </c>
      <c r="O1168" s="7" t="s">
        <v>23</v>
      </c>
      <c r="P1168" s="3"/>
      <c r="Q1168" s="3"/>
      <c r="R1168" s="3"/>
    </row>
    <row r="1169" spans="1:18" x14ac:dyDescent="0.25">
      <c r="A1169" s="2">
        <v>2382</v>
      </c>
      <c r="B1169" s="7" t="s">
        <v>6946</v>
      </c>
      <c r="C1169" s="7" t="s">
        <v>6947</v>
      </c>
      <c r="D1169" s="7" t="s">
        <v>6946</v>
      </c>
      <c r="E1169" s="7" t="s">
        <v>182</v>
      </c>
      <c r="F1169" s="7" t="s">
        <v>6948</v>
      </c>
      <c r="G1169" s="17" t="s">
        <v>7747</v>
      </c>
      <c r="H1169" s="7" t="s">
        <v>28</v>
      </c>
      <c r="I1169" s="7" t="s">
        <v>1553</v>
      </c>
      <c r="J1169" s="7" t="s">
        <v>826</v>
      </c>
      <c r="K1169" s="7" t="s">
        <v>819</v>
      </c>
      <c r="L1169" s="7" t="s">
        <v>136</v>
      </c>
      <c r="M1169" s="7">
        <v>3.8527499999999999</v>
      </c>
      <c r="N1169" s="7">
        <v>11.576517000000001</v>
      </c>
      <c r="O1169" s="7" t="s">
        <v>613</v>
      </c>
      <c r="P1169" s="3"/>
      <c r="Q1169" s="3"/>
      <c r="R1169" s="3"/>
    </row>
    <row r="1170" spans="1:18" x14ac:dyDescent="0.25">
      <c r="A1170" s="2">
        <v>2383</v>
      </c>
      <c r="B1170" s="7" t="s">
        <v>6953</v>
      </c>
      <c r="C1170" s="7" t="s">
        <v>6954</v>
      </c>
      <c r="D1170" s="7" t="s">
        <v>6953</v>
      </c>
      <c r="E1170" s="7" t="s">
        <v>182</v>
      </c>
      <c r="F1170" s="7" t="s">
        <v>6955</v>
      </c>
      <c r="G1170" s="17" t="s">
        <v>7747</v>
      </c>
      <c r="H1170" s="7" t="s">
        <v>28</v>
      </c>
      <c r="I1170" s="7" t="s">
        <v>275</v>
      </c>
      <c r="J1170" s="7" t="s">
        <v>185</v>
      </c>
      <c r="K1170" s="7" t="s">
        <v>1322</v>
      </c>
      <c r="L1170" s="7" t="s">
        <v>136</v>
      </c>
      <c r="M1170" s="7">
        <v>3.8096999999999999</v>
      </c>
      <c r="N1170" s="7">
        <v>11.4679</v>
      </c>
      <c r="O1170" s="7" t="s">
        <v>613</v>
      </c>
      <c r="P1170" s="3"/>
      <c r="Q1170" s="3"/>
      <c r="R1170" s="3"/>
    </row>
    <row r="1171" spans="1:18" x14ac:dyDescent="0.25">
      <c r="A1171" s="2">
        <v>2384</v>
      </c>
      <c r="B1171" s="7" t="s">
        <v>6956</v>
      </c>
      <c r="C1171" s="7" t="s">
        <v>6957</v>
      </c>
      <c r="D1171" s="7" t="s">
        <v>6956</v>
      </c>
      <c r="E1171" s="7" t="s">
        <v>182</v>
      </c>
      <c r="F1171" s="7" t="s">
        <v>6958</v>
      </c>
      <c r="G1171" s="17" t="s">
        <v>7747</v>
      </c>
      <c r="H1171" s="7" t="s">
        <v>28</v>
      </c>
      <c r="I1171" s="7" t="s">
        <v>1366</v>
      </c>
      <c r="J1171" s="7" t="s">
        <v>185</v>
      </c>
      <c r="K1171" s="7" t="s">
        <v>1322</v>
      </c>
      <c r="L1171" s="7" t="s">
        <v>136</v>
      </c>
      <c r="M1171" s="7">
        <v>3.8866429999999998</v>
      </c>
      <c r="N1171" s="7">
        <v>11.566748</v>
      </c>
      <c r="O1171" s="7" t="s">
        <v>613</v>
      </c>
      <c r="P1171" s="3"/>
      <c r="Q1171" s="3"/>
      <c r="R1171" s="3"/>
    </row>
    <row r="1172" spans="1:18" x14ac:dyDescent="0.25">
      <c r="A1172" s="2">
        <v>2385</v>
      </c>
      <c r="B1172" s="7" t="s">
        <v>6959</v>
      </c>
      <c r="C1172" s="7" t="s">
        <v>6960</v>
      </c>
      <c r="D1172" s="7" t="s">
        <v>6959</v>
      </c>
      <c r="E1172" s="7" t="s">
        <v>182</v>
      </c>
      <c r="F1172" s="7" t="s">
        <v>6961</v>
      </c>
      <c r="G1172" s="17" t="s">
        <v>7747</v>
      </c>
      <c r="H1172" s="7" t="s">
        <v>28</v>
      </c>
      <c r="I1172" s="7" t="s">
        <v>807</v>
      </c>
      <c r="J1172" s="7" t="s">
        <v>185</v>
      </c>
      <c r="K1172" s="7" t="s">
        <v>808</v>
      </c>
      <c r="L1172" s="7" t="s">
        <v>136</v>
      </c>
      <c r="M1172" s="7">
        <v>3.9177</v>
      </c>
      <c r="N1172" s="7">
        <v>11.5411</v>
      </c>
      <c r="O1172" s="7" t="s">
        <v>613</v>
      </c>
      <c r="P1172" s="3"/>
      <c r="Q1172" s="3"/>
      <c r="R1172" s="3"/>
    </row>
    <row r="1173" spans="1:18" x14ac:dyDescent="0.25">
      <c r="A1173" s="2">
        <v>2386</v>
      </c>
      <c r="B1173" s="7" t="s">
        <v>6962</v>
      </c>
      <c r="C1173" s="7" t="s">
        <v>6963</v>
      </c>
      <c r="D1173" s="7" t="s">
        <v>6962</v>
      </c>
      <c r="E1173" s="7" t="s">
        <v>182</v>
      </c>
      <c r="F1173" s="7" t="s">
        <v>6964</v>
      </c>
      <c r="G1173" s="17" t="s">
        <v>7747</v>
      </c>
      <c r="H1173" s="7" t="s">
        <v>28</v>
      </c>
      <c r="I1173" s="7" t="s">
        <v>1637</v>
      </c>
      <c r="J1173" s="7" t="s">
        <v>185</v>
      </c>
      <c r="K1173" s="7" t="s">
        <v>1322</v>
      </c>
      <c r="L1173" s="7" t="s">
        <v>136</v>
      </c>
      <c r="M1173" s="7">
        <v>3.8605200000000002</v>
      </c>
      <c r="N1173" s="7">
        <v>11.477489</v>
      </c>
      <c r="O1173" s="7" t="s">
        <v>613</v>
      </c>
      <c r="P1173" s="3"/>
      <c r="Q1173" s="3"/>
      <c r="R1173" s="3"/>
    </row>
    <row r="1174" spans="1:18" x14ac:dyDescent="0.25">
      <c r="A1174" s="2">
        <v>2387</v>
      </c>
      <c r="B1174" s="7" t="s">
        <v>6965</v>
      </c>
      <c r="C1174" s="7" t="s">
        <v>6966</v>
      </c>
      <c r="D1174" s="7" t="s">
        <v>6965</v>
      </c>
      <c r="E1174" s="7" t="s">
        <v>182</v>
      </c>
      <c r="F1174" s="7" t="s">
        <v>6967</v>
      </c>
      <c r="G1174" s="17" t="s">
        <v>7747</v>
      </c>
      <c r="H1174" s="7" t="s">
        <v>28</v>
      </c>
      <c r="I1174" s="7" t="s">
        <v>1284</v>
      </c>
      <c r="J1174" s="7" t="s">
        <v>185</v>
      </c>
      <c r="K1174" s="7" t="s">
        <v>1462</v>
      </c>
      <c r="L1174" s="7" t="s">
        <v>136</v>
      </c>
      <c r="M1174" s="7">
        <v>4.8318659999999998</v>
      </c>
      <c r="N1174" s="7">
        <v>11.475239999999999</v>
      </c>
      <c r="O1174" s="7" t="s">
        <v>613</v>
      </c>
      <c r="P1174" s="3"/>
      <c r="Q1174" s="3"/>
      <c r="R1174" s="3"/>
    </row>
    <row r="1175" spans="1:18" x14ac:dyDescent="0.25">
      <c r="A1175" s="2">
        <v>2388</v>
      </c>
      <c r="B1175" s="7" t="s">
        <v>6968</v>
      </c>
      <c r="C1175" s="7" t="s">
        <v>6969</v>
      </c>
      <c r="D1175" s="7" t="s">
        <v>6968</v>
      </c>
      <c r="E1175" s="7" t="s">
        <v>182</v>
      </c>
      <c r="F1175" s="7" t="s">
        <v>6970</v>
      </c>
      <c r="G1175" s="17" t="s">
        <v>7747</v>
      </c>
      <c r="H1175" s="7" t="s">
        <v>28</v>
      </c>
      <c r="I1175" s="7" t="s">
        <v>184</v>
      </c>
      <c r="J1175" s="7" t="s">
        <v>185</v>
      </c>
      <c r="K1175" s="7" t="s">
        <v>1435</v>
      </c>
      <c r="L1175" s="7" t="s">
        <v>136</v>
      </c>
      <c r="M1175" s="7">
        <v>3.8968060000000002</v>
      </c>
      <c r="N1175" s="7">
        <v>11.558842</v>
      </c>
      <c r="O1175" s="7" t="s">
        <v>613</v>
      </c>
      <c r="P1175" s="3"/>
      <c r="Q1175" s="3"/>
      <c r="R1175" s="3"/>
    </row>
    <row r="1176" spans="1:18" x14ac:dyDescent="0.25">
      <c r="A1176" s="2">
        <v>2389</v>
      </c>
      <c r="B1176" s="7" t="s">
        <v>6971</v>
      </c>
      <c r="C1176" s="7" t="s">
        <v>6972</v>
      </c>
      <c r="D1176" s="7" t="s">
        <v>6971</v>
      </c>
      <c r="E1176" s="7" t="s">
        <v>182</v>
      </c>
      <c r="F1176" s="7" t="s">
        <v>6973</v>
      </c>
      <c r="G1176" s="17" t="s">
        <v>7747</v>
      </c>
      <c r="H1176" s="7" t="s">
        <v>28</v>
      </c>
      <c r="I1176" s="7" t="s">
        <v>1385</v>
      </c>
      <c r="J1176" s="7" t="s">
        <v>185</v>
      </c>
      <c r="K1176" s="7" t="s">
        <v>6974</v>
      </c>
      <c r="L1176" s="7" t="s">
        <v>136</v>
      </c>
      <c r="M1176" s="7">
        <v>3.7805</v>
      </c>
      <c r="N1176" s="7">
        <v>11.551610999999999</v>
      </c>
      <c r="O1176" s="7" t="s">
        <v>613</v>
      </c>
      <c r="P1176" s="3"/>
      <c r="Q1176" s="3"/>
      <c r="R1176" s="3"/>
    </row>
    <row r="1177" spans="1:18" x14ac:dyDescent="0.25">
      <c r="A1177" s="2">
        <v>2390</v>
      </c>
      <c r="B1177" s="7" t="s">
        <v>6975</v>
      </c>
      <c r="C1177" s="7" t="s">
        <v>6976</v>
      </c>
      <c r="D1177" s="7" t="s">
        <v>6975</v>
      </c>
      <c r="E1177" s="7" t="s">
        <v>182</v>
      </c>
      <c r="F1177" s="7" t="s">
        <v>6977</v>
      </c>
      <c r="G1177" s="17" t="s">
        <v>7747</v>
      </c>
      <c r="H1177" s="7" t="s">
        <v>28</v>
      </c>
      <c r="I1177" s="7" t="s">
        <v>1284</v>
      </c>
      <c r="J1177" s="7" t="s">
        <v>185</v>
      </c>
      <c r="K1177" s="7" t="s">
        <v>1322</v>
      </c>
      <c r="L1177" s="7" t="s">
        <v>136</v>
      </c>
      <c r="M1177" s="7">
        <v>4.8515689999999996</v>
      </c>
      <c r="N1177" s="7">
        <v>11.473203</v>
      </c>
      <c r="O1177" s="7" t="s">
        <v>613</v>
      </c>
      <c r="P1177" s="3"/>
      <c r="Q1177" s="3"/>
      <c r="R1177" s="3"/>
    </row>
    <row r="1178" spans="1:18" x14ac:dyDescent="0.25">
      <c r="A1178" s="2">
        <v>2391</v>
      </c>
      <c r="B1178" s="7" t="s">
        <v>7005</v>
      </c>
      <c r="C1178" s="7" t="s">
        <v>7006</v>
      </c>
      <c r="D1178" s="7" t="s">
        <v>7005</v>
      </c>
      <c r="E1178" s="7" t="s">
        <v>182</v>
      </c>
      <c r="F1178" s="7" t="s">
        <v>7007</v>
      </c>
      <c r="G1178" s="17" t="s">
        <v>7747</v>
      </c>
      <c r="H1178" s="7" t="s">
        <v>28</v>
      </c>
      <c r="I1178" s="7" t="s">
        <v>184</v>
      </c>
      <c r="J1178" s="7" t="s">
        <v>7008</v>
      </c>
      <c r="K1178" s="7" t="s">
        <v>1435</v>
      </c>
      <c r="L1178" s="7" t="s">
        <v>136</v>
      </c>
      <c r="M1178" s="7">
        <v>3.9141400000000002</v>
      </c>
      <c r="N1178" s="7">
        <v>11.545450000000001</v>
      </c>
      <c r="O1178" s="7" t="s">
        <v>613</v>
      </c>
      <c r="P1178" s="3"/>
      <c r="Q1178" s="3"/>
      <c r="R1178" s="3"/>
    </row>
    <row r="1179" spans="1:18" x14ac:dyDescent="0.25">
      <c r="A1179" s="2">
        <v>2392</v>
      </c>
      <c r="B1179" s="7" t="s">
        <v>7012</v>
      </c>
      <c r="C1179" s="7" t="s">
        <v>7013</v>
      </c>
      <c r="D1179" s="7" t="s">
        <v>7012</v>
      </c>
      <c r="E1179" s="7" t="s">
        <v>182</v>
      </c>
      <c r="F1179" s="7" t="s">
        <v>7014</v>
      </c>
      <c r="G1179" s="17" t="s">
        <v>7747</v>
      </c>
      <c r="H1179" s="7" t="s">
        <v>28</v>
      </c>
      <c r="I1179" s="7" t="s">
        <v>275</v>
      </c>
      <c r="J1179" s="7" t="s">
        <v>7015</v>
      </c>
      <c r="K1179" s="7" t="s">
        <v>1802</v>
      </c>
      <c r="L1179" s="7" t="s">
        <v>136</v>
      </c>
      <c r="M1179" s="7">
        <v>3.8096890000000001</v>
      </c>
      <c r="N1179" s="7">
        <v>11.433218999999999</v>
      </c>
      <c r="O1179" s="7" t="s">
        <v>613</v>
      </c>
      <c r="P1179" s="3"/>
      <c r="Q1179" s="3"/>
      <c r="R1179" s="3"/>
    </row>
    <row r="1180" spans="1:18" x14ac:dyDescent="0.25">
      <c r="A1180" s="2">
        <v>2393</v>
      </c>
      <c r="B1180" s="7" t="s">
        <v>7016</v>
      </c>
      <c r="C1180" s="7" t="s">
        <v>7017</v>
      </c>
      <c r="D1180" s="7" t="s">
        <v>7016</v>
      </c>
      <c r="E1180" s="7" t="s">
        <v>182</v>
      </c>
      <c r="F1180" s="7" t="s">
        <v>7018</v>
      </c>
      <c r="G1180" s="17" t="s">
        <v>7747</v>
      </c>
      <c r="H1180" s="7" t="s">
        <v>28</v>
      </c>
      <c r="I1180" s="7" t="s">
        <v>1766</v>
      </c>
      <c r="J1180" s="7" t="s">
        <v>185</v>
      </c>
      <c r="K1180" s="7" t="s">
        <v>1322</v>
      </c>
      <c r="L1180" s="7" t="s">
        <v>136</v>
      </c>
      <c r="M1180" s="7">
        <v>3.80403</v>
      </c>
      <c r="N1180" s="7">
        <v>11.473371999999999</v>
      </c>
      <c r="O1180" s="7" t="s">
        <v>613</v>
      </c>
      <c r="P1180" s="3"/>
      <c r="Q1180" s="3"/>
      <c r="R1180" s="3"/>
    </row>
    <row r="1181" spans="1:18" x14ac:dyDescent="0.25">
      <c r="A1181" s="2">
        <v>2394</v>
      </c>
      <c r="B1181" s="7" t="s">
        <v>7019</v>
      </c>
      <c r="C1181" s="7" t="s">
        <v>7020</v>
      </c>
      <c r="D1181" s="7" t="s">
        <v>7019</v>
      </c>
      <c r="E1181" s="7" t="s">
        <v>182</v>
      </c>
      <c r="F1181" s="7" t="s">
        <v>7021</v>
      </c>
      <c r="G1181" s="17" t="s">
        <v>7747</v>
      </c>
      <c r="H1181" s="7" t="s">
        <v>28</v>
      </c>
      <c r="I1181" s="7" t="s">
        <v>275</v>
      </c>
      <c r="J1181" s="7" t="s">
        <v>7015</v>
      </c>
      <c r="K1181" s="7" t="s">
        <v>1322</v>
      </c>
      <c r="L1181" s="7" t="s">
        <v>136</v>
      </c>
      <c r="M1181" s="7">
        <v>3.8171309999999998</v>
      </c>
      <c r="N1181" s="7">
        <v>11.446111</v>
      </c>
      <c r="O1181" s="7" t="s">
        <v>23</v>
      </c>
      <c r="P1181" s="3"/>
      <c r="Q1181" s="3"/>
      <c r="R1181" s="3"/>
    </row>
    <row r="1182" spans="1:18" x14ac:dyDescent="0.25">
      <c r="A1182" s="2">
        <v>2395</v>
      </c>
      <c r="B1182" s="7" t="s">
        <v>7028</v>
      </c>
      <c r="C1182" s="7" t="s">
        <v>7029</v>
      </c>
      <c r="D1182" s="7" t="s">
        <v>7028</v>
      </c>
      <c r="E1182" s="7" t="s">
        <v>182</v>
      </c>
      <c r="F1182" s="7" t="s">
        <v>7030</v>
      </c>
      <c r="G1182" s="17" t="s">
        <v>7747</v>
      </c>
      <c r="H1182" s="7" t="s">
        <v>28</v>
      </c>
      <c r="I1182" s="7" t="s">
        <v>1553</v>
      </c>
      <c r="J1182" s="7" t="s">
        <v>826</v>
      </c>
      <c r="K1182" s="7" t="s">
        <v>819</v>
      </c>
      <c r="L1182" s="7" t="s">
        <v>136</v>
      </c>
      <c r="M1182" s="7">
        <v>3.8697780000000002</v>
      </c>
      <c r="N1182" s="7">
        <v>11.631588000000001</v>
      </c>
      <c r="O1182" s="7" t="s">
        <v>613</v>
      </c>
      <c r="P1182" s="3"/>
      <c r="Q1182" s="3"/>
      <c r="R1182" s="3"/>
    </row>
    <row r="1183" spans="1:18" x14ac:dyDescent="0.25">
      <c r="A1183" s="2">
        <v>2396</v>
      </c>
      <c r="B1183" s="7" t="s">
        <v>7034</v>
      </c>
      <c r="C1183" s="7" t="s">
        <v>7035</v>
      </c>
      <c r="D1183" s="7" t="s">
        <v>7034</v>
      </c>
      <c r="E1183" s="7" t="s">
        <v>182</v>
      </c>
      <c r="F1183" s="7" t="s">
        <v>7036</v>
      </c>
      <c r="G1183" s="17" t="s">
        <v>7747</v>
      </c>
      <c r="H1183" s="7" t="s">
        <v>28</v>
      </c>
      <c r="I1183" s="7" t="s">
        <v>1284</v>
      </c>
      <c r="J1183" s="7" t="s">
        <v>7008</v>
      </c>
      <c r="K1183" s="7" t="s">
        <v>1322</v>
      </c>
      <c r="L1183" s="7" t="s">
        <v>136</v>
      </c>
      <c r="M1183" s="7">
        <v>3.8241000000000001</v>
      </c>
      <c r="N1183" s="7">
        <v>11.479200000000001</v>
      </c>
      <c r="O1183" s="7" t="s">
        <v>613</v>
      </c>
      <c r="P1183" s="3"/>
      <c r="Q1183" s="3"/>
      <c r="R1183" s="3"/>
    </row>
    <row r="1184" spans="1:18" x14ac:dyDescent="0.25">
      <c r="A1184" s="2">
        <v>2397</v>
      </c>
      <c r="B1184" s="7" t="s">
        <v>7068</v>
      </c>
      <c r="C1184" s="7" t="s">
        <v>7069</v>
      </c>
      <c r="D1184" s="7" t="s">
        <v>7068</v>
      </c>
      <c r="E1184" s="7" t="s">
        <v>182</v>
      </c>
      <c r="F1184" s="7" t="s">
        <v>7070</v>
      </c>
      <c r="G1184" s="17" t="s">
        <v>7747</v>
      </c>
      <c r="H1184" s="7" t="s">
        <v>28</v>
      </c>
      <c r="I1184" s="7" t="s">
        <v>1553</v>
      </c>
      <c r="J1184" s="7" t="s">
        <v>826</v>
      </c>
      <c r="K1184" s="7" t="s">
        <v>819</v>
      </c>
      <c r="L1184" s="7" t="s">
        <v>136</v>
      </c>
      <c r="M1184" s="7">
        <v>3.8626200000000002</v>
      </c>
      <c r="N1184" s="7">
        <v>11.585750000000001</v>
      </c>
      <c r="O1184" s="7" t="s">
        <v>23</v>
      </c>
      <c r="P1184" s="3"/>
      <c r="Q1184" s="3"/>
      <c r="R1184" s="3"/>
    </row>
    <row r="1185" spans="1:18" x14ac:dyDescent="0.25">
      <c r="A1185" s="2">
        <v>2398</v>
      </c>
      <c r="B1185" s="7" t="s">
        <v>7083</v>
      </c>
      <c r="C1185" s="7" t="s">
        <v>7084</v>
      </c>
      <c r="D1185" s="7" t="s">
        <v>7083</v>
      </c>
      <c r="E1185" s="7" t="s">
        <v>182</v>
      </c>
      <c r="F1185" s="7" t="s">
        <v>7085</v>
      </c>
      <c r="G1185" s="17" t="s">
        <v>7747</v>
      </c>
      <c r="H1185" s="7" t="s">
        <v>28</v>
      </c>
      <c r="I1185" s="7" t="s">
        <v>1385</v>
      </c>
      <c r="J1185" s="7" t="s">
        <v>185</v>
      </c>
      <c r="K1185" s="7" t="s">
        <v>6974</v>
      </c>
      <c r="L1185" s="7" t="s">
        <v>136</v>
      </c>
      <c r="M1185" s="7">
        <v>3.760043</v>
      </c>
      <c r="N1185" s="7">
        <v>11.5185</v>
      </c>
      <c r="O1185" s="7" t="s">
        <v>23</v>
      </c>
      <c r="P1185" s="3"/>
      <c r="Q1185" s="3"/>
      <c r="R1185" s="3"/>
    </row>
    <row r="1186" spans="1:18" x14ac:dyDescent="0.25">
      <c r="A1186" s="2">
        <v>2399</v>
      </c>
      <c r="B1186" s="7" t="s">
        <v>7109</v>
      </c>
      <c r="C1186" s="7" t="s">
        <v>7110</v>
      </c>
      <c r="D1186" s="7" t="s">
        <v>7109</v>
      </c>
      <c r="E1186" s="7" t="s">
        <v>182</v>
      </c>
      <c r="F1186" s="7" t="s">
        <v>7111</v>
      </c>
      <c r="G1186" s="17" t="s">
        <v>7747</v>
      </c>
      <c r="H1186" s="7" t="s">
        <v>28</v>
      </c>
      <c r="I1186" s="7" t="s">
        <v>286</v>
      </c>
      <c r="J1186" s="7" t="s">
        <v>7112</v>
      </c>
      <c r="K1186" s="7" t="s">
        <v>1745</v>
      </c>
      <c r="L1186" s="7" t="s">
        <v>136</v>
      </c>
      <c r="M1186" s="7">
        <v>4.4929490000000003</v>
      </c>
      <c r="N1186" s="7">
        <v>12.000976</v>
      </c>
      <c r="O1186" s="7" t="s">
        <v>23</v>
      </c>
      <c r="P1186" s="3"/>
      <c r="Q1186" s="3"/>
      <c r="R1186" s="3"/>
    </row>
    <row r="1187" spans="1:18" x14ac:dyDescent="0.25">
      <c r="A1187" s="2">
        <v>2400</v>
      </c>
      <c r="B1187" s="7" t="s">
        <v>7127</v>
      </c>
      <c r="C1187" s="7" t="s">
        <v>7128</v>
      </c>
      <c r="D1187" s="7" t="s">
        <v>7127</v>
      </c>
      <c r="E1187" s="7" t="s">
        <v>182</v>
      </c>
      <c r="F1187" s="7" t="s">
        <v>7129</v>
      </c>
      <c r="G1187" s="17" t="s">
        <v>7747</v>
      </c>
      <c r="H1187" s="7" t="s">
        <v>28</v>
      </c>
      <c r="I1187" s="7" t="s">
        <v>184</v>
      </c>
      <c r="J1187" s="7" t="s">
        <v>6664</v>
      </c>
      <c r="K1187" s="7" t="s">
        <v>1435</v>
      </c>
      <c r="L1187" s="7" t="s">
        <v>136</v>
      </c>
      <c r="M1187" s="7">
        <v>3.918361</v>
      </c>
      <c r="N1187" s="7">
        <v>11.56162</v>
      </c>
      <c r="O1187" s="7" t="s">
        <v>613</v>
      </c>
      <c r="P1187" s="3"/>
      <c r="Q1187" s="3"/>
      <c r="R1187" s="3"/>
    </row>
    <row r="1188" spans="1:18" x14ac:dyDescent="0.25">
      <c r="A1188" s="2">
        <v>2402</v>
      </c>
      <c r="B1188" s="7" t="s">
        <v>7171</v>
      </c>
      <c r="C1188" s="7" t="s">
        <v>7172</v>
      </c>
      <c r="D1188" s="7" t="s">
        <v>7171</v>
      </c>
      <c r="E1188" s="7" t="s">
        <v>182</v>
      </c>
      <c r="F1188" s="7" t="s">
        <v>7173</v>
      </c>
      <c r="G1188" s="17" t="s">
        <v>7747</v>
      </c>
      <c r="H1188" s="7" t="s">
        <v>28</v>
      </c>
      <c r="I1188" s="7" t="s">
        <v>286</v>
      </c>
      <c r="J1188" s="7" t="s">
        <v>6664</v>
      </c>
      <c r="K1188" s="7" t="s">
        <v>4539</v>
      </c>
      <c r="L1188" s="7" t="s">
        <v>136</v>
      </c>
      <c r="M1188" s="7">
        <v>4.0214299999999996</v>
      </c>
      <c r="N1188" s="7">
        <v>11.556179999999999</v>
      </c>
      <c r="O1188" s="7" t="s">
        <v>613</v>
      </c>
      <c r="P1188" s="3"/>
      <c r="Q1188" s="3"/>
      <c r="R1188" s="3"/>
    </row>
    <row r="1189" spans="1:18" x14ac:dyDescent="0.25">
      <c r="A1189" s="2">
        <v>2403</v>
      </c>
      <c r="B1189" s="7" t="s">
        <v>7177</v>
      </c>
      <c r="C1189" s="7" t="s">
        <v>7178</v>
      </c>
      <c r="D1189" s="7" t="s">
        <v>7177</v>
      </c>
      <c r="E1189" s="7" t="s">
        <v>182</v>
      </c>
      <c r="F1189" s="7" t="s">
        <v>7179</v>
      </c>
      <c r="G1189" s="17" t="s">
        <v>7747</v>
      </c>
      <c r="H1189" s="7" t="s">
        <v>28</v>
      </c>
      <c r="I1189" s="7" t="s">
        <v>1766</v>
      </c>
      <c r="J1189" s="7" t="s">
        <v>185</v>
      </c>
      <c r="K1189" s="7" t="s">
        <v>6942</v>
      </c>
      <c r="L1189" s="7" t="s">
        <v>136</v>
      </c>
      <c r="M1189" s="7">
        <v>3.95418</v>
      </c>
      <c r="N1189" s="7">
        <v>11.52108</v>
      </c>
      <c r="O1189" s="7" t="s">
        <v>613</v>
      </c>
      <c r="P1189" s="3"/>
      <c r="Q1189" s="3"/>
      <c r="R1189" s="3"/>
    </row>
    <row r="1190" spans="1:18" x14ac:dyDescent="0.25">
      <c r="A1190" s="2">
        <v>2404</v>
      </c>
      <c r="B1190" s="7" t="s">
        <v>7180</v>
      </c>
      <c r="C1190" s="7" t="s">
        <v>7181</v>
      </c>
      <c r="D1190" s="7" t="s">
        <v>7180</v>
      </c>
      <c r="E1190" s="7" t="s">
        <v>182</v>
      </c>
      <c r="F1190" s="7" t="s">
        <v>7182</v>
      </c>
      <c r="G1190" s="17" t="s">
        <v>7747</v>
      </c>
      <c r="H1190" s="7" t="s">
        <v>28</v>
      </c>
      <c r="I1190" s="7" t="s">
        <v>1284</v>
      </c>
      <c r="J1190" s="7" t="s">
        <v>7015</v>
      </c>
      <c r="K1190" s="7" t="s">
        <v>1802</v>
      </c>
      <c r="L1190" s="7" t="s">
        <v>136</v>
      </c>
      <c r="M1190" s="7">
        <v>3.7693099999999999</v>
      </c>
      <c r="N1190" s="7">
        <v>11.454560000000001</v>
      </c>
      <c r="O1190" s="7" t="s">
        <v>23</v>
      </c>
      <c r="P1190" s="3"/>
      <c r="Q1190" s="3"/>
      <c r="R1190" s="3"/>
    </row>
    <row r="1191" spans="1:18" x14ac:dyDescent="0.25">
      <c r="A1191" s="2">
        <v>2405</v>
      </c>
      <c r="B1191" s="7" t="s">
        <v>7186</v>
      </c>
      <c r="C1191" s="7" t="s">
        <v>7187</v>
      </c>
      <c r="D1191" s="7" t="s">
        <v>7186</v>
      </c>
      <c r="E1191" s="7" t="s">
        <v>182</v>
      </c>
      <c r="F1191" s="7" t="s">
        <v>7188</v>
      </c>
      <c r="G1191" s="17" t="s">
        <v>7747</v>
      </c>
      <c r="H1191" s="7" t="s">
        <v>28</v>
      </c>
      <c r="I1191" s="7" t="s">
        <v>297</v>
      </c>
      <c r="J1191" s="7" t="s">
        <v>7008</v>
      </c>
      <c r="K1191" s="7" t="s">
        <v>1322</v>
      </c>
      <c r="L1191" s="7" t="s">
        <v>136</v>
      </c>
      <c r="M1191" s="7">
        <v>3.8736299999999999</v>
      </c>
      <c r="N1191" s="7">
        <v>11.433859999999999</v>
      </c>
      <c r="O1191" s="7" t="s">
        <v>613</v>
      </c>
      <c r="P1191" s="3"/>
      <c r="Q1191" s="3"/>
      <c r="R1191" s="3"/>
    </row>
    <row r="1192" spans="1:18" x14ac:dyDescent="0.25">
      <c r="A1192" s="2">
        <v>2406</v>
      </c>
      <c r="B1192" s="7" t="s">
        <v>7195</v>
      </c>
      <c r="C1192" s="7" t="s">
        <v>7196</v>
      </c>
      <c r="D1192" s="7" t="s">
        <v>7195</v>
      </c>
      <c r="E1192" s="7" t="s">
        <v>182</v>
      </c>
      <c r="F1192" s="7" t="s">
        <v>7197</v>
      </c>
      <c r="G1192" s="17" t="s">
        <v>7747</v>
      </c>
      <c r="H1192" s="7" t="s">
        <v>28</v>
      </c>
      <c r="I1192" s="7" t="s">
        <v>275</v>
      </c>
      <c r="J1192" s="7" t="s">
        <v>7008</v>
      </c>
      <c r="K1192" s="7" t="s">
        <v>1322</v>
      </c>
      <c r="L1192" s="7" t="s">
        <v>136</v>
      </c>
      <c r="M1192" s="7">
        <v>3.7940399999999999</v>
      </c>
      <c r="N1192" s="7">
        <v>11.457850000000001</v>
      </c>
      <c r="O1192" s="7" t="s">
        <v>613</v>
      </c>
      <c r="P1192" s="3"/>
      <c r="Q1192" s="3"/>
      <c r="R1192" s="3"/>
    </row>
    <row r="1193" spans="1:18" x14ac:dyDescent="0.25">
      <c r="A1193" s="2">
        <v>2407</v>
      </c>
      <c r="B1193" s="7" t="s">
        <v>7218</v>
      </c>
      <c r="C1193" s="7" t="s">
        <v>7219</v>
      </c>
      <c r="D1193" s="7" t="s">
        <v>7218</v>
      </c>
      <c r="E1193" s="7" t="s">
        <v>7220</v>
      </c>
      <c r="F1193" s="7" t="s">
        <v>7221</v>
      </c>
      <c r="G1193" s="17" t="s">
        <v>7747</v>
      </c>
      <c r="H1193" s="7" t="s">
        <v>28</v>
      </c>
      <c r="I1193" s="7" t="s">
        <v>322</v>
      </c>
      <c r="J1193" s="7" t="s">
        <v>7089</v>
      </c>
      <c r="K1193" s="7" t="s">
        <v>322</v>
      </c>
      <c r="L1193" s="7" t="s">
        <v>136</v>
      </c>
      <c r="M1193" s="7">
        <v>2.9864000000000002</v>
      </c>
      <c r="N1193" s="7">
        <v>11.962</v>
      </c>
      <c r="O1193" s="7" t="s">
        <v>23</v>
      </c>
      <c r="P1193" s="3"/>
      <c r="Q1193" s="3"/>
      <c r="R1193" s="3"/>
    </row>
    <row r="1194" spans="1:18" x14ac:dyDescent="0.25">
      <c r="A1194" s="2">
        <v>2408</v>
      </c>
      <c r="B1194" s="7" t="s">
        <v>7222</v>
      </c>
      <c r="C1194" s="7" t="s">
        <v>7223</v>
      </c>
      <c r="D1194" s="7" t="s">
        <v>7222</v>
      </c>
      <c r="E1194" s="7" t="s">
        <v>250</v>
      </c>
      <c r="F1194" s="7" t="s">
        <v>7224</v>
      </c>
      <c r="G1194" s="17" t="s">
        <v>7747</v>
      </c>
      <c r="H1194" s="7" t="s">
        <v>28</v>
      </c>
      <c r="I1194" s="7" t="s">
        <v>341</v>
      </c>
      <c r="J1194" s="7" t="s">
        <v>7225</v>
      </c>
      <c r="K1194" s="7" t="s">
        <v>341</v>
      </c>
      <c r="L1194" s="7" t="s">
        <v>136</v>
      </c>
      <c r="M1194" s="7">
        <v>3.467028</v>
      </c>
      <c r="N1194" s="7">
        <v>11.5405</v>
      </c>
      <c r="O1194" s="7" t="s">
        <v>23</v>
      </c>
      <c r="P1194" s="3"/>
      <c r="Q1194" s="3"/>
      <c r="R1194" s="3"/>
    </row>
    <row r="1195" spans="1:18" x14ac:dyDescent="0.25">
      <c r="A1195" s="2">
        <v>2409</v>
      </c>
      <c r="B1195" s="7" t="s">
        <v>7229</v>
      </c>
      <c r="C1195" s="7" t="s">
        <v>7230</v>
      </c>
      <c r="D1195" s="7" t="s">
        <v>7229</v>
      </c>
      <c r="E1195" s="7" t="s">
        <v>7220</v>
      </c>
      <c r="F1195" s="7" t="s">
        <v>7231</v>
      </c>
      <c r="G1195" s="17" t="s">
        <v>7747</v>
      </c>
      <c r="H1195" s="7" t="s">
        <v>28</v>
      </c>
      <c r="I1195" s="7" t="s">
        <v>322</v>
      </c>
      <c r="J1195" s="7" t="s">
        <v>7089</v>
      </c>
      <c r="K1195" s="7" t="s">
        <v>6114</v>
      </c>
      <c r="L1195" s="7" t="s">
        <v>136</v>
      </c>
      <c r="M1195" s="7">
        <v>2.959457</v>
      </c>
      <c r="N1195" s="7">
        <v>11.920819</v>
      </c>
      <c r="O1195" s="7" t="s">
        <v>23</v>
      </c>
      <c r="P1195" s="3"/>
      <c r="Q1195" s="3"/>
      <c r="R1195" s="3"/>
    </row>
    <row r="1196" spans="1:18" x14ac:dyDescent="0.25">
      <c r="A1196" s="2">
        <v>2410</v>
      </c>
      <c r="B1196" s="7" t="s">
        <v>7236</v>
      </c>
      <c r="C1196" s="7" t="s">
        <v>7237</v>
      </c>
      <c r="D1196" s="7" t="s">
        <v>7236</v>
      </c>
      <c r="E1196" s="7" t="s">
        <v>250</v>
      </c>
      <c r="F1196" s="7" t="s">
        <v>7238</v>
      </c>
      <c r="G1196" s="17" t="s">
        <v>7747</v>
      </c>
      <c r="H1196" s="7" t="s">
        <v>28</v>
      </c>
      <c r="I1196" s="7" t="s">
        <v>322</v>
      </c>
      <c r="J1196" s="7" t="s">
        <v>7089</v>
      </c>
      <c r="K1196" s="7" t="s">
        <v>322</v>
      </c>
      <c r="L1196" s="7" t="s">
        <v>136</v>
      </c>
      <c r="M1196" s="7">
        <v>2.9645277999999999</v>
      </c>
      <c r="N1196" s="7">
        <v>11.6866389</v>
      </c>
      <c r="O1196" s="7" t="s">
        <v>23</v>
      </c>
      <c r="P1196" s="3"/>
      <c r="Q1196" s="3"/>
      <c r="R1196" s="3"/>
    </row>
    <row r="1197" spans="1:18" x14ac:dyDescent="0.25">
      <c r="A1197" s="2">
        <v>2411</v>
      </c>
      <c r="B1197" s="7" t="s">
        <v>7239</v>
      </c>
      <c r="C1197" s="7" t="s">
        <v>7240</v>
      </c>
      <c r="D1197" s="7" t="s">
        <v>7239</v>
      </c>
      <c r="E1197" s="7" t="s">
        <v>250</v>
      </c>
      <c r="F1197" s="7" t="s">
        <v>7241</v>
      </c>
      <c r="G1197" s="17" t="s">
        <v>7747</v>
      </c>
      <c r="H1197" s="7" t="s">
        <v>28</v>
      </c>
      <c r="I1197" s="7" t="s">
        <v>322</v>
      </c>
      <c r="J1197" s="7" t="s">
        <v>7093</v>
      </c>
      <c r="K1197" s="7" t="s">
        <v>7242</v>
      </c>
      <c r="L1197" s="7" t="s">
        <v>136</v>
      </c>
      <c r="M1197" s="7">
        <v>3.1923620000000001</v>
      </c>
      <c r="N1197" s="7">
        <v>11.803162</v>
      </c>
      <c r="O1197" s="7" t="s">
        <v>23</v>
      </c>
      <c r="P1197" s="3"/>
      <c r="Q1197" s="3"/>
      <c r="R1197" s="3"/>
    </row>
    <row r="1198" spans="1:18" x14ac:dyDescent="0.25">
      <c r="A1198" s="2">
        <v>2412</v>
      </c>
      <c r="B1198" s="7" t="s">
        <v>7243</v>
      </c>
      <c r="C1198" s="7" t="s">
        <v>7244</v>
      </c>
      <c r="D1198" s="7" t="s">
        <v>7243</v>
      </c>
      <c r="E1198" s="7" t="s">
        <v>7220</v>
      </c>
      <c r="F1198" s="7" t="s">
        <v>7245</v>
      </c>
      <c r="G1198" s="17" t="s">
        <v>7747</v>
      </c>
      <c r="H1198" s="7" t="s">
        <v>28</v>
      </c>
      <c r="I1198" s="7" t="s">
        <v>322</v>
      </c>
      <c r="J1198" s="7" t="s">
        <v>7089</v>
      </c>
      <c r="K1198" s="7" t="s">
        <v>322</v>
      </c>
      <c r="L1198" s="7" t="s">
        <v>136</v>
      </c>
      <c r="M1198" s="7">
        <v>3.3217189999999999</v>
      </c>
      <c r="N1198" s="7">
        <v>11.824458999999999</v>
      </c>
      <c r="O1198" s="7" t="s">
        <v>23</v>
      </c>
      <c r="P1198" s="3"/>
      <c r="Q1198" s="3"/>
      <c r="R1198" s="3"/>
    </row>
    <row r="1199" spans="1:18" x14ac:dyDescent="0.25">
      <c r="A1199" s="2">
        <v>2413</v>
      </c>
      <c r="B1199" s="7" t="s">
        <v>7246</v>
      </c>
      <c r="C1199" s="7" t="s">
        <v>7247</v>
      </c>
      <c r="D1199" s="7" t="s">
        <v>7246</v>
      </c>
      <c r="E1199" s="7" t="s">
        <v>182</v>
      </c>
      <c r="F1199" s="7" t="s">
        <v>7248</v>
      </c>
      <c r="G1199" s="17" t="s">
        <v>7747</v>
      </c>
      <c r="H1199" s="7" t="s">
        <v>28</v>
      </c>
      <c r="I1199" s="7" t="s">
        <v>600</v>
      </c>
      <c r="J1199" s="7" t="s">
        <v>7249</v>
      </c>
      <c r="K1199" s="7" t="s">
        <v>7250</v>
      </c>
      <c r="L1199" s="7" t="s">
        <v>136</v>
      </c>
      <c r="M1199" s="7">
        <v>3.95</v>
      </c>
      <c r="N1199" s="7">
        <v>10.915361000000001</v>
      </c>
      <c r="O1199" s="7" t="s">
        <v>23</v>
      </c>
      <c r="P1199" s="3"/>
      <c r="Q1199" s="3"/>
      <c r="R1199" s="3"/>
    </row>
    <row r="1200" spans="1:18" x14ac:dyDescent="0.25">
      <c r="A1200" s="2">
        <v>2414</v>
      </c>
      <c r="B1200" s="7" t="s">
        <v>7251</v>
      </c>
      <c r="C1200" s="7" t="s">
        <v>7252</v>
      </c>
      <c r="D1200" s="7" t="s">
        <v>7251</v>
      </c>
      <c r="E1200" s="7" t="s">
        <v>182</v>
      </c>
      <c r="F1200" s="7" t="s">
        <v>7253</v>
      </c>
      <c r="G1200" s="17" t="s">
        <v>7747</v>
      </c>
      <c r="H1200" s="7" t="s">
        <v>28</v>
      </c>
      <c r="I1200" s="7" t="s">
        <v>286</v>
      </c>
      <c r="J1200" s="7" t="s">
        <v>7254</v>
      </c>
      <c r="K1200" s="7" t="s">
        <v>337</v>
      </c>
      <c r="L1200" s="7" t="s">
        <v>136</v>
      </c>
      <c r="M1200" s="7">
        <v>4.2207309999999998</v>
      </c>
      <c r="N1200" s="7">
        <v>11.59735</v>
      </c>
      <c r="O1200" s="7" t="s">
        <v>23</v>
      </c>
      <c r="P1200" s="3"/>
      <c r="Q1200" s="3"/>
      <c r="R1200" s="3"/>
    </row>
    <row r="1201" spans="1:18" x14ac:dyDescent="0.25">
      <c r="A1201" s="2">
        <v>2415</v>
      </c>
      <c r="B1201" s="7" t="s">
        <v>7255</v>
      </c>
      <c r="C1201" s="7" t="s">
        <v>7256</v>
      </c>
      <c r="D1201" s="7" t="s">
        <v>7255</v>
      </c>
      <c r="E1201" s="7" t="s">
        <v>182</v>
      </c>
      <c r="F1201" s="7" t="s">
        <v>7257</v>
      </c>
      <c r="G1201" s="17" t="s">
        <v>7747</v>
      </c>
      <c r="H1201" s="7" t="s">
        <v>28</v>
      </c>
      <c r="I1201" s="7" t="s">
        <v>297</v>
      </c>
      <c r="J1201" s="7" t="s">
        <v>7258</v>
      </c>
      <c r="K1201" s="7" t="s">
        <v>645</v>
      </c>
      <c r="L1201" s="7" t="s">
        <v>136</v>
      </c>
      <c r="M1201" s="7">
        <v>3.9006110999999999</v>
      </c>
      <c r="N1201" s="7">
        <v>11.1751389</v>
      </c>
      <c r="O1201" s="7" t="s">
        <v>23</v>
      </c>
      <c r="P1201" s="3"/>
      <c r="Q1201" s="3"/>
      <c r="R1201" s="3"/>
    </row>
    <row r="1202" spans="1:18" x14ac:dyDescent="0.25">
      <c r="A1202" s="2">
        <v>2416</v>
      </c>
      <c r="B1202" s="7" t="s">
        <v>7269</v>
      </c>
      <c r="C1202" s="7" t="s">
        <v>7270</v>
      </c>
      <c r="D1202" s="7" t="s">
        <v>7269</v>
      </c>
      <c r="E1202" s="7" t="s">
        <v>250</v>
      </c>
      <c r="F1202" s="7" t="s">
        <v>7271</v>
      </c>
      <c r="G1202" s="17" t="s">
        <v>7747</v>
      </c>
      <c r="H1202" s="7" t="s">
        <v>28</v>
      </c>
      <c r="I1202" s="7" t="s">
        <v>322</v>
      </c>
      <c r="J1202" s="7" t="s">
        <v>7089</v>
      </c>
      <c r="K1202" s="7" t="s">
        <v>7272</v>
      </c>
      <c r="L1202" s="7" t="s">
        <v>136</v>
      </c>
      <c r="M1202" s="7">
        <v>2.9636469999999999</v>
      </c>
      <c r="N1202" s="7">
        <v>12.211558</v>
      </c>
      <c r="O1202" s="7" t="s">
        <v>23</v>
      </c>
      <c r="P1202" s="3"/>
      <c r="Q1202" s="3"/>
      <c r="R1202" s="3"/>
    </row>
    <row r="1203" spans="1:18" x14ac:dyDescent="0.25">
      <c r="A1203" s="2">
        <v>2417</v>
      </c>
      <c r="B1203" s="7" t="s">
        <v>7348</v>
      </c>
      <c r="C1203" s="7" t="s">
        <v>7349</v>
      </c>
      <c r="D1203" s="7" t="s">
        <v>7348</v>
      </c>
      <c r="E1203" s="7" t="s">
        <v>182</v>
      </c>
      <c r="F1203" s="7" t="s">
        <v>7350</v>
      </c>
      <c r="G1203" s="17" t="s">
        <v>7747</v>
      </c>
      <c r="H1203" s="7" t="s">
        <v>28</v>
      </c>
      <c r="I1203" s="7" t="s">
        <v>7351</v>
      </c>
      <c r="J1203" s="7" t="s">
        <v>185</v>
      </c>
      <c r="K1203" s="7" t="s">
        <v>6942</v>
      </c>
      <c r="L1203" s="7" t="s">
        <v>136</v>
      </c>
      <c r="M1203" s="7">
        <v>3.8658361000000001</v>
      </c>
      <c r="N1203" s="7">
        <v>11.5162944</v>
      </c>
      <c r="O1203" s="7" t="s">
        <v>613</v>
      </c>
      <c r="P1203" s="3"/>
      <c r="Q1203" s="3"/>
      <c r="R1203" s="3"/>
    </row>
    <row r="1204" spans="1:18" x14ac:dyDescent="0.25">
      <c r="A1204" s="2">
        <v>2418</v>
      </c>
      <c r="B1204" s="7" t="s">
        <v>7381</v>
      </c>
      <c r="C1204" s="7" t="s">
        <v>7382</v>
      </c>
      <c r="D1204" s="7" t="s">
        <v>7381</v>
      </c>
      <c r="E1204" s="7" t="s">
        <v>182</v>
      </c>
      <c r="F1204" s="7" t="s">
        <v>7383</v>
      </c>
      <c r="G1204" s="17" t="s">
        <v>7747</v>
      </c>
      <c r="H1204" s="7" t="s">
        <v>28</v>
      </c>
      <c r="I1204" s="7" t="s">
        <v>275</v>
      </c>
      <c r="J1204" s="7" t="s">
        <v>7384</v>
      </c>
      <c r="K1204" s="7" t="s">
        <v>7385</v>
      </c>
      <c r="L1204" s="7" t="s">
        <v>136</v>
      </c>
      <c r="M1204" s="7">
        <v>3.8008739999999999</v>
      </c>
      <c r="N1204" s="7">
        <v>11.447773</v>
      </c>
      <c r="O1204" s="7" t="s">
        <v>613</v>
      </c>
      <c r="P1204" s="3"/>
      <c r="Q1204" s="3"/>
      <c r="R1204" s="3"/>
    </row>
    <row r="1205" spans="1:18" x14ac:dyDescent="0.25">
      <c r="A1205" s="2">
        <v>2419</v>
      </c>
      <c r="B1205" s="7" t="s">
        <v>7409</v>
      </c>
      <c r="C1205" s="7" t="s">
        <v>7410</v>
      </c>
      <c r="D1205" s="7" t="s">
        <v>7409</v>
      </c>
      <c r="E1205" s="7" t="s">
        <v>182</v>
      </c>
      <c r="F1205" s="7" t="s">
        <v>7411</v>
      </c>
      <c r="G1205" s="17" t="s">
        <v>7747</v>
      </c>
      <c r="H1205" s="7" t="s">
        <v>28</v>
      </c>
      <c r="I1205" s="7" t="s">
        <v>1553</v>
      </c>
      <c r="J1205" s="7" t="s">
        <v>185</v>
      </c>
      <c r="K1205" s="7" t="s">
        <v>819</v>
      </c>
      <c r="L1205" s="7" t="s">
        <v>136</v>
      </c>
      <c r="M1205" s="7">
        <v>3.8499530000000002</v>
      </c>
      <c r="N1205" s="7">
        <v>11.619197</v>
      </c>
      <c r="O1205" s="7" t="s">
        <v>23</v>
      </c>
      <c r="P1205" s="3"/>
      <c r="Q1205" s="3"/>
      <c r="R1205" s="3"/>
    </row>
    <row r="1206" spans="1:18" x14ac:dyDescent="0.25">
      <c r="A1206" s="2">
        <v>2420</v>
      </c>
      <c r="B1206" s="7" t="s">
        <v>7412</v>
      </c>
      <c r="C1206" s="7" t="s">
        <v>7413</v>
      </c>
      <c r="D1206" s="7" t="s">
        <v>7412</v>
      </c>
      <c r="E1206" s="7" t="s">
        <v>182</v>
      </c>
      <c r="F1206" s="7" t="s">
        <v>7414</v>
      </c>
      <c r="G1206" s="17" t="s">
        <v>7747</v>
      </c>
      <c r="H1206" s="7" t="s">
        <v>28</v>
      </c>
      <c r="I1206" s="7" t="s">
        <v>275</v>
      </c>
      <c r="J1206" s="7" t="s">
        <v>7008</v>
      </c>
      <c r="K1206" s="7" t="s">
        <v>1322</v>
      </c>
      <c r="L1206" s="7" t="s">
        <v>136</v>
      </c>
      <c r="M1206" s="7">
        <v>3.8207</v>
      </c>
      <c r="N1206" s="7">
        <v>11.454499999999999</v>
      </c>
      <c r="O1206" s="7" t="s">
        <v>23</v>
      </c>
      <c r="P1206" s="3"/>
      <c r="Q1206" s="3"/>
      <c r="R1206" s="3"/>
    </row>
    <row r="1207" spans="1:18" x14ac:dyDescent="0.25">
      <c r="A1207" s="2">
        <v>2421</v>
      </c>
      <c r="B1207" s="7" t="s">
        <v>7421</v>
      </c>
      <c r="C1207" s="7" t="s">
        <v>7422</v>
      </c>
      <c r="D1207" s="7" t="s">
        <v>7421</v>
      </c>
      <c r="E1207" s="7" t="s">
        <v>182</v>
      </c>
      <c r="F1207" s="7" t="s">
        <v>7423</v>
      </c>
      <c r="G1207" s="17" t="s">
        <v>7747</v>
      </c>
      <c r="H1207" s="7" t="s">
        <v>28</v>
      </c>
      <c r="I1207" s="7" t="s">
        <v>1553</v>
      </c>
      <c r="J1207" s="7" t="s">
        <v>7008</v>
      </c>
      <c r="K1207" s="7" t="s">
        <v>1322</v>
      </c>
      <c r="L1207" s="7" t="s">
        <v>136</v>
      </c>
      <c r="M1207" s="7">
        <v>3.8071329999999999</v>
      </c>
      <c r="N1207" s="7">
        <v>11.56122</v>
      </c>
      <c r="O1207" s="7" t="s">
        <v>23</v>
      </c>
      <c r="P1207" s="3"/>
      <c r="Q1207" s="3"/>
      <c r="R1207" s="3"/>
    </row>
    <row r="1208" spans="1:18" x14ac:dyDescent="0.25">
      <c r="A1208" s="2">
        <v>2422</v>
      </c>
      <c r="B1208" s="7" t="s">
        <v>7424</v>
      </c>
      <c r="C1208" s="7" t="s">
        <v>7425</v>
      </c>
      <c r="D1208" s="7" t="s">
        <v>7424</v>
      </c>
      <c r="E1208" s="7" t="s">
        <v>182</v>
      </c>
      <c r="F1208" s="7" t="s">
        <v>7426</v>
      </c>
      <c r="G1208" s="17" t="s">
        <v>7747</v>
      </c>
      <c r="H1208" s="7" t="s">
        <v>28</v>
      </c>
      <c r="I1208" s="7" t="s">
        <v>1552</v>
      </c>
      <c r="J1208" s="7" t="s">
        <v>185</v>
      </c>
      <c r="K1208" s="7" t="s">
        <v>819</v>
      </c>
      <c r="L1208" s="7" t="s">
        <v>136</v>
      </c>
      <c r="M1208" s="7">
        <v>3.8603149999999999</v>
      </c>
      <c r="N1208" s="7">
        <v>11.584194</v>
      </c>
      <c r="O1208" s="7" t="s">
        <v>23</v>
      </c>
      <c r="P1208" s="3"/>
      <c r="Q1208" s="3"/>
      <c r="R1208" s="3"/>
    </row>
    <row r="1209" spans="1:18" x14ac:dyDescent="0.25">
      <c r="A1209" s="2">
        <v>2423</v>
      </c>
      <c r="B1209" s="7" t="s">
        <v>7427</v>
      </c>
      <c r="C1209" s="7" t="s">
        <v>7428</v>
      </c>
      <c r="D1209" s="7" t="s">
        <v>7427</v>
      </c>
      <c r="E1209" s="7" t="s">
        <v>182</v>
      </c>
      <c r="F1209" s="7" t="s">
        <v>7429</v>
      </c>
      <c r="G1209" s="17" t="s">
        <v>7747</v>
      </c>
      <c r="H1209" s="7" t="s">
        <v>28</v>
      </c>
      <c r="I1209" s="7" t="s">
        <v>1552</v>
      </c>
      <c r="J1209" s="7" t="s">
        <v>185</v>
      </c>
      <c r="K1209" s="7" t="s">
        <v>819</v>
      </c>
      <c r="L1209" s="7" t="s">
        <v>136</v>
      </c>
      <c r="M1209" s="7">
        <v>3.875877</v>
      </c>
      <c r="N1209" s="7">
        <v>11.611891999999999</v>
      </c>
      <c r="O1209" s="7" t="s">
        <v>23</v>
      </c>
      <c r="P1209" s="3"/>
      <c r="Q1209" s="3"/>
      <c r="R1209" s="3"/>
    </row>
    <row r="1210" spans="1:18" x14ac:dyDescent="0.25">
      <c r="A1210" s="2">
        <v>2424</v>
      </c>
      <c r="B1210" s="7" t="s">
        <v>7433</v>
      </c>
      <c r="C1210" s="7" t="s">
        <v>7434</v>
      </c>
      <c r="D1210" s="7" t="s">
        <v>7433</v>
      </c>
      <c r="E1210" s="7" t="s">
        <v>182</v>
      </c>
      <c r="F1210" s="7" t="s">
        <v>7435</v>
      </c>
      <c r="G1210" s="17" t="s">
        <v>7747</v>
      </c>
      <c r="H1210" s="7" t="s">
        <v>28</v>
      </c>
      <c r="I1210" s="7" t="s">
        <v>7436</v>
      </c>
      <c r="J1210" s="7" t="s">
        <v>185</v>
      </c>
      <c r="K1210" s="7" t="s">
        <v>1435</v>
      </c>
      <c r="L1210" s="7" t="s">
        <v>136</v>
      </c>
      <c r="M1210" s="7">
        <v>3.8794439999999999</v>
      </c>
      <c r="N1210" s="7">
        <v>11.534722</v>
      </c>
      <c r="O1210" s="7" t="s">
        <v>613</v>
      </c>
      <c r="P1210" s="3"/>
      <c r="Q1210" s="3"/>
      <c r="R1210" s="3"/>
    </row>
    <row r="1211" spans="1:18" x14ac:dyDescent="0.25">
      <c r="A1211" s="2">
        <v>2425</v>
      </c>
      <c r="B1211" s="7" t="s">
        <v>7437</v>
      </c>
      <c r="C1211" s="7" t="s">
        <v>7438</v>
      </c>
      <c r="D1211" s="7" t="s">
        <v>7437</v>
      </c>
      <c r="E1211" s="7" t="s">
        <v>182</v>
      </c>
      <c r="F1211" s="7" t="s">
        <v>7439</v>
      </c>
      <c r="G1211" s="17" t="s">
        <v>7747</v>
      </c>
      <c r="H1211" s="7" t="s">
        <v>28</v>
      </c>
      <c r="I1211" s="7" t="s">
        <v>1766</v>
      </c>
      <c r="J1211" s="7" t="s">
        <v>7440</v>
      </c>
      <c r="K1211" s="7" t="s">
        <v>186</v>
      </c>
      <c r="L1211" s="7" t="s">
        <v>136</v>
      </c>
      <c r="M1211" s="7">
        <v>3.9849459999999999</v>
      </c>
      <c r="N1211" s="7">
        <v>11.548330999999999</v>
      </c>
      <c r="O1211" s="7" t="s">
        <v>613</v>
      </c>
      <c r="P1211" s="3"/>
      <c r="Q1211" s="3"/>
      <c r="R1211" s="3"/>
    </row>
    <row r="1212" spans="1:18" x14ac:dyDescent="0.25">
      <c r="A1212" s="2">
        <v>2426</v>
      </c>
      <c r="B1212" s="7" t="s">
        <v>7441</v>
      </c>
      <c r="C1212" s="7" t="s">
        <v>7442</v>
      </c>
      <c r="D1212" s="7" t="s">
        <v>7441</v>
      </c>
      <c r="E1212" s="7" t="s">
        <v>182</v>
      </c>
      <c r="F1212" s="7" t="s">
        <v>7443</v>
      </c>
      <c r="G1212" s="17" t="s">
        <v>7747</v>
      </c>
      <c r="H1212" s="7" t="s">
        <v>28</v>
      </c>
      <c r="I1212" s="7" t="s">
        <v>7444</v>
      </c>
      <c r="J1212" s="7" t="s">
        <v>185</v>
      </c>
      <c r="K1212" s="7" t="s">
        <v>808</v>
      </c>
      <c r="L1212" s="7" t="s">
        <v>136</v>
      </c>
      <c r="M1212" s="7">
        <v>3.9400650000000002</v>
      </c>
      <c r="N1212" s="7">
        <v>11.509296000000001</v>
      </c>
      <c r="O1212" s="7" t="s">
        <v>613</v>
      </c>
      <c r="P1212" s="3"/>
      <c r="Q1212" s="3"/>
      <c r="R1212" s="3"/>
    </row>
    <row r="1213" spans="1:18" x14ac:dyDescent="0.25">
      <c r="A1213" s="2">
        <v>2427</v>
      </c>
      <c r="B1213" s="7" t="s">
        <v>7445</v>
      </c>
      <c r="C1213" s="7" t="s">
        <v>7446</v>
      </c>
      <c r="D1213" s="7" t="s">
        <v>7445</v>
      </c>
      <c r="E1213" s="7" t="s">
        <v>182</v>
      </c>
      <c r="F1213" s="7" t="s">
        <v>7447</v>
      </c>
      <c r="G1213" s="17" t="s">
        <v>7747</v>
      </c>
      <c r="H1213" s="7" t="s">
        <v>28</v>
      </c>
      <c r="I1213" s="7" t="s">
        <v>7448</v>
      </c>
      <c r="J1213" s="7" t="s">
        <v>185</v>
      </c>
      <c r="K1213" s="7" t="s">
        <v>1367</v>
      </c>
      <c r="L1213" s="7" t="s">
        <v>136</v>
      </c>
      <c r="M1213" s="7">
        <v>3.8025500000000001</v>
      </c>
      <c r="N1213" s="7">
        <v>11.546566</v>
      </c>
      <c r="O1213" s="7" t="s">
        <v>613</v>
      </c>
      <c r="P1213" s="3"/>
      <c r="Q1213" s="3"/>
      <c r="R1213" s="3"/>
    </row>
    <row r="1214" spans="1:18" x14ac:dyDescent="0.25">
      <c r="A1214" s="2">
        <v>2428</v>
      </c>
      <c r="B1214" s="7" t="s">
        <v>7449</v>
      </c>
      <c r="C1214" s="7" t="s">
        <v>7450</v>
      </c>
      <c r="D1214" s="7" t="s">
        <v>7449</v>
      </c>
      <c r="E1214" s="7" t="s">
        <v>182</v>
      </c>
      <c r="F1214" s="7" t="s">
        <v>7451</v>
      </c>
      <c r="G1214" s="17" t="s">
        <v>7747</v>
      </c>
      <c r="H1214" s="7" t="s">
        <v>28</v>
      </c>
      <c r="I1214" s="7" t="s">
        <v>7452</v>
      </c>
      <c r="J1214" s="7" t="s">
        <v>185</v>
      </c>
      <c r="K1214" s="7" t="s">
        <v>1435</v>
      </c>
      <c r="L1214" s="7" t="s">
        <v>136</v>
      </c>
      <c r="M1214" s="7">
        <v>3.9082370000000002</v>
      </c>
      <c r="N1214" s="7">
        <v>11.536261</v>
      </c>
      <c r="O1214" s="7" t="s">
        <v>613</v>
      </c>
      <c r="P1214" s="3"/>
      <c r="Q1214" s="3"/>
      <c r="R1214" s="3"/>
    </row>
    <row r="1215" spans="1:18" x14ac:dyDescent="0.25">
      <c r="A1215" s="2">
        <v>2429</v>
      </c>
      <c r="B1215" s="7" t="s">
        <v>7453</v>
      </c>
      <c r="C1215" s="7" t="s">
        <v>7454</v>
      </c>
      <c r="D1215" s="7" t="s">
        <v>7453</v>
      </c>
      <c r="E1215" s="7" t="s">
        <v>182</v>
      </c>
      <c r="F1215" s="7" t="s">
        <v>7455</v>
      </c>
      <c r="G1215" s="17" t="s">
        <v>7747</v>
      </c>
      <c r="H1215" s="7" t="s">
        <v>28</v>
      </c>
      <c r="I1215" s="7" t="s">
        <v>7444</v>
      </c>
      <c r="J1215" s="7" t="s">
        <v>185</v>
      </c>
      <c r="K1215" s="7" t="s">
        <v>808</v>
      </c>
      <c r="L1215" s="7" t="s">
        <v>136</v>
      </c>
      <c r="M1215" s="7">
        <v>3.9577778000000001</v>
      </c>
      <c r="N1215" s="7">
        <v>11.5241667</v>
      </c>
      <c r="O1215" s="7" t="s">
        <v>613</v>
      </c>
      <c r="P1215" s="3"/>
      <c r="Q1215" s="3"/>
      <c r="R1215" s="3"/>
    </row>
    <row r="1216" spans="1:18" x14ac:dyDescent="0.25">
      <c r="A1216" s="2">
        <v>2430</v>
      </c>
      <c r="B1216" s="7" t="s">
        <v>7456</v>
      </c>
      <c r="C1216" s="7" t="s">
        <v>7457</v>
      </c>
      <c r="D1216" s="7" t="s">
        <v>7456</v>
      </c>
      <c r="E1216" s="7" t="s">
        <v>182</v>
      </c>
      <c r="F1216" s="7" t="s">
        <v>7458</v>
      </c>
      <c r="G1216" s="17" t="s">
        <v>7747</v>
      </c>
      <c r="H1216" s="7" t="s">
        <v>28</v>
      </c>
      <c r="I1216" s="7" t="s">
        <v>7459</v>
      </c>
      <c r="J1216" s="7" t="s">
        <v>185</v>
      </c>
      <c r="K1216" s="7" t="s">
        <v>1322</v>
      </c>
      <c r="L1216" s="7" t="s">
        <v>136</v>
      </c>
      <c r="M1216" s="7">
        <v>3.8524120000000002</v>
      </c>
      <c r="N1216" s="7">
        <v>11.484645</v>
      </c>
      <c r="O1216" s="7" t="s">
        <v>613</v>
      </c>
      <c r="P1216" s="3"/>
      <c r="Q1216" s="3"/>
      <c r="R1216" s="3"/>
    </row>
    <row r="1217" spans="1:18" x14ac:dyDescent="0.25">
      <c r="A1217" s="2">
        <v>2431</v>
      </c>
      <c r="B1217" s="7" t="s">
        <v>7482</v>
      </c>
      <c r="C1217" s="7" t="s">
        <v>7483</v>
      </c>
      <c r="D1217" s="7" t="s">
        <v>7482</v>
      </c>
      <c r="E1217" s="7" t="s">
        <v>182</v>
      </c>
      <c r="F1217" s="7" t="s">
        <v>7484</v>
      </c>
      <c r="G1217" s="17" t="s">
        <v>7747</v>
      </c>
      <c r="H1217" s="7" t="s">
        <v>28</v>
      </c>
      <c r="I1217" s="7" t="s">
        <v>297</v>
      </c>
      <c r="J1217" s="7" t="s">
        <v>185</v>
      </c>
      <c r="K1217" s="7" t="s">
        <v>1393</v>
      </c>
      <c r="L1217" s="7" t="s">
        <v>136</v>
      </c>
      <c r="M1217" s="7">
        <v>3.9111259999999999</v>
      </c>
      <c r="N1217" s="7">
        <v>11.445739</v>
      </c>
      <c r="O1217" s="7" t="s">
        <v>613</v>
      </c>
      <c r="P1217" s="3"/>
      <c r="Q1217" s="3"/>
      <c r="R1217" s="3"/>
    </row>
    <row r="1218" spans="1:18" x14ac:dyDescent="0.25">
      <c r="A1218" s="2">
        <v>2432</v>
      </c>
      <c r="B1218" s="7" t="s">
        <v>7485</v>
      </c>
      <c r="C1218" s="7" t="s">
        <v>7486</v>
      </c>
      <c r="D1218" s="7" t="s">
        <v>7485</v>
      </c>
      <c r="E1218" s="7" t="s">
        <v>182</v>
      </c>
      <c r="F1218" s="7" t="s">
        <v>7487</v>
      </c>
      <c r="G1218" s="17" t="s">
        <v>7747</v>
      </c>
      <c r="H1218" s="7" t="s">
        <v>28</v>
      </c>
      <c r="I1218" s="7" t="s">
        <v>1637</v>
      </c>
      <c r="J1218" s="7" t="s">
        <v>185</v>
      </c>
      <c r="K1218" s="7" t="s">
        <v>7385</v>
      </c>
      <c r="L1218" s="7" t="s">
        <v>136</v>
      </c>
      <c r="M1218" s="7">
        <v>3.8504010000000002</v>
      </c>
      <c r="N1218" s="7">
        <v>11.500121999999999</v>
      </c>
      <c r="O1218" s="7" t="s">
        <v>613</v>
      </c>
      <c r="P1218" s="3"/>
      <c r="Q1218" s="3"/>
      <c r="R1218" s="3"/>
    </row>
    <row r="1219" spans="1:18" x14ac:dyDescent="0.25">
      <c r="A1219" s="2">
        <v>2433</v>
      </c>
      <c r="B1219" s="7" t="s">
        <v>7493</v>
      </c>
      <c r="C1219" s="7" t="s">
        <v>7494</v>
      </c>
      <c r="D1219" s="7" t="s">
        <v>7493</v>
      </c>
      <c r="E1219" s="7" t="s">
        <v>182</v>
      </c>
      <c r="F1219" s="7" t="s">
        <v>7495</v>
      </c>
      <c r="G1219" s="17" t="s">
        <v>7747</v>
      </c>
      <c r="H1219" s="7" t="s">
        <v>28</v>
      </c>
      <c r="I1219" s="7" t="s">
        <v>1553</v>
      </c>
      <c r="J1219" s="7"/>
      <c r="K1219" s="7"/>
      <c r="L1219" s="7" t="s">
        <v>136</v>
      </c>
      <c r="M1219" s="7">
        <v>3.8469419999999999</v>
      </c>
      <c r="N1219" s="7">
        <v>11.539789000000001</v>
      </c>
      <c r="O1219" s="7" t="s">
        <v>613</v>
      </c>
      <c r="P1219" s="3"/>
      <c r="Q1219" s="3"/>
      <c r="R1219" s="3"/>
    </row>
    <row r="1220" spans="1:18" x14ac:dyDescent="0.25">
      <c r="A1220" s="2">
        <v>2434</v>
      </c>
      <c r="B1220" s="7" t="s">
        <v>7500</v>
      </c>
      <c r="C1220" s="7" t="s">
        <v>7501</v>
      </c>
      <c r="D1220" s="7" t="s">
        <v>7500</v>
      </c>
      <c r="E1220" s="7" t="s">
        <v>182</v>
      </c>
      <c r="F1220" s="7" t="s">
        <v>7502</v>
      </c>
      <c r="G1220" s="17" t="s">
        <v>7747</v>
      </c>
      <c r="H1220" s="7" t="s">
        <v>28</v>
      </c>
      <c r="I1220" s="7" t="s">
        <v>1461</v>
      </c>
      <c r="J1220" s="7" t="s">
        <v>185</v>
      </c>
      <c r="K1220" s="7" t="s">
        <v>1462</v>
      </c>
      <c r="L1220" s="7" t="s">
        <v>136</v>
      </c>
      <c r="M1220" s="7">
        <v>3.8085200000000001</v>
      </c>
      <c r="N1220" s="7">
        <v>11.509539999999999</v>
      </c>
      <c r="O1220" s="7" t="s">
        <v>613</v>
      </c>
      <c r="P1220" s="3"/>
      <c r="Q1220" s="3"/>
      <c r="R1220" s="3"/>
    </row>
    <row r="1221" spans="1:18" x14ac:dyDescent="0.25">
      <c r="A1221" s="2">
        <v>2435</v>
      </c>
      <c r="B1221" s="7" t="s">
        <v>7516</v>
      </c>
      <c r="C1221" s="7" t="s">
        <v>7517</v>
      </c>
      <c r="D1221" s="7" t="s">
        <v>7516</v>
      </c>
      <c r="E1221" s="7" t="s">
        <v>250</v>
      </c>
      <c r="F1221" s="7" t="s">
        <v>7518</v>
      </c>
      <c r="G1221" s="17" t="s">
        <v>7747</v>
      </c>
      <c r="H1221" s="7" t="s">
        <v>28</v>
      </c>
      <c r="I1221" s="7" t="s">
        <v>311</v>
      </c>
      <c r="J1221" s="7" t="s">
        <v>312</v>
      </c>
      <c r="K1221" s="7" t="s">
        <v>7519</v>
      </c>
      <c r="L1221" s="7" t="s">
        <v>136</v>
      </c>
      <c r="M1221" s="7">
        <v>2.8680569999999999</v>
      </c>
      <c r="N1221" s="7">
        <v>11.182646</v>
      </c>
      <c r="O1221" s="7" t="s">
        <v>23</v>
      </c>
      <c r="P1221" s="3"/>
      <c r="Q1221" s="3"/>
      <c r="R1221" s="3"/>
    </row>
    <row r="1222" spans="1:18" x14ac:dyDescent="0.25">
      <c r="A1222" s="2">
        <v>2436</v>
      </c>
      <c r="B1222" s="7" t="s">
        <v>7534</v>
      </c>
      <c r="C1222" s="7" t="s">
        <v>7535</v>
      </c>
      <c r="D1222" s="7" t="s">
        <v>7534</v>
      </c>
      <c r="E1222" s="7" t="s">
        <v>182</v>
      </c>
      <c r="F1222" s="7" t="s">
        <v>7536</v>
      </c>
      <c r="G1222" s="17" t="s">
        <v>7747</v>
      </c>
      <c r="H1222" s="7" t="s">
        <v>28</v>
      </c>
      <c r="I1222" s="7" t="s">
        <v>3940</v>
      </c>
      <c r="J1222" s="7" t="s">
        <v>185</v>
      </c>
      <c r="K1222" s="7" t="s">
        <v>1375</v>
      </c>
      <c r="L1222" s="7" t="s">
        <v>136</v>
      </c>
      <c r="M1222" s="7">
        <v>3.8990589999999998</v>
      </c>
      <c r="N1222" s="7">
        <v>11.48371</v>
      </c>
      <c r="O1222" s="7" t="s">
        <v>613</v>
      </c>
      <c r="P1222" s="3"/>
      <c r="Q1222" s="3"/>
      <c r="R1222" s="3"/>
    </row>
    <row r="1223" spans="1:18" x14ac:dyDescent="0.25">
      <c r="A1223" s="2">
        <v>2437</v>
      </c>
      <c r="B1223" s="7" t="s">
        <v>7572</v>
      </c>
      <c r="C1223" s="7" t="s">
        <v>7573</v>
      </c>
      <c r="D1223" s="7" t="s">
        <v>7572</v>
      </c>
      <c r="E1223" s="7" t="s">
        <v>182</v>
      </c>
      <c r="F1223" s="7" t="s">
        <v>7574</v>
      </c>
      <c r="G1223" s="17" t="s">
        <v>7747</v>
      </c>
      <c r="H1223" s="7" t="s">
        <v>28</v>
      </c>
      <c r="I1223" s="7" t="s">
        <v>374</v>
      </c>
      <c r="J1223" s="7" t="s">
        <v>7258</v>
      </c>
      <c r="K1223" s="7" t="s">
        <v>3382</v>
      </c>
      <c r="L1223" s="7" t="s">
        <v>136</v>
      </c>
      <c r="M1223" s="7">
        <v>4.4478200000000001</v>
      </c>
      <c r="N1223" s="7">
        <v>11.448539999999999</v>
      </c>
      <c r="O1223" s="7" t="s">
        <v>23</v>
      </c>
      <c r="P1223" s="3"/>
      <c r="Q1223" s="3"/>
      <c r="R1223" s="3"/>
    </row>
    <row r="1224" spans="1:18" x14ac:dyDescent="0.25">
      <c r="A1224" s="2">
        <v>2438</v>
      </c>
      <c r="B1224" s="7" t="s">
        <v>7578</v>
      </c>
      <c r="C1224" s="7" t="s">
        <v>7579</v>
      </c>
      <c r="D1224" s="7" t="s">
        <v>7578</v>
      </c>
      <c r="E1224" s="7" t="s">
        <v>182</v>
      </c>
      <c r="F1224" s="7" t="s">
        <v>7580</v>
      </c>
      <c r="G1224" s="17" t="s">
        <v>7747</v>
      </c>
      <c r="H1224" s="7" t="s">
        <v>28</v>
      </c>
      <c r="I1224" s="7" t="s">
        <v>374</v>
      </c>
      <c r="J1224" s="7" t="s">
        <v>7258</v>
      </c>
      <c r="K1224" s="7" t="s">
        <v>3382</v>
      </c>
      <c r="L1224" s="7" t="s">
        <v>136</v>
      </c>
      <c r="M1224" s="7">
        <v>4.3963140000000003</v>
      </c>
      <c r="N1224" s="7">
        <v>11.41316</v>
      </c>
      <c r="O1224" s="7" t="s">
        <v>23</v>
      </c>
      <c r="P1224" s="3"/>
      <c r="Q1224" s="3"/>
      <c r="R1224" s="3"/>
    </row>
    <row r="1225" spans="1:18" x14ac:dyDescent="0.25">
      <c r="A1225" s="2">
        <v>2439</v>
      </c>
      <c r="B1225" s="7" t="s">
        <v>7593</v>
      </c>
      <c r="C1225" s="7" t="s">
        <v>7594</v>
      </c>
      <c r="D1225" s="7" t="s">
        <v>7593</v>
      </c>
      <c r="E1225" s="7" t="s">
        <v>250</v>
      </c>
      <c r="F1225" s="7" t="s">
        <v>7595</v>
      </c>
      <c r="G1225" s="17" t="s">
        <v>7747</v>
      </c>
      <c r="H1225" s="7" t="s">
        <v>28</v>
      </c>
      <c r="I1225" s="7" t="s">
        <v>252</v>
      </c>
      <c r="J1225" s="7" t="s">
        <v>7089</v>
      </c>
      <c r="K1225" s="7" t="s">
        <v>881</v>
      </c>
      <c r="L1225" s="7" t="s">
        <v>136</v>
      </c>
      <c r="M1225" s="7">
        <v>2.762384</v>
      </c>
      <c r="N1225" s="7">
        <v>12.474361399999999</v>
      </c>
      <c r="O1225" s="7" t="s">
        <v>23</v>
      </c>
      <c r="P1225" s="3"/>
      <c r="Q1225" s="3"/>
      <c r="R1225" s="3"/>
    </row>
    <row r="1226" spans="1:18" x14ac:dyDescent="0.25">
      <c r="A1226" s="2">
        <v>2440</v>
      </c>
      <c r="B1226" s="7" t="s">
        <v>7602</v>
      </c>
      <c r="C1226" s="7" t="s">
        <v>7603</v>
      </c>
      <c r="D1226" s="7" t="s">
        <v>7602</v>
      </c>
      <c r="E1226" s="7" t="s">
        <v>182</v>
      </c>
      <c r="F1226" s="7" t="s">
        <v>7604</v>
      </c>
      <c r="G1226" s="17" t="s">
        <v>7747</v>
      </c>
      <c r="H1226" s="7" t="s">
        <v>28</v>
      </c>
      <c r="I1226" s="7" t="s">
        <v>286</v>
      </c>
      <c r="J1226" s="7" t="s">
        <v>7258</v>
      </c>
      <c r="K1226" s="7" t="s">
        <v>4952</v>
      </c>
      <c r="L1226" s="7" t="s">
        <v>136</v>
      </c>
      <c r="M1226" s="7">
        <v>4.1461790000000001</v>
      </c>
      <c r="N1226" s="7">
        <v>11.298838999999999</v>
      </c>
      <c r="O1226" s="7" t="s">
        <v>23</v>
      </c>
      <c r="P1226" s="3"/>
      <c r="Q1226" s="3"/>
      <c r="R1226" s="3"/>
    </row>
    <row r="1227" spans="1:18" x14ac:dyDescent="0.25">
      <c r="A1227" s="2">
        <v>2441</v>
      </c>
      <c r="B1227" s="7" t="s">
        <v>7623</v>
      </c>
      <c r="C1227" s="7" t="s">
        <v>7624</v>
      </c>
      <c r="D1227" s="7" t="s">
        <v>7623</v>
      </c>
      <c r="E1227" s="7" t="s">
        <v>182</v>
      </c>
      <c r="F1227" s="7" t="s">
        <v>7625</v>
      </c>
      <c r="G1227" s="17" t="s">
        <v>7747</v>
      </c>
      <c r="H1227" s="7" t="s">
        <v>28</v>
      </c>
      <c r="I1227" s="7" t="s">
        <v>374</v>
      </c>
      <c r="J1227" s="10" t="s">
        <v>134</v>
      </c>
      <c r="K1227" s="10" t="s">
        <v>375</v>
      </c>
      <c r="L1227" s="7" t="s">
        <v>136</v>
      </c>
      <c r="M1227" s="7">
        <v>4.4630609999999997</v>
      </c>
      <c r="N1227" s="7">
        <v>11.612730000000001</v>
      </c>
      <c r="O1227" s="7" t="s">
        <v>23</v>
      </c>
      <c r="P1227" s="3"/>
      <c r="Q1227" s="3"/>
      <c r="R1227" s="3"/>
    </row>
  </sheetData>
  <mergeCells count="1">
    <mergeCell ref="P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92D0-D373-4B54-974F-9CA09C593470}">
  <sheetPr>
    <tabColor theme="8"/>
  </sheetPr>
  <dimension ref="A1:R1218"/>
  <sheetViews>
    <sheetView workbookViewId="0">
      <pane xSplit="9" ySplit="2" topLeftCell="J1035" activePane="bottomRight" state="frozen"/>
      <selection pane="topRight" activeCell="J1" sqref="J1"/>
      <selection pane="bottomLeft" activeCell="A3" sqref="A3"/>
      <selection pane="bottomRight" activeCell="F1061" sqref="F1061"/>
    </sheetView>
  </sheetViews>
  <sheetFormatPr baseColWidth="10" defaultRowHeight="15" x14ac:dyDescent="0.25"/>
  <cols>
    <col min="2" max="2" width="10.5703125" bestFit="1" customWidth="1"/>
    <col min="3" max="3" width="13" bestFit="1" customWidth="1"/>
    <col min="4" max="4" width="10.5703125" bestFit="1" customWidth="1"/>
    <col min="6" max="6" width="33" bestFit="1" customWidth="1"/>
    <col min="7" max="7" width="17.85546875" bestFit="1" customWidth="1"/>
    <col min="8" max="8" width="14.5703125" customWidth="1"/>
  </cols>
  <sheetData>
    <row r="1" spans="1:18" x14ac:dyDescent="0.25">
      <c r="B1" s="4"/>
      <c r="C1" s="4"/>
      <c r="D1" s="4"/>
      <c r="E1" s="4"/>
      <c r="F1" s="4">
        <f>+SUBTOTAL(3,F3:F2443)</f>
        <v>1216</v>
      </c>
      <c r="G1" s="4">
        <f>+SUBTOTAL(3,G3:G2443)</f>
        <v>1216</v>
      </c>
      <c r="H1" s="4"/>
      <c r="I1" s="4"/>
      <c r="J1" s="4"/>
      <c r="K1" s="4"/>
      <c r="L1" s="4">
        <f>+SUBTOTAL(3,L3:L2443)</f>
        <v>1216</v>
      </c>
      <c r="M1" s="4"/>
      <c r="N1" s="4"/>
      <c r="O1" s="4"/>
      <c r="P1" s="108" t="s">
        <v>7791</v>
      </c>
      <c r="Q1" s="108"/>
      <c r="R1" s="108"/>
    </row>
    <row r="2" spans="1:18" ht="31.5" x14ac:dyDescent="0.25">
      <c r="A2" s="1" t="s">
        <v>0</v>
      </c>
      <c r="B2" s="5" t="s">
        <v>1</v>
      </c>
      <c r="C2" s="5" t="s">
        <v>2</v>
      </c>
      <c r="D2" s="5" t="s">
        <v>1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107" t="s">
        <v>13</v>
      </c>
      <c r="P2" s="109" t="s">
        <v>7788</v>
      </c>
      <c r="Q2" s="109" t="s">
        <v>7790</v>
      </c>
      <c r="R2" s="109" t="s">
        <v>7789</v>
      </c>
    </row>
    <row r="3" spans="1:18" x14ac:dyDescent="0.25">
      <c r="A3" s="2">
        <v>1</v>
      </c>
      <c r="B3" s="7" t="s">
        <v>242</v>
      </c>
      <c r="C3" s="7" t="s">
        <v>243</v>
      </c>
      <c r="D3" s="7" t="s">
        <v>242</v>
      </c>
      <c r="E3" s="7" t="s">
        <v>131</v>
      </c>
      <c r="F3" s="7" t="s">
        <v>244</v>
      </c>
      <c r="G3" s="17" t="s">
        <v>7747</v>
      </c>
      <c r="H3" s="7" t="s">
        <v>28</v>
      </c>
      <c r="I3" s="7" t="s">
        <v>245</v>
      </c>
      <c r="J3" s="7" t="s">
        <v>246</v>
      </c>
      <c r="K3" s="7" t="s">
        <v>244</v>
      </c>
      <c r="L3" s="7" t="s">
        <v>247</v>
      </c>
      <c r="M3" s="7">
        <v>5.4681699999999998</v>
      </c>
      <c r="N3" s="7">
        <v>10.241300000000001</v>
      </c>
      <c r="O3" s="7" t="s">
        <v>23</v>
      </c>
      <c r="P3" s="3"/>
      <c r="Q3" s="3"/>
      <c r="R3" s="3"/>
    </row>
    <row r="4" spans="1:18" x14ac:dyDescent="0.25">
      <c r="A4" s="2">
        <v>2</v>
      </c>
      <c r="B4" s="7" t="s">
        <v>314</v>
      </c>
      <c r="C4" s="7" t="s">
        <v>315</v>
      </c>
      <c r="D4" s="7" t="s">
        <v>314</v>
      </c>
      <c r="E4" s="7" t="s">
        <v>131</v>
      </c>
      <c r="F4" s="7" t="s">
        <v>316</v>
      </c>
      <c r="G4" s="17" t="s">
        <v>7747</v>
      </c>
      <c r="H4" s="7" t="s">
        <v>28</v>
      </c>
      <c r="I4" s="7" t="s">
        <v>133</v>
      </c>
      <c r="J4" s="7" t="s">
        <v>317</v>
      </c>
      <c r="K4" s="7" t="s">
        <v>318</v>
      </c>
      <c r="L4" s="7" t="s">
        <v>247</v>
      </c>
      <c r="M4" s="7">
        <v>4.7714999999999996</v>
      </c>
      <c r="N4" s="7">
        <v>10.906319999999999</v>
      </c>
      <c r="O4" s="7" t="s">
        <v>23</v>
      </c>
      <c r="P4" s="3"/>
      <c r="Q4" s="3"/>
      <c r="R4" s="3"/>
    </row>
    <row r="5" spans="1:18" x14ac:dyDescent="0.25">
      <c r="A5" s="2">
        <v>3</v>
      </c>
      <c r="B5" s="7" t="s">
        <v>393</v>
      </c>
      <c r="C5" s="7" t="s">
        <v>394</v>
      </c>
      <c r="D5" s="7" t="s">
        <v>393</v>
      </c>
      <c r="E5" s="7" t="s">
        <v>131</v>
      </c>
      <c r="F5" s="7" t="s">
        <v>395</v>
      </c>
      <c r="G5" s="17" t="s">
        <v>7747</v>
      </c>
      <c r="H5" s="7" t="s">
        <v>28</v>
      </c>
      <c r="I5" s="7" t="s">
        <v>396</v>
      </c>
      <c r="J5" s="7" t="s">
        <v>397</v>
      </c>
      <c r="K5" s="7" t="s">
        <v>398</v>
      </c>
      <c r="L5" s="7" t="s">
        <v>247</v>
      </c>
      <c r="M5" s="7">
        <v>5.6344200000000004</v>
      </c>
      <c r="N5" s="7">
        <v>10.530250000000001</v>
      </c>
      <c r="O5" s="7" t="s">
        <v>23</v>
      </c>
      <c r="P5" s="3"/>
      <c r="Q5" s="3"/>
      <c r="R5" s="3"/>
    </row>
    <row r="6" spans="1:18" x14ac:dyDescent="0.25">
      <c r="A6" s="2">
        <v>4</v>
      </c>
      <c r="B6" s="7" t="s">
        <v>414</v>
      </c>
      <c r="C6" s="7" t="s">
        <v>415</v>
      </c>
      <c r="D6" s="7" t="s">
        <v>414</v>
      </c>
      <c r="E6" s="7" t="s">
        <v>131</v>
      </c>
      <c r="F6" s="7" t="s">
        <v>416</v>
      </c>
      <c r="G6" s="17" t="s">
        <v>7747</v>
      </c>
      <c r="H6" s="7" t="s">
        <v>19</v>
      </c>
      <c r="I6" s="7" t="s">
        <v>133</v>
      </c>
      <c r="J6" s="7" t="s">
        <v>317</v>
      </c>
      <c r="K6" s="7" t="s">
        <v>417</v>
      </c>
      <c r="L6" s="7" t="s">
        <v>247</v>
      </c>
      <c r="M6" s="7">
        <v>4.8229620000000004</v>
      </c>
      <c r="N6" s="7">
        <v>11.175922</v>
      </c>
      <c r="O6" s="7" t="s">
        <v>23</v>
      </c>
      <c r="P6" s="3"/>
      <c r="Q6" s="3"/>
      <c r="R6" s="3"/>
    </row>
    <row r="7" spans="1:18" x14ac:dyDescent="0.25">
      <c r="A7" s="2">
        <v>5</v>
      </c>
      <c r="B7" s="9" t="s">
        <v>418</v>
      </c>
      <c r="C7" s="7" t="s">
        <v>419</v>
      </c>
      <c r="D7" s="7" t="s">
        <v>418</v>
      </c>
      <c r="E7" s="7" t="s">
        <v>131</v>
      </c>
      <c r="F7" s="7" t="s">
        <v>420</v>
      </c>
      <c r="G7" s="17" t="s">
        <v>7747</v>
      </c>
      <c r="H7" s="7" t="s">
        <v>28</v>
      </c>
      <c r="I7" s="7" t="s">
        <v>396</v>
      </c>
      <c r="J7" s="7" t="s">
        <v>397</v>
      </c>
      <c r="K7" s="7" t="s">
        <v>398</v>
      </c>
      <c r="L7" s="7" t="s">
        <v>247</v>
      </c>
      <c r="M7" s="7">
        <v>5.6579899999999999</v>
      </c>
      <c r="N7" s="7">
        <v>10.562290000000001</v>
      </c>
      <c r="O7" s="7" t="s">
        <v>23</v>
      </c>
      <c r="P7" s="3"/>
      <c r="Q7" s="3"/>
      <c r="R7" s="3"/>
    </row>
    <row r="8" spans="1:18" x14ac:dyDescent="0.25">
      <c r="A8" s="2">
        <v>6</v>
      </c>
      <c r="B8" s="7" t="s">
        <v>584</v>
      </c>
      <c r="C8" s="7" t="s">
        <v>585</v>
      </c>
      <c r="D8" s="7" t="s">
        <v>584</v>
      </c>
      <c r="E8" s="7" t="s">
        <v>131</v>
      </c>
      <c r="F8" s="7" t="s">
        <v>586</v>
      </c>
      <c r="G8" s="17" t="s">
        <v>7747</v>
      </c>
      <c r="H8" s="7" t="s">
        <v>28</v>
      </c>
      <c r="I8" s="7" t="s">
        <v>145</v>
      </c>
      <c r="J8" s="7" t="s">
        <v>397</v>
      </c>
      <c r="K8" s="7" t="s">
        <v>587</v>
      </c>
      <c r="L8" s="7" t="s">
        <v>247</v>
      </c>
      <c r="M8" s="7">
        <v>5.6561120000000003</v>
      </c>
      <c r="N8" s="7">
        <v>11.172957</v>
      </c>
      <c r="O8" s="7" t="s">
        <v>23</v>
      </c>
      <c r="P8" s="3"/>
      <c r="Q8" s="3"/>
      <c r="R8" s="3"/>
    </row>
    <row r="9" spans="1:18" x14ac:dyDescent="0.25">
      <c r="A9" s="2">
        <v>7</v>
      </c>
      <c r="B9" s="7" t="s">
        <v>679</v>
      </c>
      <c r="C9" s="7" t="s">
        <v>680</v>
      </c>
      <c r="D9" s="7" t="s">
        <v>679</v>
      </c>
      <c r="E9" s="7" t="s">
        <v>131</v>
      </c>
      <c r="F9" s="7" t="s">
        <v>681</v>
      </c>
      <c r="G9" s="17" t="s">
        <v>7747</v>
      </c>
      <c r="H9" s="7" t="s">
        <v>28</v>
      </c>
      <c r="I9" s="7" t="s">
        <v>396</v>
      </c>
      <c r="J9" s="7" t="s">
        <v>397</v>
      </c>
      <c r="K9" s="7" t="s">
        <v>145</v>
      </c>
      <c r="L9" s="7" t="s">
        <v>247</v>
      </c>
      <c r="M9" s="7">
        <v>5.7724440000000001</v>
      </c>
      <c r="N9" s="7">
        <v>10.791805999999999</v>
      </c>
      <c r="O9" s="7" t="s">
        <v>23</v>
      </c>
      <c r="P9" s="3"/>
      <c r="Q9" s="3"/>
      <c r="R9" s="3"/>
    </row>
    <row r="10" spans="1:18" x14ac:dyDescent="0.25">
      <c r="A10" s="2">
        <v>8</v>
      </c>
      <c r="B10" s="7" t="s">
        <v>758</v>
      </c>
      <c r="C10" s="7" t="s">
        <v>759</v>
      </c>
      <c r="D10" s="7" t="s">
        <v>758</v>
      </c>
      <c r="E10" s="7" t="s">
        <v>131</v>
      </c>
      <c r="F10" s="7" t="s">
        <v>760</v>
      </c>
      <c r="G10" s="8" t="s">
        <v>18</v>
      </c>
      <c r="H10" s="7" t="s">
        <v>28</v>
      </c>
      <c r="I10" s="7" t="s">
        <v>245</v>
      </c>
      <c r="J10" s="7" t="s">
        <v>761</v>
      </c>
      <c r="K10" s="7" t="s">
        <v>762</v>
      </c>
      <c r="L10" s="7" t="s">
        <v>247</v>
      </c>
      <c r="M10" s="7">
        <v>5.6820279999999999</v>
      </c>
      <c r="N10" s="7">
        <v>10.366139</v>
      </c>
      <c r="O10" s="7" t="s">
        <v>23</v>
      </c>
      <c r="P10" s="3"/>
      <c r="Q10" s="3"/>
      <c r="R10" s="3"/>
    </row>
    <row r="11" spans="1:18" x14ac:dyDescent="0.25">
      <c r="A11" s="2">
        <v>9</v>
      </c>
      <c r="B11" s="7" t="s">
        <v>771</v>
      </c>
      <c r="C11" s="7" t="s">
        <v>772</v>
      </c>
      <c r="D11" s="7" t="s">
        <v>771</v>
      </c>
      <c r="E11" s="7" t="s">
        <v>131</v>
      </c>
      <c r="F11" s="7" t="s">
        <v>773</v>
      </c>
      <c r="G11" s="17" t="s">
        <v>7747</v>
      </c>
      <c r="H11" s="7" t="s">
        <v>28</v>
      </c>
      <c r="I11" s="7" t="s">
        <v>145</v>
      </c>
      <c r="J11" s="7" t="s">
        <v>397</v>
      </c>
      <c r="K11" s="7" t="s">
        <v>145</v>
      </c>
      <c r="L11" s="7" t="s">
        <v>247</v>
      </c>
      <c r="M11" s="7">
        <v>5.7379499999999997</v>
      </c>
      <c r="N11" s="7">
        <v>10.884069999999999</v>
      </c>
      <c r="O11" s="7" t="s">
        <v>23</v>
      </c>
      <c r="P11" s="3"/>
      <c r="Q11" s="3"/>
      <c r="R11" s="3"/>
    </row>
    <row r="12" spans="1:18" x14ac:dyDescent="0.25">
      <c r="A12" s="2">
        <v>10</v>
      </c>
      <c r="B12" s="7" t="s">
        <v>774</v>
      </c>
      <c r="C12" s="7" t="s">
        <v>775</v>
      </c>
      <c r="D12" s="7" t="s">
        <v>774</v>
      </c>
      <c r="E12" s="7" t="s">
        <v>131</v>
      </c>
      <c r="F12" s="7" t="s">
        <v>776</v>
      </c>
      <c r="G12" s="17" t="s">
        <v>7747</v>
      </c>
      <c r="H12" s="7" t="s">
        <v>28</v>
      </c>
      <c r="I12" s="7" t="s">
        <v>396</v>
      </c>
      <c r="J12" s="7" t="s">
        <v>397</v>
      </c>
      <c r="K12" s="7" t="s">
        <v>396</v>
      </c>
      <c r="L12" s="7" t="s">
        <v>247</v>
      </c>
      <c r="M12" s="7">
        <v>5.4878109999999998</v>
      </c>
      <c r="N12" s="7">
        <v>10.603085999999999</v>
      </c>
      <c r="O12" s="7" t="s">
        <v>23</v>
      </c>
      <c r="P12" s="3"/>
      <c r="Q12" s="3"/>
      <c r="R12" s="3"/>
    </row>
    <row r="13" spans="1:18" x14ac:dyDescent="0.25">
      <c r="A13" s="2">
        <v>11</v>
      </c>
      <c r="B13" s="7" t="s">
        <v>1019</v>
      </c>
      <c r="C13" s="7" t="s">
        <v>1020</v>
      </c>
      <c r="D13" s="7" t="s">
        <v>1019</v>
      </c>
      <c r="E13" s="7" t="s">
        <v>131</v>
      </c>
      <c r="F13" s="7" t="s">
        <v>1021</v>
      </c>
      <c r="G13" s="8" t="s">
        <v>18</v>
      </c>
      <c r="H13" s="7" t="s">
        <v>28</v>
      </c>
      <c r="I13" s="7" t="s">
        <v>245</v>
      </c>
      <c r="J13" s="7" t="s">
        <v>761</v>
      </c>
      <c r="K13" s="7" t="s">
        <v>762</v>
      </c>
      <c r="L13" s="7" t="s">
        <v>247</v>
      </c>
      <c r="M13" s="7">
        <v>5.6677970000000002</v>
      </c>
      <c r="N13" s="7">
        <v>10.447418000000001</v>
      </c>
      <c r="O13" s="7" t="s">
        <v>23</v>
      </c>
      <c r="P13" s="3"/>
      <c r="Q13" s="3"/>
      <c r="R13" s="3"/>
    </row>
    <row r="14" spans="1:18" x14ac:dyDescent="0.25">
      <c r="A14" s="2">
        <v>12</v>
      </c>
      <c r="B14" s="7" t="s">
        <v>1039</v>
      </c>
      <c r="C14" s="7" t="s">
        <v>1040</v>
      </c>
      <c r="D14" s="7" t="s">
        <v>1039</v>
      </c>
      <c r="E14" s="7" t="s">
        <v>131</v>
      </c>
      <c r="F14" s="7" t="s">
        <v>1041</v>
      </c>
      <c r="G14" s="17" t="s">
        <v>7747</v>
      </c>
      <c r="H14" s="7" t="s">
        <v>28</v>
      </c>
      <c r="I14" s="7" t="s">
        <v>1042</v>
      </c>
      <c r="J14" s="7" t="s">
        <v>1043</v>
      </c>
      <c r="K14" s="7" t="s">
        <v>1042</v>
      </c>
      <c r="L14" s="7" t="s">
        <v>247</v>
      </c>
      <c r="M14" s="7">
        <v>5.0937549999999998</v>
      </c>
      <c r="N14" s="7">
        <v>10.663701</v>
      </c>
      <c r="O14" s="7" t="s">
        <v>23</v>
      </c>
      <c r="P14" s="3"/>
      <c r="Q14" s="3"/>
      <c r="R14" s="3"/>
    </row>
    <row r="15" spans="1:18" x14ac:dyDescent="0.25">
      <c r="A15" s="2">
        <v>13</v>
      </c>
      <c r="B15" s="7" t="s">
        <v>1051</v>
      </c>
      <c r="C15" s="7" t="s">
        <v>1052</v>
      </c>
      <c r="D15" s="7" t="s">
        <v>1051</v>
      </c>
      <c r="E15" s="7" t="s">
        <v>131</v>
      </c>
      <c r="F15" s="7" t="s">
        <v>1053</v>
      </c>
      <c r="G15" s="8" t="s">
        <v>18</v>
      </c>
      <c r="H15" s="7" t="s">
        <v>28</v>
      </c>
      <c r="I15" s="7" t="s">
        <v>396</v>
      </c>
      <c r="J15" s="7" t="s">
        <v>1054</v>
      </c>
      <c r="K15" s="7" t="s">
        <v>1055</v>
      </c>
      <c r="L15" s="7" t="s">
        <v>247</v>
      </c>
      <c r="M15" s="7">
        <v>5.5936620000000001</v>
      </c>
      <c r="N15" s="7">
        <v>10.61917</v>
      </c>
      <c r="O15" s="7" t="s">
        <v>23</v>
      </c>
      <c r="P15" s="3"/>
      <c r="Q15" s="3"/>
      <c r="R15" s="3"/>
    </row>
    <row r="16" spans="1:18" x14ac:dyDescent="0.25">
      <c r="A16" s="2">
        <v>14</v>
      </c>
      <c r="B16" s="7" t="s">
        <v>1056</v>
      </c>
      <c r="C16" s="7" t="s">
        <v>1057</v>
      </c>
      <c r="D16" s="7" t="s">
        <v>1056</v>
      </c>
      <c r="E16" s="7" t="s">
        <v>131</v>
      </c>
      <c r="F16" s="7" t="s">
        <v>1058</v>
      </c>
      <c r="G16" s="17" t="s">
        <v>7747</v>
      </c>
      <c r="H16" s="7" t="s">
        <v>28</v>
      </c>
      <c r="I16" s="7" t="s">
        <v>783</v>
      </c>
      <c r="J16" s="7" t="s">
        <v>1059</v>
      </c>
      <c r="K16" s="7" t="s">
        <v>1042</v>
      </c>
      <c r="L16" s="7" t="s">
        <v>247</v>
      </c>
      <c r="M16" s="7">
        <v>5.2492080000000003</v>
      </c>
      <c r="N16" s="7">
        <v>10.511272999999999</v>
      </c>
      <c r="O16" s="7" t="s">
        <v>23</v>
      </c>
      <c r="P16" s="3"/>
      <c r="Q16" s="3"/>
      <c r="R16" s="3"/>
    </row>
    <row r="17" spans="1:18" x14ac:dyDescent="0.25">
      <c r="A17" s="2">
        <v>15</v>
      </c>
      <c r="B17" s="7" t="s">
        <v>1063</v>
      </c>
      <c r="C17" s="7" t="s">
        <v>1064</v>
      </c>
      <c r="D17" s="7" t="s">
        <v>1063</v>
      </c>
      <c r="E17" s="7" t="s">
        <v>131</v>
      </c>
      <c r="F17" s="7" t="s">
        <v>1065</v>
      </c>
      <c r="G17" s="17" t="s">
        <v>7747</v>
      </c>
      <c r="H17" s="7" t="s">
        <v>28</v>
      </c>
      <c r="I17" s="7" t="s">
        <v>396</v>
      </c>
      <c r="J17" s="7" t="s">
        <v>397</v>
      </c>
      <c r="K17" s="7" t="s">
        <v>1055</v>
      </c>
      <c r="L17" s="7" t="s">
        <v>247</v>
      </c>
      <c r="M17" s="7">
        <v>5.8265830000000003</v>
      </c>
      <c r="N17" s="7">
        <v>10.732278000000001</v>
      </c>
      <c r="O17" s="7" t="s">
        <v>23</v>
      </c>
      <c r="P17" s="3"/>
      <c r="Q17" s="3"/>
      <c r="R17" s="3"/>
    </row>
    <row r="18" spans="1:18" x14ac:dyDescent="0.25">
      <c r="A18" s="2">
        <v>16</v>
      </c>
      <c r="B18" s="7" t="s">
        <v>1066</v>
      </c>
      <c r="C18" s="7" t="s">
        <v>1067</v>
      </c>
      <c r="D18" s="7" t="s">
        <v>1066</v>
      </c>
      <c r="E18" s="7" t="s">
        <v>131</v>
      </c>
      <c r="F18" s="7" t="s">
        <v>1068</v>
      </c>
      <c r="G18" s="17" t="s">
        <v>7747</v>
      </c>
      <c r="H18" s="7" t="s">
        <v>28</v>
      </c>
      <c r="I18" s="7" t="s">
        <v>1069</v>
      </c>
      <c r="J18" s="7" t="s">
        <v>1070</v>
      </c>
      <c r="K18" s="7" t="s">
        <v>1071</v>
      </c>
      <c r="L18" s="7" t="s">
        <v>247</v>
      </c>
      <c r="M18" s="7">
        <v>5.5803700000000003</v>
      </c>
      <c r="N18" s="7">
        <v>10.407389999999999</v>
      </c>
      <c r="O18" s="7" t="s">
        <v>23</v>
      </c>
      <c r="P18" s="3"/>
      <c r="Q18" s="3"/>
      <c r="R18" s="3"/>
    </row>
    <row r="19" spans="1:18" x14ac:dyDescent="0.25">
      <c r="A19" s="2">
        <v>17</v>
      </c>
      <c r="B19" s="7" t="s">
        <v>1075</v>
      </c>
      <c r="C19" s="7" t="s">
        <v>1076</v>
      </c>
      <c r="D19" s="7" t="s">
        <v>1075</v>
      </c>
      <c r="E19" s="7" t="s">
        <v>131</v>
      </c>
      <c r="F19" s="7" t="s">
        <v>1077</v>
      </c>
      <c r="G19" s="17" t="s">
        <v>7747</v>
      </c>
      <c r="H19" s="7" t="s">
        <v>28</v>
      </c>
      <c r="I19" s="7" t="s">
        <v>245</v>
      </c>
      <c r="J19" s="7" t="s">
        <v>246</v>
      </c>
      <c r="K19" s="7" t="s">
        <v>1078</v>
      </c>
      <c r="L19" s="7" t="s">
        <v>247</v>
      </c>
      <c r="M19" s="7">
        <v>5.6002660000000004</v>
      </c>
      <c r="N19" s="7">
        <v>10.325967</v>
      </c>
      <c r="O19" s="7" t="s">
        <v>23</v>
      </c>
      <c r="P19" s="3"/>
      <c r="Q19" s="3"/>
      <c r="R19" s="3"/>
    </row>
    <row r="20" spans="1:18" x14ac:dyDescent="0.25">
      <c r="A20" s="2">
        <v>18</v>
      </c>
      <c r="B20" s="7" t="s">
        <v>1082</v>
      </c>
      <c r="C20" s="7" t="s">
        <v>1083</v>
      </c>
      <c r="D20" s="7" t="s">
        <v>1082</v>
      </c>
      <c r="E20" s="7" t="s">
        <v>131</v>
      </c>
      <c r="F20" s="7" t="s">
        <v>1084</v>
      </c>
      <c r="G20" s="8" t="s">
        <v>18</v>
      </c>
      <c r="H20" s="7" t="s">
        <v>28</v>
      </c>
      <c r="I20" s="7" t="s">
        <v>245</v>
      </c>
      <c r="J20" s="7" t="s">
        <v>761</v>
      </c>
      <c r="K20" s="7" t="s">
        <v>762</v>
      </c>
      <c r="L20" s="7" t="s">
        <v>247</v>
      </c>
      <c r="M20" s="7">
        <v>5.7008999999999999</v>
      </c>
      <c r="N20" s="7">
        <v>10.492000000000001</v>
      </c>
      <c r="O20" s="7" t="s">
        <v>23</v>
      </c>
      <c r="P20" s="3"/>
      <c r="Q20" s="3"/>
      <c r="R20" s="3"/>
    </row>
    <row r="21" spans="1:18" x14ac:dyDescent="0.25">
      <c r="A21" s="2">
        <v>19</v>
      </c>
      <c r="B21" s="7" t="s">
        <v>1107</v>
      </c>
      <c r="C21" s="7" t="s">
        <v>1108</v>
      </c>
      <c r="D21" s="7" t="s">
        <v>1107</v>
      </c>
      <c r="E21" s="7" t="s">
        <v>131</v>
      </c>
      <c r="F21" s="7" t="s">
        <v>1109</v>
      </c>
      <c r="G21" s="17" t="s">
        <v>7747</v>
      </c>
      <c r="H21" s="7" t="s">
        <v>28</v>
      </c>
      <c r="I21" s="7" t="s">
        <v>783</v>
      </c>
      <c r="J21" s="7" t="s">
        <v>1110</v>
      </c>
      <c r="K21" s="7" t="s">
        <v>1111</v>
      </c>
      <c r="L21" s="7" t="s">
        <v>247</v>
      </c>
      <c r="M21" s="7">
        <v>5.4162239999999997</v>
      </c>
      <c r="N21" s="7">
        <v>10.355382000000001</v>
      </c>
      <c r="O21" s="7" t="s">
        <v>23</v>
      </c>
      <c r="P21" s="3"/>
      <c r="Q21" s="3"/>
      <c r="R21" s="3"/>
    </row>
    <row r="22" spans="1:18" x14ac:dyDescent="0.25">
      <c r="A22" s="2">
        <v>20</v>
      </c>
      <c r="B22" s="7" t="s">
        <v>1112</v>
      </c>
      <c r="C22" s="7" t="s">
        <v>1113</v>
      </c>
      <c r="D22" s="7" t="s">
        <v>1112</v>
      </c>
      <c r="E22" s="7" t="s">
        <v>131</v>
      </c>
      <c r="F22" s="7" t="s">
        <v>1114</v>
      </c>
      <c r="G22" s="17" t="s">
        <v>7747</v>
      </c>
      <c r="H22" s="7" t="s">
        <v>28</v>
      </c>
      <c r="I22" s="7" t="s">
        <v>245</v>
      </c>
      <c r="J22" s="7" t="s">
        <v>1070</v>
      </c>
      <c r="K22" s="7" t="s">
        <v>244</v>
      </c>
      <c r="L22" s="7" t="s">
        <v>247</v>
      </c>
      <c r="M22" s="7">
        <v>5.4082530000000002</v>
      </c>
      <c r="N22" s="7">
        <v>10.264578</v>
      </c>
      <c r="O22" s="7" t="s">
        <v>23</v>
      </c>
      <c r="P22" s="3"/>
      <c r="Q22" s="3"/>
      <c r="R22" s="3"/>
    </row>
    <row r="23" spans="1:18" x14ac:dyDescent="0.25">
      <c r="A23" s="2">
        <v>21</v>
      </c>
      <c r="B23" s="7" t="s">
        <v>1119</v>
      </c>
      <c r="C23" s="7" t="s">
        <v>1120</v>
      </c>
      <c r="D23" s="7" t="s">
        <v>1119</v>
      </c>
      <c r="E23" s="7" t="s">
        <v>131</v>
      </c>
      <c r="F23" s="7" t="s">
        <v>1121</v>
      </c>
      <c r="G23" s="17" t="s">
        <v>7747</v>
      </c>
      <c r="H23" s="7" t="s">
        <v>28</v>
      </c>
      <c r="I23" s="7" t="s">
        <v>1042</v>
      </c>
      <c r="J23" s="7" t="s">
        <v>1043</v>
      </c>
      <c r="K23" s="7" t="s">
        <v>1122</v>
      </c>
      <c r="L23" s="7" t="s">
        <v>247</v>
      </c>
      <c r="M23" s="7">
        <v>5.0852500000000003</v>
      </c>
      <c r="N23" s="7">
        <v>10.488861</v>
      </c>
      <c r="O23" s="7" t="s">
        <v>23</v>
      </c>
      <c r="P23" s="3"/>
      <c r="Q23" s="3"/>
      <c r="R23" s="3"/>
    </row>
    <row r="24" spans="1:18" x14ac:dyDescent="0.25">
      <c r="A24" s="2">
        <v>22</v>
      </c>
      <c r="B24" s="7" t="s">
        <v>1126</v>
      </c>
      <c r="C24" s="7" t="s">
        <v>1127</v>
      </c>
      <c r="D24" s="7" t="s">
        <v>1126</v>
      </c>
      <c r="E24" s="7" t="s">
        <v>131</v>
      </c>
      <c r="F24" s="7" t="s">
        <v>1128</v>
      </c>
      <c r="G24" s="17" t="s">
        <v>7747</v>
      </c>
      <c r="H24" s="7" t="s">
        <v>28</v>
      </c>
      <c r="I24" s="7" t="s">
        <v>783</v>
      </c>
      <c r="J24" s="7" t="s">
        <v>1110</v>
      </c>
      <c r="K24" s="7" t="s">
        <v>1111</v>
      </c>
      <c r="L24" s="7" t="s">
        <v>247</v>
      </c>
      <c r="M24" s="7">
        <v>5.3518829999999999</v>
      </c>
      <c r="N24" s="7">
        <v>10.340982</v>
      </c>
      <c r="O24" s="7" t="s">
        <v>23</v>
      </c>
      <c r="P24" s="3"/>
      <c r="Q24" s="3"/>
      <c r="R24" s="3"/>
    </row>
    <row r="25" spans="1:18" x14ac:dyDescent="0.25">
      <c r="A25" s="2">
        <v>23</v>
      </c>
      <c r="B25" s="7" t="s">
        <v>1231</v>
      </c>
      <c r="C25" s="7" t="s">
        <v>1232</v>
      </c>
      <c r="D25" s="7" t="s">
        <v>1231</v>
      </c>
      <c r="E25" s="7" t="s">
        <v>131</v>
      </c>
      <c r="F25" s="7" t="s">
        <v>1233</v>
      </c>
      <c r="G25" s="17" t="s">
        <v>7747</v>
      </c>
      <c r="H25" s="7" t="s">
        <v>28</v>
      </c>
      <c r="I25" s="7" t="s">
        <v>396</v>
      </c>
      <c r="J25" s="7" t="s">
        <v>397</v>
      </c>
      <c r="K25" s="7" t="s">
        <v>398</v>
      </c>
      <c r="L25" s="7" t="s">
        <v>247</v>
      </c>
      <c r="M25" s="7">
        <v>5.6598800000000002</v>
      </c>
      <c r="N25" s="7">
        <v>10.51872</v>
      </c>
      <c r="O25" s="7" t="s">
        <v>23</v>
      </c>
      <c r="P25" s="3"/>
      <c r="Q25" s="3"/>
      <c r="R25" s="3"/>
    </row>
    <row r="26" spans="1:18" x14ac:dyDescent="0.25">
      <c r="A26" s="2">
        <v>24</v>
      </c>
      <c r="B26" s="7" t="s">
        <v>1237</v>
      </c>
      <c r="C26" s="7" t="s">
        <v>1238</v>
      </c>
      <c r="D26" s="7" t="s">
        <v>1237</v>
      </c>
      <c r="E26" s="7" t="s">
        <v>131</v>
      </c>
      <c r="F26" s="7" t="s">
        <v>1239</v>
      </c>
      <c r="G26" s="17" t="s">
        <v>7747</v>
      </c>
      <c r="H26" s="7" t="s">
        <v>28</v>
      </c>
      <c r="I26" s="7" t="s">
        <v>396</v>
      </c>
      <c r="J26" s="7" t="s">
        <v>397</v>
      </c>
      <c r="K26" s="7" t="s">
        <v>396</v>
      </c>
      <c r="L26" s="7" t="s">
        <v>247</v>
      </c>
      <c r="M26" s="7">
        <v>5.3856599999999997</v>
      </c>
      <c r="N26" s="7">
        <v>10.65691</v>
      </c>
      <c r="O26" s="7" t="s">
        <v>23</v>
      </c>
      <c r="P26" s="3"/>
      <c r="Q26" s="3"/>
      <c r="R26" s="3"/>
    </row>
    <row r="27" spans="1:18" x14ac:dyDescent="0.25">
      <c r="A27" s="2">
        <v>25</v>
      </c>
      <c r="B27" s="7" t="s">
        <v>1257</v>
      </c>
      <c r="C27" s="7" t="s">
        <v>1258</v>
      </c>
      <c r="D27" s="7" t="s">
        <v>1257</v>
      </c>
      <c r="E27" s="7" t="s">
        <v>131</v>
      </c>
      <c r="F27" s="7" t="s">
        <v>1259</v>
      </c>
      <c r="G27" s="17" t="s">
        <v>7747</v>
      </c>
      <c r="H27" s="7" t="s">
        <v>28</v>
      </c>
      <c r="I27" s="7" t="s">
        <v>145</v>
      </c>
      <c r="J27" s="7" t="s">
        <v>397</v>
      </c>
      <c r="K27" s="7" t="s">
        <v>587</v>
      </c>
      <c r="L27" s="7" t="s">
        <v>247</v>
      </c>
      <c r="M27" s="7">
        <v>5.6471260000000001</v>
      </c>
      <c r="N27" s="7">
        <v>11.152048000000001</v>
      </c>
      <c r="O27" s="7" t="s">
        <v>23</v>
      </c>
      <c r="P27" s="3"/>
      <c r="Q27" s="3"/>
      <c r="R27" s="3"/>
    </row>
    <row r="28" spans="1:18" x14ac:dyDescent="0.25">
      <c r="A28" s="2">
        <v>26</v>
      </c>
      <c r="B28" s="7" t="s">
        <v>1354</v>
      </c>
      <c r="C28" s="7" t="s">
        <v>1355</v>
      </c>
      <c r="D28" s="7" t="s">
        <v>1354</v>
      </c>
      <c r="E28" s="7" t="s">
        <v>131</v>
      </c>
      <c r="F28" s="7" t="s">
        <v>1356</v>
      </c>
      <c r="G28" s="17" t="s">
        <v>7747</v>
      </c>
      <c r="H28" s="7" t="s">
        <v>28</v>
      </c>
      <c r="I28" s="7" t="s">
        <v>145</v>
      </c>
      <c r="J28" s="7" t="s">
        <v>397</v>
      </c>
      <c r="K28" s="7" t="s">
        <v>145</v>
      </c>
      <c r="L28" s="7" t="s">
        <v>247</v>
      </c>
      <c r="M28" s="7">
        <v>5.7330500000000004</v>
      </c>
      <c r="N28" s="7">
        <v>10.87373</v>
      </c>
      <c r="O28" s="7" t="s">
        <v>23</v>
      </c>
      <c r="P28" s="3"/>
      <c r="Q28" s="3"/>
      <c r="R28" s="3"/>
    </row>
    <row r="29" spans="1:18" x14ac:dyDescent="0.25">
      <c r="A29" s="2">
        <v>27</v>
      </c>
      <c r="B29" s="7" t="s">
        <v>1368</v>
      </c>
      <c r="C29" s="7" t="s">
        <v>1369</v>
      </c>
      <c r="D29" s="7" t="s">
        <v>1368</v>
      </c>
      <c r="E29" s="7" t="s">
        <v>131</v>
      </c>
      <c r="F29" s="7" t="s">
        <v>1370</v>
      </c>
      <c r="G29" s="17" t="s">
        <v>7747</v>
      </c>
      <c r="H29" s="7" t="s">
        <v>28</v>
      </c>
      <c r="I29" s="7" t="s">
        <v>145</v>
      </c>
      <c r="J29" s="7" t="s">
        <v>397</v>
      </c>
      <c r="K29" s="7" t="s">
        <v>145</v>
      </c>
      <c r="L29" s="7" t="s">
        <v>247</v>
      </c>
      <c r="M29" s="7">
        <v>5.71516</v>
      </c>
      <c r="N29" s="7">
        <v>10.905749999999999</v>
      </c>
      <c r="O29" s="7" t="s">
        <v>23</v>
      </c>
      <c r="P29" s="3"/>
      <c r="Q29" s="3"/>
      <c r="R29" s="3"/>
    </row>
    <row r="30" spans="1:18" x14ac:dyDescent="0.25">
      <c r="A30" s="2">
        <v>28</v>
      </c>
      <c r="B30" s="7" t="s">
        <v>1397</v>
      </c>
      <c r="C30" s="7" t="s">
        <v>1398</v>
      </c>
      <c r="D30" s="7" t="s">
        <v>1397</v>
      </c>
      <c r="E30" s="7" t="s">
        <v>131</v>
      </c>
      <c r="F30" s="7" t="s">
        <v>1399</v>
      </c>
      <c r="G30" s="17" t="s">
        <v>7747</v>
      </c>
      <c r="H30" s="7" t="s">
        <v>28</v>
      </c>
      <c r="I30" s="7" t="s">
        <v>783</v>
      </c>
      <c r="J30" s="7" t="s">
        <v>1070</v>
      </c>
      <c r="K30" s="7" t="s">
        <v>1071</v>
      </c>
      <c r="L30" s="7" t="s">
        <v>247</v>
      </c>
      <c r="M30" s="7">
        <v>5.4766510000000004</v>
      </c>
      <c r="N30" s="7">
        <v>10.420191000000001</v>
      </c>
      <c r="O30" s="7" t="s">
        <v>23</v>
      </c>
      <c r="P30" s="3"/>
      <c r="Q30" s="3"/>
      <c r="R30" s="3"/>
    </row>
    <row r="31" spans="1:18" x14ac:dyDescent="0.25">
      <c r="A31" s="2">
        <v>29</v>
      </c>
      <c r="B31" s="7" t="s">
        <v>1409</v>
      </c>
      <c r="C31" s="7" t="s">
        <v>1410</v>
      </c>
      <c r="D31" s="7" t="s">
        <v>1409</v>
      </c>
      <c r="E31" s="7" t="s">
        <v>131</v>
      </c>
      <c r="F31" s="7" t="s">
        <v>1411</v>
      </c>
      <c r="G31" s="17" t="s">
        <v>7747</v>
      </c>
      <c r="H31" s="7" t="s">
        <v>19</v>
      </c>
      <c r="I31" s="7" t="s">
        <v>1042</v>
      </c>
      <c r="J31" s="7" t="s">
        <v>317</v>
      </c>
      <c r="K31" s="7" t="s">
        <v>318</v>
      </c>
      <c r="L31" s="7" t="s">
        <v>247</v>
      </c>
      <c r="M31" s="7">
        <v>4.869122</v>
      </c>
      <c r="N31" s="7">
        <v>10.817335</v>
      </c>
      <c r="O31" s="7" t="s">
        <v>23</v>
      </c>
      <c r="P31" s="3"/>
      <c r="Q31" s="3"/>
      <c r="R31" s="3"/>
    </row>
    <row r="32" spans="1:18" x14ac:dyDescent="0.25">
      <c r="A32" s="2">
        <v>30</v>
      </c>
      <c r="B32" s="7" t="s">
        <v>1463</v>
      </c>
      <c r="C32" s="7" t="s">
        <v>1464</v>
      </c>
      <c r="D32" s="7" t="s">
        <v>1463</v>
      </c>
      <c r="E32" s="7" t="s">
        <v>131</v>
      </c>
      <c r="F32" s="7" t="s">
        <v>762</v>
      </c>
      <c r="G32" s="8" t="s">
        <v>18</v>
      </c>
      <c r="H32" s="7" t="s">
        <v>28</v>
      </c>
      <c r="I32" s="7" t="s">
        <v>245</v>
      </c>
      <c r="J32" s="7" t="s">
        <v>761</v>
      </c>
      <c r="K32" s="7" t="s">
        <v>762</v>
      </c>
      <c r="L32" s="7" t="s">
        <v>247</v>
      </c>
      <c r="M32" s="7">
        <v>5.6951000000000001</v>
      </c>
      <c r="N32" s="7">
        <v>10.36</v>
      </c>
      <c r="O32" s="7" t="s">
        <v>23</v>
      </c>
      <c r="P32" s="3"/>
      <c r="Q32" s="3"/>
      <c r="R32" s="3"/>
    </row>
    <row r="33" spans="1:18" x14ac:dyDescent="0.25">
      <c r="A33" s="2">
        <v>31</v>
      </c>
      <c r="B33" s="7" t="s">
        <v>1520</v>
      </c>
      <c r="C33" s="7" t="s">
        <v>1521</v>
      </c>
      <c r="D33" s="7" t="s">
        <v>1520</v>
      </c>
      <c r="E33" s="7" t="s">
        <v>131</v>
      </c>
      <c r="F33" s="7" t="s">
        <v>1522</v>
      </c>
      <c r="G33" s="17" t="s">
        <v>7747</v>
      </c>
      <c r="H33" s="7" t="s">
        <v>19</v>
      </c>
      <c r="I33" s="7" t="s">
        <v>145</v>
      </c>
      <c r="J33" s="7" t="s">
        <v>397</v>
      </c>
      <c r="K33" s="7" t="s">
        <v>1522</v>
      </c>
      <c r="L33" s="7" t="s">
        <v>247</v>
      </c>
      <c r="M33" s="7">
        <v>5.9757300000000004</v>
      </c>
      <c r="N33" s="7">
        <v>11.20989</v>
      </c>
      <c r="O33" s="7" t="s">
        <v>23</v>
      </c>
      <c r="P33" s="3"/>
      <c r="Q33" s="3"/>
      <c r="R33" s="3"/>
    </row>
    <row r="34" spans="1:18" x14ac:dyDescent="0.25">
      <c r="A34" s="2">
        <v>32</v>
      </c>
      <c r="B34" s="7" t="s">
        <v>1523</v>
      </c>
      <c r="C34" s="7" t="s">
        <v>1524</v>
      </c>
      <c r="D34" s="7" t="s">
        <v>1523</v>
      </c>
      <c r="E34" s="7" t="s">
        <v>131</v>
      </c>
      <c r="F34" s="7" t="s">
        <v>398</v>
      </c>
      <c r="G34" s="8" t="s">
        <v>18</v>
      </c>
      <c r="H34" s="7" t="s">
        <v>28</v>
      </c>
      <c r="I34" s="7" t="s">
        <v>396</v>
      </c>
      <c r="J34" s="7" t="s">
        <v>397</v>
      </c>
      <c r="K34" s="7" t="s">
        <v>398</v>
      </c>
      <c r="L34" s="7" t="s">
        <v>247</v>
      </c>
      <c r="M34" s="7">
        <v>5.6478890000000002</v>
      </c>
      <c r="N34" s="7">
        <v>10.614667000000001</v>
      </c>
      <c r="O34" s="7" t="s">
        <v>23</v>
      </c>
      <c r="P34" s="3"/>
      <c r="Q34" s="3"/>
      <c r="R34" s="3"/>
    </row>
    <row r="35" spans="1:18" x14ac:dyDescent="0.25">
      <c r="A35" s="2">
        <v>33</v>
      </c>
      <c r="B35" s="7" t="s">
        <v>1683</v>
      </c>
      <c r="C35" s="7" t="s">
        <v>1684</v>
      </c>
      <c r="D35" s="7" t="s">
        <v>1683</v>
      </c>
      <c r="E35" s="7" t="s">
        <v>131</v>
      </c>
      <c r="F35" s="7" t="s">
        <v>1685</v>
      </c>
      <c r="G35" s="17" t="s">
        <v>7747</v>
      </c>
      <c r="H35" s="7" t="s">
        <v>28</v>
      </c>
      <c r="I35" s="7" t="s">
        <v>245</v>
      </c>
      <c r="J35" s="7" t="s">
        <v>246</v>
      </c>
      <c r="K35" s="7" t="s">
        <v>1078</v>
      </c>
      <c r="L35" s="7" t="s">
        <v>247</v>
      </c>
      <c r="M35" s="7">
        <v>5.6224930000000004</v>
      </c>
      <c r="N35" s="7">
        <v>10.265157</v>
      </c>
      <c r="O35" s="7" t="s">
        <v>613</v>
      </c>
      <c r="P35" s="3"/>
      <c r="Q35" s="3"/>
      <c r="R35" s="3"/>
    </row>
    <row r="36" spans="1:18" x14ac:dyDescent="0.25">
      <c r="A36" s="2">
        <v>34</v>
      </c>
      <c r="B36" s="7" t="s">
        <v>1753</v>
      </c>
      <c r="C36" s="7" t="s">
        <v>1754</v>
      </c>
      <c r="D36" s="7" t="s">
        <v>1753</v>
      </c>
      <c r="E36" s="7" t="s">
        <v>131</v>
      </c>
      <c r="F36" s="7" t="s">
        <v>1755</v>
      </c>
      <c r="G36" s="17" t="s">
        <v>7747</v>
      </c>
      <c r="H36" s="7" t="s">
        <v>19</v>
      </c>
      <c r="I36" s="7" t="s">
        <v>396</v>
      </c>
      <c r="J36" s="7" t="s">
        <v>397</v>
      </c>
      <c r="K36" s="7" t="s">
        <v>396</v>
      </c>
      <c r="L36" s="7" t="s">
        <v>247</v>
      </c>
      <c r="M36" s="7">
        <v>5.5187299999999997</v>
      </c>
      <c r="N36" s="7">
        <v>10.6676</v>
      </c>
      <c r="O36" s="7" t="s">
        <v>23</v>
      </c>
      <c r="P36" s="3"/>
      <c r="Q36" s="3"/>
      <c r="R36" s="3"/>
    </row>
    <row r="37" spans="1:18" x14ac:dyDescent="0.25">
      <c r="A37" s="2">
        <v>35</v>
      </c>
      <c r="B37" s="7" t="s">
        <v>1819</v>
      </c>
      <c r="C37" s="7" t="s">
        <v>1820</v>
      </c>
      <c r="D37" s="7" t="s">
        <v>1819</v>
      </c>
      <c r="E37" s="7" t="s">
        <v>131</v>
      </c>
      <c r="F37" s="7" t="s">
        <v>1821</v>
      </c>
      <c r="G37" s="17" t="s">
        <v>7747</v>
      </c>
      <c r="H37" s="7" t="s">
        <v>28</v>
      </c>
      <c r="I37" s="7" t="s">
        <v>1042</v>
      </c>
      <c r="J37" s="7" t="s">
        <v>317</v>
      </c>
      <c r="K37" s="7" t="s">
        <v>1821</v>
      </c>
      <c r="L37" s="7" t="s">
        <v>247</v>
      </c>
      <c r="M37" s="7">
        <v>4.6276549999999999</v>
      </c>
      <c r="N37" s="7">
        <v>10.875508</v>
      </c>
      <c r="O37" s="7" t="s">
        <v>23</v>
      </c>
      <c r="P37" s="3"/>
      <c r="Q37" s="3"/>
      <c r="R37" s="3"/>
    </row>
    <row r="38" spans="1:18" x14ac:dyDescent="0.25">
      <c r="A38" s="2">
        <v>36</v>
      </c>
      <c r="B38" s="7" t="s">
        <v>1931</v>
      </c>
      <c r="C38" s="7" t="s">
        <v>1932</v>
      </c>
      <c r="D38" s="7" t="s">
        <v>1931</v>
      </c>
      <c r="E38" s="7" t="s">
        <v>131</v>
      </c>
      <c r="F38" s="7" t="s">
        <v>1933</v>
      </c>
      <c r="G38" s="17" t="s">
        <v>7747</v>
      </c>
      <c r="H38" s="7" t="s">
        <v>28</v>
      </c>
      <c r="I38" s="7" t="s">
        <v>396</v>
      </c>
      <c r="J38" s="7" t="s">
        <v>397</v>
      </c>
      <c r="K38" s="7" t="s">
        <v>396</v>
      </c>
      <c r="L38" s="7" t="s">
        <v>247</v>
      </c>
      <c r="M38" s="7">
        <v>5.5173800000000002</v>
      </c>
      <c r="N38" s="7">
        <v>10.596310000000001</v>
      </c>
      <c r="O38" s="7" t="s">
        <v>23</v>
      </c>
      <c r="P38" s="3"/>
      <c r="Q38" s="3"/>
      <c r="R38" s="3"/>
    </row>
    <row r="39" spans="1:18" x14ac:dyDescent="0.25">
      <c r="A39" s="2">
        <v>37</v>
      </c>
      <c r="B39" s="7" t="s">
        <v>2104</v>
      </c>
      <c r="C39" s="7" t="s">
        <v>2105</v>
      </c>
      <c r="D39" s="7" t="s">
        <v>2104</v>
      </c>
      <c r="E39" s="7" t="s">
        <v>131</v>
      </c>
      <c r="F39" s="7" t="s">
        <v>2106</v>
      </c>
      <c r="G39" s="17" t="s">
        <v>7747</v>
      </c>
      <c r="H39" s="7" t="s">
        <v>28</v>
      </c>
      <c r="I39" s="7" t="s">
        <v>145</v>
      </c>
      <c r="J39" s="7" t="s">
        <v>397</v>
      </c>
      <c r="K39" s="7" t="s">
        <v>145</v>
      </c>
      <c r="L39" s="7" t="s">
        <v>247</v>
      </c>
      <c r="M39" s="7">
        <v>5.7282859999999998</v>
      </c>
      <c r="N39" s="7">
        <v>10.915293999999999</v>
      </c>
      <c r="O39" s="7" t="s">
        <v>23</v>
      </c>
      <c r="P39" s="3"/>
      <c r="Q39" s="3"/>
      <c r="R39" s="3"/>
    </row>
    <row r="40" spans="1:18" x14ac:dyDescent="0.25">
      <c r="A40" s="2">
        <v>38</v>
      </c>
      <c r="B40" s="7" t="s">
        <v>2107</v>
      </c>
      <c r="C40" s="7" t="s">
        <v>2108</v>
      </c>
      <c r="D40" s="7" t="s">
        <v>2107</v>
      </c>
      <c r="E40" s="7" t="s">
        <v>131</v>
      </c>
      <c r="F40" s="7" t="s">
        <v>2109</v>
      </c>
      <c r="G40" s="17" t="s">
        <v>7747</v>
      </c>
      <c r="H40" s="7" t="s">
        <v>28</v>
      </c>
      <c r="I40" s="7" t="s">
        <v>145</v>
      </c>
      <c r="J40" s="7" t="s">
        <v>397</v>
      </c>
      <c r="K40" s="7" t="s">
        <v>145</v>
      </c>
      <c r="L40" s="7" t="s">
        <v>247</v>
      </c>
      <c r="M40" s="7">
        <v>5.7350560000000002</v>
      </c>
      <c r="N40" s="7">
        <v>10.912417</v>
      </c>
      <c r="O40" s="7" t="s">
        <v>23</v>
      </c>
      <c r="P40" s="3"/>
      <c r="Q40" s="3"/>
      <c r="R40" s="3"/>
    </row>
    <row r="41" spans="1:18" x14ac:dyDescent="0.25">
      <c r="A41" s="2">
        <v>39</v>
      </c>
      <c r="B41" s="7" t="s">
        <v>2151</v>
      </c>
      <c r="C41" s="7" t="s">
        <v>2152</v>
      </c>
      <c r="D41" s="7" t="s">
        <v>2151</v>
      </c>
      <c r="E41" s="7" t="s">
        <v>131</v>
      </c>
      <c r="F41" s="7" t="s">
        <v>1055</v>
      </c>
      <c r="G41" s="8" t="s">
        <v>18</v>
      </c>
      <c r="H41" s="7" t="s">
        <v>28</v>
      </c>
      <c r="I41" s="7" t="s">
        <v>396</v>
      </c>
      <c r="J41" s="7" t="s">
        <v>397</v>
      </c>
      <c r="K41" s="7" t="s">
        <v>1055</v>
      </c>
      <c r="L41" s="7" t="s">
        <v>247</v>
      </c>
      <c r="M41" s="7">
        <v>5.875667</v>
      </c>
      <c r="N41" s="7">
        <v>10.673916999999999</v>
      </c>
      <c r="O41" s="7" t="s">
        <v>23</v>
      </c>
      <c r="P41" s="3"/>
      <c r="Q41" s="3"/>
      <c r="R41" s="3"/>
    </row>
    <row r="42" spans="1:18" x14ac:dyDescent="0.25">
      <c r="A42" s="2">
        <v>40</v>
      </c>
      <c r="B42" s="7" t="s">
        <v>2153</v>
      </c>
      <c r="C42" s="7" t="s">
        <v>2154</v>
      </c>
      <c r="D42" s="7" t="s">
        <v>2153</v>
      </c>
      <c r="E42" s="7" t="s">
        <v>131</v>
      </c>
      <c r="F42" s="7" t="s">
        <v>2155</v>
      </c>
      <c r="G42" s="17" t="s">
        <v>7747</v>
      </c>
      <c r="H42" s="7" t="s">
        <v>28</v>
      </c>
      <c r="I42" s="7" t="s">
        <v>783</v>
      </c>
      <c r="J42" s="7" t="s">
        <v>2156</v>
      </c>
      <c r="K42" s="7" t="s">
        <v>2157</v>
      </c>
      <c r="L42" s="7" t="s">
        <v>247</v>
      </c>
      <c r="M42" s="7">
        <v>5.3424870000000002</v>
      </c>
      <c r="N42" s="7">
        <v>10.259969</v>
      </c>
      <c r="O42" s="7" t="s">
        <v>23</v>
      </c>
      <c r="P42" s="3"/>
      <c r="Q42" s="3"/>
      <c r="R42" s="3"/>
    </row>
    <row r="43" spans="1:18" x14ac:dyDescent="0.25">
      <c r="A43" s="2">
        <v>41</v>
      </c>
      <c r="B43" s="7" t="s">
        <v>2158</v>
      </c>
      <c r="C43" s="7" t="s">
        <v>2159</v>
      </c>
      <c r="D43" s="7" t="s">
        <v>2158</v>
      </c>
      <c r="E43" s="7" t="s">
        <v>131</v>
      </c>
      <c r="F43" s="7" t="s">
        <v>2160</v>
      </c>
      <c r="G43" s="17" t="s">
        <v>7747</v>
      </c>
      <c r="H43" s="7" t="s">
        <v>28</v>
      </c>
      <c r="I43" s="7" t="s">
        <v>245</v>
      </c>
      <c r="J43" s="7" t="s">
        <v>1070</v>
      </c>
      <c r="K43" s="7" t="s">
        <v>2161</v>
      </c>
      <c r="L43" s="7" t="s">
        <v>247</v>
      </c>
      <c r="M43" s="7">
        <v>5.490532</v>
      </c>
      <c r="N43" s="7">
        <v>10.355143</v>
      </c>
      <c r="O43" s="7" t="s">
        <v>23</v>
      </c>
      <c r="P43" s="3"/>
      <c r="Q43" s="3"/>
      <c r="R43" s="3"/>
    </row>
    <row r="44" spans="1:18" x14ac:dyDescent="0.25">
      <c r="A44" s="2">
        <v>42</v>
      </c>
      <c r="B44" s="7" t="s">
        <v>2162</v>
      </c>
      <c r="C44" s="7" t="s">
        <v>2163</v>
      </c>
      <c r="D44" s="7" t="s">
        <v>2162</v>
      </c>
      <c r="E44" s="7" t="s">
        <v>131</v>
      </c>
      <c r="F44" s="7" t="s">
        <v>1084</v>
      </c>
      <c r="G44" s="8" t="s">
        <v>18</v>
      </c>
      <c r="H44" s="7" t="s">
        <v>19</v>
      </c>
      <c r="I44" s="7" t="s">
        <v>245</v>
      </c>
      <c r="J44" s="7" t="s">
        <v>761</v>
      </c>
      <c r="K44" s="7" t="s">
        <v>762</v>
      </c>
      <c r="L44" s="7" t="s">
        <v>247</v>
      </c>
      <c r="M44" s="7">
        <v>5.7136399999999998</v>
      </c>
      <c r="N44" s="7">
        <v>10.446389</v>
      </c>
      <c r="O44" s="7" t="s">
        <v>23</v>
      </c>
      <c r="P44" s="3"/>
      <c r="Q44" s="3"/>
      <c r="R44" s="3"/>
    </row>
    <row r="45" spans="1:18" x14ac:dyDescent="0.25">
      <c r="A45" s="2">
        <v>43</v>
      </c>
      <c r="B45" s="7" t="s">
        <v>2206</v>
      </c>
      <c r="C45" s="7" t="s">
        <v>2207</v>
      </c>
      <c r="D45" s="7" t="s">
        <v>2206</v>
      </c>
      <c r="E45" s="7" t="s">
        <v>131</v>
      </c>
      <c r="F45" s="7" t="s">
        <v>1042</v>
      </c>
      <c r="G45" s="17" t="s">
        <v>7747</v>
      </c>
      <c r="H45" s="7" t="s">
        <v>19</v>
      </c>
      <c r="I45" s="7" t="s">
        <v>1042</v>
      </c>
      <c r="J45" s="7" t="s">
        <v>1043</v>
      </c>
      <c r="K45" s="7" t="s">
        <v>1042</v>
      </c>
      <c r="L45" s="7" t="s">
        <v>247</v>
      </c>
      <c r="M45" s="7">
        <v>5.163691</v>
      </c>
      <c r="N45" s="7">
        <v>10.504013</v>
      </c>
      <c r="O45" s="7" t="s">
        <v>23</v>
      </c>
      <c r="P45" s="3"/>
      <c r="Q45" s="3"/>
      <c r="R45" s="3"/>
    </row>
    <row r="46" spans="1:18" x14ac:dyDescent="0.25">
      <c r="A46" s="2">
        <v>44</v>
      </c>
      <c r="B46" s="7" t="s">
        <v>2214</v>
      </c>
      <c r="C46" s="7" t="s">
        <v>2215</v>
      </c>
      <c r="D46" s="7" t="s">
        <v>2214</v>
      </c>
      <c r="E46" s="7" t="s">
        <v>131</v>
      </c>
      <c r="F46" s="7" t="s">
        <v>2216</v>
      </c>
      <c r="G46" s="17" t="s">
        <v>7747</v>
      </c>
      <c r="H46" s="7" t="s">
        <v>19</v>
      </c>
      <c r="I46" s="7" t="s">
        <v>165</v>
      </c>
      <c r="J46" s="7" t="s">
        <v>715</v>
      </c>
      <c r="K46" s="7" t="s">
        <v>2217</v>
      </c>
      <c r="L46" s="7" t="s">
        <v>247</v>
      </c>
      <c r="M46" s="7">
        <v>5.1589159999999996</v>
      </c>
      <c r="N46" s="7">
        <v>10.322728</v>
      </c>
      <c r="O46" s="7" t="s">
        <v>23</v>
      </c>
      <c r="P46" s="3"/>
      <c r="Q46" s="3"/>
      <c r="R46" s="3"/>
    </row>
    <row r="47" spans="1:18" x14ac:dyDescent="0.25">
      <c r="A47" s="2">
        <v>45</v>
      </c>
      <c r="B47" s="7" t="s">
        <v>2266</v>
      </c>
      <c r="C47" s="7" t="s">
        <v>2267</v>
      </c>
      <c r="D47" s="7" t="s">
        <v>2266</v>
      </c>
      <c r="E47" s="7" t="s">
        <v>131</v>
      </c>
      <c r="F47" s="7" t="s">
        <v>2268</v>
      </c>
      <c r="G47" s="17" t="s">
        <v>7747</v>
      </c>
      <c r="H47" s="7" t="s">
        <v>19</v>
      </c>
      <c r="I47" s="7" t="s">
        <v>1069</v>
      </c>
      <c r="J47" s="7" t="s">
        <v>1070</v>
      </c>
      <c r="K47" s="7" t="s">
        <v>1071</v>
      </c>
      <c r="L47" s="7" t="s">
        <v>247</v>
      </c>
      <c r="M47" s="7">
        <v>5.4731430000000003</v>
      </c>
      <c r="N47" s="7">
        <v>10.452776</v>
      </c>
      <c r="O47" s="7" t="s">
        <v>23</v>
      </c>
      <c r="P47" s="3"/>
      <c r="Q47" s="3"/>
      <c r="R47" s="3"/>
    </row>
    <row r="48" spans="1:18" x14ac:dyDescent="0.25">
      <c r="A48" s="2">
        <v>46</v>
      </c>
      <c r="B48" s="7" t="s">
        <v>2288</v>
      </c>
      <c r="C48" s="7" t="s">
        <v>2289</v>
      </c>
      <c r="D48" s="7" t="s">
        <v>2288</v>
      </c>
      <c r="E48" s="7" t="s">
        <v>131</v>
      </c>
      <c r="F48" s="7" t="s">
        <v>2290</v>
      </c>
      <c r="G48" s="17" t="s">
        <v>7747</v>
      </c>
      <c r="H48" s="7" t="s">
        <v>28</v>
      </c>
      <c r="I48" s="7" t="s">
        <v>1069</v>
      </c>
      <c r="J48" s="7" t="s">
        <v>1070</v>
      </c>
      <c r="K48" s="7" t="s">
        <v>1071</v>
      </c>
      <c r="L48" s="7" t="s">
        <v>247</v>
      </c>
      <c r="M48" s="7">
        <v>5.5042479999999996</v>
      </c>
      <c r="N48" s="7">
        <v>10.380330000000001</v>
      </c>
      <c r="O48" s="7" t="s">
        <v>23</v>
      </c>
      <c r="P48" s="3"/>
      <c r="Q48" s="3"/>
      <c r="R48" s="3"/>
    </row>
    <row r="49" spans="1:18" x14ac:dyDescent="0.25">
      <c r="A49" s="2">
        <v>47</v>
      </c>
      <c r="B49" s="7" t="s">
        <v>2325</v>
      </c>
      <c r="C49" s="7" t="s">
        <v>2326</v>
      </c>
      <c r="D49" s="7" t="s">
        <v>2325</v>
      </c>
      <c r="E49" s="7" t="s">
        <v>131</v>
      </c>
      <c r="F49" s="7" t="s">
        <v>2327</v>
      </c>
      <c r="G49" s="17" t="s">
        <v>7747</v>
      </c>
      <c r="H49" s="7" t="s">
        <v>19</v>
      </c>
      <c r="I49" s="7" t="s">
        <v>245</v>
      </c>
      <c r="J49" s="7" t="s">
        <v>761</v>
      </c>
      <c r="K49" s="7" t="s">
        <v>1078</v>
      </c>
      <c r="L49" s="7" t="s">
        <v>247</v>
      </c>
      <c r="M49" s="7">
        <v>5.6250600000000004</v>
      </c>
      <c r="N49" s="7">
        <v>10.2462</v>
      </c>
      <c r="O49" s="7" t="s">
        <v>23</v>
      </c>
      <c r="P49" s="3"/>
      <c r="Q49" s="3"/>
      <c r="R49" s="3"/>
    </row>
    <row r="50" spans="1:18" x14ac:dyDescent="0.25">
      <c r="A50" s="2">
        <v>48</v>
      </c>
      <c r="B50" s="7" t="s">
        <v>2361</v>
      </c>
      <c r="C50" s="7" t="s">
        <v>2362</v>
      </c>
      <c r="D50" s="7" t="s">
        <v>2361</v>
      </c>
      <c r="E50" s="7" t="s">
        <v>131</v>
      </c>
      <c r="F50" s="7" t="s">
        <v>2363</v>
      </c>
      <c r="G50" s="17" t="s">
        <v>7747</v>
      </c>
      <c r="H50" s="7" t="s">
        <v>19</v>
      </c>
      <c r="I50" s="7" t="s">
        <v>165</v>
      </c>
      <c r="J50" s="7" t="s">
        <v>715</v>
      </c>
      <c r="K50" s="7" t="s">
        <v>2217</v>
      </c>
      <c r="L50" s="7" t="s">
        <v>247</v>
      </c>
      <c r="M50" s="7">
        <v>5.1573099999999998</v>
      </c>
      <c r="N50" s="7">
        <v>10.322419999999999</v>
      </c>
      <c r="O50" s="7" t="s">
        <v>23</v>
      </c>
      <c r="P50" s="3"/>
      <c r="Q50" s="3"/>
      <c r="R50" s="3"/>
    </row>
    <row r="51" spans="1:18" x14ac:dyDescent="0.25">
      <c r="A51" s="2">
        <v>49</v>
      </c>
      <c r="B51" s="7" t="s">
        <v>2411</v>
      </c>
      <c r="C51" s="7" t="s">
        <v>2412</v>
      </c>
      <c r="D51" s="7" t="s">
        <v>2411</v>
      </c>
      <c r="E51" s="7" t="s">
        <v>131</v>
      </c>
      <c r="F51" s="7" t="s">
        <v>2413</v>
      </c>
      <c r="G51" s="17" t="s">
        <v>7747</v>
      </c>
      <c r="H51" s="7" t="s">
        <v>28</v>
      </c>
      <c r="I51" s="7" t="s">
        <v>1069</v>
      </c>
      <c r="J51" s="7" t="s">
        <v>1070</v>
      </c>
      <c r="K51" s="7" t="s">
        <v>1071</v>
      </c>
      <c r="L51" s="7" t="s">
        <v>247</v>
      </c>
      <c r="M51" s="7">
        <v>5.4833100000000004</v>
      </c>
      <c r="N51" s="7">
        <v>10.44096</v>
      </c>
      <c r="O51" s="7" t="s">
        <v>613</v>
      </c>
      <c r="P51" s="3"/>
      <c r="Q51" s="3"/>
      <c r="R51" s="3"/>
    </row>
    <row r="52" spans="1:18" x14ac:dyDescent="0.25">
      <c r="A52" s="2">
        <v>50</v>
      </c>
      <c r="B52" s="7" t="s">
        <v>2452</v>
      </c>
      <c r="C52" s="7" t="s">
        <v>2453</v>
      </c>
      <c r="D52" s="7" t="s">
        <v>2452</v>
      </c>
      <c r="E52" s="7" t="s">
        <v>131</v>
      </c>
      <c r="F52" s="7" t="s">
        <v>2454</v>
      </c>
      <c r="G52" s="17" t="s">
        <v>7747</v>
      </c>
      <c r="H52" s="7" t="s">
        <v>19</v>
      </c>
      <c r="I52" s="7" t="s">
        <v>1042</v>
      </c>
      <c r="J52" s="7" t="s">
        <v>1043</v>
      </c>
      <c r="K52" s="7" t="s">
        <v>1042</v>
      </c>
      <c r="L52" s="7" t="s">
        <v>247</v>
      </c>
      <c r="M52" s="7">
        <v>5.2684249999999997</v>
      </c>
      <c r="N52" s="7">
        <v>10.444512</v>
      </c>
      <c r="O52" s="7" t="s">
        <v>23</v>
      </c>
      <c r="P52" s="3"/>
      <c r="Q52" s="3"/>
      <c r="R52" s="3"/>
    </row>
    <row r="53" spans="1:18" x14ac:dyDescent="0.25">
      <c r="A53" s="2">
        <v>51</v>
      </c>
      <c r="B53" s="7" t="s">
        <v>2458</v>
      </c>
      <c r="C53" s="7" t="s">
        <v>2459</v>
      </c>
      <c r="D53" s="7" t="s">
        <v>2458</v>
      </c>
      <c r="E53" s="7" t="s">
        <v>131</v>
      </c>
      <c r="F53" s="7" t="s">
        <v>2460</v>
      </c>
      <c r="G53" s="17" t="s">
        <v>7747</v>
      </c>
      <c r="H53" s="7" t="s">
        <v>19</v>
      </c>
      <c r="I53" s="7" t="s">
        <v>245</v>
      </c>
      <c r="J53" s="7" t="s">
        <v>2461</v>
      </c>
      <c r="K53" s="7" t="s">
        <v>522</v>
      </c>
      <c r="L53" s="7" t="s">
        <v>247</v>
      </c>
      <c r="M53" s="7">
        <v>5.5029919999999999</v>
      </c>
      <c r="N53" s="7">
        <v>10.249048999999999</v>
      </c>
      <c r="O53" s="7" t="s">
        <v>23</v>
      </c>
      <c r="P53" s="3"/>
      <c r="Q53" s="3"/>
      <c r="R53" s="3"/>
    </row>
    <row r="54" spans="1:18" x14ac:dyDescent="0.25">
      <c r="A54" s="2">
        <v>52</v>
      </c>
      <c r="B54" s="7" t="s">
        <v>2462</v>
      </c>
      <c r="C54" s="7" t="s">
        <v>2463</v>
      </c>
      <c r="D54" s="7" t="s">
        <v>2462</v>
      </c>
      <c r="E54" s="7" t="s">
        <v>131</v>
      </c>
      <c r="F54" s="7" t="s">
        <v>2464</v>
      </c>
      <c r="G54" s="17" t="s">
        <v>7747</v>
      </c>
      <c r="H54" s="7" t="s">
        <v>28</v>
      </c>
      <c r="I54" s="7" t="s">
        <v>145</v>
      </c>
      <c r="J54" s="7" t="s">
        <v>397</v>
      </c>
      <c r="K54" s="7" t="s">
        <v>145</v>
      </c>
      <c r="L54" s="7" t="s">
        <v>247</v>
      </c>
      <c r="M54" s="7">
        <v>5.7333800000000004</v>
      </c>
      <c r="N54" s="7">
        <v>10.920590000000001</v>
      </c>
      <c r="O54" s="7" t="s">
        <v>613</v>
      </c>
      <c r="P54" s="3"/>
      <c r="Q54" s="3"/>
      <c r="R54" s="3"/>
    </row>
    <row r="55" spans="1:18" x14ac:dyDescent="0.25">
      <c r="A55" s="2">
        <v>53</v>
      </c>
      <c r="B55" s="7" t="s">
        <v>2476</v>
      </c>
      <c r="C55" s="7" t="s">
        <v>2477</v>
      </c>
      <c r="D55" s="7" t="s">
        <v>2476</v>
      </c>
      <c r="E55" s="7" t="s">
        <v>131</v>
      </c>
      <c r="F55" s="7" t="s">
        <v>2478</v>
      </c>
      <c r="G55" s="17" t="s">
        <v>7747</v>
      </c>
      <c r="H55" s="7" t="s">
        <v>19</v>
      </c>
      <c r="I55" s="7" t="s">
        <v>783</v>
      </c>
      <c r="J55" s="7" t="s">
        <v>1070</v>
      </c>
      <c r="K55" s="7" t="s">
        <v>1071</v>
      </c>
      <c r="L55" s="7" t="s">
        <v>247</v>
      </c>
      <c r="M55" s="7">
        <v>5.484972</v>
      </c>
      <c r="N55" s="7">
        <v>10.403772999999999</v>
      </c>
      <c r="O55" s="7" t="s">
        <v>23</v>
      </c>
      <c r="P55" s="3"/>
      <c r="Q55" s="3"/>
      <c r="R55" s="3"/>
    </row>
    <row r="56" spans="1:18" x14ac:dyDescent="0.25">
      <c r="A56" s="2">
        <v>54</v>
      </c>
      <c r="B56" s="7" t="s">
        <v>2479</v>
      </c>
      <c r="C56" s="7" t="s">
        <v>2480</v>
      </c>
      <c r="D56" s="7" t="s">
        <v>2479</v>
      </c>
      <c r="E56" s="7" t="s">
        <v>131</v>
      </c>
      <c r="F56" s="7" t="s">
        <v>2481</v>
      </c>
      <c r="G56" s="17" t="s">
        <v>7747</v>
      </c>
      <c r="H56" s="7" t="s">
        <v>19</v>
      </c>
      <c r="I56" s="7" t="s">
        <v>783</v>
      </c>
      <c r="J56" s="7" t="s">
        <v>2482</v>
      </c>
      <c r="K56" s="7" t="s">
        <v>2483</v>
      </c>
      <c r="L56" s="7" t="s">
        <v>247</v>
      </c>
      <c r="M56" s="7">
        <v>5.3862899999999998</v>
      </c>
      <c r="N56" s="7">
        <v>10.4404</v>
      </c>
      <c r="O56" s="7" t="s">
        <v>23</v>
      </c>
      <c r="P56" s="3"/>
      <c r="Q56" s="3"/>
      <c r="R56" s="3"/>
    </row>
    <row r="57" spans="1:18" x14ac:dyDescent="0.25">
      <c r="A57" s="2">
        <v>55</v>
      </c>
      <c r="B57" s="7" t="s">
        <v>2513</v>
      </c>
      <c r="C57" s="7" t="s">
        <v>2514</v>
      </c>
      <c r="D57" s="7" t="s">
        <v>2513</v>
      </c>
      <c r="E57" s="7" t="s">
        <v>131</v>
      </c>
      <c r="F57" s="7" t="s">
        <v>2515</v>
      </c>
      <c r="G57" s="17" t="s">
        <v>7747</v>
      </c>
      <c r="H57" s="7" t="s">
        <v>28</v>
      </c>
      <c r="I57" s="7" t="s">
        <v>145</v>
      </c>
      <c r="J57" s="7" t="s">
        <v>397</v>
      </c>
      <c r="K57" s="7" t="s">
        <v>145</v>
      </c>
      <c r="L57" s="7" t="s">
        <v>247</v>
      </c>
      <c r="M57" s="7">
        <v>5.7239329999999997</v>
      </c>
      <c r="N57" s="7">
        <v>10.906758</v>
      </c>
      <c r="O57" s="7" t="s">
        <v>23</v>
      </c>
      <c r="P57" s="3"/>
      <c r="Q57" s="3"/>
      <c r="R57" s="3"/>
    </row>
    <row r="58" spans="1:18" x14ac:dyDescent="0.25">
      <c r="A58" s="2">
        <v>56</v>
      </c>
      <c r="B58" s="7" t="s">
        <v>2607</v>
      </c>
      <c r="C58" s="7" t="s">
        <v>2608</v>
      </c>
      <c r="D58" s="7" t="s">
        <v>2607</v>
      </c>
      <c r="E58" s="7" t="s">
        <v>131</v>
      </c>
      <c r="F58" s="7" t="s">
        <v>2609</v>
      </c>
      <c r="G58" s="17" t="s">
        <v>7747</v>
      </c>
      <c r="H58" s="7" t="s">
        <v>28</v>
      </c>
      <c r="I58" s="7" t="s">
        <v>245</v>
      </c>
      <c r="J58" s="7" t="s">
        <v>761</v>
      </c>
      <c r="K58" s="7" t="s">
        <v>1078</v>
      </c>
      <c r="L58" s="7" t="s">
        <v>247</v>
      </c>
      <c r="M58" s="7">
        <v>5.6155309999999998</v>
      </c>
      <c r="N58" s="7">
        <v>10.26225</v>
      </c>
      <c r="O58" s="7" t="s">
        <v>23</v>
      </c>
      <c r="P58" s="3"/>
      <c r="Q58" s="3"/>
      <c r="R58" s="3"/>
    </row>
    <row r="59" spans="1:18" x14ac:dyDescent="0.25">
      <c r="A59" s="2">
        <v>57</v>
      </c>
      <c r="B59" s="7" t="s">
        <v>2678</v>
      </c>
      <c r="C59" s="7" t="s">
        <v>2679</v>
      </c>
      <c r="D59" s="7" t="s">
        <v>2678</v>
      </c>
      <c r="E59" s="7" t="s">
        <v>131</v>
      </c>
      <c r="F59" s="7" t="s">
        <v>2483</v>
      </c>
      <c r="G59" s="17" t="s">
        <v>7747</v>
      </c>
      <c r="H59" s="7" t="s">
        <v>19</v>
      </c>
      <c r="I59" s="7" t="s">
        <v>783</v>
      </c>
      <c r="J59" s="7" t="s">
        <v>2482</v>
      </c>
      <c r="K59" s="7" t="s">
        <v>2483</v>
      </c>
      <c r="L59" s="7" t="s">
        <v>247</v>
      </c>
      <c r="M59" s="7">
        <v>5.3553100000000002</v>
      </c>
      <c r="N59" s="7">
        <v>10.431100000000001</v>
      </c>
      <c r="O59" s="7" t="s">
        <v>23</v>
      </c>
      <c r="P59" s="3"/>
      <c r="Q59" s="3"/>
      <c r="R59" s="3"/>
    </row>
    <row r="60" spans="1:18" x14ac:dyDescent="0.25">
      <c r="A60" s="2">
        <v>58</v>
      </c>
      <c r="B60" s="7" t="s">
        <v>2680</v>
      </c>
      <c r="C60" s="7" t="s">
        <v>2681</v>
      </c>
      <c r="D60" s="7" t="s">
        <v>2680</v>
      </c>
      <c r="E60" s="7" t="s">
        <v>131</v>
      </c>
      <c r="F60" s="7" t="s">
        <v>2682</v>
      </c>
      <c r="G60" s="17" t="s">
        <v>7747</v>
      </c>
      <c r="H60" s="7" t="s">
        <v>28</v>
      </c>
      <c r="I60" s="7" t="s">
        <v>1069</v>
      </c>
      <c r="J60" s="7" t="s">
        <v>1070</v>
      </c>
      <c r="K60" s="7" t="s">
        <v>1071</v>
      </c>
      <c r="L60" s="7" t="s">
        <v>247</v>
      </c>
      <c r="M60" s="7">
        <v>5.5177360000000002</v>
      </c>
      <c r="N60" s="7">
        <v>10.428868</v>
      </c>
      <c r="O60" s="7" t="s">
        <v>23</v>
      </c>
      <c r="P60" s="3"/>
      <c r="Q60" s="3"/>
      <c r="R60" s="3"/>
    </row>
    <row r="61" spans="1:18" x14ac:dyDescent="0.25">
      <c r="A61" s="2">
        <v>59</v>
      </c>
      <c r="B61" s="7" t="s">
        <v>2710</v>
      </c>
      <c r="C61" s="7" t="s">
        <v>2711</v>
      </c>
      <c r="D61" s="7" t="s">
        <v>2710</v>
      </c>
      <c r="E61" s="7" t="s">
        <v>131</v>
      </c>
      <c r="F61" s="7" t="s">
        <v>2712</v>
      </c>
      <c r="G61" s="17" t="s">
        <v>7747</v>
      </c>
      <c r="H61" s="7" t="s">
        <v>19</v>
      </c>
      <c r="I61" s="7" t="s">
        <v>133</v>
      </c>
      <c r="J61" s="7" t="s">
        <v>317</v>
      </c>
      <c r="K61" s="7" t="s">
        <v>417</v>
      </c>
      <c r="L61" s="7" t="s">
        <v>247</v>
      </c>
      <c r="M61" s="7">
        <v>4.8190799999999996</v>
      </c>
      <c r="N61" s="7">
        <v>10.98244</v>
      </c>
      <c r="O61" s="7" t="s">
        <v>23</v>
      </c>
      <c r="P61" s="3"/>
      <c r="Q61" s="3"/>
      <c r="R61" s="3"/>
    </row>
    <row r="62" spans="1:18" x14ac:dyDescent="0.25">
      <c r="A62" s="2">
        <v>60</v>
      </c>
      <c r="B62" s="7" t="s">
        <v>2713</v>
      </c>
      <c r="C62" s="7" t="s">
        <v>2714</v>
      </c>
      <c r="D62" s="7" t="s">
        <v>2713</v>
      </c>
      <c r="E62" s="7" t="s">
        <v>131</v>
      </c>
      <c r="F62" s="7" t="s">
        <v>2715</v>
      </c>
      <c r="G62" s="17" t="s">
        <v>7747</v>
      </c>
      <c r="H62" s="7" t="s">
        <v>28</v>
      </c>
      <c r="I62" s="7" t="s">
        <v>783</v>
      </c>
      <c r="J62" s="7" t="s">
        <v>1110</v>
      </c>
      <c r="K62" s="7" t="s">
        <v>1111</v>
      </c>
      <c r="L62" s="7" t="s">
        <v>247</v>
      </c>
      <c r="M62" s="7">
        <v>5.3110299999999997</v>
      </c>
      <c r="N62" s="7">
        <v>10.327309</v>
      </c>
      <c r="O62" s="7" t="s">
        <v>23</v>
      </c>
      <c r="P62" s="3"/>
      <c r="Q62" s="3"/>
      <c r="R62" s="3"/>
    </row>
    <row r="63" spans="1:18" x14ac:dyDescent="0.25">
      <c r="A63" s="2">
        <v>61</v>
      </c>
      <c r="B63" s="7" t="s">
        <v>2821</v>
      </c>
      <c r="C63" s="7" t="s">
        <v>2822</v>
      </c>
      <c r="D63" s="7" t="s">
        <v>2821</v>
      </c>
      <c r="E63" s="7" t="s">
        <v>131</v>
      </c>
      <c r="F63" s="7" t="s">
        <v>2823</v>
      </c>
      <c r="G63" s="17" t="s">
        <v>7747</v>
      </c>
      <c r="H63" s="7" t="s">
        <v>28</v>
      </c>
      <c r="I63" s="7" t="s">
        <v>1042</v>
      </c>
      <c r="J63" s="7" t="s">
        <v>1043</v>
      </c>
      <c r="K63" s="7" t="s">
        <v>1042</v>
      </c>
      <c r="L63" s="7" t="s">
        <v>247</v>
      </c>
      <c r="M63" s="7">
        <v>5.1307520000000002</v>
      </c>
      <c r="N63" s="7">
        <v>10.575295000000001</v>
      </c>
      <c r="O63" s="7" t="s">
        <v>23</v>
      </c>
      <c r="P63" s="3"/>
      <c r="Q63" s="3"/>
      <c r="R63" s="3"/>
    </row>
    <row r="64" spans="1:18" x14ac:dyDescent="0.25">
      <c r="A64" s="2">
        <v>62</v>
      </c>
      <c r="B64" s="7" t="s">
        <v>2842</v>
      </c>
      <c r="C64" s="7" t="s">
        <v>2843</v>
      </c>
      <c r="D64" s="7" t="s">
        <v>2842</v>
      </c>
      <c r="E64" s="7" t="s">
        <v>131</v>
      </c>
      <c r="F64" s="7" t="s">
        <v>2844</v>
      </c>
      <c r="G64" s="17" t="s">
        <v>7747</v>
      </c>
      <c r="H64" s="7" t="s">
        <v>28</v>
      </c>
      <c r="I64" s="7" t="s">
        <v>145</v>
      </c>
      <c r="J64" s="7" t="s">
        <v>397</v>
      </c>
      <c r="K64" s="7" t="s">
        <v>145</v>
      </c>
      <c r="L64" s="7" t="s">
        <v>247</v>
      </c>
      <c r="M64" s="7">
        <v>5.7383059999999997</v>
      </c>
      <c r="N64" s="7">
        <v>10.895528000000001</v>
      </c>
      <c r="O64" s="7" t="s">
        <v>23</v>
      </c>
      <c r="P64" s="3"/>
      <c r="Q64" s="3"/>
      <c r="R64" s="3"/>
    </row>
    <row r="65" spans="1:18" x14ac:dyDescent="0.25">
      <c r="A65" s="2">
        <v>63</v>
      </c>
      <c r="B65" s="7" t="s">
        <v>2880</v>
      </c>
      <c r="C65" s="7" t="s">
        <v>2881</v>
      </c>
      <c r="D65" s="7" t="s">
        <v>2880</v>
      </c>
      <c r="E65" s="7" t="s">
        <v>131</v>
      </c>
      <c r="F65" s="7" t="s">
        <v>2882</v>
      </c>
      <c r="G65" s="17" t="s">
        <v>7747</v>
      </c>
      <c r="H65" s="7" t="s">
        <v>19</v>
      </c>
      <c r="I65" s="7" t="s">
        <v>783</v>
      </c>
      <c r="J65" s="7" t="s">
        <v>1070</v>
      </c>
      <c r="K65" s="7" t="s">
        <v>1071</v>
      </c>
      <c r="L65" s="7" t="s">
        <v>247</v>
      </c>
      <c r="M65" s="7">
        <v>5.4820900000000004</v>
      </c>
      <c r="N65" s="7">
        <v>10.421125</v>
      </c>
      <c r="O65" s="7" t="s">
        <v>23</v>
      </c>
      <c r="P65" s="3"/>
      <c r="Q65" s="3"/>
      <c r="R65" s="3"/>
    </row>
    <row r="66" spans="1:18" x14ac:dyDescent="0.25">
      <c r="A66" s="2">
        <v>64</v>
      </c>
      <c r="B66" s="7" t="s">
        <v>3016</v>
      </c>
      <c r="C66" s="7" t="s">
        <v>3017</v>
      </c>
      <c r="D66" s="7" t="s">
        <v>3016</v>
      </c>
      <c r="E66" s="7" t="s">
        <v>131</v>
      </c>
      <c r="F66" s="7" t="s">
        <v>3018</v>
      </c>
      <c r="G66" s="17" t="s">
        <v>7747</v>
      </c>
      <c r="H66" s="7" t="s">
        <v>28</v>
      </c>
      <c r="I66" s="7" t="s">
        <v>783</v>
      </c>
      <c r="J66" s="7" t="s">
        <v>2482</v>
      </c>
      <c r="K66" s="7" t="s">
        <v>2483</v>
      </c>
      <c r="L66" s="7" t="s">
        <v>247</v>
      </c>
      <c r="M66" s="7">
        <v>5.3199120000000004</v>
      </c>
      <c r="N66" s="7">
        <v>10.450143000000001</v>
      </c>
      <c r="O66" s="7" t="s">
        <v>23</v>
      </c>
      <c r="P66" s="3"/>
      <c r="Q66" s="3"/>
      <c r="R66" s="3"/>
    </row>
    <row r="67" spans="1:18" x14ac:dyDescent="0.25">
      <c r="A67" s="2">
        <v>65</v>
      </c>
      <c r="B67" s="7" t="s">
        <v>3120</v>
      </c>
      <c r="C67" s="7" t="s">
        <v>3121</v>
      </c>
      <c r="D67" s="7" t="s">
        <v>3120</v>
      </c>
      <c r="E67" s="7" t="s">
        <v>131</v>
      </c>
      <c r="F67" s="7" t="s">
        <v>3122</v>
      </c>
      <c r="G67" s="17" t="s">
        <v>7747</v>
      </c>
      <c r="H67" s="7" t="s">
        <v>19</v>
      </c>
      <c r="I67" s="7" t="s">
        <v>783</v>
      </c>
      <c r="J67" s="7" t="s">
        <v>1070</v>
      </c>
      <c r="K67" s="7" t="s">
        <v>1071</v>
      </c>
      <c r="L67" s="7" t="s">
        <v>247</v>
      </c>
      <c r="M67" s="7">
        <v>5.4818619999999996</v>
      </c>
      <c r="N67" s="7">
        <v>10.423318</v>
      </c>
      <c r="O67" s="7" t="s">
        <v>23</v>
      </c>
      <c r="P67" s="3"/>
      <c r="Q67" s="3"/>
      <c r="R67" s="3"/>
    </row>
    <row r="68" spans="1:18" x14ac:dyDescent="0.25">
      <c r="A68" s="2">
        <v>66</v>
      </c>
      <c r="B68" s="7" t="s">
        <v>3157</v>
      </c>
      <c r="C68" s="7" t="s">
        <v>3158</v>
      </c>
      <c r="D68" s="7" t="s">
        <v>3157</v>
      </c>
      <c r="E68" s="7" t="s">
        <v>131</v>
      </c>
      <c r="F68" s="7" t="s">
        <v>3159</v>
      </c>
      <c r="G68" s="17" t="s">
        <v>7747</v>
      </c>
      <c r="H68" s="7" t="s">
        <v>19</v>
      </c>
      <c r="I68" s="7" t="s">
        <v>783</v>
      </c>
      <c r="J68" s="7" t="s">
        <v>1110</v>
      </c>
      <c r="K68" s="7" t="s">
        <v>1111</v>
      </c>
      <c r="L68" s="7" t="s">
        <v>247</v>
      </c>
      <c r="M68" s="7">
        <v>5.3863200000000004</v>
      </c>
      <c r="N68" s="7">
        <v>10.3292</v>
      </c>
      <c r="O68" s="7" t="s">
        <v>23</v>
      </c>
      <c r="P68" s="3"/>
      <c r="Q68" s="3"/>
      <c r="R68" s="3"/>
    </row>
    <row r="69" spans="1:18" x14ac:dyDescent="0.25">
      <c r="A69" s="2">
        <v>67</v>
      </c>
      <c r="B69" s="7" t="s">
        <v>3194</v>
      </c>
      <c r="C69" s="7" t="s">
        <v>3195</v>
      </c>
      <c r="D69" s="7" t="s">
        <v>3194</v>
      </c>
      <c r="E69" s="7" t="s">
        <v>131</v>
      </c>
      <c r="F69" s="7" t="s">
        <v>145</v>
      </c>
      <c r="G69" s="17" t="s">
        <v>7747</v>
      </c>
      <c r="H69" s="7" t="s">
        <v>28</v>
      </c>
      <c r="I69" s="7" t="s">
        <v>145</v>
      </c>
      <c r="J69" s="7" t="s">
        <v>397</v>
      </c>
      <c r="K69" s="7" t="s">
        <v>145</v>
      </c>
      <c r="L69" s="7" t="s">
        <v>247</v>
      </c>
      <c r="M69" s="7">
        <v>5.7293329999999996</v>
      </c>
      <c r="N69" s="7">
        <v>10.890806</v>
      </c>
      <c r="O69" s="7" t="s">
        <v>23</v>
      </c>
      <c r="P69" s="3"/>
      <c r="Q69" s="3"/>
      <c r="R69" s="3"/>
    </row>
    <row r="70" spans="1:18" x14ac:dyDescent="0.25">
      <c r="A70" s="2">
        <v>68</v>
      </c>
      <c r="B70" s="7" t="s">
        <v>3196</v>
      </c>
      <c r="C70" s="7" t="s">
        <v>3197</v>
      </c>
      <c r="D70" s="7" t="s">
        <v>3196</v>
      </c>
      <c r="E70" s="7" t="s">
        <v>131</v>
      </c>
      <c r="F70" s="7" t="s">
        <v>3198</v>
      </c>
      <c r="G70" s="17" t="s">
        <v>7747</v>
      </c>
      <c r="H70" s="7" t="s">
        <v>28</v>
      </c>
      <c r="I70" s="7" t="s">
        <v>396</v>
      </c>
      <c r="J70" s="7" t="s">
        <v>397</v>
      </c>
      <c r="K70" s="7" t="s">
        <v>396</v>
      </c>
      <c r="L70" s="7" t="s">
        <v>247</v>
      </c>
      <c r="M70" s="7">
        <v>5.5117500000000001</v>
      </c>
      <c r="N70" s="7">
        <v>10.636028</v>
      </c>
      <c r="O70" s="7" t="s">
        <v>23</v>
      </c>
      <c r="P70" s="3"/>
      <c r="Q70" s="3"/>
      <c r="R70" s="3"/>
    </row>
    <row r="71" spans="1:18" x14ac:dyDescent="0.25">
      <c r="A71" s="2">
        <v>69</v>
      </c>
      <c r="B71" s="7" t="s">
        <v>3288</v>
      </c>
      <c r="C71" s="7" t="s">
        <v>3289</v>
      </c>
      <c r="D71" s="7" t="s">
        <v>3288</v>
      </c>
      <c r="E71" s="7" t="s">
        <v>131</v>
      </c>
      <c r="F71" s="7" t="s">
        <v>3290</v>
      </c>
      <c r="G71" s="17" t="s">
        <v>7747</v>
      </c>
      <c r="H71" s="7" t="s">
        <v>28</v>
      </c>
      <c r="I71" s="7" t="s">
        <v>1069</v>
      </c>
      <c r="J71" s="7" t="s">
        <v>1070</v>
      </c>
      <c r="K71" s="7" t="s">
        <v>1071</v>
      </c>
      <c r="L71" s="7" t="s">
        <v>247</v>
      </c>
      <c r="M71" s="7">
        <v>5.5103499999999999</v>
      </c>
      <c r="N71" s="7">
        <v>10.390533</v>
      </c>
      <c r="O71" s="7" t="s">
        <v>23</v>
      </c>
      <c r="P71" s="3"/>
      <c r="Q71" s="3"/>
      <c r="R71" s="3"/>
    </row>
    <row r="72" spans="1:18" x14ac:dyDescent="0.25">
      <c r="A72" s="2">
        <v>70</v>
      </c>
      <c r="B72" s="7" t="s">
        <v>3291</v>
      </c>
      <c r="C72" s="7" t="s">
        <v>3292</v>
      </c>
      <c r="D72" s="7" t="s">
        <v>3291</v>
      </c>
      <c r="E72" s="7" t="s">
        <v>131</v>
      </c>
      <c r="F72" s="7" t="s">
        <v>1122</v>
      </c>
      <c r="G72" s="17" t="s">
        <v>7747</v>
      </c>
      <c r="H72" s="7" t="s">
        <v>28</v>
      </c>
      <c r="I72" s="7" t="s">
        <v>1042</v>
      </c>
      <c r="J72" s="7" t="s">
        <v>1043</v>
      </c>
      <c r="K72" s="7" t="s">
        <v>1042</v>
      </c>
      <c r="L72" s="7" t="s">
        <v>247</v>
      </c>
      <c r="M72" s="7">
        <v>5.1157899999999996</v>
      </c>
      <c r="N72" s="7">
        <v>10.465159999999999</v>
      </c>
      <c r="O72" s="7" t="s">
        <v>23</v>
      </c>
      <c r="P72" s="3"/>
      <c r="Q72" s="3"/>
      <c r="R72" s="3"/>
    </row>
    <row r="73" spans="1:18" x14ac:dyDescent="0.25">
      <c r="A73" s="2">
        <v>71</v>
      </c>
      <c r="B73" s="7" t="s">
        <v>3377</v>
      </c>
      <c r="C73" s="7" t="s">
        <v>3378</v>
      </c>
      <c r="D73" s="7" t="s">
        <v>3377</v>
      </c>
      <c r="E73" s="7" t="s">
        <v>131</v>
      </c>
      <c r="F73" s="7" t="s">
        <v>3379</v>
      </c>
      <c r="G73" s="17" t="s">
        <v>7747</v>
      </c>
      <c r="H73" s="7" t="s">
        <v>19</v>
      </c>
      <c r="I73" s="7" t="s">
        <v>145</v>
      </c>
      <c r="J73" s="7" t="s">
        <v>397</v>
      </c>
      <c r="K73" s="7" t="s">
        <v>145</v>
      </c>
      <c r="L73" s="7" t="s">
        <v>247</v>
      </c>
      <c r="M73" s="7">
        <v>5.7245999999999997</v>
      </c>
      <c r="N73" s="7">
        <v>10.872109999999999</v>
      </c>
      <c r="O73" s="7" t="s">
        <v>23</v>
      </c>
      <c r="P73" s="3"/>
      <c r="Q73" s="3"/>
      <c r="R73" s="3"/>
    </row>
    <row r="74" spans="1:18" x14ac:dyDescent="0.25">
      <c r="A74" s="2">
        <v>72</v>
      </c>
      <c r="B74" s="7" t="s">
        <v>3418</v>
      </c>
      <c r="C74" s="7" t="s">
        <v>3419</v>
      </c>
      <c r="D74" s="7" t="s">
        <v>3418</v>
      </c>
      <c r="E74" s="7" t="s">
        <v>131</v>
      </c>
      <c r="F74" s="7" t="s">
        <v>3420</v>
      </c>
      <c r="G74" s="17" t="s">
        <v>7747</v>
      </c>
      <c r="H74" s="7" t="s">
        <v>28</v>
      </c>
      <c r="I74" s="7" t="s">
        <v>1069</v>
      </c>
      <c r="J74" s="7" t="s">
        <v>1070</v>
      </c>
      <c r="K74" s="7" t="s">
        <v>1071</v>
      </c>
      <c r="L74" s="7" t="s">
        <v>247</v>
      </c>
      <c r="M74" s="7">
        <v>5.5338539999999998</v>
      </c>
      <c r="N74" s="7">
        <v>10.345637</v>
      </c>
      <c r="O74" s="7" t="s">
        <v>23</v>
      </c>
      <c r="P74" s="3"/>
      <c r="Q74" s="3"/>
      <c r="R74" s="3"/>
    </row>
    <row r="75" spans="1:18" x14ac:dyDescent="0.25">
      <c r="A75" s="2">
        <v>73</v>
      </c>
      <c r="B75" s="7" t="s">
        <v>3445</v>
      </c>
      <c r="C75" s="7" t="s">
        <v>3446</v>
      </c>
      <c r="D75" s="7" t="s">
        <v>3445</v>
      </c>
      <c r="E75" s="7" t="s">
        <v>131</v>
      </c>
      <c r="F75" s="7" t="s">
        <v>318</v>
      </c>
      <c r="G75" s="17" t="s">
        <v>7747</v>
      </c>
      <c r="H75" s="7" t="s">
        <v>19</v>
      </c>
      <c r="I75" s="7" t="s">
        <v>1042</v>
      </c>
      <c r="J75" s="7" t="s">
        <v>317</v>
      </c>
      <c r="K75" s="7" t="s">
        <v>318</v>
      </c>
      <c r="L75" s="7" t="s">
        <v>247</v>
      </c>
      <c r="M75" s="7">
        <v>4.7654209999999999</v>
      </c>
      <c r="N75" s="7">
        <v>10.826571</v>
      </c>
      <c r="O75" s="7" t="s">
        <v>23</v>
      </c>
      <c r="P75" s="3"/>
      <c r="Q75" s="3"/>
      <c r="R75" s="3"/>
    </row>
    <row r="76" spans="1:18" x14ac:dyDescent="0.25">
      <c r="A76" s="2">
        <v>74</v>
      </c>
      <c r="B76" s="7" t="s">
        <v>3562</v>
      </c>
      <c r="C76" s="7" t="s">
        <v>3563</v>
      </c>
      <c r="D76" s="7" t="s">
        <v>3562</v>
      </c>
      <c r="E76" s="7" t="s">
        <v>131</v>
      </c>
      <c r="F76" s="7" t="s">
        <v>3564</v>
      </c>
      <c r="G76" s="17" t="s">
        <v>7747</v>
      </c>
      <c r="H76" s="7" t="s">
        <v>28</v>
      </c>
      <c r="I76" s="7" t="s">
        <v>1069</v>
      </c>
      <c r="J76" s="7" t="s">
        <v>1070</v>
      </c>
      <c r="K76" s="7" t="s">
        <v>1071</v>
      </c>
      <c r="L76" s="7" t="s">
        <v>247</v>
      </c>
      <c r="M76" s="7">
        <v>5.4597220000000002</v>
      </c>
      <c r="N76" s="7">
        <v>10.395277999999999</v>
      </c>
      <c r="O76" s="7" t="s">
        <v>23</v>
      </c>
      <c r="P76" s="3"/>
      <c r="Q76" s="3"/>
      <c r="R76" s="3"/>
    </row>
    <row r="77" spans="1:18" x14ac:dyDescent="0.25">
      <c r="A77" s="2">
        <v>75</v>
      </c>
      <c r="B77" s="7" t="s">
        <v>3777</v>
      </c>
      <c r="C77" s="7" t="s">
        <v>3778</v>
      </c>
      <c r="D77" s="7" t="s">
        <v>3777</v>
      </c>
      <c r="E77" s="7" t="s">
        <v>131</v>
      </c>
      <c r="F77" s="7" t="s">
        <v>3779</v>
      </c>
      <c r="G77" s="17" t="s">
        <v>7747</v>
      </c>
      <c r="H77" s="7" t="s">
        <v>28</v>
      </c>
      <c r="I77" s="7" t="s">
        <v>1069</v>
      </c>
      <c r="J77" s="7" t="s">
        <v>1070</v>
      </c>
      <c r="K77" s="7" t="s">
        <v>1071</v>
      </c>
      <c r="L77" s="7" t="s">
        <v>247</v>
      </c>
      <c r="M77" s="7">
        <v>5.4922769999999996</v>
      </c>
      <c r="N77" s="7">
        <v>10.409361000000001</v>
      </c>
      <c r="O77" s="7" t="s">
        <v>613</v>
      </c>
      <c r="P77" s="3"/>
      <c r="Q77" s="3"/>
      <c r="R77" s="3"/>
    </row>
    <row r="78" spans="1:18" x14ac:dyDescent="0.25">
      <c r="A78" s="2">
        <v>76</v>
      </c>
      <c r="B78" s="7" t="s">
        <v>3786</v>
      </c>
      <c r="C78" s="7" t="s">
        <v>3787</v>
      </c>
      <c r="D78" s="7" t="s">
        <v>3786</v>
      </c>
      <c r="E78" s="7" t="s">
        <v>131</v>
      </c>
      <c r="F78" s="7" t="s">
        <v>3788</v>
      </c>
      <c r="G78" s="17" t="s">
        <v>7747</v>
      </c>
      <c r="H78" s="7" t="s">
        <v>28</v>
      </c>
      <c r="I78" s="7" t="s">
        <v>1069</v>
      </c>
      <c r="J78" s="7" t="s">
        <v>1070</v>
      </c>
      <c r="K78" s="7" t="s">
        <v>1071</v>
      </c>
      <c r="L78" s="7" t="s">
        <v>247</v>
      </c>
      <c r="M78" s="7">
        <v>5.4819719999999998</v>
      </c>
      <c r="N78" s="7">
        <v>10.391916999999999</v>
      </c>
      <c r="O78" s="7" t="s">
        <v>23</v>
      </c>
      <c r="P78" s="3"/>
      <c r="Q78" s="3"/>
      <c r="R78" s="3"/>
    </row>
    <row r="79" spans="1:18" x14ac:dyDescent="0.25">
      <c r="A79" s="2">
        <v>77</v>
      </c>
      <c r="B79" s="7" t="s">
        <v>3829</v>
      </c>
      <c r="C79" s="7" t="s">
        <v>3830</v>
      </c>
      <c r="D79" s="7" t="s">
        <v>3829</v>
      </c>
      <c r="E79" s="7" t="s">
        <v>131</v>
      </c>
      <c r="F79" s="7" t="s">
        <v>3831</v>
      </c>
      <c r="G79" s="17" t="s">
        <v>7747</v>
      </c>
      <c r="H79" s="7" t="s">
        <v>28</v>
      </c>
      <c r="I79" s="7" t="s">
        <v>1069</v>
      </c>
      <c r="J79" s="7" t="s">
        <v>1070</v>
      </c>
      <c r="K79" s="7" t="s">
        <v>1071</v>
      </c>
      <c r="L79" s="7" t="s">
        <v>247</v>
      </c>
      <c r="M79" s="7">
        <v>5.5032300000000003</v>
      </c>
      <c r="N79" s="7">
        <v>10.40535</v>
      </c>
      <c r="O79" s="7" t="s">
        <v>23</v>
      </c>
      <c r="P79" s="3"/>
      <c r="Q79" s="3"/>
      <c r="R79" s="3"/>
    </row>
    <row r="80" spans="1:18" x14ac:dyDescent="0.25">
      <c r="A80" s="2">
        <v>78</v>
      </c>
      <c r="B80" s="7" t="s">
        <v>3893</v>
      </c>
      <c r="C80" s="7" t="s">
        <v>3894</v>
      </c>
      <c r="D80" s="7" t="s">
        <v>3893</v>
      </c>
      <c r="E80" s="7" t="s">
        <v>131</v>
      </c>
      <c r="F80" s="7" t="s">
        <v>3895</v>
      </c>
      <c r="G80" s="17" t="s">
        <v>7747</v>
      </c>
      <c r="H80" s="7" t="s">
        <v>28</v>
      </c>
      <c r="I80" s="7" t="s">
        <v>145</v>
      </c>
      <c r="J80" s="7" t="s">
        <v>397</v>
      </c>
      <c r="K80" s="7" t="s">
        <v>3895</v>
      </c>
      <c r="L80" s="7" t="s">
        <v>247</v>
      </c>
      <c r="M80" s="7">
        <v>5.7295199999999999</v>
      </c>
      <c r="N80" s="7">
        <v>11.128360000000001</v>
      </c>
      <c r="O80" s="7" t="s">
        <v>23</v>
      </c>
      <c r="P80" s="3"/>
      <c r="Q80" s="3"/>
      <c r="R80" s="3"/>
    </row>
    <row r="81" spans="1:18" x14ac:dyDescent="0.25">
      <c r="A81" s="2">
        <v>79</v>
      </c>
      <c r="B81" s="7" t="s">
        <v>3920</v>
      </c>
      <c r="C81" s="7" t="s">
        <v>3921</v>
      </c>
      <c r="D81" s="7" t="s">
        <v>3920</v>
      </c>
      <c r="E81" s="7" t="s">
        <v>131</v>
      </c>
      <c r="F81" s="7" t="s">
        <v>3922</v>
      </c>
      <c r="G81" s="17" t="s">
        <v>7747</v>
      </c>
      <c r="H81" s="7" t="s">
        <v>28</v>
      </c>
      <c r="I81" s="7" t="s">
        <v>1042</v>
      </c>
      <c r="J81" s="7" t="s">
        <v>1043</v>
      </c>
      <c r="K81" s="7" t="s">
        <v>3922</v>
      </c>
      <c r="L81" s="7" t="s">
        <v>247</v>
      </c>
      <c r="M81" s="7">
        <v>4.9700930000000003</v>
      </c>
      <c r="N81" s="7">
        <v>10.699873</v>
      </c>
      <c r="O81" s="7" t="s">
        <v>23</v>
      </c>
      <c r="P81" s="3"/>
      <c r="Q81" s="3"/>
      <c r="R81" s="3"/>
    </row>
    <row r="82" spans="1:18" x14ac:dyDescent="0.25">
      <c r="A82" s="2">
        <v>80</v>
      </c>
      <c r="B82" s="7" t="s">
        <v>3926</v>
      </c>
      <c r="C82" s="7" t="s">
        <v>3927</v>
      </c>
      <c r="D82" s="7" t="s">
        <v>3926</v>
      </c>
      <c r="E82" s="7" t="s">
        <v>131</v>
      </c>
      <c r="F82" s="7" t="s">
        <v>3928</v>
      </c>
      <c r="G82" s="17" t="s">
        <v>7747</v>
      </c>
      <c r="H82" s="7" t="s">
        <v>19</v>
      </c>
      <c r="I82" s="7" t="s">
        <v>783</v>
      </c>
      <c r="J82" s="7" t="s">
        <v>1070</v>
      </c>
      <c r="K82" s="7" t="s">
        <v>1071</v>
      </c>
      <c r="L82" s="7" t="s">
        <v>247</v>
      </c>
      <c r="M82" s="7">
        <v>5.4891500000000004</v>
      </c>
      <c r="N82" s="7">
        <v>10.407220000000001</v>
      </c>
      <c r="O82" s="7" t="s">
        <v>613</v>
      </c>
      <c r="P82" s="3"/>
      <c r="Q82" s="3"/>
      <c r="R82" s="3"/>
    </row>
    <row r="83" spans="1:18" x14ac:dyDescent="0.25">
      <c r="A83" s="2">
        <v>81</v>
      </c>
      <c r="B83" s="7" t="s">
        <v>4013</v>
      </c>
      <c r="C83" s="7" t="s">
        <v>4014</v>
      </c>
      <c r="D83" s="7" t="s">
        <v>4013</v>
      </c>
      <c r="E83" s="7" t="s">
        <v>131</v>
      </c>
      <c r="F83" s="7" t="s">
        <v>4015</v>
      </c>
      <c r="G83" s="17" t="s">
        <v>7747</v>
      </c>
      <c r="H83" s="7" t="s">
        <v>28</v>
      </c>
      <c r="I83" s="7" t="s">
        <v>245</v>
      </c>
      <c r="J83" s="7" t="s">
        <v>761</v>
      </c>
      <c r="K83" s="7" t="s">
        <v>762</v>
      </c>
      <c r="L83" s="7" t="s">
        <v>247</v>
      </c>
      <c r="M83" s="7">
        <v>5.6782500000000002</v>
      </c>
      <c r="N83" s="7">
        <v>10.288819999999999</v>
      </c>
      <c r="O83" s="7" t="s">
        <v>23</v>
      </c>
      <c r="P83" s="3"/>
      <c r="Q83" s="3"/>
      <c r="R83" s="3"/>
    </row>
    <row r="84" spans="1:18" x14ac:dyDescent="0.25">
      <c r="A84" s="2">
        <v>82</v>
      </c>
      <c r="B84" s="7" t="s">
        <v>4016</v>
      </c>
      <c r="C84" s="7" t="s">
        <v>4017</v>
      </c>
      <c r="D84" s="7" t="s">
        <v>4016</v>
      </c>
      <c r="E84" s="7" t="s">
        <v>131</v>
      </c>
      <c r="F84" s="7" t="s">
        <v>4018</v>
      </c>
      <c r="G84" s="17" t="s">
        <v>7747</v>
      </c>
      <c r="H84" s="7" t="s">
        <v>28</v>
      </c>
      <c r="I84" s="7" t="s">
        <v>1042</v>
      </c>
      <c r="J84" s="7" t="s">
        <v>1043</v>
      </c>
      <c r="K84" s="7" t="s">
        <v>1042</v>
      </c>
      <c r="L84" s="7" t="s">
        <v>247</v>
      </c>
      <c r="M84" s="7">
        <v>5.160228</v>
      </c>
      <c r="N84" s="7">
        <v>10.390895</v>
      </c>
      <c r="O84" s="7" t="s">
        <v>23</v>
      </c>
      <c r="P84" s="3"/>
      <c r="Q84" s="3"/>
      <c r="R84" s="3"/>
    </row>
    <row r="85" spans="1:18" x14ac:dyDescent="0.25">
      <c r="A85" s="2">
        <v>83</v>
      </c>
      <c r="B85" s="7" t="s">
        <v>4038</v>
      </c>
      <c r="C85" s="7" t="s">
        <v>4039</v>
      </c>
      <c r="D85" s="7" t="s">
        <v>4038</v>
      </c>
      <c r="E85" s="7" t="s">
        <v>131</v>
      </c>
      <c r="F85" s="7" t="s">
        <v>4040</v>
      </c>
      <c r="G85" s="17" t="s">
        <v>7747</v>
      </c>
      <c r="H85" s="7" t="s">
        <v>19</v>
      </c>
      <c r="I85" s="7" t="s">
        <v>1042</v>
      </c>
      <c r="J85" s="7" t="s">
        <v>1043</v>
      </c>
      <c r="K85" s="7" t="s">
        <v>1042</v>
      </c>
      <c r="L85" s="7" t="s">
        <v>247</v>
      </c>
      <c r="M85" s="7">
        <v>5.0574719999999997</v>
      </c>
      <c r="N85" s="7">
        <v>10.701167</v>
      </c>
      <c r="O85" s="7" t="s">
        <v>23</v>
      </c>
      <c r="P85" s="3"/>
      <c r="Q85" s="3"/>
      <c r="R85" s="3"/>
    </row>
    <row r="86" spans="1:18" x14ac:dyDescent="0.25">
      <c r="A86" s="2">
        <v>84</v>
      </c>
      <c r="B86" s="7" t="s">
        <v>4059</v>
      </c>
      <c r="C86" s="7" t="s">
        <v>4060</v>
      </c>
      <c r="D86" s="7" t="s">
        <v>4059</v>
      </c>
      <c r="E86" s="7" t="s">
        <v>131</v>
      </c>
      <c r="F86" s="7" t="s">
        <v>4061</v>
      </c>
      <c r="G86" s="17" t="s">
        <v>7747</v>
      </c>
      <c r="H86" s="7" t="s">
        <v>28</v>
      </c>
      <c r="I86" s="7" t="s">
        <v>1042</v>
      </c>
      <c r="J86" s="7" t="s">
        <v>1043</v>
      </c>
      <c r="K86" s="7" t="s">
        <v>1042</v>
      </c>
      <c r="L86" s="7" t="s">
        <v>247</v>
      </c>
      <c r="M86" s="7">
        <v>5.1352000000000002</v>
      </c>
      <c r="N86" s="7">
        <v>10.512040000000001</v>
      </c>
      <c r="O86" s="7" t="s">
        <v>23</v>
      </c>
      <c r="P86" s="3"/>
      <c r="Q86" s="3"/>
      <c r="R86" s="3"/>
    </row>
    <row r="87" spans="1:18" x14ac:dyDescent="0.25">
      <c r="A87" s="2">
        <v>85</v>
      </c>
      <c r="B87" s="7" t="s">
        <v>4067</v>
      </c>
      <c r="C87" s="7" t="s">
        <v>4068</v>
      </c>
      <c r="D87" s="7" t="s">
        <v>4067</v>
      </c>
      <c r="E87" s="7" t="s">
        <v>131</v>
      </c>
      <c r="F87" s="7" t="s">
        <v>4069</v>
      </c>
      <c r="G87" s="17" t="s">
        <v>7747</v>
      </c>
      <c r="H87" s="7" t="s">
        <v>28</v>
      </c>
      <c r="I87" s="7" t="s">
        <v>1069</v>
      </c>
      <c r="J87" s="7" t="s">
        <v>1070</v>
      </c>
      <c r="K87" s="7" t="s">
        <v>1071</v>
      </c>
      <c r="L87" s="7" t="s">
        <v>247</v>
      </c>
      <c r="M87" s="7">
        <v>5.4918670000000001</v>
      </c>
      <c r="N87" s="7">
        <v>10.419509</v>
      </c>
      <c r="O87" s="7" t="s">
        <v>23</v>
      </c>
      <c r="P87" s="3"/>
      <c r="Q87" s="3"/>
      <c r="R87" s="3"/>
    </row>
    <row r="88" spans="1:18" x14ac:dyDescent="0.25">
      <c r="A88" s="2">
        <v>86</v>
      </c>
      <c r="B88" s="7" t="s">
        <v>4073</v>
      </c>
      <c r="C88" s="7" t="s">
        <v>4074</v>
      </c>
      <c r="D88" s="7" t="s">
        <v>4073</v>
      </c>
      <c r="E88" s="7" t="s">
        <v>131</v>
      </c>
      <c r="F88" s="7" t="s">
        <v>4075</v>
      </c>
      <c r="G88" s="17" t="s">
        <v>7747</v>
      </c>
      <c r="H88" s="7" t="s">
        <v>28</v>
      </c>
      <c r="I88" s="7" t="s">
        <v>165</v>
      </c>
      <c r="J88" s="7" t="s">
        <v>715</v>
      </c>
      <c r="K88" s="7" t="s">
        <v>2216</v>
      </c>
      <c r="L88" s="7" t="s">
        <v>247</v>
      </c>
      <c r="M88" s="7">
        <v>5.1474099999999998</v>
      </c>
      <c r="N88" s="7">
        <v>10.27028</v>
      </c>
      <c r="O88" s="7" t="s">
        <v>23</v>
      </c>
      <c r="P88" s="3"/>
      <c r="Q88" s="3"/>
      <c r="R88" s="3"/>
    </row>
    <row r="89" spans="1:18" x14ac:dyDescent="0.25">
      <c r="A89" s="2">
        <v>87</v>
      </c>
      <c r="B89" s="7" t="s">
        <v>4088</v>
      </c>
      <c r="C89" s="7" t="s">
        <v>4089</v>
      </c>
      <c r="D89" s="7" t="s">
        <v>4088</v>
      </c>
      <c r="E89" s="7" t="s">
        <v>131</v>
      </c>
      <c r="F89" s="7" t="s">
        <v>4090</v>
      </c>
      <c r="G89" s="17" t="s">
        <v>7747</v>
      </c>
      <c r="H89" s="7" t="s">
        <v>28</v>
      </c>
      <c r="I89" s="7" t="s">
        <v>245</v>
      </c>
      <c r="J89" s="7" t="s">
        <v>246</v>
      </c>
      <c r="K89" s="7" t="s">
        <v>244</v>
      </c>
      <c r="L89" s="7" t="s">
        <v>247</v>
      </c>
      <c r="M89" s="7">
        <v>5.4775140000000002</v>
      </c>
      <c r="N89" s="7">
        <v>10.315049999999999</v>
      </c>
      <c r="O89" s="7" t="s">
        <v>23</v>
      </c>
      <c r="P89" s="3"/>
      <c r="Q89" s="3"/>
      <c r="R89" s="3"/>
    </row>
    <row r="90" spans="1:18" x14ac:dyDescent="0.25">
      <c r="A90" s="2">
        <v>88</v>
      </c>
      <c r="B90" s="7" t="s">
        <v>4091</v>
      </c>
      <c r="C90" s="7" t="s">
        <v>4092</v>
      </c>
      <c r="D90" s="7" t="s">
        <v>4091</v>
      </c>
      <c r="E90" s="7" t="s">
        <v>131</v>
      </c>
      <c r="F90" s="7" t="s">
        <v>4093</v>
      </c>
      <c r="G90" s="17" t="s">
        <v>7747</v>
      </c>
      <c r="H90" s="7" t="s">
        <v>19</v>
      </c>
      <c r="I90" s="7" t="s">
        <v>1042</v>
      </c>
      <c r="J90" s="7" t="s">
        <v>1043</v>
      </c>
      <c r="K90" s="7" t="s">
        <v>1042</v>
      </c>
      <c r="L90" s="7" t="s">
        <v>247</v>
      </c>
      <c r="M90" s="7">
        <v>5.2722369999999996</v>
      </c>
      <c r="N90" s="7">
        <v>10.443108000000001</v>
      </c>
      <c r="O90" s="7" t="s">
        <v>23</v>
      </c>
      <c r="P90" s="3"/>
      <c r="Q90" s="3"/>
      <c r="R90" s="3"/>
    </row>
    <row r="91" spans="1:18" x14ac:dyDescent="0.25">
      <c r="A91" s="2">
        <v>89</v>
      </c>
      <c r="B91" s="7" t="s">
        <v>4143</v>
      </c>
      <c r="C91" s="7" t="s">
        <v>4144</v>
      </c>
      <c r="D91" s="7" t="s">
        <v>4143</v>
      </c>
      <c r="E91" s="7" t="s">
        <v>131</v>
      </c>
      <c r="F91" s="7" t="s">
        <v>4145</v>
      </c>
      <c r="G91" s="17" t="s">
        <v>7747</v>
      </c>
      <c r="H91" s="7" t="s">
        <v>28</v>
      </c>
      <c r="I91" s="7" t="s">
        <v>396</v>
      </c>
      <c r="J91" s="7" t="s">
        <v>397</v>
      </c>
      <c r="K91" s="7" t="s">
        <v>4146</v>
      </c>
      <c r="L91" s="7" t="s">
        <v>247</v>
      </c>
      <c r="M91" s="7">
        <v>5.7332780000000003</v>
      </c>
      <c r="N91" s="7">
        <v>10.762</v>
      </c>
      <c r="O91" s="7" t="s">
        <v>23</v>
      </c>
      <c r="P91" s="3"/>
      <c r="Q91" s="3"/>
      <c r="R91" s="3"/>
    </row>
    <row r="92" spans="1:18" x14ac:dyDescent="0.25">
      <c r="A92" s="2">
        <v>90</v>
      </c>
      <c r="B92" s="7" t="s">
        <v>4159</v>
      </c>
      <c r="C92" s="7" t="s">
        <v>4160</v>
      </c>
      <c r="D92" s="7" t="s">
        <v>4159</v>
      </c>
      <c r="E92" s="7" t="s">
        <v>131</v>
      </c>
      <c r="F92" s="7" t="s">
        <v>4161</v>
      </c>
      <c r="G92" s="17" t="s">
        <v>7747</v>
      </c>
      <c r="H92" s="7" t="s">
        <v>19</v>
      </c>
      <c r="I92" s="7" t="s">
        <v>133</v>
      </c>
      <c r="J92" s="7" t="s">
        <v>317</v>
      </c>
      <c r="K92" s="7" t="s">
        <v>417</v>
      </c>
      <c r="L92" s="7" t="s">
        <v>247</v>
      </c>
      <c r="M92" s="7">
        <v>4.8547700000000003</v>
      </c>
      <c r="N92" s="7">
        <v>11.12049</v>
      </c>
      <c r="O92" s="7" t="s">
        <v>23</v>
      </c>
      <c r="P92" s="3"/>
      <c r="Q92" s="3"/>
      <c r="R92" s="3"/>
    </row>
    <row r="93" spans="1:18" x14ac:dyDescent="0.25">
      <c r="A93" s="2">
        <v>91</v>
      </c>
      <c r="B93" s="7" t="s">
        <v>4177</v>
      </c>
      <c r="C93" s="7" t="s">
        <v>4178</v>
      </c>
      <c r="D93" s="7" t="s">
        <v>4177</v>
      </c>
      <c r="E93" s="7" t="s">
        <v>131</v>
      </c>
      <c r="F93" s="7" t="s">
        <v>4179</v>
      </c>
      <c r="G93" s="17" t="s">
        <v>7747</v>
      </c>
      <c r="H93" s="7" t="s">
        <v>28</v>
      </c>
      <c r="I93" s="7" t="s">
        <v>1042</v>
      </c>
      <c r="J93" s="7" t="s">
        <v>317</v>
      </c>
      <c r="K93" s="7" t="s">
        <v>4180</v>
      </c>
      <c r="L93" s="7" t="s">
        <v>247</v>
      </c>
      <c r="M93" s="7">
        <v>4.9192970000000003</v>
      </c>
      <c r="N93" s="7">
        <v>10.777011</v>
      </c>
      <c r="O93" s="7" t="s">
        <v>23</v>
      </c>
      <c r="P93" s="3"/>
      <c r="Q93" s="3"/>
      <c r="R93" s="3"/>
    </row>
    <row r="94" spans="1:18" x14ac:dyDescent="0.25">
      <c r="A94" s="2">
        <v>92</v>
      </c>
      <c r="B94" s="7" t="s">
        <v>4238</v>
      </c>
      <c r="C94" s="7" t="s">
        <v>4239</v>
      </c>
      <c r="D94" s="7" t="s">
        <v>4238</v>
      </c>
      <c r="E94" s="7" t="s">
        <v>131</v>
      </c>
      <c r="F94" s="7" t="s">
        <v>1122</v>
      </c>
      <c r="G94" s="17" t="s">
        <v>7747</v>
      </c>
      <c r="H94" s="7" t="s">
        <v>19</v>
      </c>
      <c r="I94" s="7" t="s">
        <v>1042</v>
      </c>
      <c r="J94" s="7" t="s">
        <v>1043</v>
      </c>
      <c r="K94" s="7" t="s">
        <v>1122</v>
      </c>
      <c r="L94" s="7" t="s">
        <v>247</v>
      </c>
      <c r="M94" s="7">
        <v>5.0455920000000001</v>
      </c>
      <c r="N94" s="7">
        <v>10.478456</v>
      </c>
      <c r="O94" s="7" t="s">
        <v>23</v>
      </c>
      <c r="P94" s="3"/>
      <c r="Q94" s="3"/>
      <c r="R94" s="3"/>
    </row>
    <row r="95" spans="1:18" x14ac:dyDescent="0.25">
      <c r="A95" s="2">
        <v>93</v>
      </c>
      <c r="B95" s="7" t="s">
        <v>4250</v>
      </c>
      <c r="C95" s="7" t="s">
        <v>4251</v>
      </c>
      <c r="D95" s="7" t="s">
        <v>4250</v>
      </c>
      <c r="E95" s="7" t="s">
        <v>131</v>
      </c>
      <c r="F95" s="7" t="s">
        <v>4018</v>
      </c>
      <c r="G95" s="17" t="s">
        <v>7747</v>
      </c>
      <c r="H95" s="7" t="s">
        <v>28</v>
      </c>
      <c r="I95" s="7" t="s">
        <v>1042</v>
      </c>
      <c r="J95" s="7" t="s">
        <v>1043</v>
      </c>
      <c r="K95" s="7" t="s">
        <v>1042</v>
      </c>
      <c r="L95" s="7" t="s">
        <v>247</v>
      </c>
      <c r="M95" s="7">
        <v>5.1721180000000002</v>
      </c>
      <c r="N95" s="7">
        <v>10.386182</v>
      </c>
      <c r="O95" s="7" t="s">
        <v>23</v>
      </c>
      <c r="P95" s="3"/>
      <c r="Q95" s="3"/>
      <c r="R95" s="3"/>
    </row>
    <row r="96" spans="1:18" x14ac:dyDescent="0.25">
      <c r="A96" s="2">
        <v>94</v>
      </c>
      <c r="B96" s="7" t="s">
        <v>4258</v>
      </c>
      <c r="C96" s="7" t="s">
        <v>4259</v>
      </c>
      <c r="D96" s="7" t="s">
        <v>4258</v>
      </c>
      <c r="E96" s="7" t="s">
        <v>131</v>
      </c>
      <c r="F96" s="7" t="s">
        <v>4260</v>
      </c>
      <c r="G96" s="17" t="s">
        <v>7747</v>
      </c>
      <c r="H96" s="7" t="s">
        <v>28</v>
      </c>
      <c r="I96" s="7" t="s">
        <v>245</v>
      </c>
      <c r="J96" s="7" t="s">
        <v>761</v>
      </c>
      <c r="K96" s="7" t="s">
        <v>1078</v>
      </c>
      <c r="L96" s="7" t="s">
        <v>247</v>
      </c>
      <c r="M96" s="7">
        <v>5.5786619999999996</v>
      </c>
      <c r="N96" s="7">
        <v>10.300921000000001</v>
      </c>
      <c r="O96" s="7" t="s">
        <v>23</v>
      </c>
      <c r="P96" s="3"/>
      <c r="Q96" s="3"/>
      <c r="R96" s="3"/>
    </row>
    <row r="97" spans="1:18" x14ac:dyDescent="0.25">
      <c r="A97" s="2">
        <v>95</v>
      </c>
      <c r="B97" s="7" t="s">
        <v>4267</v>
      </c>
      <c r="C97" s="7" t="s">
        <v>4268</v>
      </c>
      <c r="D97" s="7" t="s">
        <v>4267</v>
      </c>
      <c r="E97" s="7" t="s">
        <v>131</v>
      </c>
      <c r="F97" s="7" t="s">
        <v>4269</v>
      </c>
      <c r="G97" s="17" t="s">
        <v>7747</v>
      </c>
      <c r="H97" s="7" t="s">
        <v>28</v>
      </c>
      <c r="I97" s="7" t="s">
        <v>1069</v>
      </c>
      <c r="J97" s="7" t="s">
        <v>1070</v>
      </c>
      <c r="K97" s="7" t="s">
        <v>1071</v>
      </c>
      <c r="L97" s="7" t="s">
        <v>247</v>
      </c>
      <c r="M97" s="7">
        <v>5.4788329999999998</v>
      </c>
      <c r="N97" s="7">
        <v>10.468697000000001</v>
      </c>
      <c r="O97" s="7" t="s">
        <v>23</v>
      </c>
      <c r="P97" s="3"/>
      <c r="Q97" s="3"/>
      <c r="R97" s="3"/>
    </row>
    <row r="98" spans="1:18" x14ac:dyDescent="0.25">
      <c r="A98" s="2">
        <v>96</v>
      </c>
      <c r="B98" s="7" t="s">
        <v>4289</v>
      </c>
      <c r="C98" s="7" t="s">
        <v>4290</v>
      </c>
      <c r="D98" s="7" t="s">
        <v>4289</v>
      </c>
      <c r="E98" s="7" t="s">
        <v>131</v>
      </c>
      <c r="F98" s="7" t="s">
        <v>4291</v>
      </c>
      <c r="G98" s="17" t="s">
        <v>7747</v>
      </c>
      <c r="H98" s="7" t="s">
        <v>28</v>
      </c>
      <c r="I98" s="7" t="s">
        <v>1069</v>
      </c>
      <c r="J98" s="7" t="s">
        <v>1070</v>
      </c>
      <c r="K98" s="7" t="s">
        <v>1071</v>
      </c>
      <c r="L98" s="7" t="s">
        <v>247</v>
      </c>
      <c r="M98" s="7">
        <v>5.4901739999999997</v>
      </c>
      <c r="N98" s="7">
        <v>10.445361999999999</v>
      </c>
      <c r="O98" s="7" t="s">
        <v>23</v>
      </c>
      <c r="P98" s="3"/>
      <c r="Q98" s="3"/>
      <c r="R98" s="3"/>
    </row>
    <row r="99" spans="1:18" x14ac:dyDescent="0.25">
      <c r="A99" s="2">
        <v>97</v>
      </c>
      <c r="B99" s="7" t="s">
        <v>4305</v>
      </c>
      <c r="C99" s="7" t="s">
        <v>4306</v>
      </c>
      <c r="D99" s="7" t="s">
        <v>4305</v>
      </c>
      <c r="E99" s="7" t="s">
        <v>131</v>
      </c>
      <c r="F99" s="7" t="s">
        <v>4307</v>
      </c>
      <c r="G99" s="17" t="s">
        <v>7747</v>
      </c>
      <c r="H99" s="7" t="s">
        <v>19</v>
      </c>
      <c r="I99" s="7" t="s">
        <v>396</v>
      </c>
      <c r="J99" s="7" t="s">
        <v>397</v>
      </c>
      <c r="K99" s="7" t="s">
        <v>4146</v>
      </c>
      <c r="L99" s="7" t="s">
        <v>247</v>
      </c>
      <c r="M99" s="7">
        <v>5.6377170000000003</v>
      </c>
      <c r="N99" s="7">
        <v>10.74</v>
      </c>
      <c r="O99" s="7" t="s">
        <v>23</v>
      </c>
      <c r="P99" s="3"/>
      <c r="Q99" s="3"/>
      <c r="R99" s="3"/>
    </row>
    <row r="100" spans="1:18" x14ac:dyDescent="0.25">
      <c r="A100" s="2">
        <v>98</v>
      </c>
      <c r="B100" s="7" t="s">
        <v>4319</v>
      </c>
      <c r="C100" s="7" t="s">
        <v>4320</v>
      </c>
      <c r="D100" s="7" t="s">
        <v>4319</v>
      </c>
      <c r="E100" s="7" t="s">
        <v>131</v>
      </c>
      <c r="F100" s="7" t="s">
        <v>4321</v>
      </c>
      <c r="G100" s="17" t="s">
        <v>7747</v>
      </c>
      <c r="H100" s="7" t="s">
        <v>28</v>
      </c>
      <c r="I100" s="7" t="s">
        <v>1069</v>
      </c>
      <c r="J100" s="7" t="s">
        <v>1070</v>
      </c>
      <c r="K100" s="7" t="s">
        <v>1071</v>
      </c>
      <c r="L100" s="7" t="s">
        <v>247</v>
      </c>
      <c r="M100" s="7">
        <v>5.507511</v>
      </c>
      <c r="N100" s="7">
        <v>10.401437</v>
      </c>
      <c r="O100" s="7" t="s">
        <v>23</v>
      </c>
      <c r="P100" s="3"/>
      <c r="Q100" s="3"/>
      <c r="R100" s="3"/>
    </row>
    <row r="101" spans="1:18" x14ac:dyDescent="0.25">
      <c r="A101" s="2">
        <v>99</v>
      </c>
      <c r="B101" s="7" t="s">
        <v>4322</v>
      </c>
      <c r="C101" s="7" t="s">
        <v>4323</v>
      </c>
      <c r="D101" s="7" t="s">
        <v>4322</v>
      </c>
      <c r="E101" s="7" t="s">
        <v>131</v>
      </c>
      <c r="F101" s="7" t="s">
        <v>4324</v>
      </c>
      <c r="G101" s="17" t="s">
        <v>7747</v>
      </c>
      <c r="H101" s="7" t="s">
        <v>28</v>
      </c>
      <c r="I101" s="7" t="s">
        <v>783</v>
      </c>
      <c r="J101" s="7" t="s">
        <v>1070</v>
      </c>
      <c r="K101" s="7" t="s">
        <v>1071</v>
      </c>
      <c r="L101" s="7" t="s">
        <v>247</v>
      </c>
      <c r="M101" s="7">
        <v>5.4772150000000002</v>
      </c>
      <c r="N101" s="7">
        <v>10.405362999999999</v>
      </c>
      <c r="O101" s="7" t="s">
        <v>23</v>
      </c>
      <c r="P101" s="3"/>
      <c r="Q101" s="3"/>
      <c r="R101" s="3"/>
    </row>
    <row r="102" spans="1:18" x14ac:dyDescent="0.25">
      <c r="A102" s="2">
        <v>100</v>
      </c>
      <c r="B102" s="7" t="s">
        <v>4328</v>
      </c>
      <c r="C102" s="7" t="s">
        <v>4329</v>
      </c>
      <c r="D102" s="7" t="s">
        <v>4328</v>
      </c>
      <c r="E102" s="7" t="s">
        <v>131</v>
      </c>
      <c r="F102" s="7" t="s">
        <v>2454</v>
      </c>
      <c r="G102" s="17" t="s">
        <v>7747</v>
      </c>
      <c r="H102" s="7" t="s">
        <v>28</v>
      </c>
      <c r="I102" s="7" t="s">
        <v>783</v>
      </c>
      <c r="J102" s="7" t="s">
        <v>1059</v>
      </c>
      <c r="K102" s="7" t="s">
        <v>1042</v>
      </c>
      <c r="L102" s="7" t="s">
        <v>247</v>
      </c>
      <c r="M102" s="7">
        <v>5.3122999999999996</v>
      </c>
      <c r="N102" s="7">
        <v>10.4421</v>
      </c>
      <c r="O102" s="7" t="s">
        <v>23</v>
      </c>
      <c r="P102" s="3"/>
      <c r="Q102" s="3"/>
      <c r="R102" s="3"/>
    </row>
    <row r="103" spans="1:18" x14ac:dyDescent="0.25">
      <c r="A103" s="2">
        <v>101</v>
      </c>
      <c r="B103" s="7" t="s">
        <v>4351</v>
      </c>
      <c r="C103" s="7" t="s">
        <v>4352</v>
      </c>
      <c r="D103" s="7" t="s">
        <v>4351</v>
      </c>
      <c r="E103" s="7" t="s">
        <v>131</v>
      </c>
      <c r="F103" s="7" t="s">
        <v>4353</v>
      </c>
      <c r="G103" s="17" t="s">
        <v>7747</v>
      </c>
      <c r="H103" s="7" t="s">
        <v>28</v>
      </c>
      <c r="I103" s="7" t="s">
        <v>783</v>
      </c>
      <c r="J103" s="7" t="s">
        <v>2482</v>
      </c>
      <c r="K103" s="7" t="s">
        <v>2483</v>
      </c>
      <c r="L103" s="7" t="s">
        <v>247</v>
      </c>
      <c r="M103" s="7">
        <v>5.3665010000000004</v>
      </c>
      <c r="N103" s="7">
        <v>10.410213000000001</v>
      </c>
      <c r="O103" s="7" t="s">
        <v>23</v>
      </c>
      <c r="P103" s="3"/>
      <c r="Q103" s="3"/>
      <c r="R103" s="3"/>
    </row>
    <row r="104" spans="1:18" x14ac:dyDescent="0.25">
      <c r="A104" s="2">
        <v>102</v>
      </c>
      <c r="B104" s="7" t="s">
        <v>4389</v>
      </c>
      <c r="C104" s="7" t="s">
        <v>4390</v>
      </c>
      <c r="D104" s="7" t="s">
        <v>4389</v>
      </c>
      <c r="E104" s="7" t="s">
        <v>131</v>
      </c>
      <c r="F104" s="7" t="s">
        <v>4391</v>
      </c>
      <c r="G104" s="17" t="s">
        <v>7747</v>
      </c>
      <c r="H104" s="7" t="s">
        <v>28</v>
      </c>
      <c r="I104" s="7" t="s">
        <v>1042</v>
      </c>
      <c r="J104" s="7" t="s">
        <v>1043</v>
      </c>
      <c r="K104" s="7" t="s">
        <v>4391</v>
      </c>
      <c r="L104" s="7" t="s">
        <v>247</v>
      </c>
      <c r="M104" s="7">
        <v>5.0519689999999997</v>
      </c>
      <c r="N104" s="7">
        <v>10.572457</v>
      </c>
      <c r="O104" s="7" t="s">
        <v>23</v>
      </c>
      <c r="P104" s="3"/>
      <c r="Q104" s="3"/>
      <c r="R104" s="3"/>
    </row>
    <row r="105" spans="1:18" x14ac:dyDescent="0.25">
      <c r="A105" s="2">
        <v>103</v>
      </c>
      <c r="B105" s="7" t="s">
        <v>4406</v>
      </c>
      <c r="C105" s="7" t="s">
        <v>4407</v>
      </c>
      <c r="D105" s="7" t="s">
        <v>4406</v>
      </c>
      <c r="E105" s="7" t="s">
        <v>131</v>
      </c>
      <c r="F105" s="7" t="s">
        <v>4408</v>
      </c>
      <c r="G105" s="17" t="s">
        <v>7747</v>
      </c>
      <c r="H105" s="7" t="s">
        <v>28</v>
      </c>
      <c r="I105" s="7" t="s">
        <v>1042</v>
      </c>
      <c r="J105" s="7" t="s">
        <v>1043</v>
      </c>
      <c r="K105" s="7" t="s">
        <v>1042</v>
      </c>
      <c r="L105" s="7" t="s">
        <v>247</v>
      </c>
      <c r="M105" s="7">
        <v>5.2134830000000001</v>
      </c>
      <c r="N105" s="7">
        <v>10.455859999999999</v>
      </c>
      <c r="O105" s="7" t="s">
        <v>23</v>
      </c>
      <c r="P105" s="3"/>
      <c r="Q105" s="3"/>
      <c r="R105" s="3"/>
    </row>
    <row r="106" spans="1:18" x14ac:dyDescent="0.25">
      <c r="A106" s="2">
        <v>104</v>
      </c>
      <c r="B106" s="7" t="s">
        <v>4420</v>
      </c>
      <c r="C106" s="7" t="s">
        <v>4421</v>
      </c>
      <c r="D106" s="7" t="s">
        <v>4420</v>
      </c>
      <c r="E106" s="7" t="s">
        <v>131</v>
      </c>
      <c r="F106" s="7" t="s">
        <v>4422</v>
      </c>
      <c r="G106" s="17" t="s">
        <v>7747</v>
      </c>
      <c r="H106" s="7" t="s">
        <v>28</v>
      </c>
      <c r="I106" s="7" t="s">
        <v>1069</v>
      </c>
      <c r="J106" s="7" t="s">
        <v>1070</v>
      </c>
      <c r="K106" s="7" t="s">
        <v>1071</v>
      </c>
      <c r="L106" s="7" t="s">
        <v>247</v>
      </c>
      <c r="M106" s="7">
        <v>5.4834370000000003</v>
      </c>
      <c r="N106" s="7">
        <v>10.434514</v>
      </c>
      <c r="O106" s="7" t="s">
        <v>23</v>
      </c>
      <c r="P106" s="3"/>
      <c r="Q106" s="3"/>
      <c r="R106" s="3"/>
    </row>
    <row r="107" spans="1:18" x14ac:dyDescent="0.25">
      <c r="A107" s="2">
        <v>105</v>
      </c>
      <c r="B107" s="7" t="s">
        <v>4433</v>
      </c>
      <c r="C107" s="7" t="s">
        <v>4434</v>
      </c>
      <c r="D107" s="7" t="s">
        <v>4433</v>
      </c>
      <c r="E107" s="7" t="s">
        <v>131</v>
      </c>
      <c r="F107" s="7" t="s">
        <v>2715</v>
      </c>
      <c r="G107" s="17" t="s">
        <v>7747</v>
      </c>
      <c r="H107" s="7" t="s">
        <v>28</v>
      </c>
      <c r="I107" s="7" t="s">
        <v>783</v>
      </c>
      <c r="J107" s="7" t="s">
        <v>1110</v>
      </c>
      <c r="K107" s="7" t="s">
        <v>1111</v>
      </c>
      <c r="L107" s="7" t="s">
        <v>247</v>
      </c>
      <c r="M107" s="7">
        <v>5.3072239999999997</v>
      </c>
      <c r="N107" s="7">
        <v>10.290284</v>
      </c>
      <c r="O107" s="7" t="s">
        <v>23</v>
      </c>
      <c r="P107" s="3"/>
      <c r="Q107" s="3"/>
      <c r="R107" s="3"/>
    </row>
    <row r="108" spans="1:18" x14ac:dyDescent="0.25">
      <c r="A108" s="2">
        <v>106</v>
      </c>
      <c r="B108" s="7" t="s">
        <v>4438</v>
      </c>
      <c r="C108" s="7" t="s">
        <v>4439</v>
      </c>
      <c r="D108" s="7" t="s">
        <v>4438</v>
      </c>
      <c r="E108" s="7" t="s">
        <v>131</v>
      </c>
      <c r="F108" s="7" t="s">
        <v>4440</v>
      </c>
      <c r="G108" s="17" t="s">
        <v>7747</v>
      </c>
      <c r="H108" s="7" t="s">
        <v>28</v>
      </c>
      <c r="I108" s="7" t="s">
        <v>783</v>
      </c>
      <c r="J108" s="7" t="s">
        <v>1070</v>
      </c>
      <c r="K108" s="7" t="s">
        <v>1071</v>
      </c>
      <c r="L108" s="7" t="s">
        <v>247</v>
      </c>
      <c r="M108" s="7">
        <v>5.4721970000000004</v>
      </c>
      <c r="N108" s="7">
        <v>10.433311</v>
      </c>
      <c r="O108" s="7" t="s">
        <v>23</v>
      </c>
      <c r="P108" s="3"/>
      <c r="Q108" s="3"/>
      <c r="R108" s="3"/>
    </row>
    <row r="109" spans="1:18" x14ac:dyDescent="0.25">
      <c r="A109" s="2">
        <v>107</v>
      </c>
      <c r="B109" s="7" t="s">
        <v>4522</v>
      </c>
      <c r="C109" s="7" t="s">
        <v>4523</v>
      </c>
      <c r="D109" s="7" t="s">
        <v>4522</v>
      </c>
      <c r="E109" s="7" t="s">
        <v>131</v>
      </c>
      <c r="F109" s="7" t="s">
        <v>4524</v>
      </c>
      <c r="G109" s="17" t="s">
        <v>7747</v>
      </c>
      <c r="H109" s="7" t="s">
        <v>28</v>
      </c>
      <c r="I109" s="7" t="s">
        <v>1069</v>
      </c>
      <c r="J109" s="7" t="s">
        <v>1070</v>
      </c>
      <c r="K109" s="7" t="s">
        <v>1071</v>
      </c>
      <c r="L109" s="7" t="s">
        <v>247</v>
      </c>
      <c r="M109" s="7">
        <v>5.4978999999999996</v>
      </c>
      <c r="N109" s="7">
        <v>10.38805</v>
      </c>
      <c r="O109" s="7" t="s">
        <v>23</v>
      </c>
      <c r="P109" s="3"/>
      <c r="Q109" s="3"/>
      <c r="R109" s="3"/>
    </row>
    <row r="110" spans="1:18" x14ac:dyDescent="0.25">
      <c r="A110" s="2">
        <v>108</v>
      </c>
      <c r="B110" s="7" t="s">
        <v>4540</v>
      </c>
      <c r="C110" s="7" t="s">
        <v>4541</v>
      </c>
      <c r="D110" s="7" t="s">
        <v>4540</v>
      </c>
      <c r="E110" s="7" t="s">
        <v>131</v>
      </c>
      <c r="F110" s="7" t="s">
        <v>4542</v>
      </c>
      <c r="G110" s="17" t="s">
        <v>7747</v>
      </c>
      <c r="H110" s="7" t="s">
        <v>19</v>
      </c>
      <c r="I110" s="7" t="s">
        <v>145</v>
      </c>
      <c r="J110" s="7" t="s">
        <v>397</v>
      </c>
      <c r="K110" s="7" t="s">
        <v>145</v>
      </c>
      <c r="L110" s="7" t="s">
        <v>247</v>
      </c>
      <c r="M110" s="7">
        <v>5.7304719999999998</v>
      </c>
      <c r="N110" s="7">
        <v>10.880833000000001</v>
      </c>
      <c r="O110" s="7" t="s">
        <v>23</v>
      </c>
      <c r="P110" s="3"/>
      <c r="Q110" s="3"/>
      <c r="R110" s="3"/>
    </row>
    <row r="111" spans="1:18" x14ac:dyDescent="0.25">
      <c r="A111" s="2">
        <v>109</v>
      </c>
      <c r="B111" s="7" t="s">
        <v>4552</v>
      </c>
      <c r="C111" s="7" t="s">
        <v>4553</v>
      </c>
      <c r="D111" s="7" t="s">
        <v>4552</v>
      </c>
      <c r="E111" s="7" t="s">
        <v>131</v>
      </c>
      <c r="F111" s="7" t="s">
        <v>4554</v>
      </c>
      <c r="G111" s="17" t="s">
        <v>7747</v>
      </c>
      <c r="H111" s="7" t="s">
        <v>28</v>
      </c>
      <c r="I111" s="7" t="s">
        <v>1069</v>
      </c>
      <c r="J111" s="7" t="s">
        <v>1070</v>
      </c>
      <c r="K111" s="7" t="s">
        <v>1071</v>
      </c>
      <c r="L111" s="7" t="s">
        <v>247</v>
      </c>
      <c r="M111" s="7">
        <v>5.4814119999999997</v>
      </c>
      <c r="N111" s="7">
        <v>10.488811999999999</v>
      </c>
      <c r="O111" s="7" t="s">
        <v>23</v>
      </c>
      <c r="P111" s="3"/>
      <c r="Q111" s="3"/>
      <c r="R111" s="3"/>
    </row>
    <row r="112" spans="1:18" x14ac:dyDescent="0.25">
      <c r="A112" s="2">
        <v>110</v>
      </c>
      <c r="B112" s="7" t="s">
        <v>4567</v>
      </c>
      <c r="C112" s="7" t="s">
        <v>4568</v>
      </c>
      <c r="D112" s="7" t="s">
        <v>4567</v>
      </c>
      <c r="E112" s="7" t="s">
        <v>131</v>
      </c>
      <c r="F112" s="7" t="s">
        <v>4146</v>
      </c>
      <c r="G112" s="17" t="s">
        <v>7747</v>
      </c>
      <c r="H112" s="7" t="s">
        <v>19</v>
      </c>
      <c r="I112" s="7" t="s">
        <v>396</v>
      </c>
      <c r="J112" s="7" t="s">
        <v>397</v>
      </c>
      <c r="K112" s="7" t="s">
        <v>4146</v>
      </c>
      <c r="L112" s="7" t="s">
        <v>247</v>
      </c>
      <c r="M112" s="7">
        <v>5.64154</v>
      </c>
      <c r="N112" s="7">
        <v>10.74681</v>
      </c>
      <c r="O112" s="7" t="s">
        <v>23</v>
      </c>
      <c r="P112" s="3"/>
      <c r="Q112" s="3"/>
      <c r="R112" s="3"/>
    </row>
    <row r="113" spans="1:18" x14ac:dyDescent="0.25">
      <c r="A113" s="2">
        <v>111</v>
      </c>
      <c r="B113" s="7" t="s">
        <v>4577</v>
      </c>
      <c r="C113" s="7" t="s">
        <v>4578</v>
      </c>
      <c r="D113" s="7" t="s">
        <v>4577</v>
      </c>
      <c r="E113" s="7" t="s">
        <v>131</v>
      </c>
      <c r="F113" s="7" t="s">
        <v>1111</v>
      </c>
      <c r="G113" s="17" t="s">
        <v>7747</v>
      </c>
      <c r="H113" s="7" t="s">
        <v>19</v>
      </c>
      <c r="I113" s="7" t="s">
        <v>783</v>
      </c>
      <c r="J113" s="7" t="s">
        <v>1110</v>
      </c>
      <c r="K113" s="7" t="s">
        <v>1111</v>
      </c>
      <c r="L113" s="7" t="s">
        <v>247</v>
      </c>
      <c r="M113" s="7">
        <v>5.3318139999999996</v>
      </c>
      <c r="N113" s="7">
        <v>10.367323000000001</v>
      </c>
      <c r="O113" s="7" t="s">
        <v>23</v>
      </c>
      <c r="P113" s="3"/>
      <c r="Q113" s="3"/>
      <c r="R113" s="3"/>
    </row>
    <row r="114" spans="1:18" x14ac:dyDescent="0.25">
      <c r="A114" s="2">
        <v>112</v>
      </c>
      <c r="B114" s="7" t="s">
        <v>4644</v>
      </c>
      <c r="C114" s="7" t="s">
        <v>4645</v>
      </c>
      <c r="D114" s="7" t="s">
        <v>4644</v>
      </c>
      <c r="E114" s="7" t="s">
        <v>131</v>
      </c>
      <c r="F114" s="7" t="s">
        <v>4040</v>
      </c>
      <c r="G114" s="17" t="s">
        <v>7747</v>
      </c>
      <c r="H114" s="7" t="s">
        <v>19</v>
      </c>
      <c r="I114" s="7" t="s">
        <v>1042</v>
      </c>
      <c r="J114" s="7" t="s">
        <v>1043</v>
      </c>
      <c r="K114" s="7" t="s">
        <v>1042</v>
      </c>
      <c r="L114" s="7" t="s">
        <v>247</v>
      </c>
      <c r="M114" s="7">
        <v>5.0406519999999997</v>
      </c>
      <c r="N114" s="7">
        <v>10.703117000000001</v>
      </c>
      <c r="O114" s="7" t="s">
        <v>23</v>
      </c>
      <c r="P114" s="3"/>
      <c r="Q114" s="3"/>
      <c r="R114" s="3"/>
    </row>
    <row r="115" spans="1:18" x14ac:dyDescent="0.25">
      <c r="A115" s="2">
        <v>113</v>
      </c>
      <c r="B115" s="7" t="s">
        <v>4722</v>
      </c>
      <c r="C115" s="7" t="s">
        <v>4723</v>
      </c>
      <c r="D115" s="7" t="s">
        <v>4722</v>
      </c>
      <c r="E115" s="7" t="s">
        <v>131</v>
      </c>
      <c r="F115" s="7" t="s">
        <v>2483</v>
      </c>
      <c r="G115" s="17" t="s">
        <v>7747</v>
      </c>
      <c r="H115" s="7" t="s">
        <v>28</v>
      </c>
      <c r="I115" s="7" t="s">
        <v>783</v>
      </c>
      <c r="J115" s="7" t="s">
        <v>4724</v>
      </c>
      <c r="K115" s="7" t="s">
        <v>4725</v>
      </c>
      <c r="L115" s="7" t="s">
        <v>247</v>
      </c>
      <c r="M115" s="7">
        <v>5.3795299999999999</v>
      </c>
      <c r="N115" s="7">
        <v>10.413830000000001</v>
      </c>
      <c r="O115" s="7" t="s">
        <v>23</v>
      </c>
      <c r="P115" s="3"/>
      <c r="Q115" s="3"/>
      <c r="R115" s="3"/>
    </row>
    <row r="116" spans="1:18" x14ac:dyDescent="0.25">
      <c r="A116" s="2">
        <v>114</v>
      </c>
      <c r="B116" s="7" t="s">
        <v>4758</v>
      </c>
      <c r="C116" s="7" t="s">
        <v>4759</v>
      </c>
      <c r="D116" s="7" t="s">
        <v>4758</v>
      </c>
      <c r="E116" s="7" t="s">
        <v>131</v>
      </c>
      <c r="F116" s="7" t="s">
        <v>1042</v>
      </c>
      <c r="G116" s="17" t="s">
        <v>7747</v>
      </c>
      <c r="H116" s="7" t="s">
        <v>19</v>
      </c>
      <c r="I116" s="7" t="s">
        <v>1042</v>
      </c>
      <c r="J116" s="7" t="s">
        <v>1043</v>
      </c>
      <c r="K116" s="7" t="s">
        <v>1042</v>
      </c>
      <c r="L116" s="7" t="s">
        <v>247</v>
      </c>
      <c r="M116" s="7">
        <v>5.1404249999999996</v>
      </c>
      <c r="N116" s="7">
        <v>10.528005</v>
      </c>
      <c r="O116" s="7" t="s">
        <v>23</v>
      </c>
      <c r="P116" s="3"/>
      <c r="Q116" s="3"/>
      <c r="R116" s="3"/>
    </row>
    <row r="117" spans="1:18" x14ac:dyDescent="0.25">
      <c r="A117" s="2">
        <v>115</v>
      </c>
      <c r="B117" s="7" t="s">
        <v>4760</v>
      </c>
      <c r="C117" s="7" t="s">
        <v>4761</v>
      </c>
      <c r="D117" s="7" t="s">
        <v>4760</v>
      </c>
      <c r="E117" s="7" t="s">
        <v>131</v>
      </c>
      <c r="F117" s="7" t="s">
        <v>4762</v>
      </c>
      <c r="G117" s="17" t="s">
        <v>7747</v>
      </c>
      <c r="H117" s="7" t="s">
        <v>19</v>
      </c>
      <c r="I117" s="7" t="s">
        <v>1042</v>
      </c>
      <c r="J117" s="7" t="s">
        <v>1043</v>
      </c>
      <c r="K117" s="7" t="s">
        <v>1042</v>
      </c>
      <c r="L117" s="7" t="s">
        <v>247</v>
      </c>
      <c r="M117" s="7">
        <v>5.1059099999999997</v>
      </c>
      <c r="N117" s="7">
        <v>10.615589999999999</v>
      </c>
      <c r="O117" s="7" t="s">
        <v>23</v>
      </c>
      <c r="P117" s="3"/>
      <c r="Q117" s="3"/>
      <c r="R117" s="3"/>
    </row>
    <row r="118" spans="1:18" x14ac:dyDescent="0.25">
      <c r="A118" s="2">
        <v>116</v>
      </c>
      <c r="B118" s="7" t="s">
        <v>4766</v>
      </c>
      <c r="C118" s="7" t="s">
        <v>4767</v>
      </c>
      <c r="D118" s="7" t="s">
        <v>4766</v>
      </c>
      <c r="E118" s="7" t="s">
        <v>131</v>
      </c>
      <c r="F118" s="7" t="s">
        <v>4768</v>
      </c>
      <c r="G118" s="17" t="s">
        <v>7747</v>
      </c>
      <c r="H118" s="7" t="s">
        <v>19</v>
      </c>
      <c r="I118" s="7" t="s">
        <v>396</v>
      </c>
      <c r="J118" s="7" t="s">
        <v>397</v>
      </c>
      <c r="K118" s="7" t="s">
        <v>396</v>
      </c>
      <c r="L118" s="7" t="s">
        <v>247</v>
      </c>
      <c r="M118" s="7">
        <v>5.5058699999999998</v>
      </c>
      <c r="N118" s="7">
        <v>10.623670000000001</v>
      </c>
      <c r="O118" s="7" t="s">
        <v>23</v>
      </c>
      <c r="P118" s="3"/>
      <c r="Q118" s="3"/>
      <c r="R118" s="3"/>
    </row>
    <row r="119" spans="1:18" x14ac:dyDescent="0.25">
      <c r="A119" s="2">
        <v>117</v>
      </c>
      <c r="B119" s="7" t="s">
        <v>4876</v>
      </c>
      <c r="C119" s="7" t="s">
        <v>4877</v>
      </c>
      <c r="D119" s="7" t="s">
        <v>4876</v>
      </c>
      <c r="E119" s="7" t="s">
        <v>131</v>
      </c>
      <c r="F119" s="7" t="s">
        <v>4878</v>
      </c>
      <c r="G119" s="17" t="s">
        <v>7747</v>
      </c>
      <c r="H119" s="7" t="s">
        <v>28</v>
      </c>
      <c r="I119" s="7" t="s">
        <v>245</v>
      </c>
      <c r="J119" s="7" t="s">
        <v>761</v>
      </c>
      <c r="K119" s="7" t="s">
        <v>1078</v>
      </c>
      <c r="L119" s="7" t="s">
        <v>247</v>
      </c>
      <c r="M119" s="7">
        <v>5.6245000000000003</v>
      </c>
      <c r="N119" s="7">
        <v>10.263444</v>
      </c>
      <c r="O119" s="7" t="s">
        <v>23</v>
      </c>
      <c r="P119" s="3"/>
      <c r="Q119" s="3"/>
      <c r="R119" s="3"/>
    </row>
    <row r="120" spans="1:18" x14ac:dyDescent="0.25">
      <c r="A120" s="2">
        <v>118</v>
      </c>
      <c r="B120" s="7" t="s">
        <v>4879</v>
      </c>
      <c r="C120" s="7" t="s">
        <v>4880</v>
      </c>
      <c r="D120" s="7" t="s">
        <v>4879</v>
      </c>
      <c r="E120" s="7" t="s">
        <v>131</v>
      </c>
      <c r="F120" s="7" t="s">
        <v>4881</v>
      </c>
      <c r="G120" s="17" t="s">
        <v>7747</v>
      </c>
      <c r="H120" s="7" t="s">
        <v>28</v>
      </c>
      <c r="I120" s="7" t="s">
        <v>396</v>
      </c>
      <c r="J120" s="7" t="s">
        <v>397</v>
      </c>
      <c r="K120" s="7" t="s">
        <v>396</v>
      </c>
      <c r="L120" s="7" t="s">
        <v>247</v>
      </c>
      <c r="M120" s="7">
        <v>5.5726940000000003</v>
      </c>
      <c r="N120" s="7">
        <v>10.680889000000001</v>
      </c>
      <c r="O120" s="7" t="s">
        <v>23</v>
      </c>
      <c r="P120" s="3"/>
      <c r="Q120" s="3"/>
      <c r="R120" s="3"/>
    </row>
    <row r="121" spans="1:18" x14ac:dyDescent="0.25">
      <c r="A121" s="2">
        <v>119</v>
      </c>
      <c r="B121" s="7" t="s">
        <v>4938</v>
      </c>
      <c r="C121" s="7" t="s">
        <v>4939</v>
      </c>
      <c r="D121" s="7" t="s">
        <v>4938</v>
      </c>
      <c r="E121" s="7" t="s">
        <v>131</v>
      </c>
      <c r="F121" s="7" t="s">
        <v>4940</v>
      </c>
      <c r="G121" s="17" t="s">
        <v>7747</v>
      </c>
      <c r="H121" s="7" t="s">
        <v>28</v>
      </c>
      <c r="I121" s="7" t="s">
        <v>783</v>
      </c>
      <c r="J121" s="7" t="s">
        <v>1070</v>
      </c>
      <c r="K121" s="7" t="s">
        <v>1071</v>
      </c>
      <c r="L121" s="7" t="s">
        <v>247</v>
      </c>
      <c r="M121" s="7">
        <v>5.4775499999999999</v>
      </c>
      <c r="N121" s="7">
        <v>10.4169</v>
      </c>
      <c r="O121" s="7" t="s">
        <v>613</v>
      </c>
      <c r="P121" s="3"/>
      <c r="Q121" s="3"/>
      <c r="R121" s="3"/>
    </row>
    <row r="122" spans="1:18" x14ac:dyDescent="0.25">
      <c r="A122" s="2">
        <v>120</v>
      </c>
      <c r="B122" s="7" t="s">
        <v>4944</v>
      </c>
      <c r="C122" s="7" t="s">
        <v>4945</v>
      </c>
      <c r="D122" s="7" t="s">
        <v>4944</v>
      </c>
      <c r="E122" s="7" t="s">
        <v>131</v>
      </c>
      <c r="F122" s="7" t="s">
        <v>396</v>
      </c>
      <c r="G122" s="17" t="s">
        <v>7747</v>
      </c>
      <c r="H122" s="7" t="s">
        <v>19</v>
      </c>
      <c r="I122" s="7" t="s">
        <v>396</v>
      </c>
      <c r="J122" s="7" t="s">
        <v>397</v>
      </c>
      <c r="K122" s="7" t="s">
        <v>396</v>
      </c>
      <c r="L122" s="7" t="s">
        <v>247</v>
      </c>
      <c r="M122" s="7">
        <v>5.524953</v>
      </c>
      <c r="N122" s="7">
        <v>10.640806</v>
      </c>
      <c r="O122" s="7" t="s">
        <v>23</v>
      </c>
      <c r="P122" s="3"/>
      <c r="Q122" s="3"/>
      <c r="R122" s="3"/>
    </row>
    <row r="123" spans="1:18" x14ac:dyDescent="0.25">
      <c r="A123" s="2">
        <v>121</v>
      </c>
      <c r="B123" s="7" t="s">
        <v>4956</v>
      </c>
      <c r="C123" s="7" t="s">
        <v>4957</v>
      </c>
      <c r="D123" s="7" t="s">
        <v>4956</v>
      </c>
      <c r="E123" s="7" t="s">
        <v>131</v>
      </c>
      <c r="F123" s="7" t="s">
        <v>4958</v>
      </c>
      <c r="G123" s="17" t="s">
        <v>7747</v>
      </c>
      <c r="H123" s="7" t="s">
        <v>28</v>
      </c>
      <c r="I123" s="7" t="s">
        <v>245</v>
      </c>
      <c r="J123" s="7" t="s">
        <v>761</v>
      </c>
      <c r="K123" s="7" t="s">
        <v>1078</v>
      </c>
      <c r="L123" s="7" t="s">
        <v>247</v>
      </c>
      <c r="M123" s="7">
        <v>5.625667</v>
      </c>
      <c r="N123" s="7">
        <v>10.257528000000001</v>
      </c>
      <c r="O123" s="7" t="s">
        <v>613</v>
      </c>
      <c r="P123" s="3"/>
      <c r="Q123" s="3"/>
      <c r="R123" s="3"/>
    </row>
    <row r="124" spans="1:18" x14ac:dyDescent="0.25">
      <c r="A124" s="2">
        <v>122</v>
      </c>
      <c r="B124" s="7" t="s">
        <v>4983</v>
      </c>
      <c r="C124" s="7" t="s">
        <v>4984</v>
      </c>
      <c r="D124" s="7" t="s">
        <v>4983</v>
      </c>
      <c r="E124" s="7" t="s">
        <v>131</v>
      </c>
      <c r="F124" s="7" t="s">
        <v>4985</v>
      </c>
      <c r="G124" s="17" t="s">
        <v>7747</v>
      </c>
      <c r="H124" s="7" t="s">
        <v>28</v>
      </c>
      <c r="I124" s="7" t="s">
        <v>1069</v>
      </c>
      <c r="J124" s="7" t="s">
        <v>1070</v>
      </c>
      <c r="K124" s="7" t="s">
        <v>1071</v>
      </c>
      <c r="L124" s="7" t="s">
        <v>247</v>
      </c>
      <c r="M124" s="7">
        <v>5.4804469999999998</v>
      </c>
      <c r="N124" s="7">
        <v>10.444324999999999</v>
      </c>
      <c r="O124" s="7" t="s">
        <v>613</v>
      </c>
      <c r="P124" s="3"/>
      <c r="Q124" s="3"/>
      <c r="R124" s="3"/>
    </row>
    <row r="125" spans="1:18" x14ac:dyDescent="0.25">
      <c r="A125" s="2">
        <v>123</v>
      </c>
      <c r="B125" s="7" t="s">
        <v>4991</v>
      </c>
      <c r="C125" s="7" t="s">
        <v>4992</v>
      </c>
      <c r="D125" s="7" t="s">
        <v>4991</v>
      </c>
      <c r="E125" s="7" t="s">
        <v>131</v>
      </c>
      <c r="F125" s="7" t="s">
        <v>4993</v>
      </c>
      <c r="G125" s="17" t="s">
        <v>7747</v>
      </c>
      <c r="H125" s="7" t="s">
        <v>19</v>
      </c>
      <c r="I125" s="7" t="s">
        <v>1069</v>
      </c>
      <c r="J125" s="7" t="s">
        <v>1070</v>
      </c>
      <c r="K125" s="7" t="s">
        <v>1071</v>
      </c>
      <c r="L125" s="7" t="s">
        <v>247</v>
      </c>
      <c r="M125" s="7">
        <v>5.4703030000000004</v>
      </c>
      <c r="N125" s="7">
        <v>10.407365</v>
      </c>
      <c r="O125" s="7" t="s">
        <v>613</v>
      </c>
      <c r="P125" s="3"/>
      <c r="Q125" s="3"/>
      <c r="R125" s="3"/>
    </row>
    <row r="126" spans="1:18" x14ac:dyDescent="0.25">
      <c r="A126" s="2">
        <v>124</v>
      </c>
      <c r="B126" s="7" t="s">
        <v>5047</v>
      </c>
      <c r="C126" s="7" t="s">
        <v>5048</v>
      </c>
      <c r="D126" s="7" t="s">
        <v>5047</v>
      </c>
      <c r="E126" s="7" t="s">
        <v>131</v>
      </c>
      <c r="F126" s="7" t="s">
        <v>5049</v>
      </c>
      <c r="G126" s="17" t="s">
        <v>7747</v>
      </c>
      <c r="H126" s="7" t="s">
        <v>28</v>
      </c>
      <c r="I126" s="7" t="s">
        <v>145</v>
      </c>
      <c r="J126" s="7" t="s">
        <v>397</v>
      </c>
      <c r="K126" s="7" t="s">
        <v>145</v>
      </c>
      <c r="L126" s="7" t="s">
        <v>247</v>
      </c>
      <c r="M126" s="7">
        <v>5.7241669999999996</v>
      </c>
      <c r="N126" s="7">
        <v>10.900528</v>
      </c>
      <c r="O126" s="7" t="s">
        <v>613</v>
      </c>
      <c r="P126" s="3"/>
      <c r="Q126" s="3"/>
      <c r="R126" s="3"/>
    </row>
    <row r="127" spans="1:18" x14ac:dyDescent="0.25">
      <c r="A127" s="2">
        <v>125</v>
      </c>
      <c r="B127" s="7" t="s">
        <v>5126</v>
      </c>
      <c r="C127" s="7" t="s">
        <v>5127</v>
      </c>
      <c r="D127" s="7" t="s">
        <v>5126</v>
      </c>
      <c r="E127" s="7" t="s">
        <v>131</v>
      </c>
      <c r="F127" s="7" t="s">
        <v>5128</v>
      </c>
      <c r="G127" s="17" t="s">
        <v>7747</v>
      </c>
      <c r="H127" s="7" t="s">
        <v>28</v>
      </c>
      <c r="I127" s="7" t="s">
        <v>783</v>
      </c>
      <c r="J127" s="7" t="s">
        <v>1070</v>
      </c>
      <c r="K127" s="7" t="s">
        <v>1071</v>
      </c>
      <c r="L127" s="7" t="s">
        <v>247</v>
      </c>
      <c r="M127" s="7">
        <v>5.4705000000000004</v>
      </c>
      <c r="N127" s="7">
        <v>10.407166999999999</v>
      </c>
      <c r="O127" s="7" t="s">
        <v>613</v>
      </c>
      <c r="P127" s="3"/>
      <c r="Q127" s="3"/>
      <c r="R127" s="3"/>
    </row>
    <row r="128" spans="1:18" x14ac:dyDescent="0.25">
      <c r="A128" s="2">
        <v>126</v>
      </c>
      <c r="B128" s="7" t="s">
        <v>5147</v>
      </c>
      <c r="C128" s="7" t="s">
        <v>5148</v>
      </c>
      <c r="D128" s="7" t="s">
        <v>5147</v>
      </c>
      <c r="E128" s="7" t="s">
        <v>131</v>
      </c>
      <c r="F128" s="7" t="s">
        <v>5149</v>
      </c>
      <c r="G128" s="17" t="s">
        <v>7747</v>
      </c>
      <c r="H128" s="7" t="s">
        <v>28</v>
      </c>
      <c r="I128" s="7" t="s">
        <v>1069</v>
      </c>
      <c r="J128" s="7" t="s">
        <v>1070</v>
      </c>
      <c r="K128" s="7" t="s">
        <v>1071</v>
      </c>
      <c r="L128" s="7" t="s">
        <v>247</v>
      </c>
      <c r="M128" s="7">
        <v>5.478961</v>
      </c>
      <c r="N128" s="7">
        <v>10.418663</v>
      </c>
      <c r="O128" s="7" t="s">
        <v>613</v>
      </c>
      <c r="P128" s="3"/>
      <c r="Q128" s="3"/>
      <c r="R128" s="3"/>
    </row>
    <row r="129" spans="1:18" x14ac:dyDescent="0.25">
      <c r="A129" s="2">
        <v>127</v>
      </c>
      <c r="B129" s="7" t="s">
        <v>5153</v>
      </c>
      <c r="C129" s="7" t="s">
        <v>5154</v>
      </c>
      <c r="D129" s="7" t="s">
        <v>5153</v>
      </c>
      <c r="E129" s="7" t="s">
        <v>131</v>
      </c>
      <c r="F129" s="7" t="s">
        <v>5155</v>
      </c>
      <c r="G129" s="17" t="s">
        <v>7747</v>
      </c>
      <c r="H129" s="7" t="s">
        <v>28</v>
      </c>
      <c r="I129" s="7" t="s">
        <v>783</v>
      </c>
      <c r="J129" s="7" t="s">
        <v>1069</v>
      </c>
      <c r="K129" s="7" t="s">
        <v>1071</v>
      </c>
      <c r="L129" s="7" t="s">
        <v>247</v>
      </c>
      <c r="M129" s="7">
        <v>5.4466939999999999</v>
      </c>
      <c r="N129" s="7">
        <v>10.423693999999999</v>
      </c>
      <c r="O129" s="7" t="s">
        <v>613</v>
      </c>
      <c r="P129" s="3"/>
      <c r="Q129" s="3"/>
      <c r="R129" s="3"/>
    </row>
    <row r="130" spans="1:18" x14ac:dyDescent="0.25">
      <c r="A130" s="2">
        <v>128</v>
      </c>
      <c r="B130" s="7" t="s">
        <v>5183</v>
      </c>
      <c r="C130" s="7" t="s">
        <v>5184</v>
      </c>
      <c r="D130" s="7" t="s">
        <v>5183</v>
      </c>
      <c r="E130" s="7" t="s">
        <v>131</v>
      </c>
      <c r="F130" s="7" t="s">
        <v>5185</v>
      </c>
      <c r="G130" s="17" t="s">
        <v>7747</v>
      </c>
      <c r="H130" s="7" t="s">
        <v>19</v>
      </c>
      <c r="I130" s="7" t="s">
        <v>1042</v>
      </c>
      <c r="J130" s="7" t="s">
        <v>1043</v>
      </c>
      <c r="K130" s="7" t="s">
        <v>1042</v>
      </c>
      <c r="L130" s="7" t="s">
        <v>247</v>
      </c>
      <c r="M130" s="7">
        <v>5.14</v>
      </c>
      <c r="N130" s="7">
        <v>10.524305999999999</v>
      </c>
      <c r="O130" s="7" t="s">
        <v>613</v>
      </c>
      <c r="P130" s="3"/>
      <c r="Q130" s="3"/>
      <c r="R130" s="3"/>
    </row>
    <row r="131" spans="1:18" x14ac:dyDescent="0.25">
      <c r="A131" s="2">
        <v>129</v>
      </c>
      <c r="B131" s="7" t="s">
        <v>5284</v>
      </c>
      <c r="C131" s="7" t="s">
        <v>5285</v>
      </c>
      <c r="D131" s="7" t="s">
        <v>5284</v>
      </c>
      <c r="E131" s="7" t="s">
        <v>131</v>
      </c>
      <c r="F131" s="7" t="s">
        <v>5286</v>
      </c>
      <c r="G131" s="17" t="s">
        <v>7747</v>
      </c>
      <c r="H131" s="7" t="s">
        <v>19</v>
      </c>
      <c r="I131" s="7" t="s">
        <v>1069</v>
      </c>
      <c r="J131" s="7" t="s">
        <v>1070</v>
      </c>
      <c r="K131" s="7" t="s">
        <v>1071</v>
      </c>
      <c r="L131" s="7" t="s">
        <v>247</v>
      </c>
      <c r="M131" s="7">
        <v>5.4944280000000001</v>
      </c>
      <c r="N131" s="7">
        <v>10.3995</v>
      </c>
      <c r="O131" s="7" t="s">
        <v>613</v>
      </c>
      <c r="P131" s="3"/>
      <c r="Q131" s="3"/>
      <c r="R131" s="3"/>
    </row>
    <row r="132" spans="1:18" x14ac:dyDescent="0.25">
      <c r="A132" s="2">
        <v>130</v>
      </c>
      <c r="B132" s="7" t="s">
        <v>5377</v>
      </c>
      <c r="C132" s="7" t="s">
        <v>5378</v>
      </c>
      <c r="D132" s="7" t="s">
        <v>5377</v>
      </c>
      <c r="E132" s="7" t="s">
        <v>131</v>
      </c>
      <c r="F132" s="7" t="s">
        <v>5379</v>
      </c>
      <c r="G132" s="17" t="s">
        <v>7747</v>
      </c>
      <c r="H132" s="7" t="s">
        <v>28</v>
      </c>
      <c r="I132" s="7" t="s">
        <v>783</v>
      </c>
      <c r="J132" s="7" t="s">
        <v>1070</v>
      </c>
      <c r="K132" s="7" t="s">
        <v>1071</v>
      </c>
      <c r="L132" s="7" t="s">
        <v>247</v>
      </c>
      <c r="M132" s="7">
        <v>5.4855559999999999</v>
      </c>
      <c r="N132" s="7">
        <v>10.413971999999999</v>
      </c>
      <c r="O132" s="7" t="s">
        <v>613</v>
      </c>
      <c r="P132" s="3"/>
      <c r="Q132" s="3"/>
      <c r="R132" s="3"/>
    </row>
    <row r="133" spans="1:18" x14ac:dyDescent="0.25">
      <c r="A133" s="2">
        <v>131</v>
      </c>
      <c r="B133" s="7" t="s">
        <v>5380</v>
      </c>
      <c r="C133" s="7" t="s">
        <v>5381</v>
      </c>
      <c r="D133" s="7" t="s">
        <v>5380</v>
      </c>
      <c r="E133" s="7" t="s">
        <v>131</v>
      </c>
      <c r="F133" s="7" t="s">
        <v>5382</v>
      </c>
      <c r="G133" s="17" t="s">
        <v>7747</v>
      </c>
      <c r="H133" s="7" t="s">
        <v>28</v>
      </c>
      <c r="I133" s="7" t="s">
        <v>783</v>
      </c>
      <c r="J133" s="7" t="s">
        <v>1070</v>
      </c>
      <c r="K133" s="7" t="s">
        <v>1071</v>
      </c>
      <c r="L133" s="7" t="s">
        <v>247</v>
      </c>
      <c r="M133" s="7">
        <v>5.4621300000000002</v>
      </c>
      <c r="N133" s="7">
        <v>10.409955999999999</v>
      </c>
      <c r="O133" s="7" t="s">
        <v>613</v>
      </c>
      <c r="P133" s="3"/>
      <c r="Q133" s="3"/>
      <c r="R133" s="3"/>
    </row>
    <row r="134" spans="1:18" x14ac:dyDescent="0.25">
      <c r="A134" s="2">
        <v>132</v>
      </c>
      <c r="B134" s="7" t="s">
        <v>5511</v>
      </c>
      <c r="C134" s="7" t="s">
        <v>5512</v>
      </c>
      <c r="D134" s="7" t="s">
        <v>5511</v>
      </c>
      <c r="E134" s="7" t="s">
        <v>131</v>
      </c>
      <c r="F134" s="7" t="s">
        <v>5513</v>
      </c>
      <c r="G134" s="17" t="s">
        <v>7747</v>
      </c>
      <c r="H134" s="7" t="s">
        <v>19</v>
      </c>
      <c r="I134" s="7" t="s">
        <v>1069</v>
      </c>
      <c r="J134" s="7" t="s">
        <v>1070</v>
      </c>
      <c r="K134" s="7" t="s">
        <v>1071</v>
      </c>
      <c r="L134" s="7" t="s">
        <v>247</v>
      </c>
      <c r="M134" s="7">
        <v>5.4786669999999997</v>
      </c>
      <c r="N134" s="7">
        <v>10.414917000000001</v>
      </c>
      <c r="O134" s="7" t="s">
        <v>613</v>
      </c>
      <c r="P134" s="3"/>
      <c r="Q134" s="3"/>
      <c r="R134" s="3"/>
    </row>
    <row r="135" spans="1:18" x14ac:dyDescent="0.25">
      <c r="A135" s="2">
        <v>133</v>
      </c>
      <c r="B135" s="7" t="s">
        <v>5662</v>
      </c>
      <c r="C135" s="7" t="s">
        <v>5663</v>
      </c>
      <c r="D135" s="7" t="s">
        <v>5662</v>
      </c>
      <c r="E135" s="7" t="s">
        <v>131</v>
      </c>
      <c r="F135" s="7" t="s">
        <v>5664</v>
      </c>
      <c r="G135" s="17" t="s">
        <v>7747</v>
      </c>
      <c r="H135" s="7" t="s">
        <v>28</v>
      </c>
      <c r="I135" s="7" t="s">
        <v>1042</v>
      </c>
      <c r="J135" s="7" t="s">
        <v>1043</v>
      </c>
      <c r="K135" s="7" t="s">
        <v>1042</v>
      </c>
      <c r="L135" s="7" t="s">
        <v>247</v>
      </c>
      <c r="M135" s="7">
        <v>5.1471150000000003</v>
      </c>
      <c r="N135" s="7">
        <v>10.51994</v>
      </c>
      <c r="O135" s="7" t="s">
        <v>613</v>
      </c>
      <c r="P135" s="3"/>
      <c r="Q135" s="3"/>
      <c r="R135" s="3"/>
    </row>
    <row r="136" spans="1:18" x14ac:dyDescent="0.25">
      <c r="A136" s="2">
        <v>134</v>
      </c>
      <c r="B136" s="7" t="s">
        <v>5903</v>
      </c>
      <c r="C136" s="7" t="s">
        <v>5904</v>
      </c>
      <c r="D136" s="7" t="s">
        <v>5903</v>
      </c>
      <c r="E136" s="7" t="s">
        <v>131</v>
      </c>
      <c r="F136" s="7" t="s">
        <v>5905</v>
      </c>
      <c r="G136" s="17" t="s">
        <v>7747</v>
      </c>
      <c r="H136" s="7" t="s">
        <v>28</v>
      </c>
      <c r="I136" s="7" t="s">
        <v>145</v>
      </c>
      <c r="J136" s="7" t="s">
        <v>397</v>
      </c>
      <c r="K136" s="7" t="s">
        <v>5905</v>
      </c>
      <c r="L136" s="7" t="s">
        <v>247</v>
      </c>
      <c r="M136" s="7">
        <v>5.8249199999999997</v>
      </c>
      <c r="N136" s="7">
        <v>10.945499999999999</v>
      </c>
      <c r="O136" s="7" t="s">
        <v>23</v>
      </c>
      <c r="P136" s="3"/>
      <c r="Q136" s="3"/>
      <c r="R136" s="3"/>
    </row>
    <row r="137" spans="1:18" x14ac:dyDescent="0.25">
      <c r="A137" s="2">
        <v>135</v>
      </c>
      <c r="B137" s="7" t="s">
        <v>5908</v>
      </c>
      <c r="C137" s="7" t="s">
        <v>5909</v>
      </c>
      <c r="D137" s="7" t="s">
        <v>5908</v>
      </c>
      <c r="E137" s="7" t="s">
        <v>131</v>
      </c>
      <c r="F137" s="7" t="s">
        <v>5910</v>
      </c>
      <c r="G137" s="17" t="s">
        <v>7747</v>
      </c>
      <c r="H137" s="7" t="s">
        <v>28</v>
      </c>
      <c r="I137" s="7" t="s">
        <v>133</v>
      </c>
      <c r="J137" s="7" t="s">
        <v>317</v>
      </c>
      <c r="K137" s="7" t="s">
        <v>5910</v>
      </c>
      <c r="L137" s="7" t="s">
        <v>247</v>
      </c>
      <c r="M137" s="7">
        <v>4.9594009999999997</v>
      </c>
      <c r="N137" s="7">
        <v>11.387579000000001</v>
      </c>
      <c r="O137" s="7" t="s">
        <v>23</v>
      </c>
      <c r="P137" s="3"/>
      <c r="Q137" s="3"/>
      <c r="R137" s="3"/>
    </row>
    <row r="138" spans="1:18" x14ac:dyDescent="0.25">
      <c r="A138" s="2">
        <v>136</v>
      </c>
      <c r="B138" s="7" t="s">
        <v>6334</v>
      </c>
      <c r="C138" s="7" t="s">
        <v>6335</v>
      </c>
      <c r="D138" s="7" t="s">
        <v>6334</v>
      </c>
      <c r="E138" s="7" t="s">
        <v>131</v>
      </c>
      <c r="F138" s="7" t="s">
        <v>6336</v>
      </c>
      <c r="G138" s="17" t="s">
        <v>7747</v>
      </c>
      <c r="H138" s="7" t="s">
        <v>28</v>
      </c>
      <c r="I138" s="7" t="s">
        <v>396</v>
      </c>
      <c r="J138" s="7" t="s">
        <v>397</v>
      </c>
      <c r="K138" s="7" t="s">
        <v>6336</v>
      </c>
      <c r="L138" s="7" t="s">
        <v>247</v>
      </c>
      <c r="M138" s="7">
        <v>5.4272220000000004</v>
      </c>
      <c r="N138" s="7">
        <v>11.015556</v>
      </c>
      <c r="O138" s="7" t="s">
        <v>23</v>
      </c>
      <c r="P138" s="3"/>
      <c r="Q138" s="3"/>
      <c r="R138" s="3"/>
    </row>
    <row r="139" spans="1:18" x14ac:dyDescent="0.25">
      <c r="A139" s="2">
        <v>137</v>
      </c>
      <c r="B139" s="7" t="s">
        <v>6467</v>
      </c>
      <c r="C139" s="7" t="s">
        <v>6468</v>
      </c>
      <c r="D139" s="7" t="s">
        <v>6467</v>
      </c>
      <c r="E139" s="7" t="s">
        <v>131</v>
      </c>
      <c r="F139" s="7" t="s">
        <v>6469</v>
      </c>
      <c r="G139" s="17" t="s">
        <v>7747</v>
      </c>
      <c r="H139" s="7" t="s">
        <v>28</v>
      </c>
      <c r="I139" s="7" t="s">
        <v>145</v>
      </c>
      <c r="J139" s="7" t="s">
        <v>397</v>
      </c>
      <c r="K139" s="7" t="s">
        <v>5905</v>
      </c>
      <c r="L139" s="7" t="s">
        <v>247</v>
      </c>
      <c r="M139" s="7">
        <v>5.8473800000000002</v>
      </c>
      <c r="N139" s="7">
        <v>11.05672</v>
      </c>
      <c r="O139" s="7" t="s">
        <v>23</v>
      </c>
      <c r="P139" s="3"/>
      <c r="Q139" s="3"/>
      <c r="R139" s="3"/>
    </row>
    <row r="140" spans="1:18" x14ac:dyDescent="0.25">
      <c r="A140" s="2">
        <v>138</v>
      </c>
      <c r="B140" s="7" t="s">
        <v>6483</v>
      </c>
      <c r="C140" s="7" t="s">
        <v>6484</v>
      </c>
      <c r="D140" s="7" t="s">
        <v>6483</v>
      </c>
      <c r="E140" s="7" t="s">
        <v>131</v>
      </c>
      <c r="F140" s="7" t="s">
        <v>6485</v>
      </c>
      <c r="G140" s="17" t="s">
        <v>7747</v>
      </c>
      <c r="H140" s="7" t="s">
        <v>28</v>
      </c>
      <c r="I140" s="7" t="s">
        <v>133</v>
      </c>
      <c r="J140" s="7" t="s">
        <v>317</v>
      </c>
      <c r="K140" s="7" t="s">
        <v>6485</v>
      </c>
      <c r="L140" s="7" t="s">
        <v>247</v>
      </c>
      <c r="M140" s="7">
        <v>4.9379499999999998</v>
      </c>
      <c r="N140" s="7">
        <v>11.259641</v>
      </c>
      <c r="O140" s="7" t="s">
        <v>23</v>
      </c>
      <c r="P140" s="3"/>
      <c r="Q140" s="3"/>
      <c r="R140" s="3"/>
    </row>
    <row r="141" spans="1:18" x14ac:dyDescent="0.25">
      <c r="A141" s="2">
        <v>139</v>
      </c>
      <c r="B141" s="7" t="s">
        <v>6563</v>
      </c>
      <c r="C141" s="7" t="s">
        <v>6564</v>
      </c>
      <c r="D141" s="7" t="s">
        <v>6563</v>
      </c>
      <c r="E141" s="7" t="s">
        <v>131</v>
      </c>
      <c r="F141" s="7" t="s">
        <v>6565</v>
      </c>
      <c r="G141" s="17" t="s">
        <v>7747</v>
      </c>
      <c r="H141" s="7" t="s">
        <v>19</v>
      </c>
      <c r="I141" s="7" t="s">
        <v>133</v>
      </c>
      <c r="J141" s="7" t="s">
        <v>317</v>
      </c>
      <c r="K141" s="7" t="s">
        <v>417</v>
      </c>
      <c r="L141" s="7" t="s">
        <v>247</v>
      </c>
      <c r="M141" s="7">
        <v>4.8360219999999998</v>
      </c>
      <c r="N141" s="7">
        <v>11.077894000000001</v>
      </c>
      <c r="O141" s="7" t="s">
        <v>23</v>
      </c>
      <c r="P141" s="3"/>
      <c r="Q141" s="3"/>
      <c r="R141" s="3"/>
    </row>
    <row r="142" spans="1:18" x14ac:dyDescent="0.25">
      <c r="A142" s="2">
        <v>140</v>
      </c>
      <c r="B142" s="7" t="s">
        <v>6634</v>
      </c>
      <c r="C142" s="7" t="s">
        <v>6635</v>
      </c>
      <c r="D142" s="7" t="s">
        <v>6634</v>
      </c>
      <c r="E142" s="7" t="s">
        <v>131</v>
      </c>
      <c r="F142" s="7" t="s">
        <v>6636</v>
      </c>
      <c r="G142" s="17" t="s">
        <v>7747</v>
      </c>
      <c r="H142" s="7" t="s">
        <v>28</v>
      </c>
      <c r="I142" s="7" t="s">
        <v>1069</v>
      </c>
      <c r="J142" s="7" t="s">
        <v>1070</v>
      </c>
      <c r="K142" s="7" t="s">
        <v>1071</v>
      </c>
      <c r="L142" s="7" t="s">
        <v>247</v>
      </c>
      <c r="M142" s="7">
        <v>5.4730559999999997</v>
      </c>
      <c r="N142" s="7">
        <v>10.426</v>
      </c>
      <c r="O142" s="7" t="s">
        <v>613</v>
      </c>
      <c r="P142" s="3"/>
      <c r="Q142" s="3"/>
      <c r="R142" s="3"/>
    </row>
    <row r="143" spans="1:18" x14ac:dyDescent="0.25">
      <c r="A143" s="2">
        <v>141</v>
      </c>
      <c r="B143" s="7" t="s">
        <v>6860</v>
      </c>
      <c r="C143" s="7" t="s">
        <v>6861</v>
      </c>
      <c r="D143" s="7" t="s">
        <v>6860</v>
      </c>
      <c r="E143" s="7" t="s">
        <v>131</v>
      </c>
      <c r="F143" s="7" t="s">
        <v>6862</v>
      </c>
      <c r="G143" s="17" t="s">
        <v>7747</v>
      </c>
      <c r="H143" s="7" t="s">
        <v>28</v>
      </c>
      <c r="I143" s="7" t="s">
        <v>396</v>
      </c>
      <c r="J143" s="7" t="s">
        <v>397</v>
      </c>
      <c r="K143" s="7" t="s">
        <v>145</v>
      </c>
      <c r="L143" s="7" t="s">
        <v>247</v>
      </c>
      <c r="M143" s="7">
        <v>5.6541699999999997</v>
      </c>
      <c r="N143" s="7">
        <v>10.8042</v>
      </c>
      <c r="O143" s="7" t="s">
        <v>23</v>
      </c>
      <c r="P143" s="3"/>
      <c r="Q143" s="3"/>
      <c r="R143" s="3"/>
    </row>
    <row r="144" spans="1:18" x14ac:dyDescent="0.25">
      <c r="A144" s="2">
        <v>142</v>
      </c>
      <c r="B144" s="7" t="s">
        <v>6893</v>
      </c>
      <c r="C144" s="7" t="s">
        <v>6894</v>
      </c>
      <c r="D144" s="7" t="s">
        <v>6893</v>
      </c>
      <c r="E144" s="7" t="s">
        <v>131</v>
      </c>
      <c r="F144" s="7" t="s">
        <v>6895</v>
      </c>
      <c r="G144" s="17" t="s">
        <v>7747</v>
      </c>
      <c r="H144" s="7" t="s">
        <v>28</v>
      </c>
      <c r="I144" s="7" t="s">
        <v>396</v>
      </c>
      <c r="J144" s="7" t="s">
        <v>1070</v>
      </c>
      <c r="K144" s="7" t="s">
        <v>1071</v>
      </c>
      <c r="L144" s="7" t="s">
        <v>247</v>
      </c>
      <c r="M144" s="7">
        <v>5.4806140000000001</v>
      </c>
      <c r="N144" s="7">
        <v>10.549125</v>
      </c>
      <c r="O144" s="7" t="s">
        <v>23</v>
      </c>
      <c r="P144" s="3"/>
      <c r="Q144" s="3"/>
      <c r="R144" s="3"/>
    </row>
    <row r="145" spans="1:18" x14ac:dyDescent="0.25">
      <c r="A145" s="2">
        <v>143</v>
      </c>
      <c r="B145" s="7" t="s">
        <v>7054</v>
      </c>
      <c r="C145" s="7" t="s">
        <v>7055</v>
      </c>
      <c r="D145" s="7" t="s">
        <v>7054</v>
      </c>
      <c r="E145" s="7" t="s">
        <v>131</v>
      </c>
      <c r="F145" s="7" t="s">
        <v>7056</v>
      </c>
      <c r="G145" s="17" t="s">
        <v>7747</v>
      </c>
      <c r="H145" s="7" t="s">
        <v>28</v>
      </c>
      <c r="I145" s="7" t="s">
        <v>1069</v>
      </c>
      <c r="J145" s="7" t="s">
        <v>1070</v>
      </c>
      <c r="K145" s="7" t="s">
        <v>1071</v>
      </c>
      <c r="L145" s="7" t="s">
        <v>247</v>
      </c>
      <c r="M145" s="7">
        <v>5.4892200000000004</v>
      </c>
      <c r="N145" s="7">
        <v>10.395720000000001</v>
      </c>
      <c r="O145" s="7" t="s">
        <v>613</v>
      </c>
      <c r="P145" s="3"/>
      <c r="Q145" s="3"/>
      <c r="R145" s="3"/>
    </row>
    <row r="146" spans="1:18" x14ac:dyDescent="0.25">
      <c r="A146" s="2">
        <v>144</v>
      </c>
      <c r="B146" s="7" t="s">
        <v>7262</v>
      </c>
      <c r="C146" s="7" t="s">
        <v>7263</v>
      </c>
      <c r="D146" s="7" t="s">
        <v>7262</v>
      </c>
      <c r="E146" s="7" t="s">
        <v>131</v>
      </c>
      <c r="F146" s="7" t="s">
        <v>7264</v>
      </c>
      <c r="G146" s="17" t="s">
        <v>7747</v>
      </c>
      <c r="H146" s="7" t="s">
        <v>28</v>
      </c>
      <c r="I146" s="7" t="s">
        <v>1042</v>
      </c>
      <c r="J146" s="7" t="s">
        <v>1043</v>
      </c>
      <c r="K146" s="7" t="s">
        <v>7265</v>
      </c>
      <c r="L146" s="7" t="s">
        <v>247</v>
      </c>
      <c r="M146" s="7">
        <v>5.181743</v>
      </c>
      <c r="N146" s="7">
        <v>10.369114</v>
      </c>
      <c r="O146" s="7" t="s">
        <v>23</v>
      </c>
      <c r="P146" s="3"/>
      <c r="Q146" s="3"/>
      <c r="R146" s="3"/>
    </row>
    <row r="147" spans="1:18" x14ac:dyDescent="0.25">
      <c r="A147" s="2">
        <v>145</v>
      </c>
      <c r="B147" s="7" t="s">
        <v>7460</v>
      </c>
      <c r="C147" s="7" t="s">
        <v>7461</v>
      </c>
      <c r="D147" s="7" t="s">
        <v>7460</v>
      </c>
      <c r="E147" s="7" t="s">
        <v>131</v>
      </c>
      <c r="F147" s="7" t="s">
        <v>7462</v>
      </c>
      <c r="G147" s="17" t="s">
        <v>7747</v>
      </c>
      <c r="H147" s="7" t="s">
        <v>28</v>
      </c>
      <c r="I147" s="7" t="s">
        <v>1042</v>
      </c>
      <c r="J147" s="7" t="s">
        <v>1043</v>
      </c>
      <c r="K147" s="7" t="s">
        <v>7463</v>
      </c>
      <c r="L147" s="7" t="s">
        <v>247</v>
      </c>
      <c r="M147" s="7">
        <v>5.1225120000000004</v>
      </c>
      <c r="N147" s="7">
        <v>10.538926999999999</v>
      </c>
      <c r="O147" s="7" t="s">
        <v>23</v>
      </c>
      <c r="P147" s="3"/>
      <c r="Q147" s="3"/>
      <c r="R147" s="3"/>
    </row>
    <row r="148" spans="1:18" x14ac:dyDescent="0.25">
      <c r="A148" s="2">
        <v>146</v>
      </c>
      <c r="B148" s="7" t="s">
        <v>7496</v>
      </c>
      <c r="C148" s="7" t="s">
        <v>7497</v>
      </c>
      <c r="D148" s="7" t="s">
        <v>7496</v>
      </c>
      <c r="E148" s="7" t="s">
        <v>7498</v>
      </c>
      <c r="F148" s="7" t="s">
        <v>7499</v>
      </c>
      <c r="G148" s="17" t="s">
        <v>7747</v>
      </c>
      <c r="H148" s="7" t="s">
        <v>28</v>
      </c>
      <c r="I148" s="7" t="s">
        <v>1069</v>
      </c>
      <c r="J148" s="7" t="s">
        <v>1070</v>
      </c>
      <c r="K148" s="7" t="s">
        <v>1071</v>
      </c>
      <c r="L148" s="7" t="s">
        <v>247</v>
      </c>
      <c r="M148" s="7">
        <v>5.4711980000000002</v>
      </c>
      <c r="N148" s="7">
        <v>10.415765</v>
      </c>
      <c r="O148" s="7" t="s">
        <v>613</v>
      </c>
      <c r="P148" s="3"/>
      <c r="Q148" s="3"/>
      <c r="R148" s="3"/>
    </row>
    <row r="149" spans="1:18" x14ac:dyDescent="0.25">
      <c r="A149" s="2">
        <v>147</v>
      </c>
      <c r="B149" s="7" t="s">
        <v>7520</v>
      </c>
      <c r="C149" s="7" t="s">
        <v>7521</v>
      </c>
      <c r="D149" s="7" t="s">
        <v>7520</v>
      </c>
      <c r="E149" s="7" t="s">
        <v>131</v>
      </c>
      <c r="F149" s="7" t="s">
        <v>7522</v>
      </c>
      <c r="G149" s="17" t="s">
        <v>7747</v>
      </c>
      <c r="H149" s="7" t="s">
        <v>28</v>
      </c>
      <c r="I149" s="7" t="s">
        <v>145</v>
      </c>
      <c r="J149" s="7" t="s">
        <v>397</v>
      </c>
      <c r="K149" s="7" t="s">
        <v>145</v>
      </c>
      <c r="L149" s="7" t="s">
        <v>247</v>
      </c>
      <c r="M149" s="7">
        <v>5.7090620000000003</v>
      </c>
      <c r="N149" s="7">
        <v>10.862035000000001</v>
      </c>
      <c r="O149" s="7" t="s">
        <v>23</v>
      </c>
      <c r="P149" s="3"/>
      <c r="Q149" s="3"/>
      <c r="R149" s="3"/>
    </row>
    <row r="150" spans="1:18" x14ac:dyDescent="0.25">
      <c r="A150" s="2">
        <v>148</v>
      </c>
      <c r="B150" s="7" t="s">
        <v>7552</v>
      </c>
      <c r="C150" s="7" t="s">
        <v>7553</v>
      </c>
      <c r="D150" s="7" t="s">
        <v>7552</v>
      </c>
      <c r="E150" s="7" t="s">
        <v>131</v>
      </c>
      <c r="F150" s="7" t="s">
        <v>7554</v>
      </c>
      <c r="G150" s="17" t="s">
        <v>7747</v>
      </c>
      <c r="H150" s="7" t="s">
        <v>28</v>
      </c>
      <c r="I150" s="7" t="s">
        <v>145</v>
      </c>
      <c r="J150" s="7" t="s">
        <v>397</v>
      </c>
      <c r="K150" s="7" t="s">
        <v>145</v>
      </c>
      <c r="L150" s="7" t="s">
        <v>247</v>
      </c>
      <c r="M150" s="7">
        <v>5.6468800000000003</v>
      </c>
      <c r="N150" s="7">
        <v>10.887779999999999</v>
      </c>
      <c r="O150" s="7" t="s">
        <v>23</v>
      </c>
      <c r="P150" s="3"/>
      <c r="Q150" s="3"/>
      <c r="R150" s="3"/>
    </row>
    <row r="151" spans="1:18" x14ac:dyDescent="0.25">
      <c r="A151" s="2">
        <v>149</v>
      </c>
      <c r="B151" s="7" t="s">
        <v>7566</v>
      </c>
      <c r="C151" s="7" t="s">
        <v>7567</v>
      </c>
      <c r="D151" s="7" t="s">
        <v>7566</v>
      </c>
      <c r="E151" s="7" t="s">
        <v>131</v>
      </c>
      <c r="F151" s="7" t="s">
        <v>7568</v>
      </c>
      <c r="G151" s="17" t="s">
        <v>7747</v>
      </c>
      <c r="H151" s="7" t="s">
        <v>28</v>
      </c>
      <c r="I151" s="7" t="s">
        <v>7329</v>
      </c>
      <c r="J151" s="7" t="s">
        <v>7562</v>
      </c>
      <c r="K151" s="7" t="s">
        <v>2327</v>
      </c>
      <c r="L151" s="7" t="s">
        <v>247</v>
      </c>
      <c r="M151" s="7">
        <v>5.5597099999999999</v>
      </c>
      <c r="N151" s="7">
        <v>10.28415</v>
      </c>
      <c r="O151" s="7" t="s">
        <v>23</v>
      </c>
      <c r="P151" s="3"/>
      <c r="Q151" s="3"/>
      <c r="R151" s="3"/>
    </row>
    <row r="152" spans="1:18" x14ac:dyDescent="0.25">
      <c r="A152" s="2">
        <v>150</v>
      </c>
      <c r="B152" s="7" t="s">
        <v>7569</v>
      </c>
      <c r="C152" s="7" t="s">
        <v>7570</v>
      </c>
      <c r="D152" s="7" t="s">
        <v>7569</v>
      </c>
      <c r="E152" s="7" t="s">
        <v>131</v>
      </c>
      <c r="F152" s="7" t="s">
        <v>7571</v>
      </c>
      <c r="G152" s="17" t="s">
        <v>7747</v>
      </c>
      <c r="H152" s="7" t="s">
        <v>28</v>
      </c>
      <c r="I152" s="7" t="s">
        <v>145</v>
      </c>
      <c r="J152" s="7" t="s">
        <v>397</v>
      </c>
      <c r="K152" s="7" t="s">
        <v>145</v>
      </c>
      <c r="L152" s="7" t="s">
        <v>247</v>
      </c>
      <c r="M152" s="7">
        <v>5.8461860000000003</v>
      </c>
      <c r="N152" s="7">
        <v>10.88687</v>
      </c>
      <c r="O152" s="7" t="s">
        <v>23</v>
      </c>
      <c r="P152" s="3"/>
      <c r="Q152" s="3"/>
      <c r="R152" s="3"/>
    </row>
    <row r="153" spans="1:18" x14ac:dyDescent="0.25">
      <c r="A153" s="2">
        <v>151</v>
      </c>
      <c r="B153" s="7" t="s">
        <v>7654</v>
      </c>
      <c r="C153" s="7" t="s">
        <v>7655</v>
      </c>
      <c r="D153" s="7" t="s">
        <v>7654</v>
      </c>
      <c r="E153" s="7" t="s">
        <v>131</v>
      </c>
      <c r="F153" s="7" t="s">
        <v>7656</v>
      </c>
      <c r="G153" s="17" t="s">
        <v>7747</v>
      </c>
      <c r="H153" s="7" t="s">
        <v>28</v>
      </c>
      <c r="I153" s="7" t="s">
        <v>165</v>
      </c>
      <c r="J153" s="7" t="s">
        <v>715</v>
      </c>
      <c r="K153" s="7" t="s">
        <v>2216</v>
      </c>
      <c r="L153" s="7" t="s">
        <v>247</v>
      </c>
      <c r="M153" s="10">
        <v>5.1435750000000002</v>
      </c>
      <c r="N153" s="10">
        <v>10.277202000000001</v>
      </c>
      <c r="O153" s="7" t="s">
        <v>23</v>
      </c>
      <c r="P153" s="3"/>
      <c r="Q153" s="3"/>
      <c r="R153" s="3"/>
    </row>
    <row r="154" spans="1:18" x14ac:dyDescent="0.25">
      <c r="A154" s="2">
        <v>152</v>
      </c>
      <c r="B154" s="7" t="s">
        <v>7666</v>
      </c>
      <c r="C154" s="7" t="s">
        <v>7667</v>
      </c>
      <c r="D154" s="7" t="s">
        <v>7666</v>
      </c>
      <c r="E154" s="10" t="s">
        <v>131</v>
      </c>
      <c r="F154" s="7" t="s">
        <v>7668</v>
      </c>
      <c r="G154" s="17" t="s">
        <v>7747</v>
      </c>
      <c r="H154" s="7" t="s">
        <v>28</v>
      </c>
      <c r="I154" s="7" t="s">
        <v>1069</v>
      </c>
      <c r="J154" s="7" t="s">
        <v>1070</v>
      </c>
      <c r="K154" s="7" t="s">
        <v>1071</v>
      </c>
      <c r="L154" s="7" t="s">
        <v>247</v>
      </c>
      <c r="M154" s="10">
        <v>5.4559625</v>
      </c>
      <c r="N154" s="10">
        <v>10.415249722</v>
      </c>
      <c r="O154" s="7" t="s">
        <v>613</v>
      </c>
      <c r="P154" s="3"/>
      <c r="Q154" s="3"/>
      <c r="R154" s="3"/>
    </row>
    <row r="155" spans="1:18" x14ac:dyDescent="0.25">
      <c r="A155" s="2">
        <v>153</v>
      </c>
      <c r="B155" s="7" t="s">
        <v>24</v>
      </c>
      <c r="C155" s="7" t="s">
        <v>25</v>
      </c>
      <c r="D155" s="7" t="s">
        <v>24</v>
      </c>
      <c r="E155" s="7" t="s">
        <v>26</v>
      </c>
      <c r="F155" s="7" t="s">
        <v>27</v>
      </c>
      <c r="G155" s="8" t="s">
        <v>18</v>
      </c>
      <c r="H155" s="7" t="s">
        <v>28</v>
      </c>
      <c r="I155" s="7" t="s">
        <v>29</v>
      </c>
      <c r="J155" s="7" t="s">
        <v>30</v>
      </c>
      <c r="K155" s="7" t="s">
        <v>27</v>
      </c>
      <c r="L155" s="7" t="s">
        <v>31</v>
      </c>
      <c r="M155" s="7">
        <v>6.5311833330000004</v>
      </c>
      <c r="N155" s="7">
        <v>10.199999999999999</v>
      </c>
      <c r="O155" s="7" t="s">
        <v>23</v>
      </c>
      <c r="P155" s="3"/>
      <c r="Q155" s="3"/>
      <c r="R155" s="3"/>
    </row>
    <row r="156" spans="1:18" x14ac:dyDescent="0.25">
      <c r="A156" s="2">
        <v>154</v>
      </c>
      <c r="B156" s="7" t="s">
        <v>111</v>
      </c>
      <c r="C156" s="7" t="s">
        <v>112</v>
      </c>
      <c r="D156" s="7" t="s">
        <v>111</v>
      </c>
      <c r="E156" s="7" t="s">
        <v>26</v>
      </c>
      <c r="F156" s="7" t="s">
        <v>113</v>
      </c>
      <c r="G156" s="8" t="s">
        <v>18</v>
      </c>
      <c r="H156" s="7" t="s">
        <v>28</v>
      </c>
      <c r="I156" s="7" t="s">
        <v>114</v>
      </c>
      <c r="J156" s="7" t="s">
        <v>115</v>
      </c>
      <c r="K156" s="7" t="s">
        <v>116</v>
      </c>
      <c r="L156" s="7" t="s">
        <v>31</v>
      </c>
      <c r="M156" s="7">
        <v>6.3445109999999998</v>
      </c>
      <c r="N156" s="7">
        <v>10.770329</v>
      </c>
      <c r="O156" s="7" t="s">
        <v>23</v>
      </c>
      <c r="P156" s="3"/>
      <c r="Q156" s="3"/>
      <c r="R156" s="3"/>
    </row>
    <row r="157" spans="1:18" x14ac:dyDescent="0.25">
      <c r="A157" s="2">
        <v>155</v>
      </c>
      <c r="B157" s="7" t="s">
        <v>137</v>
      </c>
      <c r="C157" s="7" t="s">
        <v>138</v>
      </c>
      <c r="D157" s="7" t="s">
        <v>137</v>
      </c>
      <c r="E157" s="7" t="s">
        <v>26</v>
      </c>
      <c r="F157" s="7" t="s">
        <v>139</v>
      </c>
      <c r="G157" s="8" t="s">
        <v>18</v>
      </c>
      <c r="H157" s="7" t="s">
        <v>28</v>
      </c>
      <c r="I157" s="7" t="s">
        <v>140</v>
      </c>
      <c r="J157" s="7" t="s">
        <v>115</v>
      </c>
      <c r="K157" s="7" t="s">
        <v>141</v>
      </c>
      <c r="L157" s="7" t="s">
        <v>31</v>
      </c>
      <c r="M157" s="7">
        <v>6.2371800000000004</v>
      </c>
      <c r="N157" s="7">
        <v>10.589529000000001</v>
      </c>
      <c r="O157" s="7" t="s">
        <v>23</v>
      </c>
      <c r="P157" s="3"/>
      <c r="Q157" s="3"/>
      <c r="R157" s="3"/>
    </row>
    <row r="158" spans="1:18" x14ac:dyDescent="0.25">
      <c r="A158" s="2">
        <v>156</v>
      </c>
      <c r="B158" s="7" t="s">
        <v>191</v>
      </c>
      <c r="C158" s="7" t="s">
        <v>192</v>
      </c>
      <c r="D158" s="7" t="s">
        <v>191</v>
      </c>
      <c r="E158" s="7" t="s">
        <v>26</v>
      </c>
      <c r="F158" s="7" t="s">
        <v>193</v>
      </c>
      <c r="G158" s="8" t="s">
        <v>36</v>
      </c>
      <c r="H158" s="7" t="s">
        <v>28</v>
      </c>
      <c r="I158" s="7" t="s">
        <v>194</v>
      </c>
      <c r="J158" s="7" t="s">
        <v>195</v>
      </c>
      <c r="K158" s="7" t="s">
        <v>196</v>
      </c>
      <c r="L158" s="7" t="s">
        <v>31</v>
      </c>
      <c r="M158" s="7">
        <v>5.9493330000000002</v>
      </c>
      <c r="N158" s="7">
        <v>10.326582999999999</v>
      </c>
      <c r="O158" s="7" t="s">
        <v>23</v>
      </c>
      <c r="P158" s="3"/>
      <c r="Q158" s="3"/>
      <c r="R158" s="3"/>
    </row>
    <row r="159" spans="1:18" x14ac:dyDescent="0.25">
      <c r="A159" s="2">
        <v>157</v>
      </c>
      <c r="B159" s="7" t="s">
        <v>220</v>
      </c>
      <c r="C159" s="7" t="s">
        <v>221</v>
      </c>
      <c r="D159" s="7" t="s">
        <v>220</v>
      </c>
      <c r="E159" s="7" t="s">
        <v>26</v>
      </c>
      <c r="F159" s="7" t="s">
        <v>222</v>
      </c>
      <c r="G159" s="8" t="s">
        <v>18</v>
      </c>
      <c r="H159" s="7" t="s">
        <v>28</v>
      </c>
      <c r="I159" s="7" t="s">
        <v>194</v>
      </c>
      <c r="J159" s="7" t="s">
        <v>195</v>
      </c>
      <c r="K159" s="7" t="s">
        <v>196</v>
      </c>
      <c r="L159" s="7" t="s">
        <v>31</v>
      </c>
      <c r="M159" s="7">
        <v>6.013814</v>
      </c>
      <c r="N159" s="7">
        <v>10.320171999999999</v>
      </c>
      <c r="O159" s="7" t="s">
        <v>23</v>
      </c>
      <c r="P159" s="3"/>
      <c r="Q159" s="3"/>
      <c r="R159" s="3"/>
    </row>
    <row r="160" spans="1:18" x14ac:dyDescent="0.25">
      <c r="A160" s="2">
        <v>158</v>
      </c>
      <c r="B160" s="7" t="s">
        <v>237</v>
      </c>
      <c r="C160" s="7" t="s">
        <v>238</v>
      </c>
      <c r="D160" s="7" t="s">
        <v>237</v>
      </c>
      <c r="E160" s="7" t="s">
        <v>26</v>
      </c>
      <c r="F160" s="7" t="s">
        <v>239</v>
      </c>
      <c r="G160" s="8" t="s">
        <v>18</v>
      </c>
      <c r="H160" s="7" t="s">
        <v>240</v>
      </c>
      <c r="I160" s="7" t="s">
        <v>241</v>
      </c>
      <c r="J160" s="7" t="s">
        <v>195</v>
      </c>
      <c r="K160" s="7" t="s">
        <v>196</v>
      </c>
      <c r="L160" s="7" t="s">
        <v>31</v>
      </c>
      <c r="M160" s="7">
        <v>5.807455</v>
      </c>
      <c r="N160" s="7">
        <v>10.066274999999999</v>
      </c>
      <c r="O160" s="7" t="s">
        <v>23</v>
      </c>
      <c r="P160" s="3"/>
      <c r="Q160" s="3"/>
      <c r="R160" s="3"/>
    </row>
    <row r="161" spans="1:18" x14ac:dyDescent="0.25">
      <c r="A161" s="2">
        <v>159</v>
      </c>
      <c r="B161" s="7" t="s">
        <v>325</v>
      </c>
      <c r="C161" s="7" t="s">
        <v>326</v>
      </c>
      <c r="D161" s="7" t="s">
        <v>325</v>
      </c>
      <c r="E161" s="7" t="s">
        <v>26</v>
      </c>
      <c r="F161" s="7" t="s">
        <v>327</v>
      </c>
      <c r="G161" s="8" t="s">
        <v>18</v>
      </c>
      <c r="H161" s="7" t="s">
        <v>28</v>
      </c>
      <c r="I161" s="7" t="s">
        <v>114</v>
      </c>
      <c r="J161" s="7" t="s">
        <v>328</v>
      </c>
      <c r="K161" s="7" t="s">
        <v>329</v>
      </c>
      <c r="L161" s="7" t="s">
        <v>31</v>
      </c>
      <c r="M161" s="7">
        <v>6.3832649999999997</v>
      </c>
      <c r="N161" s="7">
        <v>10.584664999999999</v>
      </c>
      <c r="O161" s="7" t="s">
        <v>23</v>
      </c>
      <c r="P161" s="3"/>
      <c r="Q161" s="3"/>
      <c r="R161" s="3"/>
    </row>
    <row r="162" spans="1:18" x14ac:dyDescent="0.25">
      <c r="A162" s="2">
        <v>160</v>
      </c>
      <c r="B162" s="7" t="s">
        <v>346</v>
      </c>
      <c r="C162" s="7" t="s">
        <v>347</v>
      </c>
      <c r="D162" s="7" t="s">
        <v>346</v>
      </c>
      <c r="E162" s="7" t="s">
        <v>26</v>
      </c>
      <c r="F162" s="7" t="s">
        <v>348</v>
      </c>
      <c r="G162" s="8" t="s">
        <v>18</v>
      </c>
      <c r="H162" s="7" t="s">
        <v>28</v>
      </c>
      <c r="I162" s="7" t="s">
        <v>140</v>
      </c>
      <c r="J162" s="7" t="s">
        <v>328</v>
      </c>
      <c r="K162" s="7" t="s">
        <v>349</v>
      </c>
      <c r="L162" s="7" t="s">
        <v>31</v>
      </c>
      <c r="M162" s="7">
        <v>6.0944444400000002</v>
      </c>
      <c r="N162" s="7">
        <v>10.637861109999999</v>
      </c>
      <c r="O162" s="7" t="s">
        <v>23</v>
      </c>
      <c r="P162" s="3"/>
      <c r="Q162" s="3"/>
      <c r="R162" s="3"/>
    </row>
    <row r="163" spans="1:18" x14ac:dyDescent="0.25">
      <c r="A163" s="2">
        <v>161</v>
      </c>
      <c r="B163" s="7" t="s">
        <v>362</v>
      </c>
      <c r="C163" s="7" t="s">
        <v>363</v>
      </c>
      <c r="D163" s="7" t="s">
        <v>362</v>
      </c>
      <c r="E163" s="7" t="s">
        <v>26</v>
      </c>
      <c r="F163" s="7" t="s">
        <v>364</v>
      </c>
      <c r="G163" s="8" t="s">
        <v>18</v>
      </c>
      <c r="H163" s="7" t="s">
        <v>28</v>
      </c>
      <c r="I163" s="7" t="s">
        <v>241</v>
      </c>
      <c r="J163" s="7" t="s">
        <v>365</v>
      </c>
      <c r="K163" s="7" t="s">
        <v>366</v>
      </c>
      <c r="L163" s="7" t="s">
        <v>31</v>
      </c>
      <c r="M163" s="7">
        <v>6.1292249999999999</v>
      </c>
      <c r="N163" s="7">
        <v>9.8565166669999993</v>
      </c>
      <c r="O163" s="7" t="s">
        <v>23</v>
      </c>
      <c r="P163" s="3"/>
      <c r="Q163" s="3"/>
      <c r="R163" s="3"/>
    </row>
    <row r="164" spans="1:18" x14ac:dyDescent="0.25">
      <c r="A164" s="2">
        <v>162</v>
      </c>
      <c r="B164" s="7" t="s">
        <v>431</v>
      </c>
      <c r="C164" s="7" t="s">
        <v>432</v>
      </c>
      <c r="D164" s="7" t="s">
        <v>431</v>
      </c>
      <c r="E164" s="7" t="s">
        <v>26</v>
      </c>
      <c r="F164" s="7" t="s">
        <v>433</v>
      </c>
      <c r="G164" s="8" t="s">
        <v>18</v>
      </c>
      <c r="H164" s="7" t="s">
        <v>28</v>
      </c>
      <c r="I164" s="7" t="s">
        <v>29</v>
      </c>
      <c r="J164" s="7" t="s">
        <v>195</v>
      </c>
      <c r="K164" s="7" t="s">
        <v>29</v>
      </c>
      <c r="L164" s="7" t="s">
        <v>31</v>
      </c>
      <c r="M164" s="7">
        <v>6.1116429999999999</v>
      </c>
      <c r="N164" s="7">
        <v>10.121765999999999</v>
      </c>
      <c r="O164" s="7" t="s">
        <v>23</v>
      </c>
      <c r="P164" s="3"/>
      <c r="Q164" s="3"/>
      <c r="R164" s="3"/>
    </row>
    <row r="165" spans="1:18" x14ac:dyDescent="0.25">
      <c r="A165" s="2">
        <v>163</v>
      </c>
      <c r="B165" s="7" t="s">
        <v>528</v>
      </c>
      <c r="C165" s="7" t="s">
        <v>529</v>
      </c>
      <c r="D165" s="7" t="s">
        <v>528</v>
      </c>
      <c r="E165" s="7" t="s">
        <v>26</v>
      </c>
      <c r="F165" s="7" t="s">
        <v>530</v>
      </c>
      <c r="G165" s="8" t="s">
        <v>18</v>
      </c>
      <c r="H165" s="7" t="s">
        <v>28</v>
      </c>
      <c r="I165" s="7" t="s">
        <v>114</v>
      </c>
      <c r="J165" s="7" t="s">
        <v>328</v>
      </c>
      <c r="K165" s="7" t="s">
        <v>531</v>
      </c>
      <c r="L165" s="7" t="s">
        <v>31</v>
      </c>
      <c r="M165" s="7">
        <v>6.2614080000000003</v>
      </c>
      <c r="N165" s="7">
        <v>10.946337</v>
      </c>
      <c r="O165" s="7" t="s">
        <v>23</v>
      </c>
      <c r="P165" s="3"/>
      <c r="Q165" s="3"/>
      <c r="R165" s="3"/>
    </row>
    <row r="166" spans="1:18" x14ac:dyDescent="0.25">
      <c r="A166" s="2">
        <v>164</v>
      </c>
      <c r="B166" s="7" t="s">
        <v>534</v>
      </c>
      <c r="C166" s="7" t="s">
        <v>535</v>
      </c>
      <c r="D166" s="7" t="s">
        <v>534</v>
      </c>
      <c r="E166" s="7" t="s">
        <v>26</v>
      </c>
      <c r="F166" s="7" t="s">
        <v>536</v>
      </c>
      <c r="G166" s="8" t="s">
        <v>18</v>
      </c>
      <c r="H166" s="7" t="s">
        <v>28</v>
      </c>
      <c r="I166" s="7" t="s">
        <v>114</v>
      </c>
      <c r="J166" s="7" t="s">
        <v>306</v>
      </c>
      <c r="K166" s="7" t="s">
        <v>537</v>
      </c>
      <c r="L166" s="7" t="s">
        <v>31</v>
      </c>
      <c r="M166" s="7">
        <v>6.4542222200000001</v>
      </c>
      <c r="N166" s="7">
        <v>10.754222220000001</v>
      </c>
      <c r="O166" s="7" t="s">
        <v>23</v>
      </c>
      <c r="P166" s="3"/>
      <c r="Q166" s="3"/>
      <c r="R166" s="3"/>
    </row>
    <row r="167" spans="1:18" x14ac:dyDescent="0.25">
      <c r="A167" s="2">
        <v>165</v>
      </c>
      <c r="B167" s="7" t="s">
        <v>541</v>
      </c>
      <c r="C167" s="7" t="s">
        <v>542</v>
      </c>
      <c r="D167" s="7" t="s">
        <v>541</v>
      </c>
      <c r="E167" s="7" t="s">
        <v>26</v>
      </c>
      <c r="F167" s="7" t="s">
        <v>543</v>
      </c>
      <c r="G167" s="8" t="s">
        <v>18</v>
      </c>
      <c r="H167" s="7" t="s">
        <v>28</v>
      </c>
      <c r="I167" s="7" t="s">
        <v>140</v>
      </c>
      <c r="J167" s="7" t="s">
        <v>328</v>
      </c>
      <c r="K167" s="7" t="s">
        <v>543</v>
      </c>
      <c r="L167" s="7" t="s">
        <v>31</v>
      </c>
      <c r="M167" s="7">
        <v>6.1885469999999998</v>
      </c>
      <c r="N167" s="7">
        <v>10.849605</v>
      </c>
      <c r="O167" s="7" t="s">
        <v>23</v>
      </c>
      <c r="P167" s="3"/>
      <c r="Q167" s="3"/>
      <c r="R167" s="3"/>
    </row>
    <row r="168" spans="1:18" x14ac:dyDescent="0.25">
      <c r="A168" s="2">
        <v>166</v>
      </c>
      <c r="B168" s="7" t="s">
        <v>544</v>
      </c>
      <c r="C168" s="7" t="s">
        <v>545</v>
      </c>
      <c r="D168" s="7" t="s">
        <v>544</v>
      </c>
      <c r="E168" s="7" t="s">
        <v>26</v>
      </c>
      <c r="F168" s="7" t="s">
        <v>546</v>
      </c>
      <c r="G168" s="8" t="s">
        <v>18</v>
      </c>
      <c r="H168" s="7" t="s">
        <v>28</v>
      </c>
      <c r="I168" s="7" t="s">
        <v>241</v>
      </c>
      <c r="J168" s="7" t="s">
        <v>365</v>
      </c>
      <c r="K168" s="7" t="s">
        <v>547</v>
      </c>
      <c r="L168" s="7" t="s">
        <v>31</v>
      </c>
      <c r="M168" s="7">
        <v>5.9681240000000004</v>
      </c>
      <c r="N168" s="7">
        <v>10.036383000000001</v>
      </c>
      <c r="O168" s="7" t="s">
        <v>23</v>
      </c>
      <c r="P168" s="3"/>
      <c r="Q168" s="3"/>
      <c r="R168" s="3"/>
    </row>
    <row r="169" spans="1:18" x14ac:dyDescent="0.25">
      <c r="A169" s="2">
        <v>167</v>
      </c>
      <c r="B169" s="7" t="s">
        <v>548</v>
      </c>
      <c r="C169" s="7" t="s">
        <v>549</v>
      </c>
      <c r="D169" s="7" t="s">
        <v>548</v>
      </c>
      <c r="E169" s="7" t="s">
        <v>26</v>
      </c>
      <c r="F169" s="7" t="s">
        <v>550</v>
      </c>
      <c r="G169" s="8" t="s">
        <v>18</v>
      </c>
      <c r="H169" s="7" t="s">
        <v>28</v>
      </c>
      <c r="I169" s="7" t="s">
        <v>241</v>
      </c>
      <c r="J169" s="7" t="s">
        <v>365</v>
      </c>
      <c r="K169" s="7" t="s">
        <v>547</v>
      </c>
      <c r="L169" s="7" t="s">
        <v>31</v>
      </c>
      <c r="M169" s="7">
        <v>6.0012160000000003</v>
      </c>
      <c r="N169" s="7">
        <v>10.020552</v>
      </c>
      <c r="O169" s="7" t="s">
        <v>23</v>
      </c>
      <c r="P169" s="3"/>
      <c r="Q169" s="3"/>
      <c r="R169" s="3"/>
    </row>
    <row r="170" spans="1:18" x14ac:dyDescent="0.25">
      <c r="A170" s="2">
        <v>168</v>
      </c>
      <c r="B170" s="7" t="s">
        <v>551</v>
      </c>
      <c r="C170" s="7" t="s">
        <v>552</v>
      </c>
      <c r="D170" s="7" t="s">
        <v>551</v>
      </c>
      <c r="E170" s="7" t="s">
        <v>26</v>
      </c>
      <c r="F170" s="7" t="s">
        <v>553</v>
      </c>
      <c r="G170" s="8" t="s">
        <v>18</v>
      </c>
      <c r="H170" s="7" t="s">
        <v>28</v>
      </c>
      <c r="I170" s="7" t="s">
        <v>241</v>
      </c>
      <c r="J170" s="7" t="s">
        <v>195</v>
      </c>
      <c r="K170" s="7" t="s">
        <v>241</v>
      </c>
      <c r="L170" s="7" t="s">
        <v>31</v>
      </c>
      <c r="M170" s="7">
        <v>5.9347300000000001</v>
      </c>
      <c r="N170" s="7">
        <v>10.13917</v>
      </c>
      <c r="O170" s="7" t="s">
        <v>23</v>
      </c>
      <c r="P170" s="3"/>
      <c r="Q170" s="3"/>
      <c r="R170" s="3"/>
    </row>
    <row r="171" spans="1:18" x14ac:dyDescent="0.25">
      <c r="A171" s="2">
        <v>169</v>
      </c>
      <c r="B171" s="7" t="s">
        <v>656</v>
      </c>
      <c r="C171" s="7" t="s">
        <v>657</v>
      </c>
      <c r="D171" s="7" t="s">
        <v>656</v>
      </c>
      <c r="E171" s="7" t="s">
        <v>26</v>
      </c>
      <c r="F171" s="7" t="s">
        <v>658</v>
      </c>
      <c r="G171" s="8" t="s">
        <v>18</v>
      </c>
      <c r="H171" s="7" t="s">
        <v>28</v>
      </c>
      <c r="I171" s="7" t="s">
        <v>114</v>
      </c>
      <c r="J171" s="7" t="s">
        <v>328</v>
      </c>
      <c r="K171" s="7" t="s">
        <v>329</v>
      </c>
      <c r="L171" s="7" t="s">
        <v>31</v>
      </c>
      <c r="M171" s="7">
        <v>6.4422860000000002</v>
      </c>
      <c r="N171" s="7">
        <v>10.620562</v>
      </c>
      <c r="O171" s="7" t="s">
        <v>23</v>
      </c>
      <c r="P171" s="3"/>
      <c r="Q171" s="3"/>
      <c r="R171" s="3"/>
    </row>
    <row r="172" spans="1:18" x14ac:dyDescent="0.25">
      <c r="A172" s="2">
        <v>170</v>
      </c>
      <c r="B172" s="7" t="s">
        <v>719</v>
      </c>
      <c r="C172" s="7" t="s">
        <v>720</v>
      </c>
      <c r="D172" s="7" t="s">
        <v>719</v>
      </c>
      <c r="E172" s="7" t="s">
        <v>26</v>
      </c>
      <c r="F172" s="7" t="s">
        <v>721</v>
      </c>
      <c r="G172" s="8" t="s">
        <v>18</v>
      </c>
      <c r="H172" s="7" t="s">
        <v>28</v>
      </c>
      <c r="I172" s="7" t="s">
        <v>140</v>
      </c>
      <c r="J172" s="7" t="s">
        <v>328</v>
      </c>
      <c r="K172" s="7" t="s">
        <v>722</v>
      </c>
      <c r="L172" s="7" t="s">
        <v>31</v>
      </c>
      <c r="M172" s="7">
        <v>6.2407899999999996</v>
      </c>
      <c r="N172" s="7">
        <v>10.465491999999999</v>
      </c>
      <c r="O172" s="7" t="s">
        <v>23</v>
      </c>
      <c r="P172" s="3"/>
      <c r="Q172" s="3"/>
      <c r="R172" s="3"/>
    </row>
    <row r="173" spans="1:18" x14ac:dyDescent="0.25">
      <c r="A173" s="2">
        <v>171</v>
      </c>
      <c r="B173" s="7" t="s">
        <v>763</v>
      </c>
      <c r="C173" s="7" t="s">
        <v>764</v>
      </c>
      <c r="D173" s="7" t="s">
        <v>763</v>
      </c>
      <c r="E173" s="7" t="s">
        <v>26</v>
      </c>
      <c r="F173" s="7" t="s">
        <v>765</v>
      </c>
      <c r="G173" s="8" t="s">
        <v>18</v>
      </c>
      <c r="H173" s="7" t="s">
        <v>28</v>
      </c>
      <c r="I173" s="7" t="s">
        <v>194</v>
      </c>
      <c r="J173" s="7" t="s">
        <v>766</v>
      </c>
      <c r="K173" s="7" t="s">
        <v>767</v>
      </c>
      <c r="L173" s="7" t="s">
        <v>31</v>
      </c>
      <c r="M173" s="7">
        <v>6.2713609999999997</v>
      </c>
      <c r="N173" s="7">
        <v>10.294694</v>
      </c>
      <c r="O173" s="7" t="s">
        <v>23</v>
      </c>
      <c r="P173" s="3"/>
      <c r="Q173" s="3"/>
      <c r="R173" s="3"/>
    </row>
    <row r="174" spans="1:18" x14ac:dyDescent="0.25">
      <c r="A174" s="2">
        <v>172</v>
      </c>
      <c r="B174" s="7" t="s">
        <v>794</v>
      </c>
      <c r="C174" s="7" t="s">
        <v>795</v>
      </c>
      <c r="D174" s="7" t="s">
        <v>794</v>
      </c>
      <c r="E174" s="7" t="s">
        <v>26</v>
      </c>
      <c r="F174" s="7" t="s">
        <v>796</v>
      </c>
      <c r="G174" s="8" t="s">
        <v>18</v>
      </c>
      <c r="H174" s="7" t="s">
        <v>28</v>
      </c>
      <c r="I174" s="7" t="s">
        <v>114</v>
      </c>
      <c r="J174" s="7" t="s">
        <v>766</v>
      </c>
      <c r="K174" s="7" t="s">
        <v>796</v>
      </c>
      <c r="L174" s="7" t="s">
        <v>31</v>
      </c>
      <c r="M174" s="7">
        <v>6.5345370000000003</v>
      </c>
      <c r="N174" s="7">
        <v>10.478177000000001</v>
      </c>
      <c r="O174" s="7" t="s">
        <v>23</v>
      </c>
      <c r="P174" s="3"/>
      <c r="Q174" s="3"/>
      <c r="R174" s="3"/>
    </row>
    <row r="175" spans="1:18" x14ac:dyDescent="0.25">
      <c r="A175" s="2">
        <v>173</v>
      </c>
      <c r="B175" s="7" t="s">
        <v>809</v>
      </c>
      <c r="C175" s="7" t="s">
        <v>810</v>
      </c>
      <c r="D175" s="7" t="s">
        <v>809</v>
      </c>
      <c r="E175" s="7" t="s">
        <v>26</v>
      </c>
      <c r="F175" s="7" t="s">
        <v>811</v>
      </c>
      <c r="G175" s="8" t="s">
        <v>36</v>
      </c>
      <c r="H175" s="7" t="s">
        <v>28</v>
      </c>
      <c r="I175" s="7" t="s">
        <v>29</v>
      </c>
      <c r="J175" s="7" t="s">
        <v>812</v>
      </c>
      <c r="K175" s="7" t="s">
        <v>813</v>
      </c>
      <c r="L175" s="7" t="s">
        <v>31</v>
      </c>
      <c r="M175" s="7">
        <v>6.56741668</v>
      </c>
      <c r="N175" s="7">
        <v>10.09394447</v>
      </c>
      <c r="O175" s="7" t="s">
        <v>23</v>
      </c>
      <c r="P175" s="3"/>
      <c r="Q175" s="3"/>
      <c r="R175" s="3"/>
    </row>
    <row r="176" spans="1:18" x14ac:dyDescent="0.25">
      <c r="A176" s="2">
        <v>174</v>
      </c>
      <c r="B176" s="7" t="s">
        <v>841</v>
      </c>
      <c r="C176" s="7" t="s">
        <v>842</v>
      </c>
      <c r="D176" s="7" t="s">
        <v>841</v>
      </c>
      <c r="E176" s="7" t="s">
        <v>26</v>
      </c>
      <c r="F176" s="7" t="s">
        <v>843</v>
      </c>
      <c r="G176" s="8" t="s">
        <v>18</v>
      </c>
      <c r="H176" s="7" t="s">
        <v>28</v>
      </c>
      <c r="I176" s="7" t="s">
        <v>140</v>
      </c>
      <c r="J176" s="7" t="s">
        <v>328</v>
      </c>
      <c r="K176" s="7" t="s">
        <v>722</v>
      </c>
      <c r="L176" s="7" t="s">
        <v>31</v>
      </c>
      <c r="M176" s="7">
        <v>6.1325000000000003</v>
      </c>
      <c r="N176" s="7">
        <v>10.471014</v>
      </c>
      <c r="O176" s="7" t="s">
        <v>23</v>
      </c>
      <c r="P176" s="3"/>
      <c r="Q176" s="3"/>
      <c r="R176" s="3"/>
    </row>
    <row r="177" spans="1:18" x14ac:dyDescent="0.25">
      <c r="A177" s="2">
        <v>175</v>
      </c>
      <c r="B177" s="7" t="s">
        <v>847</v>
      </c>
      <c r="C177" s="7" t="s">
        <v>848</v>
      </c>
      <c r="D177" s="7" t="s">
        <v>847</v>
      </c>
      <c r="E177" s="7" t="s">
        <v>26</v>
      </c>
      <c r="F177" s="7" t="s">
        <v>849</v>
      </c>
      <c r="G177" s="8" t="s">
        <v>18</v>
      </c>
      <c r="H177" s="7" t="s">
        <v>28</v>
      </c>
      <c r="I177" s="7" t="s">
        <v>114</v>
      </c>
      <c r="J177" s="7" t="s">
        <v>306</v>
      </c>
      <c r="K177" s="7" t="s">
        <v>850</v>
      </c>
      <c r="L177" s="7" t="s">
        <v>31</v>
      </c>
      <c r="M177" s="7">
        <v>6.7075199999999997</v>
      </c>
      <c r="N177" s="7">
        <v>10.50703</v>
      </c>
      <c r="O177" s="7" t="s">
        <v>23</v>
      </c>
      <c r="P177" s="3"/>
      <c r="Q177" s="3"/>
      <c r="R177" s="3"/>
    </row>
    <row r="178" spans="1:18" x14ac:dyDescent="0.25">
      <c r="A178" s="2">
        <v>176</v>
      </c>
      <c r="B178" s="7" t="s">
        <v>971</v>
      </c>
      <c r="C178" s="7" t="s">
        <v>972</v>
      </c>
      <c r="D178" s="7" t="s">
        <v>971</v>
      </c>
      <c r="E178" s="7" t="s">
        <v>26</v>
      </c>
      <c r="F178" s="7" t="s">
        <v>973</v>
      </c>
      <c r="G178" s="8" t="s">
        <v>18</v>
      </c>
      <c r="H178" s="7" t="s">
        <v>28</v>
      </c>
      <c r="I178" s="7" t="s">
        <v>114</v>
      </c>
      <c r="J178" s="7" t="s">
        <v>306</v>
      </c>
      <c r="K178" s="7" t="s">
        <v>114</v>
      </c>
      <c r="L178" s="7" t="s">
        <v>31</v>
      </c>
      <c r="M178" s="7">
        <v>6.5416939999999997</v>
      </c>
      <c r="N178" s="7">
        <v>10.773250000000001</v>
      </c>
      <c r="O178" s="7" t="s">
        <v>23</v>
      </c>
      <c r="P178" s="3"/>
      <c r="Q178" s="3"/>
      <c r="R178" s="3"/>
    </row>
    <row r="179" spans="1:18" x14ac:dyDescent="0.25">
      <c r="A179" s="2">
        <v>177</v>
      </c>
      <c r="B179" s="7" t="s">
        <v>980</v>
      </c>
      <c r="C179" s="7" t="s">
        <v>981</v>
      </c>
      <c r="D179" s="7" t="s">
        <v>980</v>
      </c>
      <c r="E179" s="7" t="s">
        <v>26</v>
      </c>
      <c r="F179" s="7" t="s">
        <v>982</v>
      </c>
      <c r="G179" s="8" t="s">
        <v>18</v>
      </c>
      <c r="H179" s="7" t="s">
        <v>28</v>
      </c>
      <c r="I179" s="7" t="s">
        <v>194</v>
      </c>
      <c r="J179" s="7" t="s">
        <v>766</v>
      </c>
      <c r="K179" s="7" t="s">
        <v>196</v>
      </c>
      <c r="L179" s="7" t="s">
        <v>31</v>
      </c>
      <c r="M179" s="7">
        <v>6.1176500000000003</v>
      </c>
      <c r="N179" s="7">
        <v>10.246167</v>
      </c>
      <c r="O179" s="7" t="s">
        <v>23</v>
      </c>
      <c r="P179" s="3"/>
      <c r="Q179" s="3"/>
      <c r="R179" s="3"/>
    </row>
    <row r="180" spans="1:18" x14ac:dyDescent="0.25">
      <c r="A180" s="2">
        <v>178</v>
      </c>
      <c r="B180" s="7" t="s">
        <v>1000</v>
      </c>
      <c r="C180" s="7" t="s">
        <v>1001</v>
      </c>
      <c r="D180" s="7" t="s">
        <v>1000</v>
      </c>
      <c r="E180" s="7" t="s">
        <v>26</v>
      </c>
      <c r="F180" s="7" t="s">
        <v>1002</v>
      </c>
      <c r="G180" s="8" t="s">
        <v>18</v>
      </c>
      <c r="H180" s="7" t="s">
        <v>28</v>
      </c>
      <c r="I180" s="7" t="s">
        <v>29</v>
      </c>
      <c r="J180" s="7" t="s">
        <v>812</v>
      </c>
      <c r="K180" s="7" t="s">
        <v>1002</v>
      </c>
      <c r="L180" s="7" t="s">
        <v>31</v>
      </c>
      <c r="M180" s="7">
        <v>6.4</v>
      </c>
      <c r="N180" s="7">
        <v>9.8999999899999995</v>
      </c>
      <c r="O180" s="7" t="s">
        <v>23</v>
      </c>
      <c r="P180" s="3"/>
      <c r="Q180" s="3"/>
      <c r="R180" s="3"/>
    </row>
    <row r="181" spans="1:18" x14ac:dyDescent="0.25">
      <c r="A181" s="2">
        <v>179</v>
      </c>
      <c r="B181" s="7" t="s">
        <v>1007</v>
      </c>
      <c r="C181" s="7" t="s">
        <v>1008</v>
      </c>
      <c r="D181" s="7" t="s">
        <v>1007</v>
      </c>
      <c r="E181" s="7" t="s">
        <v>26</v>
      </c>
      <c r="F181" s="7" t="s">
        <v>1009</v>
      </c>
      <c r="G181" s="8" t="s">
        <v>18</v>
      </c>
      <c r="H181" s="7" t="s">
        <v>28</v>
      </c>
      <c r="I181" s="7" t="s">
        <v>1010</v>
      </c>
      <c r="J181" s="7" t="s">
        <v>195</v>
      </c>
      <c r="K181" s="7" t="s">
        <v>241</v>
      </c>
      <c r="L181" s="7" t="s">
        <v>31</v>
      </c>
      <c r="M181" s="7">
        <v>5.9876199999999997</v>
      </c>
      <c r="N181" s="7">
        <v>10.153187000000001</v>
      </c>
      <c r="O181" s="7" t="s">
        <v>23</v>
      </c>
      <c r="P181" s="3"/>
      <c r="Q181" s="3"/>
      <c r="R181" s="3"/>
    </row>
    <row r="182" spans="1:18" x14ac:dyDescent="0.25">
      <c r="A182" s="2">
        <v>180</v>
      </c>
      <c r="B182" s="7" t="s">
        <v>1072</v>
      </c>
      <c r="C182" s="7" t="s">
        <v>1073</v>
      </c>
      <c r="D182" s="7" t="s">
        <v>1072</v>
      </c>
      <c r="E182" s="7" t="s">
        <v>131</v>
      </c>
      <c r="F182" s="7" t="s">
        <v>1074</v>
      </c>
      <c r="G182" s="8" t="s">
        <v>18</v>
      </c>
      <c r="H182" s="7" t="s">
        <v>28</v>
      </c>
      <c r="I182" s="7" t="s">
        <v>245</v>
      </c>
      <c r="J182" s="7" t="s">
        <v>761</v>
      </c>
      <c r="K182" s="7" t="s">
        <v>762</v>
      </c>
      <c r="L182" s="7" t="s">
        <v>31</v>
      </c>
      <c r="M182" s="7">
        <v>5.756589</v>
      </c>
      <c r="N182" s="7">
        <v>10.31809</v>
      </c>
      <c r="O182" s="7" t="s">
        <v>23</v>
      </c>
      <c r="P182" s="3"/>
      <c r="Q182" s="3"/>
      <c r="R182" s="3"/>
    </row>
    <row r="183" spans="1:18" x14ac:dyDescent="0.25">
      <c r="A183" s="2">
        <v>181</v>
      </c>
      <c r="B183" s="7" t="s">
        <v>1085</v>
      </c>
      <c r="C183" s="7" t="s">
        <v>1086</v>
      </c>
      <c r="D183" s="7" t="s">
        <v>1085</v>
      </c>
      <c r="E183" s="7" t="s">
        <v>26</v>
      </c>
      <c r="F183" s="7" t="s">
        <v>1087</v>
      </c>
      <c r="G183" s="8" t="s">
        <v>18</v>
      </c>
      <c r="H183" s="7" t="s">
        <v>28</v>
      </c>
      <c r="I183" s="7" t="s">
        <v>1010</v>
      </c>
      <c r="J183" s="7" t="s">
        <v>195</v>
      </c>
      <c r="K183" s="7" t="s">
        <v>241</v>
      </c>
      <c r="L183" s="7" t="s">
        <v>31</v>
      </c>
      <c r="M183" s="7">
        <v>5.9529399999999999</v>
      </c>
      <c r="N183" s="7">
        <v>10.1571</v>
      </c>
      <c r="O183" s="7" t="s">
        <v>23</v>
      </c>
      <c r="P183" s="3"/>
      <c r="Q183" s="3"/>
      <c r="R183" s="3"/>
    </row>
    <row r="184" spans="1:18" x14ac:dyDescent="0.25">
      <c r="A184" s="2">
        <v>182</v>
      </c>
      <c r="B184" s="7" t="s">
        <v>1088</v>
      </c>
      <c r="C184" s="7" t="s">
        <v>1089</v>
      </c>
      <c r="D184" s="7" t="s">
        <v>1088</v>
      </c>
      <c r="E184" s="7" t="s">
        <v>26</v>
      </c>
      <c r="F184" s="7" t="s">
        <v>1090</v>
      </c>
      <c r="G184" s="8" t="s">
        <v>18</v>
      </c>
      <c r="H184" s="7" t="s">
        <v>28</v>
      </c>
      <c r="I184" s="7" t="s">
        <v>1010</v>
      </c>
      <c r="J184" s="7" t="s">
        <v>195</v>
      </c>
      <c r="K184" s="7" t="s">
        <v>241</v>
      </c>
      <c r="L184" s="7" t="s">
        <v>31</v>
      </c>
      <c r="M184" s="7">
        <v>5.9898379999999998</v>
      </c>
      <c r="N184" s="7">
        <v>10.162345999999999</v>
      </c>
      <c r="O184" s="7" t="s">
        <v>23</v>
      </c>
      <c r="P184" s="3"/>
      <c r="Q184" s="3"/>
      <c r="R184" s="3"/>
    </row>
    <row r="185" spans="1:18" x14ac:dyDescent="0.25">
      <c r="A185" s="2">
        <v>183</v>
      </c>
      <c r="B185" s="7" t="s">
        <v>1091</v>
      </c>
      <c r="C185" s="7" t="s">
        <v>1092</v>
      </c>
      <c r="D185" s="7" t="s">
        <v>1091</v>
      </c>
      <c r="E185" s="7" t="s">
        <v>26</v>
      </c>
      <c r="F185" s="7" t="s">
        <v>1093</v>
      </c>
      <c r="G185" s="8" t="s">
        <v>18</v>
      </c>
      <c r="H185" s="7" t="s">
        <v>28</v>
      </c>
      <c r="I185" s="7" t="s">
        <v>29</v>
      </c>
      <c r="J185" s="7" t="s">
        <v>195</v>
      </c>
      <c r="K185" s="7" t="s">
        <v>241</v>
      </c>
      <c r="L185" s="7" t="s">
        <v>31</v>
      </c>
      <c r="M185" s="7">
        <v>6.0102209999999996</v>
      </c>
      <c r="N185" s="7">
        <v>10.133228000000001</v>
      </c>
      <c r="O185" s="7" t="s">
        <v>23</v>
      </c>
      <c r="P185" s="3"/>
      <c r="Q185" s="3"/>
      <c r="R185" s="3"/>
    </row>
    <row r="186" spans="1:18" x14ac:dyDescent="0.25">
      <c r="A186" s="2">
        <v>184</v>
      </c>
      <c r="B186" s="7" t="s">
        <v>1094</v>
      </c>
      <c r="C186" s="7" t="s">
        <v>1095</v>
      </c>
      <c r="D186" s="7" t="s">
        <v>1094</v>
      </c>
      <c r="E186" s="7" t="s">
        <v>26</v>
      </c>
      <c r="F186" s="7" t="s">
        <v>1096</v>
      </c>
      <c r="G186" s="8" t="s">
        <v>18</v>
      </c>
      <c r="H186" s="7" t="s">
        <v>28</v>
      </c>
      <c r="I186" s="7" t="s">
        <v>1010</v>
      </c>
      <c r="J186" s="7" t="s">
        <v>195</v>
      </c>
      <c r="K186" s="7" t="s">
        <v>194</v>
      </c>
      <c r="L186" s="7" t="s">
        <v>31</v>
      </c>
      <c r="M186" s="7">
        <v>5.9357470000000001</v>
      </c>
      <c r="N186" s="7">
        <v>10.162219</v>
      </c>
      <c r="O186" s="7" t="s">
        <v>23</v>
      </c>
      <c r="P186" s="3"/>
      <c r="Q186" s="3"/>
      <c r="R186" s="3"/>
    </row>
    <row r="187" spans="1:18" x14ac:dyDescent="0.25">
      <c r="A187" s="2">
        <v>185</v>
      </c>
      <c r="B187" s="7" t="s">
        <v>1097</v>
      </c>
      <c r="C187" s="7" t="s">
        <v>1098</v>
      </c>
      <c r="D187" s="7" t="s">
        <v>1097</v>
      </c>
      <c r="E187" s="7" t="s">
        <v>26</v>
      </c>
      <c r="F187" s="7" t="s">
        <v>1099</v>
      </c>
      <c r="G187" s="8" t="s">
        <v>18</v>
      </c>
      <c r="H187" s="7" t="s">
        <v>28</v>
      </c>
      <c r="I187" s="7" t="s">
        <v>194</v>
      </c>
      <c r="J187" s="7" t="s">
        <v>195</v>
      </c>
      <c r="K187" s="7" t="s">
        <v>194</v>
      </c>
      <c r="L187" s="7" t="s">
        <v>31</v>
      </c>
      <c r="M187" s="7">
        <v>5.9401190000000001</v>
      </c>
      <c r="N187" s="7">
        <v>10.197202000000001</v>
      </c>
      <c r="O187" s="7" t="s">
        <v>23</v>
      </c>
      <c r="P187" s="3"/>
      <c r="Q187" s="3"/>
      <c r="R187" s="3"/>
    </row>
    <row r="188" spans="1:18" x14ac:dyDescent="0.25">
      <c r="A188" s="2">
        <v>186</v>
      </c>
      <c r="B188" s="7" t="s">
        <v>1100</v>
      </c>
      <c r="C188" s="7" t="s">
        <v>1101</v>
      </c>
      <c r="D188" s="7" t="s">
        <v>1100</v>
      </c>
      <c r="E188" s="7" t="s">
        <v>26</v>
      </c>
      <c r="F188" s="7" t="s">
        <v>1102</v>
      </c>
      <c r="G188" s="8" t="s">
        <v>18</v>
      </c>
      <c r="H188" s="7" t="s">
        <v>28</v>
      </c>
      <c r="I188" s="7" t="s">
        <v>241</v>
      </c>
      <c r="J188" s="7" t="s">
        <v>195</v>
      </c>
      <c r="K188" s="7" t="s">
        <v>241</v>
      </c>
      <c r="L188" s="7" t="s">
        <v>31</v>
      </c>
      <c r="M188" s="7">
        <v>5.9482299999999997</v>
      </c>
      <c r="N188" s="7">
        <v>10.130345999999999</v>
      </c>
      <c r="O188" s="7" t="s">
        <v>23</v>
      </c>
      <c r="P188" s="3"/>
      <c r="Q188" s="3"/>
      <c r="R188" s="3"/>
    </row>
    <row r="189" spans="1:18" x14ac:dyDescent="0.25">
      <c r="A189" s="2">
        <v>187</v>
      </c>
      <c r="B189" s="7" t="s">
        <v>1103</v>
      </c>
      <c r="C189" s="7" t="s">
        <v>1104</v>
      </c>
      <c r="D189" s="7" t="s">
        <v>1103</v>
      </c>
      <c r="E189" s="7" t="s">
        <v>26</v>
      </c>
      <c r="F189" s="7" t="s">
        <v>1105</v>
      </c>
      <c r="G189" s="8" t="s">
        <v>1106</v>
      </c>
      <c r="H189" s="7" t="s">
        <v>28</v>
      </c>
      <c r="I189" s="7" t="s">
        <v>241</v>
      </c>
      <c r="J189" s="7" t="s">
        <v>195</v>
      </c>
      <c r="K189" s="7" t="s">
        <v>194</v>
      </c>
      <c r="L189" s="7" t="s">
        <v>31</v>
      </c>
      <c r="M189" s="7">
        <v>5.9370830000000003</v>
      </c>
      <c r="N189" s="7">
        <v>10.150407</v>
      </c>
      <c r="O189" s="7" t="s">
        <v>23</v>
      </c>
      <c r="P189" s="3"/>
      <c r="Q189" s="3"/>
      <c r="R189" s="3"/>
    </row>
    <row r="190" spans="1:18" x14ac:dyDescent="0.25">
      <c r="A190" s="2">
        <v>188</v>
      </c>
      <c r="B190" s="7" t="s">
        <v>1133</v>
      </c>
      <c r="C190" s="7" t="s">
        <v>1134</v>
      </c>
      <c r="D190" s="7" t="s">
        <v>1133</v>
      </c>
      <c r="E190" s="7" t="s">
        <v>26</v>
      </c>
      <c r="F190" s="7" t="s">
        <v>1135</v>
      </c>
      <c r="G190" s="8" t="s">
        <v>18</v>
      </c>
      <c r="H190" s="7" t="s">
        <v>28</v>
      </c>
      <c r="I190" s="7" t="s">
        <v>29</v>
      </c>
      <c r="J190" s="7" t="s">
        <v>195</v>
      </c>
      <c r="K190" s="7" t="s">
        <v>29</v>
      </c>
      <c r="L190" s="7" t="s">
        <v>31</v>
      </c>
      <c r="M190" s="7">
        <v>6.0378600000000002</v>
      </c>
      <c r="N190" s="7">
        <v>10.15</v>
      </c>
      <c r="O190" s="7" t="s">
        <v>23</v>
      </c>
      <c r="P190" s="3"/>
      <c r="Q190" s="3"/>
      <c r="R190" s="3"/>
    </row>
    <row r="191" spans="1:18" x14ac:dyDescent="0.25">
      <c r="A191" s="2">
        <v>189</v>
      </c>
      <c r="B191" s="7" t="s">
        <v>1140</v>
      </c>
      <c r="C191" s="7" t="s">
        <v>1141</v>
      </c>
      <c r="D191" s="7" t="s">
        <v>1140</v>
      </c>
      <c r="E191" s="7" t="s">
        <v>26</v>
      </c>
      <c r="F191" s="7" t="s">
        <v>1142</v>
      </c>
      <c r="G191" s="8" t="s">
        <v>18</v>
      </c>
      <c r="H191" s="7" t="s">
        <v>28</v>
      </c>
      <c r="I191" s="7" t="s">
        <v>194</v>
      </c>
      <c r="J191" s="7" t="s">
        <v>766</v>
      </c>
      <c r="K191" s="7" t="s">
        <v>27</v>
      </c>
      <c r="L191" s="7" t="s">
        <v>31</v>
      </c>
      <c r="M191" s="7">
        <v>6.35433</v>
      </c>
      <c r="N191" s="7">
        <v>10.239699999999999</v>
      </c>
      <c r="O191" s="7" t="s">
        <v>23</v>
      </c>
      <c r="P191" s="3"/>
      <c r="Q191" s="3"/>
      <c r="R191" s="3"/>
    </row>
    <row r="192" spans="1:18" x14ac:dyDescent="0.25">
      <c r="A192" s="2">
        <v>190</v>
      </c>
      <c r="B192" s="7" t="s">
        <v>1149</v>
      </c>
      <c r="C192" s="7" t="s">
        <v>1150</v>
      </c>
      <c r="D192" s="7" t="s">
        <v>1149</v>
      </c>
      <c r="E192" s="7" t="s">
        <v>131</v>
      </c>
      <c r="F192" s="7" t="s">
        <v>1151</v>
      </c>
      <c r="G192" s="8" t="s">
        <v>18</v>
      </c>
      <c r="H192" s="7" t="s">
        <v>28</v>
      </c>
      <c r="I192" s="7" t="s">
        <v>194</v>
      </c>
      <c r="J192" s="7" t="s">
        <v>1054</v>
      </c>
      <c r="K192" s="7" t="s">
        <v>1152</v>
      </c>
      <c r="L192" s="7" t="s">
        <v>31</v>
      </c>
      <c r="M192" s="7">
        <v>5.8406929999999999</v>
      </c>
      <c r="N192" s="7">
        <v>10.380815999999999</v>
      </c>
      <c r="O192" s="7" t="s">
        <v>23</v>
      </c>
      <c r="P192" s="3"/>
      <c r="Q192" s="3"/>
      <c r="R192" s="3"/>
    </row>
    <row r="193" spans="1:18" x14ac:dyDescent="0.25">
      <c r="A193" s="2">
        <v>191</v>
      </c>
      <c r="B193" s="7" t="s">
        <v>1157</v>
      </c>
      <c r="C193" s="7" t="s">
        <v>1158</v>
      </c>
      <c r="D193" s="7" t="s">
        <v>1157</v>
      </c>
      <c r="E193" s="7" t="s">
        <v>26</v>
      </c>
      <c r="F193" s="7" t="s">
        <v>1159</v>
      </c>
      <c r="G193" s="8" t="s">
        <v>18</v>
      </c>
      <c r="H193" s="7" t="s">
        <v>28</v>
      </c>
      <c r="I193" s="7" t="s">
        <v>140</v>
      </c>
      <c r="J193" s="7" t="s">
        <v>1160</v>
      </c>
      <c r="K193" s="7" t="s">
        <v>1161</v>
      </c>
      <c r="L193" s="7" t="s">
        <v>31</v>
      </c>
      <c r="M193" s="7">
        <v>6.06911111111111</v>
      </c>
      <c r="N193" s="7">
        <v>10.442305555555556</v>
      </c>
      <c r="O193" s="7" t="s">
        <v>23</v>
      </c>
      <c r="P193" s="3"/>
      <c r="Q193" s="3"/>
      <c r="R193" s="3"/>
    </row>
    <row r="194" spans="1:18" x14ac:dyDescent="0.25">
      <c r="A194" s="2">
        <v>192</v>
      </c>
      <c r="B194" s="7" t="s">
        <v>1179</v>
      </c>
      <c r="C194" s="7" t="s">
        <v>1180</v>
      </c>
      <c r="D194" s="7" t="s">
        <v>1179</v>
      </c>
      <c r="E194" s="7" t="s">
        <v>26</v>
      </c>
      <c r="F194" s="7" t="s">
        <v>1181</v>
      </c>
      <c r="G194" s="8" t="s">
        <v>18</v>
      </c>
      <c r="H194" s="7" t="s">
        <v>28</v>
      </c>
      <c r="I194" s="7" t="s">
        <v>194</v>
      </c>
      <c r="J194" s="7" t="s">
        <v>195</v>
      </c>
      <c r="K194" s="7" t="s">
        <v>1182</v>
      </c>
      <c r="L194" s="7" t="s">
        <v>31</v>
      </c>
      <c r="M194" s="7">
        <v>5.8855560000000002</v>
      </c>
      <c r="N194" s="7">
        <v>10.158917000000001</v>
      </c>
      <c r="O194" s="7" t="s">
        <v>23</v>
      </c>
      <c r="P194" s="3"/>
      <c r="Q194" s="3"/>
      <c r="R194" s="3"/>
    </row>
    <row r="195" spans="1:18" x14ac:dyDescent="0.25">
      <c r="A195" s="2">
        <v>193</v>
      </c>
      <c r="B195" s="7" t="s">
        <v>1190</v>
      </c>
      <c r="C195" s="7" t="s">
        <v>1191</v>
      </c>
      <c r="D195" s="7" t="s">
        <v>1190</v>
      </c>
      <c r="E195" s="7" t="s">
        <v>26</v>
      </c>
      <c r="F195" s="7" t="s">
        <v>1192</v>
      </c>
      <c r="G195" s="8" t="s">
        <v>18</v>
      </c>
      <c r="H195" s="7" t="s">
        <v>28</v>
      </c>
      <c r="I195" s="7" t="s">
        <v>114</v>
      </c>
      <c r="J195" s="7" t="s">
        <v>306</v>
      </c>
      <c r="K195" s="7" t="s">
        <v>1192</v>
      </c>
      <c r="L195" s="7" t="s">
        <v>31</v>
      </c>
      <c r="M195" s="7">
        <v>6.816719</v>
      </c>
      <c r="N195" s="7">
        <v>10.71663</v>
      </c>
      <c r="O195" s="7" t="s">
        <v>23</v>
      </c>
      <c r="P195" s="3"/>
      <c r="Q195" s="3"/>
      <c r="R195" s="3"/>
    </row>
    <row r="196" spans="1:18" x14ac:dyDescent="0.25">
      <c r="A196" s="2">
        <v>194</v>
      </c>
      <c r="B196" s="7" t="s">
        <v>1201</v>
      </c>
      <c r="C196" s="7" t="s">
        <v>1202</v>
      </c>
      <c r="D196" s="7" t="s">
        <v>1201</v>
      </c>
      <c r="E196" s="7" t="s">
        <v>26</v>
      </c>
      <c r="F196" s="7" t="s">
        <v>1203</v>
      </c>
      <c r="G196" s="8" t="s">
        <v>18</v>
      </c>
      <c r="H196" s="7" t="s">
        <v>28</v>
      </c>
      <c r="I196" s="7" t="s">
        <v>241</v>
      </c>
      <c r="J196" s="7" t="s">
        <v>365</v>
      </c>
      <c r="K196" s="7" t="s">
        <v>547</v>
      </c>
      <c r="L196" s="7" t="s">
        <v>31</v>
      </c>
      <c r="M196" s="7">
        <v>5.9881390000000003</v>
      </c>
      <c r="N196" s="7">
        <v>9.9337219999999995</v>
      </c>
      <c r="O196" s="7" t="s">
        <v>23</v>
      </c>
      <c r="P196" s="3"/>
      <c r="Q196" s="3"/>
      <c r="R196" s="3"/>
    </row>
    <row r="197" spans="1:18" x14ac:dyDescent="0.25">
      <c r="A197" s="2">
        <v>195</v>
      </c>
      <c r="B197" s="7" t="s">
        <v>1204</v>
      </c>
      <c r="C197" s="7" t="s">
        <v>1205</v>
      </c>
      <c r="D197" s="7" t="s">
        <v>1204</v>
      </c>
      <c r="E197" s="7" t="s">
        <v>26</v>
      </c>
      <c r="F197" s="7" t="s">
        <v>1206</v>
      </c>
      <c r="G197" s="8" t="s">
        <v>18</v>
      </c>
      <c r="H197" s="7" t="s">
        <v>28</v>
      </c>
      <c r="I197" s="7" t="s">
        <v>194</v>
      </c>
      <c r="J197" s="7" t="s">
        <v>766</v>
      </c>
      <c r="K197" s="7" t="s">
        <v>767</v>
      </c>
      <c r="L197" s="7" t="s">
        <v>31</v>
      </c>
      <c r="M197" s="7">
        <v>6.2965970000000002</v>
      </c>
      <c r="N197" s="7">
        <v>10.33318</v>
      </c>
      <c r="O197" s="7" t="s">
        <v>23</v>
      </c>
      <c r="P197" s="3"/>
      <c r="Q197" s="3"/>
      <c r="R197" s="3"/>
    </row>
    <row r="198" spans="1:18" x14ac:dyDescent="0.25">
      <c r="A198" s="2">
        <v>196</v>
      </c>
      <c r="B198" s="7" t="s">
        <v>1228</v>
      </c>
      <c r="C198" s="7" t="s">
        <v>1229</v>
      </c>
      <c r="D198" s="7" t="s">
        <v>1228</v>
      </c>
      <c r="E198" s="7" t="s">
        <v>26</v>
      </c>
      <c r="F198" s="7" t="s">
        <v>1230</v>
      </c>
      <c r="G198" s="8" t="s">
        <v>18</v>
      </c>
      <c r="H198" s="7" t="s">
        <v>28</v>
      </c>
      <c r="I198" s="7" t="s">
        <v>194</v>
      </c>
      <c r="J198" s="7" t="s">
        <v>766</v>
      </c>
      <c r="K198" s="7" t="s">
        <v>1230</v>
      </c>
      <c r="L198" s="7" t="s">
        <v>31</v>
      </c>
      <c r="M198" s="7">
        <v>6.2242100000000002</v>
      </c>
      <c r="N198" s="7">
        <v>10.307333</v>
      </c>
      <c r="O198" s="7" t="s">
        <v>23</v>
      </c>
      <c r="P198" s="3"/>
      <c r="Q198" s="3"/>
      <c r="R198" s="3"/>
    </row>
    <row r="199" spans="1:18" x14ac:dyDescent="0.25">
      <c r="A199" s="2">
        <v>197</v>
      </c>
      <c r="B199" s="7" t="s">
        <v>1275</v>
      </c>
      <c r="C199" s="7" t="s">
        <v>1276</v>
      </c>
      <c r="D199" s="7" t="s">
        <v>1275</v>
      </c>
      <c r="E199" s="7" t="s">
        <v>26</v>
      </c>
      <c r="F199" s="7" t="s">
        <v>1277</v>
      </c>
      <c r="G199" s="8" t="s">
        <v>18</v>
      </c>
      <c r="H199" s="7" t="s">
        <v>28</v>
      </c>
      <c r="I199" s="7" t="s">
        <v>140</v>
      </c>
      <c r="J199" s="7" t="s">
        <v>328</v>
      </c>
      <c r="K199" s="7" t="s">
        <v>329</v>
      </c>
      <c r="L199" s="7" t="s">
        <v>31</v>
      </c>
      <c r="M199" s="7">
        <v>6.2772199999999998</v>
      </c>
      <c r="N199" s="7">
        <v>10.56278</v>
      </c>
      <c r="O199" s="7" t="s">
        <v>23</v>
      </c>
      <c r="P199" s="3"/>
      <c r="Q199" s="3"/>
      <c r="R199" s="3"/>
    </row>
    <row r="200" spans="1:18" x14ac:dyDescent="0.25">
      <c r="A200" s="2">
        <v>198</v>
      </c>
      <c r="B200" s="7" t="s">
        <v>1451</v>
      </c>
      <c r="C200" s="7" t="s">
        <v>1452</v>
      </c>
      <c r="D200" s="7" t="s">
        <v>1451</v>
      </c>
      <c r="E200" s="7" t="s">
        <v>26</v>
      </c>
      <c r="F200" s="7" t="s">
        <v>1453</v>
      </c>
      <c r="G200" s="8" t="s">
        <v>18</v>
      </c>
      <c r="H200" s="7" t="s">
        <v>28</v>
      </c>
      <c r="I200" s="7" t="s">
        <v>140</v>
      </c>
      <c r="J200" s="7" t="s">
        <v>1160</v>
      </c>
      <c r="K200" s="7" t="s">
        <v>1454</v>
      </c>
      <c r="L200" s="7" t="s">
        <v>31</v>
      </c>
      <c r="M200" s="7">
        <v>5.9846111110000004</v>
      </c>
      <c r="N200" s="7">
        <v>10.458</v>
      </c>
      <c r="O200" s="7" t="s">
        <v>23</v>
      </c>
      <c r="P200" s="3"/>
      <c r="Q200" s="3"/>
      <c r="R200" s="3"/>
    </row>
    <row r="201" spans="1:18" x14ac:dyDescent="0.25">
      <c r="A201" s="2">
        <v>199</v>
      </c>
      <c r="B201" s="7" t="s">
        <v>1472</v>
      </c>
      <c r="C201" s="7" t="s">
        <v>1473</v>
      </c>
      <c r="D201" s="7" t="s">
        <v>1472</v>
      </c>
      <c r="E201" s="7" t="s">
        <v>26</v>
      </c>
      <c r="F201" s="7" t="s">
        <v>1474</v>
      </c>
      <c r="G201" s="8" t="s">
        <v>18</v>
      </c>
      <c r="H201" s="7" t="s">
        <v>28</v>
      </c>
      <c r="I201" s="7" t="s">
        <v>114</v>
      </c>
      <c r="J201" s="7" t="s">
        <v>306</v>
      </c>
      <c r="K201" s="7" t="s">
        <v>114</v>
      </c>
      <c r="L201" s="7" t="s">
        <v>31</v>
      </c>
      <c r="M201" s="7">
        <v>6.5732390000000001</v>
      </c>
      <c r="N201" s="7">
        <v>10.709175999999999</v>
      </c>
      <c r="O201" s="7" t="s">
        <v>23</v>
      </c>
      <c r="P201" s="3"/>
      <c r="Q201" s="3"/>
      <c r="R201" s="3"/>
    </row>
    <row r="202" spans="1:18" x14ac:dyDescent="0.25">
      <c r="A202" s="2">
        <v>200</v>
      </c>
      <c r="B202" s="7" t="s">
        <v>1488</v>
      </c>
      <c r="C202" s="7" t="s">
        <v>1489</v>
      </c>
      <c r="D202" s="7" t="s">
        <v>1488</v>
      </c>
      <c r="E202" s="7" t="s">
        <v>26</v>
      </c>
      <c r="F202" s="7" t="s">
        <v>1490</v>
      </c>
      <c r="G202" s="8" t="s">
        <v>18</v>
      </c>
      <c r="H202" s="7" t="s">
        <v>28</v>
      </c>
      <c r="I202" s="7" t="s">
        <v>114</v>
      </c>
      <c r="J202" s="7" t="s">
        <v>306</v>
      </c>
      <c r="K202" s="7" t="s">
        <v>537</v>
      </c>
      <c r="L202" s="7" t="s">
        <v>31</v>
      </c>
      <c r="M202" s="7">
        <v>6.4269790000000002</v>
      </c>
      <c r="N202" s="7">
        <v>10.790075</v>
      </c>
      <c r="O202" s="7" t="s">
        <v>23</v>
      </c>
      <c r="P202" s="3"/>
      <c r="Q202" s="3"/>
      <c r="R202" s="3"/>
    </row>
    <row r="203" spans="1:18" x14ac:dyDescent="0.25">
      <c r="A203" s="2">
        <v>201</v>
      </c>
      <c r="B203" s="7" t="s">
        <v>1500</v>
      </c>
      <c r="C203" s="7" t="s">
        <v>1501</v>
      </c>
      <c r="D203" s="7" t="s">
        <v>1500</v>
      </c>
      <c r="E203" s="7" t="s">
        <v>26</v>
      </c>
      <c r="F203" s="7" t="s">
        <v>1502</v>
      </c>
      <c r="G203" s="8" t="s">
        <v>18</v>
      </c>
      <c r="H203" s="7" t="s">
        <v>28</v>
      </c>
      <c r="I203" s="7" t="s">
        <v>194</v>
      </c>
      <c r="J203" s="7" t="s">
        <v>195</v>
      </c>
      <c r="K203" s="7" t="s">
        <v>1182</v>
      </c>
      <c r="L203" s="7" t="s">
        <v>31</v>
      </c>
      <c r="M203" s="7">
        <v>5.8502130000000001</v>
      </c>
      <c r="N203" s="7">
        <v>10.244930999999999</v>
      </c>
      <c r="O203" s="7" t="s">
        <v>23</v>
      </c>
      <c r="P203" s="3"/>
      <c r="Q203" s="3"/>
      <c r="R203" s="3"/>
    </row>
    <row r="204" spans="1:18" x14ac:dyDescent="0.25">
      <c r="A204" s="2">
        <v>202</v>
      </c>
      <c r="B204" s="7" t="s">
        <v>1653</v>
      </c>
      <c r="C204" s="7" t="s">
        <v>1654</v>
      </c>
      <c r="D204" s="7" t="s">
        <v>1653</v>
      </c>
      <c r="E204" s="7" t="s">
        <v>26</v>
      </c>
      <c r="F204" s="7" t="s">
        <v>1655</v>
      </c>
      <c r="G204" s="8" t="s">
        <v>18</v>
      </c>
      <c r="H204" s="7" t="s">
        <v>19</v>
      </c>
      <c r="I204" s="7" t="s">
        <v>1010</v>
      </c>
      <c r="J204" s="7" t="s">
        <v>195</v>
      </c>
      <c r="K204" s="7" t="s">
        <v>194</v>
      </c>
      <c r="L204" s="7" t="s">
        <v>31</v>
      </c>
      <c r="M204" s="7">
        <v>5.9532040000000004</v>
      </c>
      <c r="N204" s="7">
        <v>10.183572</v>
      </c>
      <c r="O204" s="7" t="s">
        <v>23</v>
      </c>
      <c r="P204" s="3"/>
      <c r="Q204" s="3"/>
      <c r="R204" s="3"/>
    </row>
    <row r="205" spans="1:18" x14ac:dyDescent="0.25">
      <c r="A205" s="2">
        <v>203</v>
      </c>
      <c r="B205" s="7" t="s">
        <v>1737</v>
      </c>
      <c r="C205" s="7" t="s">
        <v>1738</v>
      </c>
      <c r="D205" s="7" t="s">
        <v>1737</v>
      </c>
      <c r="E205" s="7" t="s">
        <v>26</v>
      </c>
      <c r="F205" s="7" t="s">
        <v>1739</v>
      </c>
      <c r="G205" s="8" t="s">
        <v>18</v>
      </c>
      <c r="H205" s="7" t="s">
        <v>28</v>
      </c>
      <c r="I205" s="7" t="s">
        <v>241</v>
      </c>
      <c r="J205" s="7" t="s">
        <v>195</v>
      </c>
      <c r="K205" s="7" t="s">
        <v>241</v>
      </c>
      <c r="L205" s="7" t="s">
        <v>31</v>
      </c>
      <c r="M205" s="7">
        <v>5.9635670000000003</v>
      </c>
      <c r="N205" s="7">
        <v>10.159238</v>
      </c>
      <c r="O205" s="7" t="s">
        <v>23</v>
      </c>
      <c r="P205" s="3"/>
      <c r="Q205" s="3"/>
      <c r="R205" s="3"/>
    </row>
    <row r="206" spans="1:18" x14ac:dyDescent="0.25">
      <c r="A206" s="2">
        <v>204</v>
      </c>
      <c r="B206" s="7" t="s">
        <v>1846</v>
      </c>
      <c r="C206" s="7" t="s">
        <v>1847</v>
      </c>
      <c r="D206" s="7" t="s">
        <v>1846</v>
      </c>
      <c r="E206" s="7" t="s">
        <v>26</v>
      </c>
      <c r="F206" s="7" t="s">
        <v>1848</v>
      </c>
      <c r="G206" s="8" t="s">
        <v>18</v>
      </c>
      <c r="H206" s="7" t="s">
        <v>28</v>
      </c>
      <c r="I206" s="7" t="s">
        <v>114</v>
      </c>
      <c r="J206" s="7" t="s">
        <v>306</v>
      </c>
      <c r="K206" s="7" t="s">
        <v>537</v>
      </c>
      <c r="L206" s="7" t="s">
        <v>31</v>
      </c>
      <c r="M206" s="7">
        <v>6.4228059999999996</v>
      </c>
      <c r="N206" s="7">
        <v>10.784388999999999</v>
      </c>
      <c r="O206" s="7" t="s">
        <v>23</v>
      </c>
      <c r="P206" s="3"/>
      <c r="Q206" s="3"/>
      <c r="R206" s="3"/>
    </row>
    <row r="207" spans="1:18" x14ac:dyDescent="0.25">
      <c r="A207" s="2">
        <v>205</v>
      </c>
      <c r="B207" s="7" t="s">
        <v>1917</v>
      </c>
      <c r="C207" s="7" t="s">
        <v>1918</v>
      </c>
      <c r="D207" s="7" t="s">
        <v>1917</v>
      </c>
      <c r="E207" s="7" t="s">
        <v>26</v>
      </c>
      <c r="F207" s="7" t="s">
        <v>1919</v>
      </c>
      <c r="G207" s="8" t="s">
        <v>18</v>
      </c>
      <c r="H207" s="7" t="s">
        <v>28</v>
      </c>
      <c r="I207" s="7" t="s">
        <v>140</v>
      </c>
      <c r="J207" s="7" t="s">
        <v>328</v>
      </c>
      <c r="K207" s="7" t="s">
        <v>1920</v>
      </c>
      <c r="L207" s="7" t="s">
        <v>31</v>
      </c>
      <c r="M207" s="7">
        <v>6.2395833300000003</v>
      </c>
      <c r="N207" s="7">
        <v>10.69488889</v>
      </c>
      <c r="O207" s="7" t="s">
        <v>23</v>
      </c>
      <c r="P207" s="3"/>
      <c r="Q207" s="3"/>
      <c r="R207" s="3"/>
    </row>
    <row r="208" spans="1:18" x14ac:dyDescent="0.25">
      <c r="A208" s="2">
        <v>206</v>
      </c>
      <c r="B208" s="7" t="s">
        <v>1966</v>
      </c>
      <c r="C208" s="7" t="s">
        <v>1967</v>
      </c>
      <c r="D208" s="7" t="s">
        <v>1966</v>
      </c>
      <c r="E208" s="7" t="s">
        <v>26</v>
      </c>
      <c r="F208" s="7" t="s">
        <v>1968</v>
      </c>
      <c r="G208" s="8" t="s">
        <v>18</v>
      </c>
      <c r="H208" s="7" t="s">
        <v>28</v>
      </c>
      <c r="I208" s="7" t="s">
        <v>194</v>
      </c>
      <c r="J208" s="7" t="s">
        <v>766</v>
      </c>
      <c r="K208" s="7" t="s">
        <v>1969</v>
      </c>
      <c r="L208" s="7" t="s">
        <v>31</v>
      </c>
      <c r="M208" s="7">
        <v>5.9597300000000004</v>
      </c>
      <c r="N208" s="7">
        <v>10.166463</v>
      </c>
      <c r="O208" s="7" t="s">
        <v>23</v>
      </c>
      <c r="P208" s="3"/>
      <c r="Q208" s="3"/>
      <c r="R208" s="3"/>
    </row>
    <row r="209" spans="1:18" x14ac:dyDescent="0.25">
      <c r="A209" s="2">
        <v>207</v>
      </c>
      <c r="B209" s="7" t="s">
        <v>1976</v>
      </c>
      <c r="C209" s="7" t="s">
        <v>1977</v>
      </c>
      <c r="D209" s="7" t="s">
        <v>1976</v>
      </c>
      <c r="E209" s="7" t="s">
        <v>26</v>
      </c>
      <c r="F209" s="7" t="s">
        <v>1978</v>
      </c>
      <c r="G209" s="8" t="s">
        <v>18</v>
      </c>
      <c r="H209" s="7" t="s">
        <v>28</v>
      </c>
      <c r="I209" s="7" t="s">
        <v>194</v>
      </c>
      <c r="J209" s="7" t="s">
        <v>195</v>
      </c>
      <c r="K209" s="7" t="s">
        <v>196</v>
      </c>
      <c r="L209" s="7" t="s">
        <v>31</v>
      </c>
      <c r="M209" s="7">
        <v>6.0099340000000003</v>
      </c>
      <c r="N209" s="7">
        <v>10.227228999999999</v>
      </c>
      <c r="O209" s="7" t="s">
        <v>23</v>
      </c>
      <c r="P209" s="3"/>
      <c r="Q209" s="3"/>
      <c r="R209" s="3"/>
    </row>
    <row r="210" spans="1:18" x14ac:dyDescent="0.25">
      <c r="A210" s="2">
        <v>208</v>
      </c>
      <c r="B210" s="7" t="s">
        <v>2009</v>
      </c>
      <c r="C210" s="7" t="s">
        <v>2010</v>
      </c>
      <c r="D210" s="7" t="s">
        <v>2009</v>
      </c>
      <c r="E210" s="7" t="s">
        <v>26</v>
      </c>
      <c r="F210" s="7" t="s">
        <v>2011</v>
      </c>
      <c r="G210" s="8" t="s">
        <v>18</v>
      </c>
      <c r="H210" s="7" t="s">
        <v>19</v>
      </c>
      <c r="I210" s="7" t="s">
        <v>29</v>
      </c>
      <c r="J210" s="7" t="s">
        <v>812</v>
      </c>
      <c r="K210" s="7" t="s">
        <v>2011</v>
      </c>
      <c r="L210" s="7" t="s">
        <v>31</v>
      </c>
      <c r="M210" s="7">
        <v>6.3943027780000001</v>
      </c>
      <c r="N210" s="7">
        <v>10.083888890000001</v>
      </c>
      <c r="O210" s="7" t="s">
        <v>23</v>
      </c>
      <c r="P210" s="3"/>
      <c r="Q210" s="3"/>
      <c r="R210" s="3"/>
    </row>
    <row r="211" spans="1:18" x14ac:dyDescent="0.25">
      <c r="A211" s="2">
        <v>209</v>
      </c>
      <c r="B211" s="7" t="s">
        <v>2012</v>
      </c>
      <c r="C211" s="7" t="s">
        <v>2013</v>
      </c>
      <c r="D211" s="7" t="s">
        <v>2012</v>
      </c>
      <c r="E211" s="7" t="s">
        <v>26</v>
      </c>
      <c r="F211" s="7" t="s">
        <v>2011</v>
      </c>
      <c r="G211" s="8" t="s">
        <v>18</v>
      </c>
      <c r="H211" s="7" t="s">
        <v>19</v>
      </c>
      <c r="I211" s="7" t="s">
        <v>29</v>
      </c>
      <c r="J211" s="7" t="s">
        <v>812</v>
      </c>
      <c r="K211" s="7" t="s">
        <v>2011</v>
      </c>
      <c r="L211" s="7" t="s">
        <v>31</v>
      </c>
      <c r="M211" s="7">
        <v>6.3811</v>
      </c>
      <c r="N211" s="7">
        <v>10.07868</v>
      </c>
      <c r="O211" s="7" t="s">
        <v>23</v>
      </c>
      <c r="P211" s="3"/>
      <c r="Q211" s="3"/>
      <c r="R211" s="3"/>
    </row>
    <row r="212" spans="1:18" x14ac:dyDescent="0.25">
      <c r="A212" s="2">
        <v>210</v>
      </c>
      <c r="B212" s="7" t="s">
        <v>2031</v>
      </c>
      <c r="C212" s="7" t="s">
        <v>2032</v>
      </c>
      <c r="D212" s="7" t="s">
        <v>2031</v>
      </c>
      <c r="E212" s="7" t="s">
        <v>26</v>
      </c>
      <c r="F212" s="7" t="s">
        <v>2033</v>
      </c>
      <c r="G212" s="8" t="s">
        <v>18</v>
      </c>
      <c r="H212" s="7" t="s">
        <v>28</v>
      </c>
      <c r="I212" s="7" t="s">
        <v>1010</v>
      </c>
      <c r="J212" s="7" t="s">
        <v>195</v>
      </c>
      <c r="K212" s="7" t="s">
        <v>241</v>
      </c>
      <c r="L212" s="7" t="s">
        <v>31</v>
      </c>
      <c r="M212" s="7">
        <v>5.9520799999999996</v>
      </c>
      <c r="N212" s="7">
        <v>10.152419999999999</v>
      </c>
      <c r="O212" s="7" t="s">
        <v>613</v>
      </c>
      <c r="P212" s="3"/>
      <c r="Q212" s="3"/>
      <c r="R212" s="3"/>
    </row>
    <row r="213" spans="1:18" x14ac:dyDescent="0.25">
      <c r="A213" s="2">
        <v>211</v>
      </c>
      <c r="B213" s="7" t="s">
        <v>2048</v>
      </c>
      <c r="C213" s="7" t="s">
        <v>2049</v>
      </c>
      <c r="D213" s="7" t="s">
        <v>2048</v>
      </c>
      <c r="E213" s="7" t="s">
        <v>26</v>
      </c>
      <c r="F213" s="7" t="s">
        <v>2050</v>
      </c>
      <c r="G213" s="8" t="s">
        <v>18</v>
      </c>
      <c r="H213" s="7" t="s">
        <v>19</v>
      </c>
      <c r="I213" s="7" t="s">
        <v>1010</v>
      </c>
      <c r="J213" s="7" t="s">
        <v>195</v>
      </c>
      <c r="K213" s="7" t="s">
        <v>241</v>
      </c>
      <c r="L213" s="7" t="s">
        <v>31</v>
      </c>
      <c r="M213" s="7">
        <v>5.958558</v>
      </c>
      <c r="N213" s="7">
        <v>10.151246</v>
      </c>
      <c r="O213" s="7" t="s">
        <v>613</v>
      </c>
      <c r="P213" s="3"/>
      <c r="Q213" s="3"/>
      <c r="R213" s="3"/>
    </row>
    <row r="214" spans="1:18" x14ac:dyDescent="0.25">
      <c r="A214" s="2">
        <v>212</v>
      </c>
      <c r="B214" s="7" t="s">
        <v>2060</v>
      </c>
      <c r="C214" s="7" t="s">
        <v>2061</v>
      </c>
      <c r="D214" s="7" t="s">
        <v>2060</v>
      </c>
      <c r="E214" s="7" t="s">
        <v>26</v>
      </c>
      <c r="F214" s="7" t="s">
        <v>2062</v>
      </c>
      <c r="G214" s="8" t="s">
        <v>18</v>
      </c>
      <c r="H214" s="7" t="s">
        <v>28</v>
      </c>
      <c r="I214" s="7" t="s">
        <v>1010</v>
      </c>
      <c r="J214" s="7" t="s">
        <v>195</v>
      </c>
      <c r="K214" s="7" t="s">
        <v>241</v>
      </c>
      <c r="L214" s="7" t="s">
        <v>31</v>
      </c>
      <c r="M214" s="7">
        <v>5.9743599999999999</v>
      </c>
      <c r="N214" s="7">
        <v>10.1563</v>
      </c>
      <c r="O214" s="7" t="s">
        <v>23</v>
      </c>
      <c r="P214" s="3"/>
      <c r="Q214" s="3"/>
      <c r="R214" s="3"/>
    </row>
    <row r="215" spans="1:18" x14ac:dyDescent="0.25">
      <c r="A215" s="2">
        <v>213</v>
      </c>
      <c r="B215" s="7" t="s">
        <v>2117</v>
      </c>
      <c r="C215" s="7" t="s">
        <v>2118</v>
      </c>
      <c r="D215" s="7" t="s">
        <v>2117</v>
      </c>
      <c r="E215" s="7" t="s">
        <v>26</v>
      </c>
      <c r="F215" s="7" t="s">
        <v>2119</v>
      </c>
      <c r="G215" s="8" t="s">
        <v>18</v>
      </c>
      <c r="H215" s="7" t="s">
        <v>28</v>
      </c>
      <c r="I215" s="7" t="s">
        <v>1010</v>
      </c>
      <c r="J215" s="7" t="s">
        <v>195</v>
      </c>
      <c r="K215" s="7" t="s">
        <v>241</v>
      </c>
      <c r="L215" s="7" t="s">
        <v>31</v>
      </c>
      <c r="M215" s="7">
        <v>5.9619400000000002</v>
      </c>
      <c r="N215" s="7">
        <v>10.151759999999999</v>
      </c>
      <c r="O215" s="7" t="s">
        <v>613</v>
      </c>
      <c r="P215" s="3"/>
      <c r="Q215" s="3"/>
      <c r="R215" s="3"/>
    </row>
    <row r="216" spans="1:18" x14ac:dyDescent="0.25">
      <c r="A216" s="2">
        <v>214</v>
      </c>
      <c r="B216" s="7" t="s">
        <v>2144</v>
      </c>
      <c r="C216" s="7" t="s">
        <v>2145</v>
      </c>
      <c r="D216" s="7" t="s">
        <v>2144</v>
      </c>
      <c r="E216" s="7" t="s">
        <v>26</v>
      </c>
      <c r="F216" s="7" t="s">
        <v>2146</v>
      </c>
      <c r="G216" s="8" t="s">
        <v>18</v>
      </c>
      <c r="H216" s="7" t="s">
        <v>28</v>
      </c>
      <c r="I216" s="7" t="s">
        <v>92</v>
      </c>
      <c r="J216" s="7" t="s">
        <v>365</v>
      </c>
      <c r="K216" s="7" t="s">
        <v>2147</v>
      </c>
      <c r="L216" s="7" t="s">
        <v>31</v>
      </c>
      <c r="M216" s="7">
        <v>5.8850800000000003</v>
      </c>
      <c r="N216" s="7">
        <v>9.7542799999999996</v>
      </c>
      <c r="O216" s="7" t="s">
        <v>23</v>
      </c>
      <c r="P216" s="3"/>
      <c r="Q216" s="3"/>
      <c r="R216" s="3"/>
    </row>
    <row r="217" spans="1:18" x14ac:dyDescent="0.25">
      <c r="A217" s="2">
        <v>215</v>
      </c>
      <c r="B217" s="7" t="s">
        <v>2164</v>
      </c>
      <c r="C217" s="7" t="s">
        <v>2165</v>
      </c>
      <c r="D217" s="7" t="s">
        <v>2164</v>
      </c>
      <c r="E217" s="7" t="s">
        <v>26</v>
      </c>
      <c r="F217" s="7" t="s">
        <v>2166</v>
      </c>
      <c r="G217" s="8" t="s">
        <v>18</v>
      </c>
      <c r="H217" s="7" t="s">
        <v>19</v>
      </c>
      <c r="I217" s="7" t="s">
        <v>194</v>
      </c>
      <c r="J217" s="7" t="s">
        <v>1054</v>
      </c>
      <c r="K217" s="7" t="s">
        <v>1152</v>
      </c>
      <c r="L217" s="7" t="s">
        <v>31</v>
      </c>
      <c r="M217" s="7">
        <v>5.8983930000000004</v>
      </c>
      <c r="N217" s="7">
        <v>10.372153000000001</v>
      </c>
      <c r="O217" s="7" t="s">
        <v>23</v>
      </c>
      <c r="P217" s="3"/>
      <c r="Q217" s="3"/>
      <c r="R217" s="3"/>
    </row>
    <row r="218" spans="1:18" x14ac:dyDescent="0.25">
      <c r="A218" s="2">
        <v>216</v>
      </c>
      <c r="B218" s="7" t="s">
        <v>2230</v>
      </c>
      <c r="C218" s="7" t="s">
        <v>2231</v>
      </c>
      <c r="D218" s="7" t="s">
        <v>2230</v>
      </c>
      <c r="E218" s="7" t="s">
        <v>26</v>
      </c>
      <c r="F218" s="7" t="s">
        <v>2232</v>
      </c>
      <c r="G218" s="8" t="s">
        <v>18</v>
      </c>
      <c r="H218" s="7" t="s">
        <v>19</v>
      </c>
      <c r="I218" s="7" t="s">
        <v>114</v>
      </c>
      <c r="J218" s="7" t="s">
        <v>328</v>
      </c>
      <c r="K218" s="7" t="s">
        <v>116</v>
      </c>
      <c r="L218" s="7" t="s">
        <v>31</v>
      </c>
      <c r="M218" s="7">
        <v>6.3106944440000001</v>
      </c>
      <c r="N218" s="7">
        <v>10.726749999999999</v>
      </c>
      <c r="O218" s="7" t="s">
        <v>23</v>
      </c>
      <c r="P218" s="3"/>
      <c r="Q218" s="3"/>
      <c r="R218" s="3"/>
    </row>
    <row r="219" spans="1:18" x14ac:dyDescent="0.25">
      <c r="A219" s="2">
        <v>217</v>
      </c>
      <c r="B219" s="7" t="s">
        <v>2279</v>
      </c>
      <c r="C219" s="7" t="s">
        <v>2280</v>
      </c>
      <c r="D219" s="7" t="s">
        <v>2279</v>
      </c>
      <c r="E219" s="7" t="s">
        <v>26</v>
      </c>
      <c r="F219" s="7" t="s">
        <v>2281</v>
      </c>
      <c r="G219" s="8" t="s">
        <v>18</v>
      </c>
      <c r="H219" s="7" t="s">
        <v>28</v>
      </c>
      <c r="I219" s="7" t="s">
        <v>140</v>
      </c>
      <c r="J219" s="7" t="s">
        <v>328</v>
      </c>
      <c r="K219" s="7" t="s">
        <v>140</v>
      </c>
      <c r="L219" s="7" t="s">
        <v>31</v>
      </c>
      <c r="M219" s="7">
        <v>6.1698240000000002</v>
      </c>
      <c r="N219" s="7">
        <v>10.673164999999999</v>
      </c>
      <c r="O219" s="7" t="s">
        <v>23</v>
      </c>
      <c r="P219" s="3"/>
      <c r="Q219" s="3"/>
      <c r="R219" s="3"/>
    </row>
    <row r="220" spans="1:18" x14ac:dyDescent="0.25">
      <c r="A220" s="2">
        <v>218</v>
      </c>
      <c r="B220" s="7" t="s">
        <v>2328</v>
      </c>
      <c r="C220" s="7" t="s">
        <v>2329</v>
      </c>
      <c r="D220" s="7" t="s">
        <v>2328</v>
      </c>
      <c r="E220" s="7" t="s">
        <v>26</v>
      </c>
      <c r="F220" s="7" t="s">
        <v>2330</v>
      </c>
      <c r="G220" s="8" t="s">
        <v>18</v>
      </c>
      <c r="H220" s="7" t="s">
        <v>19</v>
      </c>
      <c r="I220" s="7" t="s">
        <v>1010</v>
      </c>
      <c r="J220" s="7" t="s">
        <v>195</v>
      </c>
      <c r="K220" s="7" t="s">
        <v>241</v>
      </c>
      <c r="L220" s="7" t="s">
        <v>31</v>
      </c>
      <c r="M220" s="7">
        <v>5.9709310000000002</v>
      </c>
      <c r="N220" s="7">
        <v>10.140806</v>
      </c>
      <c r="O220" s="7" t="s">
        <v>23</v>
      </c>
      <c r="P220" s="3"/>
      <c r="Q220" s="3"/>
      <c r="R220" s="3"/>
    </row>
    <row r="221" spans="1:18" x14ac:dyDescent="0.25">
      <c r="A221" s="2">
        <v>219</v>
      </c>
      <c r="B221" s="7" t="s">
        <v>2364</v>
      </c>
      <c r="C221" s="7" t="s">
        <v>2365</v>
      </c>
      <c r="D221" s="7" t="s">
        <v>2364</v>
      </c>
      <c r="E221" s="7" t="s">
        <v>26</v>
      </c>
      <c r="F221" s="7" t="s">
        <v>2366</v>
      </c>
      <c r="G221" s="8" t="s">
        <v>18</v>
      </c>
      <c r="H221" s="7" t="s">
        <v>19</v>
      </c>
      <c r="I221" s="7" t="s">
        <v>241</v>
      </c>
      <c r="J221" s="7" t="s">
        <v>195</v>
      </c>
      <c r="K221" s="7" t="s">
        <v>241</v>
      </c>
      <c r="L221" s="7" t="s">
        <v>31</v>
      </c>
      <c r="M221" s="7">
        <v>5.9708550000000002</v>
      </c>
      <c r="N221" s="7">
        <v>10.164631</v>
      </c>
      <c r="O221" s="7" t="s">
        <v>23</v>
      </c>
      <c r="P221" s="3"/>
      <c r="Q221" s="3"/>
      <c r="R221" s="3"/>
    </row>
    <row r="222" spans="1:18" x14ac:dyDescent="0.25">
      <c r="A222" s="2">
        <v>220</v>
      </c>
      <c r="B222" s="7" t="s">
        <v>2414</v>
      </c>
      <c r="C222" s="7" t="s">
        <v>2415</v>
      </c>
      <c r="D222" s="7" t="s">
        <v>2414</v>
      </c>
      <c r="E222" s="7" t="s">
        <v>26</v>
      </c>
      <c r="F222" s="7" t="s">
        <v>2416</v>
      </c>
      <c r="G222" s="8" t="s">
        <v>18</v>
      </c>
      <c r="H222" s="7" t="s">
        <v>19</v>
      </c>
      <c r="I222" s="7" t="s">
        <v>1010</v>
      </c>
      <c r="J222" s="7" t="s">
        <v>195</v>
      </c>
      <c r="K222" s="7" t="s">
        <v>1010</v>
      </c>
      <c r="L222" s="7" t="s">
        <v>31</v>
      </c>
      <c r="M222" s="7">
        <v>5.9811589999999999</v>
      </c>
      <c r="N222" s="7">
        <v>10.178846999999999</v>
      </c>
      <c r="O222" s="7" t="s">
        <v>23</v>
      </c>
      <c r="P222" s="3"/>
      <c r="Q222" s="3"/>
      <c r="R222" s="3"/>
    </row>
    <row r="223" spans="1:18" x14ac:dyDescent="0.25">
      <c r="A223" s="2">
        <v>221</v>
      </c>
      <c r="B223" s="7" t="s">
        <v>2530</v>
      </c>
      <c r="C223" s="7" t="s">
        <v>2531</v>
      </c>
      <c r="D223" s="7" t="s">
        <v>2530</v>
      </c>
      <c r="E223" s="7" t="s">
        <v>26</v>
      </c>
      <c r="F223" s="7" t="s">
        <v>2532</v>
      </c>
      <c r="G223" s="8" t="s">
        <v>18</v>
      </c>
      <c r="H223" s="7" t="s">
        <v>28</v>
      </c>
      <c r="I223" s="7" t="s">
        <v>241</v>
      </c>
      <c r="J223" s="7" t="s">
        <v>195</v>
      </c>
      <c r="K223" s="7" t="s">
        <v>241</v>
      </c>
      <c r="L223" s="7" t="s">
        <v>31</v>
      </c>
      <c r="M223" s="7">
        <v>5.9593400000000001</v>
      </c>
      <c r="N223" s="7">
        <v>10.14494</v>
      </c>
      <c r="O223" s="7" t="s">
        <v>613</v>
      </c>
      <c r="P223" s="3"/>
      <c r="Q223" s="3"/>
      <c r="R223" s="3"/>
    </row>
    <row r="224" spans="1:18" x14ac:dyDescent="0.25">
      <c r="A224" s="2">
        <v>222</v>
      </c>
      <c r="B224" s="7" t="s">
        <v>2616</v>
      </c>
      <c r="C224" s="7" t="s">
        <v>2617</v>
      </c>
      <c r="D224" s="7" t="s">
        <v>2616</v>
      </c>
      <c r="E224" s="7" t="s">
        <v>26</v>
      </c>
      <c r="F224" s="7" t="s">
        <v>2618</v>
      </c>
      <c r="G224" s="8" t="s">
        <v>18</v>
      </c>
      <c r="H224" s="7" t="s">
        <v>28</v>
      </c>
      <c r="I224" s="7" t="s">
        <v>241</v>
      </c>
      <c r="J224" s="7" t="s">
        <v>195</v>
      </c>
      <c r="K224" s="7" t="s">
        <v>241</v>
      </c>
      <c r="L224" s="7" t="s">
        <v>31</v>
      </c>
      <c r="M224" s="7">
        <v>5.9420900000000003</v>
      </c>
      <c r="N224" s="7">
        <v>10.15291</v>
      </c>
      <c r="O224" s="7" t="s">
        <v>23</v>
      </c>
      <c r="P224" s="3"/>
      <c r="Q224" s="3"/>
      <c r="R224" s="3"/>
    </row>
    <row r="225" spans="1:18" x14ac:dyDescent="0.25">
      <c r="A225" s="2">
        <v>223</v>
      </c>
      <c r="B225" s="7" t="s">
        <v>2690</v>
      </c>
      <c r="C225" s="7" t="s">
        <v>2691</v>
      </c>
      <c r="D225" s="7" t="s">
        <v>2690</v>
      </c>
      <c r="E225" s="7" t="s">
        <v>26</v>
      </c>
      <c r="F225" s="7" t="s">
        <v>2692</v>
      </c>
      <c r="G225" s="8" t="s">
        <v>18</v>
      </c>
      <c r="H225" s="7" t="s">
        <v>28</v>
      </c>
      <c r="I225" s="7" t="s">
        <v>194</v>
      </c>
      <c r="J225" s="7" t="s">
        <v>1160</v>
      </c>
      <c r="K225" s="7" t="s">
        <v>1454</v>
      </c>
      <c r="L225" s="7" t="s">
        <v>31</v>
      </c>
      <c r="M225" s="7">
        <v>5.99031</v>
      </c>
      <c r="N225" s="7">
        <v>10.376480000000001</v>
      </c>
      <c r="O225" s="7" t="s">
        <v>23</v>
      </c>
      <c r="P225" s="3"/>
      <c r="Q225" s="3"/>
      <c r="R225" s="3"/>
    </row>
    <row r="226" spans="1:18" x14ac:dyDescent="0.25">
      <c r="A226" s="2">
        <v>224</v>
      </c>
      <c r="B226" s="7" t="s">
        <v>2716</v>
      </c>
      <c r="C226" s="7" t="s">
        <v>2717</v>
      </c>
      <c r="D226" s="7" t="s">
        <v>2716</v>
      </c>
      <c r="E226" s="7" t="s">
        <v>26</v>
      </c>
      <c r="F226" s="7" t="s">
        <v>2718</v>
      </c>
      <c r="G226" s="8" t="s">
        <v>18</v>
      </c>
      <c r="H226" s="7" t="s">
        <v>19</v>
      </c>
      <c r="I226" s="7" t="s">
        <v>241</v>
      </c>
      <c r="J226" s="7" t="s">
        <v>195</v>
      </c>
      <c r="K226" s="7" t="s">
        <v>2718</v>
      </c>
      <c r="L226" s="7" t="s">
        <v>31</v>
      </c>
      <c r="M226" s="7">
        <v>5.8791859999999998</v>
      </c>
      <c r="N226" s="7">
        <v>10.011922</v>
      </c>
      <c r="O226" s="7" t="s">
        <v>23</v>
      </c>
      <c r="P226" s="3"/>
      <c r="Q226" s="3"/>
      <c r="R226" s="3"/>
    </row>
    <row r="227" spans="1:18" x14ac:dyDescent="0.25">
      <c r="A227" s="2">
        <v>225</v>
      </c>
      <c r="B227" s="7" t="s">
        <v>2731</v>
      </c>
      <c r="C227" s="7" t="s">
        <v>2732</v>
      </c>
      <c r="D227" s="7" t="s">
        <v>2731</v>
      </c>
      <c r="E227" s="7" t="s">
        <v>26</v>
      </c>
      <c r="F227" s="7" t="s">
        <v>2733</v>
      </c>
      <c r="G227" s="8" t="s">
        <v>18</v>
      </c>
      <c r="H227" s="7" t="s">
        <v>28</v>
      </c>
      <c r="I227" s="7" t="s">
        <v>140</v>
      </c>
      <c r="J227" s="7" t="s">
        <v>1160</v>
      </c>
      <c r="K227" s="7" t="s">
        <v>1161</v>
      </c>
      <c r="L227" s="7" t="s">
        <v>31</v>
      </c>
      <c r="M227" s="7">
        <v>6.0702559999999997</v>
      </c>
      <c r="N227" s="7">
        <v>10.487463</v>
      </c>
      <c r="O227" s="7" t="s">
        <v>23</v>
      </c>
      <c r="P227" s="3"/>
      <c r="Q227" s="3"/>
      <c r="R227" s="3"/>
    </row>
    <row r="228" spans="1:18" x14ac:dyDescent="0.25">
      <c r="A228" s="2">
        <v>226</v>
      </c>
      <c r="B228" s="7" t="s">
        <v>2734</v>
      </c>
      <c r="C228" s="7" t="s">
        <v>2735</v>
      </c>
      <c r="D228" s="7" t="s">
        <v>2734</v>
      </c>
      <c r="E228" s="7" t="s">
        <v>26</v>
      </c>
      <c r="F228" s="7" t="s">
        <v>349</v>
      </c>
      <c r="G228" s="8" t="s">
        <v>18</v>
      </c>
      <c r="H228" s="7" t="s">
        <v>19</v>
      </c>
      <c r="I228" s="7" t="s">
        <v>140</v>
      </c>
      <c r="J228" s="7" t="s">
        <v>328</v>
      </c>
      <c r="K228" s="7" t="s">
        <v>349</v>
      </c>
      <c r="L228" s="7" t="s">
        <v>31</v>
      </c>
      <c r="M228" s="7">
        <v>6.083806</v>
      </c>
      <c r="N228" s="7">
        <v>10.608499999999999</v>
      </c>
      <c r="O228" s="7" t="s">
        <v>23</v>
      </c>
      <c r="P228" s="3"/>
      <c r="Q228" s="3"/>
      <c r="R228" s="3"/>
    </row>
    <row r="229" spans="1:18" x14ac:dyDescent="0.25">
      <c r="A229" s="2">
        <v>227</v>
      </c>
      <c r="B229" s="7" t="s">
        <v>2739</v>
      </c>
      <c r="C229" s="7" t="s">
        <v>2740</v>
      </c>
      <c r="D229" s="7" t="s">
        <v>2739</v>
      </c>
      <c r="E229" s="7" t="s">
        <v>26</v>
      </c>
      <c r="F229" s="7" t="s">
        <v>2741</v>
      </c>
      <c r="G229" s="8" t="s">
        <v>18</v>
      </c>
      <c r="H229" s="7" t="s">
        <v>28</v>
      </c>
      <c r="I229" s="7" t="s">
        <v>140</v>
      </c>
      <c r="J229" s="7" t="s">
        <v>1160</v>
      </c>
      <c r="K229" s="7" t="s">
        <v>1161</v>
      </c>
      <c r="L229" s="7" t="s">
        <v>31</v>
      </c>
      <c r="M229" s="7">
        <v>6.332833333</v>
      </c>
      <c r="N229" s="7">
        <v>10.58295833</v>
      </c>
      <c r="O229" s="7" t="s">
        <v>23</v>
      </c>
      <c r="P229" s="3"/>
      <c r="Q229" s="3"/>
      <c r="R229" s="3"/>
    </row>
    <row r="230" spans="1:18" x14ac:dyDescent="0.25">
      <c r="A230" s="2">
        <v>228</v>
      </c>
      <c r="B230" s="7" t="s">
        <v>2746</v>
      </c>
      <c r="C230" s="7" t="s">
        <v>2747</v>
      </c>
      <c r="D230" s="7" t="s">
        <v>2746</v>
      </c>
      <c r="E230" s="7" t="s">
        <v>26</v>
      </c>
      <c r="F230" s="7" t="s">
        <v>349</v>
      </c>
      <c r="G230" s="8" t="s">
        <v>18</v>
      </c>
      <c r="H230" s="7" t="s">
        <v>19</v>
      </c>
      <c r="I230" s="7" t="s">
        <v>140</v>
      </c>
      <c r="J230" s="7" t="s">
        <v>328</v>
      </c>
      <c r="K230" s="7" t="s">
        <v>349</v>
      </c>
      <c r="L230" s="7" t="s">
        <v>31</v>
      </c>
      <c r="M230" s="7">
        <v>6.0825800000000001</v>
      </c>
      <c r="N230" s="7">
        <v>10.60824</v>
      </c>
      <c r="O230" s="7" t="s">
        <v>23</v>
      </c>
      <c r="P230" s="3"/>
      <c r="Q230" s="3"/>
      <c r="R230" s="3"/>
    </row>
    <row r="231" spans="1:18" x14ac:dyDescent="0.25">
      <c r="A231" s="2">
        <v>229</v>
      </c>
      <c r="B231" s="7" t="s">
        <v>2776</v>
      </c>
      <c r="C231" s="7" t="s">
        <v>2777</v>
      </c>
      <c r="D231" s="7" t="s">
        <v>2776</v>
      </c>
      <c r="E231" s="7" t="s">
        <v>26</v>
      </c>
      <c r="F231" s="7" t="s">
        <v>2778</v>
      </c>
      <c r="G231" s="8" t="s">
        <v>18</v>
      </c>
      <c r="H231" s="7" t="s">
        <v>19</v>
      </c>
      <c r="I231" s="7" t="s">
        <v>114</v>
      </c>
      <c r="J231" s="7" t="s">
        <v>328</v>
      </c>
      <c r="K231" s="7" t="s">
        <v>116</v>
      </c>
      <c r="L231" s="7" t="s">
        <v>31</v>
      </c>
      <c r="M231" s="7">
        <v>6.3106299999999997</v>
      </c>
      <c r="N231" s="7">
        <v>10.727040000000001</v>
      </c>
      <c r="O231" s="7" t="s">
        <v>23</v>
      </c>
      <c r="P231" s="3"/>
      <c r="Q231" s="3"/>
      <c r="R231" s="3"/>
    </row>
    <row r="232" spans="1:18" x14ac:dyDescent="0.25">
      <c r="A232" s="2">
        <v>230</v>
      </c>
      <c r="B232" s="7" t="s">
        <v>2783</v>
      </c>
      <c r="C232" s="7" t="s">
        <v>2784</v>
      </c>
      <c r="D232" s="7" t="s">
        <v>2783</v>
      </c>
      <c r="E232" s="7" t="s">
        <v>26</v>
      </c>
      <c r="F232" s="7" t="s">
        <v>547</v>
      </c>
      <c r="G232" s="8" t="s">
        <v>18</v>
      </c>
      <c r="H232" s="7" t="s">
        <v>19</v>
      </c>
      <c r="I232" s="7" t="s">
        <v>241</v>
      </c>
      <c r="J232" s="7" t="s">
        <v>365</v>
      </c>
      <c r="K232" s="7" t="s">
        <v>547</v>
      </c>
      <c r="L232" s="7" t="s">
        <v>31</v>
      </c>
      <c r="M232" s="7">
        <v>6.0065030000000004</v>
      </c>
      <c r="N232" s="7">
        <v>10.001763</v>
      </c>
      <c r="O232" s="7" t="s">
        <v>23</v>
      </c>
      <c r="P232" s="3"/>
      <c r="Q232" s="3"/>
      <c r="R232" s="3"/>
    </row>
    <row r="233" spans="1:18" x14ac:dyDescent="0.25">
      <c r="A233" s="2">
        <v>231</v>
      </c>
      <c r="B233" s="7" t="s">
        <v>2785</v>
      </c>
      <c r="C233" s="7" t="s">
        <v>2786</v>
      </c>
      <c r="D233" s="7" t="s">
        <v>2785</v>
      </c>
      <c r="E233" s="7" t="s">
        <v>26</v>
      </c>
      <c r="F233" s="7" t="s">
        <v>2787</v>
      </c>
      <c r="G233" s="8" t="s">
        <v>18</v>
      </c>
      <c r="H233" s="7" t="s">
        <v>28</v>
      </c>
      <c r="I233" s="7" t="s">
        <v>140</v>
      </c>
      <c r="J233" s="7" t="s">
        <v>328</v>
      </c>
      <c r="K233" s="7" t="s">
        <v>349</v>
      </c>
      <c r="L233" s="7" t="s">
        <v>31</v>
      </c>
      <c r="M233" s="7">
        <v>6.0773165999999996</v>
      </c>
      <c r="N233" s="7">
        <v>10.640361</v>
      </c>
      <c r="O233" s="7" t="s">
        <v>23</v>
      </c>
      <c r="P233" s="3"/>
      <c r="Q233" s="3"/>
      <c r="R233" s="3"/>
    </row>
    <row r="234" spans="1:18" x14ac:dyDescent="0.25">
      <c r="A234" s="2">
        <v>232</v>
      </c>
      <c r="B234" s="7" t="s">
        <v>2794</v>
      </c>
      <c r="C234" s="7" t="s">
        <v>2795</v>
      </c>
      <c r="D234" s="7" t="s">
        <v>2794</v>
      </c>
      <c r="E234" s="7" t="s">
        <v>26</v>
      </c>
      <c r="F234" s="7" t="s">
        <v>29</v>
      </c>
      <c r="G234" s="8" t="s">
        <v>18</v>
      </c>
      <c r="H234" s="7" t="s">
        <v>19</v>
      </c>
      <c r="I234" s="7" t="s">
        <v>29</v>
      </c>
      <c r="J234" s="7" t="s">
        <v>195</v>
      </c>
      <c r="K234" s="7" t="s">
        <v>29</v>
      </c>
      <c r="L234" s="7" t="s">
        <v>31</v>
      </c>
      <c r="M234" s="7">
        <v>6.0735999999999999</v>
      </c>
      <c r="N234" s="7">
        <v>10.142670000000001</v>
      </c>
      <c r="O234" s="7" t="s">
        <v>23</v>
      </c>
      <c r="P234" s="3"/>
      <c r="Q234" s="3"/>
      <c r="R234" s="3"/>
    </row>
    <row r="235" spans="1:18" x14ac:dyDescent="0.25">
      <c r="A235" s="2">
        <v>233</v>
      </c>
      <c r="B235" s="7" t="s">
        <v>2830</v>
      </c>
      <c r="C235" s="7" t="s">
        <v>2831</v>
      </c>
      <c r="D235" s="7" t="s">
        <v>2830</v>
      </c>
      <c r="E235" s="7" t="s">
        <v>26</v>
      </c>
      <c r="F235" s="7" t="s">
        <v>2832</v>
      </c>
      <c r="G235" s="8" t="s">
        <v>18</v>
      </c>
      <c r="H235" s="7" t="s">
        <v>28</v>
      </c>
      <c r="I235" s="7" t="s">
        <v>241</v>
      </c>
      <c r="J235" s="7" t="s">
        <v>195</v>
      </c>
      <c r="K235" s="7" t="s">
        <v>241</v>
      </c>
      <c r="L235" s="7" t="s">
        <v>31</v>
      </c>
      <c r="M235" s="7">
        <v>5.9586490000000003</v>
      </c>
      <c r="N235" s="7">
        <v>10.129381</v>
      </c>
      <c r="O235" s="7" t="s">
        <v>23</v>
      </c>
      <c r="P235" s="3"/>
      <c r="Q235" s="3"/>
      <c r="R235" s="3"/>
    </row>
    <row r="236" spans="1:18" x14ac:dyDescent="0.25">
      <c r="A236" s="2">
        <v>234</v>
      </c>
      <c r="B236" s="7" t="s">
        <v>2833</v>
      </c>
      <c r="C236" s="7" t="s">
        <v>2834</v>
      </c>
      <c r="D236" s="7" t="s">
        <v>2833</v>
      </c>
      <c r="E236" s="7" t="s">
        <v>26</v>
      </c>
      <c r="F236" s="7" t="s">
        <v>2835</v>
      </c>
      <c r="G236" s="8" t="s">
        <v>18</v>
      </c>
      <c r="H236" s="7" t="s">
        <v>28</v>
      </c>
      <c r="I236" s="7" t="s">
        <v>194</v>
      </c>
      <c r="J236" s="7" t="s">
        <v>195</v>
      </c>
      <c r="K236" s="7" t="s">
        <v>194</v>
      </c>
      <c r="L236" s="7" t="s">
        <v>31</v>
      </c>
      <c r="M236" s="7">
        <v>5.9335040000000001</v>
      </c>
      <c r="N236" s="7">
        <v>10.183420999999999</v>
      </c>
      <c r="O236" s="7" t="s">
        <v>23</v>
      </c>
      <c r="P236" s="3"/>
      <c r="Q236" s="3"/>
      <c r="R236" s="3"/>
    </row>
    <row r="237" spans="1:18" x14ac:dyDescent="0.25">
      <c r="A237" s="2">
        <v>235</v>
      </c>
      <c r="B237" s="7" t="s">
        <v>2883</v>
      </c>
      <c r="C237" s="7" t="s">
        <v>2884</v>
      </c>
      <c r="D237" s="7" t="s">
        <v>2883</v>
      </c>
      <c r="E237" s="7" t="s">
        <v>26</v>
      </c>
      <c r="F237" s="7" t="s">
        <v>1454</v>
      </c>
      <c r="G237" s="8" t="s">
        <v>18</v>
      </c>
      <c r="H237" s="7" t="s">
        <v>19</v>
      </c>
      <c r="I237" s="7" t="s">
        <v>140</v>
      </c>
      <c r="J237" s="7" t="s">
        <v>1160</v>
      </c>
      <c r="K237" s="7" t="s">
        <v>1454</v>
      </c>
      <c r="L237" s="7" t="s">
        <v>31</v>
      </c>
      <c r="M237" s="7">
        <v>5.9846166670000001</v>
      </c>
      <c r="N237" s="7">
        <v>10.43468333</v>
      </c>
      <c r="O237" s="7" t="s">
        <v>23</v>
      </c>
      <c r="P237" s="3"/>
      <c r="Q237" s="3"/>
      <c r="R237" s="3"/>
    </row>
    <row r="238" spans="1:18" x14ac:dyDescent="0.25">
      <c r="A238" s="2">
        <v>236</v>
      </c>
      <c r="B238" s="7" t="s">
        <v>3093</v>
      </c>
      <c r="C238" s="7" t="s">
        <v>3094</v>
      </c>
      <c r="D238" s="7" t="s">
        <v>3093</v>
      </c>
      <c r="E238" s="7" t="s">
        <v>26</v>
      </c>
      <c r="F238" s="7" t="s">
        <v>3095</v>
      </c>
      <c r="G238" s="8" t="s">
        <v>18</v>
      </c>
      <c r="H238" s="7" t="s">
        <v>28</v>
      </c>
      <c r="I238" s="7" t="s">
        <v>241</v>
      </c>
      <c r="J238" s="7" t="s">
        <v>365</v>
      </c>
      <c r="K238" s="7" t="s">
        <v>3095</v>
      </c>
      <c r="L238" s="7" t="s">
        <v>31</v>
      </c>
      <c r="M238" s="7">
        <v>5.8363839999999998</v>
      </c>
      <c r="N238" s="7">
        <v>9.8830439999999999</v>
      </c>
      <c r="O238" s="7" t="s">
        <v>23</v>
      </c>
      <c r="P238" s="3"/>
      <c r="Q238" s="3"/>
      <c r="R238" s="3"/>
    </row>
    <row r="239" spans="1:18" x14ac:dyDescent="0.25">
      <c r="A239" s="2">
        <v>237</v>
      </c>
      <c r="B239" s="7" t="s">
        <v>3199</v>
      </c>
      <c r="C239" s="7" t="s">
        <v>3200</v>
      </c>
      <c r="D239" s="7" t="s">
        <v>3199</v>
      </c>
      <c r="E239" s="7" t="s">
        <v>26</v>
      </c>
      <c r="F239" s="7" t="s">
        <v>3201</v>
      </c>
      <c r="G239" s="8" t="s">
        <v>18</v>
      </c>
      <c r="H239" s="7" t="s">
        <v>28</v>
      </c>
      <c r="I239" s="7" t="s">
        <v>194</v>
      </c>
      <c r="J239" s="7" t="s">
        <v>195</v>
      </c>
      <c r="K239" s="7" t="s">
        <v>3202</v>
      </c>
      <c r="L239" s="7" t="s">
        <v>31</v>
      </c>
      <c r="M239" s="7">
        <v>6.0077199999999999</v>
      </c>
      <c r="N239" s="7">
        <v>10.253880000000001</v>
      </c>
      <c r="O239" s="7" t="s">
        <v>23</v>
      </c>
      <c r="P239" s="3"/>
      <c r="Q239" s="3"/>
      <c r="R239" s="3"/>
    </row>
    <row r="240" spans="1:18" x14ac:dyDescent="0.25">
      <c r="A240" s="2">
        <v>238</v>
      </c>
      <c r="B240" s="7" t="s">
        <v>3233</v>
      </c>
      <c r="C240" s="7" t="s">
        <v>3234</v>
      </c>
      <c r="D240" s="7" t="s">
        <v>3233</v>
      </c>
      <c r="E240" s="7" t="s">
        <v>26</v>
      </c>
      <c r="F240" s="7" t="s">
        <v>3235</v>
      </c>
      <c r="G240" s="8" t="s">
        <v>18</v>
      </c>
      <c r="H240" s="7" t="s">
        <v>28</v>
      </c>
      <c r="I240" s="7" t="s">
        <v>241</v>
      </c>
      <c r="J240" s="7" t="s">
        <v>195</v>
      </c>
      <c r="K240" s="7" t="s">
        <v>2718</v>
      </c>
      <c r="L240" s="7" t="s">
        <v>31</v>
      </c>
      <c r="M240" s="7">
        <v>5.8916944439999996</v>
      </c>
      <c r="N240" s="7">
        <v>10.02088889</v>
      </c>
      <c r="O240" s="7" t="s">
        <v>23</v>
      </c>
      <c r="P240" s="3"/>
      <c r="Q240" s="3"/>
      <c r="R240" s="3"/>
    </row>
    <row r="241" spans="1:18" x14ac:dyDescent="0.25">
      <c r="A241" s="2">
        <v>239</v>
      </c>
      <c r="B241" s="7" t="s">
        <v>3299</v>
      </c>
      <c r="C241" s="7" t="s">
        <v>3300</v>
      </c>
      <c r="D241" s="7" t="s">
        <v>3299</v>
      </c>
      <c r="E241" s="7" t="s">
        <v>26</v>
      </c>
      <c r="F241" s="7" t="s">
        <v>3301</v>
      </c>
      <c r="G241" s="8" t="s">
        <v>18</v>
      </c>
      <c r="H241" s="7" t="s">
        <v>28</v>
      </c>
      <c r="I241" s="7" t="s">
        <v>1010</v>
      </c>
      <c r="J241" s="7" t="s">
        <v>195</v>
      </c>
      <c r="K241" s="7" t="s">
        <v>241</v>
      </c>
      <c r="L241" s="7" t="s">
        <v>31</v>
      </c>
      <c r="M241" s="7">
        <v>5.9587719999999997</v>
      </c>
      <c r="N241" s="7">
        <v>10.168169000000001</v>
      </c>
      <c r="O241" s="7" t="s">
        <v>23</v>
      </c>
      <c r="P241" s="3"/>
      <c r="Q241" s="3"/>
      <c r="R241" s="3"/>
    </row>
    <row r="242" spans="1:18" x14ac:dyDescent="0.25">
      <c r="A242" s="2">
        <v>240</v>
      </c>
      <c r="B242" s="7" t="s">
        <v>3302</v>
      </c>
      <c r="C242" s="7" t="s">
        <v>3303</v>
      </c>
      <c r="D242" s="7" t="s">
        <v>3302</v>
      </c>
      <c r="E242" s="7" t="s">
        <v>26</v>
      </c>
      <c r="F242" s="7" t="s">
        <v>3304</v>
      </c>
      <c r="G242" s="8" t="s">
        <v>18</v>
      </c>
      <c r="H242" s="7" t="s">
        <v>28</v>
      </c>
      <c r="I242" s="7" t="s">
        <v>241</v>
      </c>
      <c r="J242" s="7" t="s">
        <v>195</v>
      </c>
      <c r="K242" s="7" t="s">
        <v>241</v>
      </c>
      <c r="L242" s="7" t="s">
        <v>31</v>
      </c>
      <c r="M242" s="7">
        <v>5.9534719999999997</v>
      </c>
      <c r="N242" s="7">
        <v>10.146556</v>
      </c>
      <c r="O242" s="7" t="s">
        <v>613</v>
      </c>
      <c r="P242" s="3"/>
      <c r="Q242" s="3"/>
      <c r="R242" s="3"/>
    </row>
    <row r="243" spans="1:18" x14ac:dyDescent="0.25">
      <c r="A243" s="2">
        <v>241</v>
      </c>
      <c r="B243" s="7" t="s">
        <v>3430</v>
      </c>
      <c r="C243" s="7" t="s">
        <v>3431</v>
      </c>
      <c r="D243" s="7" t="s">
        <v>3430</v>
      </c>
      <c r="E243" s="7" t="s">
        <v>26</v>
      </c>
      <c r="F243" s="7" t="s">
        <v>3432</v>
      </c>
      <c r="G243" s="8" t="s">
        <v>18</v>
      </c>
      <c r="H243" s="7" t="s">
        <v>28</v>
      </c>
      <c r="I243" s="7" t="s">
        <v>1010</v>
      </c>
      <c r="J243" s="7" t="s">
        <v>195</v>
      </c>
      <c r="K243" s="7" t="s">
        <v>241</v>
      </c>
      <c r="L243" s="7" t="s">
        <v>31</v>
      </c>
      <c r="M243" s="7">
        <v>5.9719709999999999</v>
      </c>
      <c r="N243" s="7">
        <v>10.141662999999999</v>
      </c>
      <c r="O243" s="7" t="s">
        <v>23</v>
      </c>
      <c r="P243" s="3"/>
      <c r="Q243" s="3"/>
      <c r="R243" s="3"/>
    </row>
    <row r="244" spans="1:18" x14ac:dyDescent="0.25">
      <c r="A244" s="2">
        <v>242</v>
      </c>
      <c r="B244" s="7" t="s">
        <v>3453</v>
      </c>
      <c r="C244" s="7" t="s">
        <v>3454</v>
      </c>
      <c r="D244" s="7" t="s">
        <v>3453</v>
      </c>
      <c r="E244" s="7" t="s">
        <v>26</v>
      </c>
      <c r="F244" s="7" t="s">
        <v>3455</v>
      </c>
      <c r="G244" s="8" t="s">
        <v>18</v>
      </c>
      <c r="H244" s="7" t="s">
        <v>28</v>
      </c>
      <c r="I244" s="7" t="s">
        <v>194</v>
      </c>
      <c r="J244" s="7" t="s">
        <v>195</v>
      </c>
      <c r="K244" s="7" t="s">
        <v>241</v>
      </c>
      <c r="L244" s="7" t="s">
        <v>31</v>
      </c>
      <c r="M244" s="7">
        <v>5.9725840000000003</v>
      </c>
      <c r="N244" s="7">
        <v>10.173876</v>
      </c>
      <c r="O244" s="7" t="s">
        <v>613</v>
      </c>
      <c r="P244" s="3"/>
      <c r="Q244" s="3"/>
      <c r="R244" s="3"/>
    </row>
    <row r="245" spans="1:18" x14ac:dyDescent="0.25">
      <c r="A245" s="2">
        <v>243</v>
      </c>
      <c r="B245" s="7" t="s">
        <v>3565</v>
      </c>
      <c r="C245" s="7" t="s">
        <v>3566</v>
      </c>
      <c r="D245" s="7" t="s">
        <v>3565</v>
      </c>
      <c r="E245" s="7" t="s">
        <v>26</v>
      </c>
      <c r="F245" s="7" t="s">
        <v>3567</v>
      </c>
      <c r="G245" s="8" t="s">
        <v>18</v>
      </c>
      <c r="H245" s="7" t="s">
        <v>28</v>
      </c>
      <c r="I245" s="7" t="s">
        <v>1010</v>
      </c>
      <c r="J245" s="7" t="s">
        <v>195</v>
      </c>
      <c r="K245" s="7" t="s">
        <v>194</v>
      </c>
      <c r="L245" s="7" t="s">
        <v>31</v>
      </c>
      <c r="M245" s="7">
        <v>5.9441670000000002</v>
      </c>
      <c r="N245" s="7">
        <v>10.170555999999999</v>
      </c>
      <c r="O245" s="7" t="s">
        <v>23</v>
      </c>
      <c r="P245" s="3"/>
      <c r="Q245" s="3"/>
      <c r="R245" s="3"/>
    </row>
    <row r="246" spans="1:18" x14ac:dyDescent="0.25">
      <c r="A246" s="2">
        <v>244</v>
      </c>
      <c r="B246" s="7" t="s">
        <v>3796</v>
      </c>
      <c r="C246" s="7" t="s">
        <v>3797</v>
      </c>
      <c r="D246" s="7" t="s">
        <v>3796</v>
      </c>
      <c r="E246" s="7" t="s">
        <v>26</v>
      </c>
      <c r="F246" s="7" t="s">
        <v>3798</v>
      </c>
      <c r="G246" s="8" t="s">
        <v>18</v>
      </c>
      <c r="H246" s="7" t="s">
        <v>28</v>
      </c>
      <c r="I246" s="7" t="s">
        <v>29</v>
      </c>
      <c r="J246" s="7" t="s">
        <v>195</v>
      </c>
      <c r="K246" s="7" t="s">
        <v>241</v>
      </c>
      <c r="L246" s="7" t="s">
        <v>31</v>
      </c>
      <c r="M246" s="7">
        <v>6.0110599999999996</v>
      </c>
      <c r="N246" s="7">
        <v>10.11225</v>
      </c>
      <c r="O246" s="7" t="s">
        <v>23</v>
      </c>
      <c r="P246" s="3"/>
      <c r="Q246" s="3"/>
      <c r="R246" s="3"/>
    </row>
    <row r="247" spans="1:18" x14ac:dyDescent="0.25">
      <c r="A247" s="2">
        <v>245</v>
      </c>
      <c r="B247" s="7" t="s">
        <v>3923</v>
      </c>
      <c r="C247" s="7" t="s">
        <v>3924</v>
      </c>
      <c r="D247" s="7" t="s">
        <v>3923</v>
      </c>
      <c r="E247" s="7" t="s">
        <v>26</v>
      </c>
      <c r="F247" s="7" t="s">
        <v>3925</v>
      </c>
      <c r="G247" s="8" t="s">
        <v>18</v>
      </c>
      <c r="H247" s="7" t="s">
        <v>28</v>
      </c>
      <c r="I247" s="7" t="s">
        <v>140</v>
      </c>
      <c r="J247" s="7" t="s">
        <v>1160</v>
      </c>
      <c r="K247" s="7" t="s">
        <v>1454</v>
      </c>
      <c r="L247" s="7" t="s">
        <v>31</v>
      </c>
      <c r="M247" s="7">
        <v>6.0013800000000002</v>
      </c>
      <c r="N247" s="7">
        <v>10.44359</v>
      </c>
      <c r="O247" s="7" t="s">
        <v>23</v>
      </c>
      <c r="P247" s="3"/>
      <c r="Q247" s="3"/>
      <c r="R247" s="3"/>
    </row>
    <row r="248" spans="1:18" x14ac:dyDescent="0.25">
      <c r="A248" s="2">
        <v>246</v>
      </c>
      <c r="B248" s="7" t="s">
        <v>4032</v>
      </c>
      <c r="C248" s="7" t="s">
        <v>4033</v>
      </c>
      <c r="D248" s="7" t="s">
        <v>4032</v>
      </c>
      <c r="E248" s="7" t="s">
        <v>26</v>
      </c>
      <c r="F248" s="7" t="s">
        <v>140</v>
      </c>
      <c r="G248" s="8" t="s">
        <v>18</v>
      </c>
      <c r="H248" s="7" t="s">
        <v>19</v>
      </c>
      <c r="I248" s="7" t="s">
        <v>140</v>
      </c>
      <c r="J248" s="7" t="s">
        <v>328</v>
      </c>
      <c r="K248" s="7" t="s">
        <v>1920</v>
      </c>
      <c r="L248" s="7" t="s">
        <v>31</v>
      </c>
      <c r="M248" s="7">
        <v>6.20106</v>
      </c>
      <c r="N248" s="7">
        <v>10.70356</v>
      </c>
      <c r="O248" s="7" t="s">
        <v>23</v>
      </c>
      <c r="P248" s="3"/>
      <c r="Q248" s="3"/>
      <c r="R248" s="3"/>
    </row>
    <row r="249" spans="1:18" x14ac:dyDescent="0.25">
      <c r="A249" s="2">
        <v>247</v>
      </c>
      <c r="B249" s="7" t="s">
        <v>4055</v>
      </c>
      <c r="C249" s="7" t="s">
        <v>4056</v>
      </c>
      <c r="D249" s="7" t="s">
        <v>4055</v>
      </c>
      <c r="E249" s="7" t="s">
        <v>26</v>
      </c>
      <c r="F249" s="7" t="s">
        <v>722</v>
      </c>
      <c r="G249" s="8" t="s">
        <v>18</v>
      </c>
      <c r="H249" s="7" t="s">
        <v>28</v>
      </c>
      <c r="I249" s="7" t="s">
        <v>140</v>
      </c>
      <c r="J249" s="7" t="s">
        <v>328</v>
      </c>
      <c r="K249" s="7" t="s">
        <v>722</v>
      </c>
      <c r="L249" s="7" t="s">
        <v>31</v>
      </c>
      <c r="M249" s="7">
        <v>6.24871</v>
      </c>
      <c r="N249" s="7">
        <v>10.50643</v>
      </c>
      <c r="O249" s="7" t="s">
        <v>23</v>
      </c>
      <c r="P249" s="3"/>
      <c r="Q249" s="3"/>
      <c r="R249" s="3"/>
    </row>
    <row r="250" spans="1:18" x14ac:dyDescent="0.25">
      <c r="A250" s="2">
        <v>248</v>
      </c>
      <c r="B250" s="7" t="s">
        <v>4106</v>
      </c>
      <c r="C250" s="7" t="s">
        <v>4107</v>
      </c>
      <c r="D250" s="7" t="s">
        <v>4106</v>
      </c>
      <c r="E250" s="7" t="s">
        <v>26</v>
      </c>
      <c r="F250" s="7" t="s">
        <v>4108</v>
      </c>
      <c r="G250" s="8" t="s">
        <v>18</v>
      </c>
      <c r="H250" s="7" t="s">
        <v>19</v>
      </c>
      <c r="I250" s="7" t="s">
        <v>140</v>
      </c>
      <c r="J250" s="7" t="s">
        <v>328</v>
      </c>
      <c r="K250" s="7" t="s">
        <v>1920</v>
      </c>
      <c r="L250" s="7" t="s">
        <v>31</v>
      </c>
      <c r="M250" s="7">
        <v>6.2024169999999996</v>
      </c>
      <c r="N250" s="7">
        <v>10.703722000000001</v>
      </c>
      <c r="O250" s="7" t="s">
        <v>23</v>
      </c>
      <c r="P250" s="3"/>
      <c r="Q250" s="3"/>
      <c r="R250" s="3"/>
    </row>
    <row r="251" spans="1:18" x14ac:dyDescent="0.25">
      <c r="A251" s="2">
        <v>249</v>
      </c>
      <c r="B251" s="7" t="s">
        <v>4240</v>
      </c>
      <c r="C251" s="7" t="s">
        <v>4241</v>
      </c>
      <c r="D251" s="7" t="s">
        <v>4240</v>
      </c>
      <c r="E251" s="7" t="s">
        <v>26</v>
      </c>
      <c r="F251" s="7" t="s">
        <v>4242</v>
      </c>
      <c r="G251" s="8" t="s">
        <v>18</v>
      </c>
      <c r="H251" s="7" t="s">
        <v>28</v>
      </c>
      <c r="I251" s="7" t="s">
        <v>140</v>
      </c>
      <c r="J251" s="7" t="s">
        <v>328</v>
      </c>
      <c r="K251" s="7" t="s">
        <v>722</v>
      </c>
      <c r="L251" s="7" t="s">
        <v>31</v>
      </c>
      <c r="M251" s="7">
        <v>6.2387277780000003</v>
      </c>
      <c r="N251" s="7">
        <v>10.498950000000001</v>
      </c>
      <c r="O251" s="7" t="s">
        <v>23</v>
      </c>
      <c r="P251" s="3"/>
      <c r="Q251" s="3"/>
      <c r="R251" s="3"/>
    </row>
    <row r="252" spans="1:18" x14ac:dyDescent="0.25">
      <c r="A252" s="2">
        <v>250</v>
      </c>
      <c r="B252" s="7" t="s">
        <v>4247</v>
      </c>
      <c r="C252" s="7" t="s">
        <v>4248</v>
      </c>
      <c r="D252" s="7" t="s">
        <v>4247</v>
      </c>
      <c r="E252" s="7" t="s">
        <v>26</v>
      </c>
      <c r="F252" s="7" t="s">
        <v>4249</v>
      </c>
      <c r="G252" s="8" t="s">
        <v>18</v>
      </c>
      <c r="H252" s="7" t="s">
        <v>28</v>
      </c>
      <c r="I252" s="7" t="s">
        <v>241</v>
      </c>
      <c r="J252" s="7" t="s">
        <v>195</v>
      </c>
      <c r="K252" s="7" t="s">
        <v>1182</v>
      </c>
      <c r="L252" s="7" t="s">
        <v>31</v>
      </c>
      <c r="M252" s="7">
        <v>5.7762250000000002</v>
      </c>
      <c r="N252" s="7">
        <v>10.068580000000001</v>
      </c>
      <c r="O252" s="7" t="s">
        <v>23</v>
      </c>
      <c r="P252" s="3"/>
      <c r="Q252" s="3"/>
      <c r="R252" s="3"/>
    </row>
    <row r="253" spans="1:18" x14ac:dyDescent="0.25">
      <c r="A253" s="2">
        <v>251</v>
      </c>
      <c r="B253" s="7" t="s">
        <v>4255</v>
      </c>
      <c r="C253" s="7" t="s">
        <v>4256</v>
      </c>
      <c r="D253" s="7" t="s">
        <v>4255</v>
      </c>
      <c r="E253" s="7" t="s">
        <v>26</v>
      </c>
      <c r="F253" s="7" t="s">
        <v>4257</v>
      </c>
      <c r="G253" s="8" t="s">
        <v>18</v>
      </c>
      <c r="H253" s="7" t="s">
        <v>19</v>
      </c>
      <c r="I253" s="7" t="s">
        <v>1010</v>
      </c>
      <c r="J253" s="7" t="s">
        <v>195</v>
      </c>
      <c r="K253" s="7" t="s">
        <v>241</v>
      </c>
      <c r="L253" s="7" t="s">
        <v>31</v>
      </c>
      <c r="M253" s="7">
        <v>5.9838300000000002</v>
      </c>
      <c r="N253" s="7">
        <v>10.129958</v>
      </c>
      <c r="O253" s="7" t="s">
        <v>23</v>
      </c>
      <c r="P253" s="3"/>
      <c r="Q253" s="3"/>
      <c r="R253" s="3"/>
    </row>
    <row r="254" spans="1:18" x14ac:dyDescent="0.25">
      <c r="A254" s="2">
        <v>252</v>
      </c>
      <c r="B254" s="7" t="s">
        <v>4270</v>
      </c>
      <c r="C254" s="7" t="s">
        <v>4271</v>
      </c>
      <c r="D254" s="7" t="s">
        <v>4270</v>
      </c>
      <c r="E254" s="7" t="s">
        <v>26</v>
      </c>
      <c r="F254" s="7" t="s">
        <v>4272</v>
      </c>
      <c r="G254" s="8" t="s">
        <v>18</v>
      </c>
      <c r="H254" s="7" t="s">
        <v>28</v>
      </c>
      <c r="I254" s="7" t="s">
        <v>194</v>
      </c>
      <c r="J254" s="7" t="s">
        <v>1054</v>
      </c>
      <c r="K254" s="7" t="s">
        <v>1152</v>
      </c>
      <c r="L254" s="7" t="s">
        <v>31</v>
      </c>
      <c r="M254" s="7">
        <v>5.877891</v>
      </c>
      <c r="N254" s="7">
        <v>10.389462</v>
      </c>
      <c r="O254" s="7" t="s">
        <v>23</v>
      </c>
      <c r="P254" s="3"/>
      <c r="Q254" s="3"/>
      <c r="R254" s="3"/>
    </row>
    <row r="255" spans="1:18" x14ac:dyDescent="0.25">
      <c r="A255" s="2">
        <v>253</v>
      </c>
      <c r="B255" s="7" t="s">
        <v>4280</v>
      </c>
      <c r="C255" s="7" t="s">
        <v>4281</v>
      </c>
      <c r="D255" s="7" t="s">
        <v>4280</v>
      </c>
      <c r="E255" s="7" t="s">
        <v>26</v>
      </c>
      <c r="F255" s="7" t="s">
        <v>1969</v>
      </c>
      <c r="G255" s="8" t="s">
        <v>18</v>
      </c>
      <c r="H255" s="7" t="s">
        <v>28</v>
      </c>
      <c r="I255" s="7" t="s">
        <v>194</v>
      </c>
      <c r="J255" s="7" t="s">
        <v>766</v>
      </c>
      <c r="K255" s="7" t="s">
        <v>4282</v>
      </c>
      <c r="L255" s="7" t="s">
        <v>31</v>
      </c>
      <c r="M255" s="7">
        <v>6.176361</v>
      </c>
      <c r="N255" s="7">
        <v>10.341443999999999</v>
      </c>
      <c r="O255" s="7" t="s">
        <v>23</v>
      </c>
      <c r="P255" s="3"/>
      <c r="Q255" s="3"/>
      <c r="R255" s="3"/>
    </row>
    <row r="256" spans="1:18" x14ac:dyDescent="0.25">
      <c r="A256" s="2">
        <v>254</v>
      </c>
      <c r="B256" s="7" t="s">
        <v>4302</v>
      </c>
      <c r="C256" s="7" t="s">
        <v>4303</v>
      </c>
      <c r="D256" s="7" t="s">
        <v>4302</v>
      </c>
      <c r="E256" s="7" t="s">
        <v>26</v>
      </c>
      <c r="F256" s="7" t="s">
        <v>4304</v>
      </c>
      <c r="G256" s="8" t="s">
        <v>18</v>
      </c>
      <c r="H256" s="7" t="s">
        <v>28</v>
      </c>
      <c r="I256" s="7" t="s">
        <v>140</v>
      </c>
      <c r="J256" s="7" t="s">
        <v>328</v>
      </c>
      <c r="K256" s="7" t="s">
        <v>349</v>
      </c>
      <c r="L256" s="7" t="s">
        <v>31</v>
      </c>
      <c r="M256" s="7">
        <v>6.1369899999999999</v>
      </c>
      <c r="N256" s="7">
        <v>10.58663</v>
      </c>
      <c r="O256" s="7" t="s">
        <v>23</v>
      </c>
      <c r="P256" s="3"/>
      <c r="Q256" s="3"/>
      <c r="R256" s="3"/>
    </row>
    <row r="257" spans="1:18" x14ac:dyDescent="0.25">
      <c r="A257" s="2">
        <v>255</v>
      </c>
      <c r="B257" s="7" t="s">
        <v>4308</v>
      </c>
      <c r="C257" s="7" t="s">
        <v>4309</v>
      </c>
      <c r="D257" s="7" t="s">
        <v>4308</v>
      </c>
      <c r="E257" s="7" t="s">
        <v>26</v>
      </c>
      <c r="F257" s="7" t="s">
        <v>196</v>
      </c>
      <c r="G257" s="8" t="s">
        <v>18</v>
      </c>
      <c r="H257" s="7" t="s">
        <v>28</v>
      </c>
      <c r="I257" s="7" t="s">
        <v>194</v>
      </c>
      <c r="J257" s="7" t="s">
        <v>195</v>
      </c>
      <c r="K257" s="7" t="s">
        <v>3202</v>
      </c>
      <c r="L257" s="7" t="s">
        <v>31</v>
      </c>
      <c r="M257" s="7">
        <v>6.01844</v>
      </c>
      <c r="N257" s="7">
        <v>10.241580000000001</v>
      </c>
      <c r="O257" s="7" t="s">
        <v>23</v>
      </c>
      <c r="P257" s="3"/>
      <c r="Q257" s="3"/>
      <c r="R257" s="3"/>
    </row>
    <row r="258" spans="1:18" x14ac:dyDescent="0.25">
      <c r="A258" s="2">
        <v>256</v>
      </c>
      <c r="B258" s="7" t="s">
        <v>4310</v>
      </c>
      <c r="C258" s="7" t="s">
        <v>4311</v>
      </c>
      <c r="D258" s="7" t="s">
        <v>4310</v>
      </c>
      <c r="E258" s="7" t="s">
        <v>26</v>
      </c>
      <c r="F258" s="7" t="s">
        <v>4312</v>
      </c>
      <c r="G258" s="8" t="s">
        <v>1106</v>
      </c>
      <c r="H258" s="7" t="s">
        <v>28</v>
      </c>
      <c r="I258" s="7" t="s">
        <v>245</v>
      </c>
      <c r="J258" s="7" t="s">
        <v>761</v>
      </c>
      <c r="K258" s="7" t="s">
        <v>4275</v>
      </c>
      <c r="L258" s="7" t="s">
        <v>31</v>
      </c>
      <c r="M258" s="7">
        <v>5.7354200000000004</v>
      </c>
      <c r="N258" s="7">
        <v>10.14756</v>
      </c>
      <c r="O258" s="7" t="s">
        <v>23</v>
      </c>
      <c r="P258" s="3"/>
      <c r="Q258" s="3"/>
      <c r="R258" s="3"/>
    </row>
    <row r="259" spans="1:18" x14ac:dyDescent="0.25">
      <c r="A259" s="2">
        <v>257</v>
      </c>
      <c r="B259" s="7" t="s">
        <v>4313</v>
      </c>
      <c r="C259" s="7" t="s">
        <v>4314</v>
      </c>
      <c r="D259" s="7" t="s">
        <v>4313</v>
      </c>
      <c r="E259" s="7" t="s">
        <v>26</v>
      </c>
      <c r="F259" s="7" t="s">
        <v>4315</v>
      </c>
      <c r="G259" s="8" t="s">
        <v>18</v>
      </c>
      <c r="H259" s="7" t="s">
        <v>28</v>
      </c>
      <c r="I259" s="7" t="s">
        <v>140</v>
      </c>
      <c r="J259" s="7" t="s">
        <v>328</v>
      </c>
      <c r="K259" s="7" t="s">
        <v>349</v>
      </c>
      <c r="L259" s="7" t="s">
        <v>31</v>
      </c>
      <c r="M259" s="7">
        <v>6.1365400000000001</v>
      </c>
      <c r="N259" s="7">
        <v>10.64364</v>
      </c>
      <c r="O259" s="7" t="s">
        <v>23</v>
      </c>
      <c r="P259" s="3"/>
      <c r="Q259" s="3"/>
      <c r="R259" s="3"/>
    </row>
    <row r="260" spans="1:18" x14ac:dyDescent="0.25">
      <c r="A260" s="2">
        <v>258</v>
      </c>
      <c r="B260" s="7" t="s">
        <v>4348</v>
      </c>
      <c r="C260" s="7" t="s">
        <v>4349</v>
      </c>
      <c r="D260" s="7" t="s">
        <v>4348</v>
      </c>
      <c r="E260" s="7" t="s">
        <v>26</v>
      </c>
      <c r="F260" s="7" t="s">
        <v>4350</v>
      </c>
      <c r="G260" s="8" t="s">
        <v>18</v>
      </c>
      <c r="H260" s="7" t="s">
        <v>28</v>
      </c>
      <c r="I260" s="7" t="s">
        <v>194</v>
      </c>
      <c r="J260" s="7" t="s">
        <v>195</v>
      </c>
      <c r="K260" s="7" t="s">
        <v>1010</v>
      </c>
      <c r="L260" s="7" t="s">
        <v>31</v>
      </c>
      <c r="M260" s="7">
        <v>5.9953599999999998</v>
      </c>
      <c r="N260" s="7">
        <v>10.200519999999999</v>
      </c>
      <c r="O260" s="7" t="s">
        <v>23</v>
      </c>
      <c r="P260" s="3"/>
      <c r="Q260" s="3"/>
      <c r="R260" s="3"/>
    </row>
    <row r="261" spans="1:18" x14ac:dyDescent="0.25">
      <c r="A261" s="2">
        <v>259</v>
      </c>
      <c r="B261" s="7" t="s">
        <v>4480</v>
      </c>
      <c r="C261" s="7" t="s">
        <v>4481</v>
      </c>
      <c r="D261" s="7" t="s">
        <v>4480</v>
      </c>
      <c r="E261" s="7" t="s">
        <v>26</v>
      </c>
      <c r="F261" s="7" t="s">
        <v>3095</v>
      </c>
      <c r="G261" s="8" t="s">
        <v>18</v>
      </c>
      <c r="H261" s="7" t="s">
        <v>19</v>
      </c>
      <c r="I261" s="7" t="s">
        <v>241</v>
      </c>
      <c r="J261" s="7" t="s">
        <v>195</v>
      </c>
      <c r="K261" s="7" t="s">
        <v>3095</v>
      </c>
      <c r="L261" s="7" t="s">
        <v>31</v>
      </c>
      <c r="M261" s="7">
        <v>5.8348899999999997</v>
      </c>
      <c r="N261" s="7">
        <v>9.8834199999999992</v>
      </c>
      <c r="O261" s="7" t="s">
        <v>23</v>
      </c>
      <c r="P261" s="3"/>
      <c r="Q261" s="3"/>
      <c r="R261" s="3"/>
    </row>
    <row r="262" spans="1:18" x14ac:dyDescent="0.25">
      <c r="A262" s="2">
        <v>260</v>
      </c>
      <c r="B262" s="7" t="s">
        <v>4543</v>
      </c>
      <c r="C262" s="7" t="s">
        <v>4544</v>
      </c>
      <c r="D262" s="7" t="s">
        <v>4543</v>
      </c>
      <c r="E262" s="7" t="s">
        <v>26</v>
      </c>
      <c r="F262" s="7" t="s">
        <v>4545</v>
      </c>
      <c r="G262" s="8" t="s">
        <v>18</v>
      </c>
      <c r="H262" s="7" t="s">
        <v>28</v>
      </c>
      <c r="I262" s="7" t="s">
        <v>194</v>
      </c>
      <c r="J262" s="7" t="s">
        <v>195</v>
      </c>
      <c r="K262" s="7" t="s">
        <v>241</v>
      </c>
      <c r="L262" s="7" t="s">
        <v>31</v>
      </c>
      <c r="M262" s="7">
        <v>5.9683529999999996</v>
      </c>
      <c r="N262" s="7">
        <v>10.181889</v>
      </c>
      <c r="O262" s="7" t="s">
        <v>23</v>
      </c>
      <c r="P262" s="3"/>
      <c r="Q262" s="3"/>
      <c r="R262" s="3"/>
    </row>
    <row r="263" spans="1:18" x14ac:dyDescent="0.25">
      <c r="A263" s="2">
        <v>261</v>
      </c>
      <c r="B263" s="7" t="s">
        <v>4617</v>
      </c>
      <c r="C263" s="7" t="s">
        <v>4618</v>
      </c>
      <c r="D263" s="7" t="s">
        <v>4617</v>
      </c>
      <c r="E263" s="7" t="s">
        <v>26</v>
      </c>
      <c r="F263" s="7" t="s">
        <v>4619</v>
      </c>
      <c r="G263" s="8" t="s">
        <v>18</v>
      </c>
      <c r="H263" s="7" t="s">
        <v>19</v>
      </c>
      <c r="I263" s="7" t="s">
        <v>194</v>
      </c>
      <c r="J263" s="7" t="s">
        <v>195</v>
      </c>
      <c r="K263" s="7" t="s">
        <v>2718</v>
      </c>
      <c r="L263" s="7" t="s">
        <v>31</v>
      </c>
      <c r="M263" s="7">
        <v>5.9980900000000004</v>
      </c>
      <c r="N263" s="7">
        <v>10.284319999999999</v>
      </c>
      <c r="O263" s="7" t="s">
        <v>23</v>
      </c>
      <c r="P263" s="3"/>
      <c r="Q263" s="3"/>
      <c r="R263" s="3"/>
    </row>
    <row r="264" spans="1:18" x14ac:dyDescent="0.25">
      <c r="A264" s="2">
        <v>262</v>
      </c>
      <c r="B264" s="7" t="s">
        <v>4620</v>
      </c>
      <c r="C264" s="7" t="s">
        <v>4621</v>
      </c>
      <c r="D264" s="7" t="s">
        <v>4620</v>
      </c>
      <c r="E264" s="7" t="s">
        <v>26</v>
      </c>
      <c r="F264" s="7" t="s">
        <v>4622</v>
      </c>
      <c r="G264" s="8" t="s">
        <v>18</v>
      </c>
      <c r="H264" s="7" t="s">
        <v>28</v>
      </c>
      <c r="I264" s="7" t="s">
        <v>194</v>
      </c>
      <c r="J264" s="7" t="s">
        <v>766</v>
      </c>
      <c r="K264" s="7" t="s">
        <v>196</v>
      </c>
      <c r="L264" s="7" t="s">
        <v>31</v>
      </c>
      <c r="M264" s="7">
        <v>6.139024</v>
      </c>
      <c r="N264" s="7">
        <v>10.256549</v>
      </c>
      <c r="O264" s="7" t="s">
        <v>23</v>
      </c>
      <c r="P264" s="3"/>
      <c r="Q264" s="3"/>
      <c r="R264" s="3"/>
    </row>
    <row r="265" spans="1:18" x14ac:dyDescent="0.25">
      <c r="A265" s="2">
        <v>263</v>
      </c>
      <c r="B265" s="7" t="s">
        <v>4623</v>
      </c>
      <c r="C265" s="7" t="s">
        <v>4624</v>
      </c>
      <c r="D265" s="7" t="s">
        <v>4623</v>
      </c>
      <c r="E265" s="7" t="s">
        <v>26</v>
      </c>
      <c r="F265" s="7" t="s">
        <v>4625</v>
      </c>
      <c r="G265" s="8" t="s">
        <v>18</v>
      </c>
      <c r="H265" s="7" t="s">
        <v>19</v>
      </c>
      <c r="I265" s="7" t="s">
        <v>194</v>
      </c>
      <c r="J265" s="7" t="s">
        <v>195</v>
      </c>
      <c r="K265" s="7" t="s">
        <v>3202</v>
      </c>
      <c r="L265" s="7" t="s">
        <v>31</v>
      </c>
      <c r="M265" s="7">
        <v>5.9980140000000004</v>
      </c>
      <c r="N265" s="7">
        <v>10.284268000000001</v>
      </c>
      <c r="O265" s="7" t="s">
        <v>23</v>
      </c>
      <c r="P265" s="3"/>
      <c r="Q265" s="3"/>
      <c r="R265" s="3"/>
    </row>
    <row r="266" spans="1:18" x14ac:dyDescent="0.25">
      <c r="A266" s="2">
        <v>264</v>
      </c>
      <c r="B266" s="7" t="s">
        <v>4626</v>
      </c>
      <c r="C266" s="7" t="s">
        <v>4627</v>
      </c>
      <c r="D266" s="7" t="s">
        <v>4626</v>
      </c>
      <c r="E266" s="7" t="s">
        <v>26</v>
      </c>
      <c r="F266" s="7" t="s">
        <v>1502</v>
      </c>
      <c r="G266" s="8" t="s">
        <v>18</v>
      </c>
      <c r="H266" s="7" t="s">
        <v>28</v>
      </c>
      <c r="I266" s="7" t="s">
        <v>194</v>
      </c>
      <c r="J266" s="7" t="s">
        <v>195</v>
      </c>
      <c r="K266" s="7" t="s">
        <v>4628</v>
      </c>
      <c r="L266" s="7" t="s">
        <v>31</v>
      </c>
      <c r="M266" s="7">
        <v>5.8503340000000001</v>
      </c>
      <c r="N266" s="7">
        <v>10.244092999999999</v>
      </c>
      <c r="O266" s="7" t="s">
        <v>23</v>
      </c>
      <c r="P266" s="3"/>
      <c r="Q266" s="3"/>
      <c r="R266" s="3"/>
    </row>
    <row r="267" spans="1:18" x14ac:dyDescent="0.25">
      <c r="A267" s="2">
        <v>265</v>
      </c>
      <c r="B267" s="7" t="s">
        <v>4629</v>
      </c>
      <c r="C267" s="7" t="s">
        <v>4630</v>
      </c>
      <c r="D267" s="7" t="s">
        <v>4629</v>
      </c>
      <c r="E267" s="7" t="s">
        <v>26</v>
      </c>
      <c r="F267" s="7" t="s">
        <v>4631</v>
      </c>
      <c r="G267" s="8" t="s">
        <v>18</v>
      </c>
      <c r="H267" s="7" t="s">
        <v>19</v>
      </c>
      <c r="I267" s="7" t="s">
        <v>1010</v>
      </c>
      <c r="J267" s="7" t="s">
        <v>195</v>
      </c>
      <c r="K267" s="7" t="s">
        <v>1182</v>
      </c>
      <c r="L267" s="7" t="s">
        <v>31</v>
      </c>
      <c r="M267" s="7">
        <v>5.8020569999999996</v>
      </c>
      <c r="N267" s="7">
        <v>10.159784</v>
      </c>
      <c r="O267" s="7" t="s">
        <v>23</v>
      </c>
      <c r="P267" s="3"/>
      <c r="Q267" s="3"/>
      <c r="R267" s="3"/>
    </row>
    <row r="268" spans="1:18" x14ac:dyDescent="0.25">
      <c r="A268" s="2">
        <v>266</v>
      </c>
      <c r="B268" s="7" t="s">
        <v>4632</v>
      </c>
      <c r="C268" s="7" t="s">
        <v>4633</v>
      </c>
      <c r="D268" s="7" t="s">
        <v>4632</v>
      </c>
      <c r="E268" s="7" t="s">
        <v>26</v>
      </c>
      <c r="F268" s="7" t="s">
        <v>2718</v>
      </c>
      <c r="G268" s="8" t="s">
        <v>18</v>
      </c>
      <c r="H268" s="7" t="s">
        <v>19</v>
      </c>
      <c r="I268" s="7" t="s">
        <v>241</v>
      </c>
      <c r="J268" s="7" t="s">
        <v>195</v>
      </c>
      <c r="K268" s="7" t="s">
        <v>2718</v>
      </c>
      <c r="L268" s="7" t="s">
        <v>31</v>
      </c>
      <c r="M268" s="7">
        <v>5.8794149999999998</v>
      </c>
      <c r="N268" s="7">
        <v>10.011998</v>
      </c>
      <c r="O268" s="7" t="s">
        <v>23</v>
      </c>
      <c r="P268" s="3"/>
      <c r="Q268" s="3"/>
      <c r="R268" s="3"/>
    </row>
    <row r="269" spans="1:18" x14ac:dyDescent="0.25">
      <c r="A269" s="2">
        <v>267</v>
      </c>
      <c r="B269" s="7" t="s">
        <v>4636</v>
      </c>
      <c r="C269" s="7" t="s">
        <v>4637</v>
      </c>
      <c r="D269" s="7" t="s">
        <v>4636</v>
      </c>
      <c r="E269" s="7" t="s">
        <v>26</v>
      </c>
      <c r="F269" s="7" t="s">
        <v>767</v>
      </c>
      <c r="G269" s="8" t="s">
        <v>18</v>
      </c>
      <c r="H269" s="7" t="s">
        <v>19</v>
      </c>
      <c r="I269" s="7" t="s">
        <v>194</v>
      </c>
      <c r="J269" s="7" t="s">
        <v>766</v>
      </c>
      <c r="K269" s="7" t="s">
        <v>767</v>
      </c>
      <c r="L269" s="7" t="s">
        <v>31</v>
      </c>
      <c r="M269" s="7">
        <v>6.2943499999999997</v>
      </c>
      <c r="N269" s="7">
        <v>10.268331</v>
      </c>
      <c r="O269" s="7" t="s">
        <v>23</v>
      </c>
      <c r="P269" s="3"/>
      <c r="Q269" s="3"/>
      <c r="R269" s="3"/>
    </row>
    <row r="270" spans="1:18" x14ac:dyDescent="0.25">
      <c r="A270" s="2">
        <v>268</v>
      </c>
      <c r="B270" s="7" t="s">
        <v>4638</v>
      </c>
      <c r="C270" s="7" t="s">
        <v>4639</v>
      </c>
      <c r="D270" s="7" t="s">
        <v>4638</v>
      </c>
      <c r="E270" s="7" t="s">
        <v>26</v>
      </c>
      <c r="F270" s="7" t="s">
        <v>4640</v>
      </c>
      <c r="G270" s="8" t="s">
        <v>18</v>
      </c>
      <c r="H270" s="7" t="s">
        <v>28</v>
      </c>
      <c r="I270" s="7" t="s">
        <v>194</v>
      </c>
      <c r="J270" s="7" t="s">
        <v>766</v>
      </c>
      <c r="K270" s="7" t="s">
        <v>1969</v>
      </c>
      <c r="L270" s="7" t="s">
        <v>31</v>
      </c>
      <c r="M270" s="7">
        <v>6.1810809999999998</v>
      </c>
      <c r="N270" s="7">
        <v>10.287743000000001</v>
      </c>
      <c r="O270" s="7" t="s">
        <v>23</v>
      </c>
      <c r="P270" s="3"/>
      <c r="Q270" s="3"/>
      <c r="R270" s="3"/>
    </row>
    <row r="271" spans="1:18" x14ac:dyDescent="0.25">
      <c r="A271" s="2">
        <v>269</v>
      </c>
      <c r="B271" s="7" t="s">
        <v>4641</v>
      </c>
      <c r="C271" s="7" t="s">
        <v>4642</v>
      </c>
      <c r="D271" s="7" t="s">
        <v>4641</v>
      </c>
      <c r="E271" s="7" t="s">
        <v>26</v>
      </c>
      <c r="F271" s="7" t="s">
        <v>4643</v>
      </c>
      <c r="G271" s="8" t="s">
        <v>18</v>
      </c>
      <c r="H271" s="7" t="s">
        <v>19</v>
      </c>
      <c r="I271" s="7" t="s">
        <v>194</v>
      </c>
      <c r="J271" s="7" t="s">
        <v>766</v>
      </c>
      <c r="K271" s="7" t="s">
        <v>767</v>
      </c>
      <c r="L271" s="7" t="s">
        <v>31</v>
      </c>
      <c r="M271" s="7">
        <v>6.2548000000000004</v>
      </c>
      <c r="N271" s="7">
        <v>10.261240000000001</v>
      </c>
      <c r="O271" s="7" t="s">
        <v>23</v>
      </c>
      <c r="P271" s="3"/>
      <c r="Q271" s="3"/>
      <c r="R271" s="3"/>
    </row>
    <row r="272" spans="1:18" x14ac:dyDescent="0.25">
      <c r="A272" s="2">
        <v>270</v>
      </c>
      <c r="B272" s="7" t="s">
        <v>4646</v>
      </c>
      <c r="C272" s="7" t="s">
        <v>4647</v>
      </c>
      <c r="D272" s="7" t="s">
        <v>4646</v>
      </c>
      <c r="E272" s="7" t="s">
        <v>26</v>
      </c>
      <c r="F272" s="7" t="s">
        <v>1454</v>
      </c>
      <c r="G272" s="8" t="s">
        <v>18</v>
      </c>
      <c r="H272" s="7" t="s">
        <v>19</v>
      </c>
      <c r="I272" s="7" t="s">
        <v>140</v>
      </c>
      <c r="J272" s="7" t="s">
        <v>1160</v>
      </c>
      <c r="K272" s="7" t="s">
        <v>1454</v>
      </c>
      <c r="L272" s="7" t="s">
        <v>31</v>
      </c>
      <c r="M272" s="7">
        <v>5.9823399999999998</v>
      </c>
      <c r="N272" s="7">
        <v>10.4354</v>
      </c>
      <c r="O272" s="7" t="s">
        <v>23</v>
      </c>
      <c r="P272" s="3"/>
      <c r="Q272" s="3"/>
      <c r="R272" s="3"/>
    </row>
    <row r="273" spans="1:18" x14ac:dyDescent="0.25">
      <c r="A273" s="2">
        <v>271</v>
      </c>
      <c r="B273" s="7" t="s">
        <v>4691</v>
      </c>
      <c r="C273" s="7" t="s">
        <v>4692</v>
      </c>
      <c r="D273" s="7" t="s">
        <v>4691</v>
      </c>
      <c r="E273" s="7" t="s">
        <v>26</v>
      </c>
      <c r="F273" s="7" t="s">
        <v>4693</v>
      </c>
      <c r="G273" s="8" t="s">
        <v>18</v>
      </c>
      <c r="H273" s="7" t="s">
        <v>19</v>
      </c>
      <c r="I273" s="7" t="s">
        <v>114</v>
      </c>
      <c r="J273" s="7" t="s">
        <v>1160</v>
      </c>
      <c r="K273" s="7" t="s">
        <v>537</v>
      </c>
      <c r="L273" s="7" t="s">
        <v>31</v>
      </c>
      <c r="M273" s="7">
        <v>6.4209259999999997</v>
      </c>
      <c r="N273" s="7">
        <v>10.796643</v>
      </c>
      <c r="O273" s="7" t="s">
        <v>23</v>
      </c>
      <c r="P273" s="3"/>
      <c r="Q273" s="3"/>
      <c r="R273" s="3"/>
    </row>
    <row r="274" spans="1:18" x14ac:dyDescent="0.25">
      <c r="A274" s="2">
        <v>272</v>
      </c>
      <c r="B274" s="7" t="s">
        <v>4694</v>
      </c>
      <c r="C274" s="7" t="s">
        <v>4695</v>
      </c>
      <c r="D274" s="7" t="s">
        <v>4694</v>
      </c>
      <c r="E274" s="7" t="s">
        <v>26</v>
      </c>
      <c r="F274" s="7" t="s">
        <v>537</v>
      </c>
      <c r="G274" s="8" t="s">
        <v>18</v>
      </c>
      <c r="H274" s="7" t="s">
        <v>19</v>
      </c>
      <c r="I274" s="7" t="s">
        <v>114</v>
      </c>
      <c r="J274" s="7" t="s">
        <v>306</v>
      </c>
      <c r="K274" s="7" t="s">
        <v>537</v>
      </c>
      <c r="L274" s="7" t="s">
        <v>31</v>
      </c>
      <c r="M274" s="7">
        <v>6.420833333</v>
      </c>
      <c r="N274" s="7">
        <v>10.796611110000001</v>
      </c>
      <c r="O274" s="7" t="s">
        <v>23</v>
      </c>
      <c r="P274" s="3"/>
      <c r="Q274" s="3"/>
      <c r="R274" s="3"/>
    </row>
    <row r="275" spans="1:18" x14ac:dyDescent="0.25">
      <c r="A275" s="2">
        <v>273</v>
      </c>
      <c r="B275" s="7" t="s">
        <v>4837</v>
      </c>
      <c r="C275" s="7" t="s">
        <v>4838</v>
      </c>
      <c r="D275" s="7" t="s">
        <v>4837</v>
      </c>
      <c r="E275" s="7" t="s">
        <v>26</v>
      </c>
      <c r="F275" s="7" t="s">
        <v>4839</v>
      </c>
      <c r="G275" s="8" t="s">
        <v>18</v>
      </c>
      <c r="H275" s="7" t="s">
        <v>19</v>
      </c>
      <c r="I275" s="7" t="s">
        <v>241</v>
      </c>
      <c r="J275" s="7" t="s">
        <v>195</v>
      </c>
      <c r="K275" s="7" t="s">
        <v>241</v>
      </c>
      <c r="L275" s="7" t="s">
        <v>31</v>
      </c>
      <c r="M275" s="7">
        <v>5.9553890000000003</v>
      </c>
      <c r="N275" s="7">
        <v>10.135904</v>
      </c>
      <c r="O275" s="7" t="s">
        <v>23</v>
      </c>
      <c r="P275" s="3"/>
      <c r="Q275" s="3"/>
      <c r="R275" s="3"/>
    </row>
    <row r="276" spans="1:18" x14ac:dyDescent="0.25">
      <c r="A276" s="2">
        <v>274</v>
      </c>
      <c r="B276" s="7" t="s">
        <v>4840</v>
      </c>
      <c r="C276" s="7" t="s">
        <v>4841</v>
      </c>
      <c r="D276" s="7" t="s">
        <v>4840</v>
      </c>
      <c r="E276" s="7" t="s">
        <v>26</v>
      </c>
      <c r="F276" s="7" t="s">
        <v>4842</v>
      </c>
      <c r="G276" s="8" t="s">
        <v>18</v>
      </c>
      <c r="H276" s="7" t="s">
        <v>28</v>
      </c>
      <c r="I276" s="7" t="s">
        <v>241</v>
      </c>
      <c r="J276" s="7" t="s">
        <v>195</v>
      </c>
      <c r="K276" s="7" t="s">
        <v>2718</v>
      </c>
      <c r="L276" s="7" t="s">
        <v>31</v>
      </c>
      <c r="M276" s="7">
        <v>5.9113800000000003</v>
      </c>
      <c r="N276" s="7">
        <v>10.14087</v>
      </c>
      <c r="O276" s="7" t="s">
        <v>23</v>
      </c>
      <c r="P276" s="3"/>
      <c r="Q276" s="3"/>
      <c r="R276" s="3"/>
    </row>
    <row r="277" spans="1:18" x14ac:dyDescent="0.25">
      <c r="A277" s="2">
        <v>275</v>
      </c>
      <c r="B277" s="7" t="s">
        <v>4861</v>
      </c>
      <c r="C277" s="7" t="s">
        <v>4862</v>
      </c>
      <c r="D277" s="7" t="s">
        <v>4861</v>
      </c>
      <c r="E277" s="7" t="s">
        <v>26</v>
      </c>
      <c r="F277" s="7" t="s">
        <v>4863</v>
      </c>
      <c r="G277" s="8" t="s">
        <v>18</v>
      </c>
      <c r="H277" s="7" t="s">
        <v>28</v>
      </c>
      <c r="I277" s="7" t="s">
        <v>241</v>
      </c>
      <c r="J277" s="7" t="s">
        <v>195</v>
      </c>
      <c r="K277" s="7" t="s">
        <v>241</v>
      </c>
      <c r="L277" s="7" t="s">
        <v>31</v>
      </c>
      <c r="M277" s="7">
        <v>5.9276939999999998</v>
      </c>
      <c r="N277" s="7">
        <v>10.117972</v>
      </c>
      <c r="O277" s="7" t="s">
        <v>23</v>
      </c>
      <c r="P277" s="3"/>
      <c r="Q277" s="3"/>
      <c r="R277" s="3"/>
    </row>
    <row r="278" spans="1:18" x14ac:dyDescent="0.25">
      <c r="A278" s="2">
        <v>276</v>
      </c>
      <c r="B278" s="7" t="s">
        <v>4910</v>
      </c>
      <c r="C278" s="7" t="s">
        <v>4911</v>
      </c>
      <c r="D278" s="7" t="s">
        <v>4910</v>
      </c>
      <c r="E278" s="7" t="s">
        <v>26</v>
      </c>
      <c r="F278" s="7" t="s">
        <v>4912</v>
      </c>
      <c r="G278" s="8" t="s">
        <v>18</v>
      </c>
      <c r="H278" s="7" t="s">
        <v>28</v>
      </c>
      <c r="I278" s="7" t="s">
        <v>241</v>
      </c>
      <c r="J278" s="7" t="s">
        <v>195</v>
      </c>
      <c r="K278" s="7" t="s">
        <v>241</v>
      </c>
      <c r="L278" s="7" t="s">
        <v>31</v>
      </c>
      <c r="M278" s="7">
        <v>5.9473330000000004</v>
      </c>
      <c r="N278" s="7">
        <v>10.140389000000001</v>
      </c>
      <c r="O278" s="7" t="s">
        <v>23</v>
      </c>
      <c r="P278" s="3"/>
      <c r="Q278" s="3"/>
      <c r="R278" s="3"/>
    </row>
    <row r="279" spans="1:18" x14ac:dyDescent="0.25">
      <c r="A279" s="2">
        <v>277</v>
      </c>
      <c r="B279" s="7" t="s">
        <v>5008</v>
      </c>
      <c r="C279" s="7" t="s">
        <v>5009</v>
      </c>
      <c r="D279" s="7" t="s">
        <v>5008</v>
      </c>
      <c r="E279" s="7" t="s">
        <v>26</v>
      </c>
      <c r="F279" s="7" t="s">
        <v>5010</v>
      </c>
      <c r="G279" s="8" t="s">
        <v>18</v>
      </c>
      <c r="H279" s="7" t="s">
        <v>28</v>
      </c>
      <c r="I279" s="7" t="s">
        <v>194</v>
      </c>
      <c r="J279" s="7" t="s">
        <v>195</v>
      </c>
      <c r="K279" s="7" t="s">
        <v>196</v>
      </c>
      <c r="L279" s="7" t="s">
        <v>31</v>
      </c>
      <c r="M279" s="7">
        <v>6.00488</v>
      </c>
      <c r="N279" s="7">
        <v>10.255388</v>
      </c>
      <c r="O279" s="7" t="s">
        <v>613</v>
      </c>
      <c r="P279" s="3"/>
      <c r="Q279" s="3"/>
      <c r="R279" s="3"/>
    </row>
    <row r="280" spans="1:18" x14ac:dyDescent="0.25">
      <c r="A280" s="2">
        <v>278</v>
      </c>
      <c r="B280" s="7" t="s">
        <v>5116</v>
      </c>
      <c r="C280" s="7" t="s">
        <v>5117</v>
      </c>
      <c r="D280" s="7" t="s">
        <v>5116</v>
      </c>
      <c r="E280" s="7" t="s">
        <v>131</v>
      </c>
      <c r="F280" s="7" t="s">
        <v>5118</v>
      </c>
      <c r="G280" s="8" t="s">
        <v>18</v>
      </c>
      <c r="H280" s="7" t="s">
        <v>28</v>
      </c>
      <c r="I280" s="7" t="s">
        <v>783</v>
      </c>
      <c r="J280" s="7" t="s">
        <v>1070</v>
      </c>
      <c r="K280" s="7" t="s">
        <v>1071</v>
      </c>
      <c r="L280" s="7" t="s">
        <v>31</v>
      </c>
      <c r="M280" s="7">
        <v>6.4742499999999996</v>
      </c>
      <c r="N280" s="7">
        <v>10.419917</v>
      </c>
      <c r="O280" s="7" t="s">
        <v>613</v>
      </c>
      <c r="P280" s="3"/>
      <c r="Q280" s="3"/>
      <c r="R280" s="3"/>
    </row>
    <row r="281" spans="1:18" x14ac:dyDescent="0.25">
      <c r="A281" s="2">
        <v>279</v>
      </c>
      <c r="B281" s="7" t="s">
        <v>5854</v>
      </c>
      <c r="C281" s="7" t="s">
        <v>5855</v>
      </c>
      <c r="D281" s="7" t="s">
        <v>5854</v>
      </c>
      <c r="E281" s="7" t="s">
        <v>26</v>
      </c>
      <c r="F281" s="7" t="s">
        <v>5856</v>
      </c>
      <c r="G281" s="8" t="s">
        <v>18</v>
      </c>
      <c r="H281" s="7" t="s">
        <v>28</v>
      </c>
      <c r="I281" s="7" t="s">
        <v>241</v>
      </c>
      <c r="J281" s="7" t="s">
        <v>365</v>
      </c>
      <c r="K281" s="7" t="s">
        <v>2147</v>
      </c>
      <c r="L281" s="7" t="s">
        <v>31</v>
      </c>
      <c r="M281" s="7">
        <v>5.8486700000000003</v>
      </c>
      <c r="N281" s="7">
        <v>9.81297</v>
      </c>
      <c r="O281" s="7" t="s">
        <v>23</v>
      </c>
      <c r="P281" s="3"/>
      <c r="Q281" s="3"/>
      <c r="R281" s="3"/>
    </row>
    <row r="282" spans="1:18" x14ac:dyDescent="0.25">
      <c r="A282" s="2">
        <v>280</v>
      </c>
      <c r="B282" s="7" t="s">
        <v>5953</v>
      </c>
      <c r="C282" s="7" t="s">
        <v>5954</v>
      </c>
      <c r="D282" s="7" t="s">
        <v>5953</v>
      </c>
      <c r="E282" s="7" t="s">
        <v>26</v>
      </c>
      <c r="F282" s="7" t="s">
        <v>5955</v>
      </c>
      <c r="G282" s="8" t="s">
        <v>18</v>
      </c>
      <c r="H282" s="7" t="s">
        <v>28</v>
      </c>
      <c r="I282" s="7" t="s">
        <v>29</v>
      </c>
      <c r="J282" s="7" t="s">
        <v>812</v>
      </c>
      <c r="K282" s="7" t="s">
        <v>29</v>
      </c>
      <c r="L282" s="7" t="s">
        <v>31</v>
      </c>
      <c r="M282" s="7">
        <v>6.2010079999999999</v>
      </c>
      <c r="N282" s="7">
        <v>10.06452</v>
      </c>
      <c r="O282" s="7" t="s">
        <v>23</v>
      </c>
      <c r="P282" s="3"/>
      <c r="Q282" s="3"/>
      <c r="R282" s="3"/>
    </row>
    <row r="283" spans="1:18" x14ac:dyDescent="0.25">
      <c r="A283" s="2">
        <v>281</v>
      </c>
      <c r="B283" s="7" t="s">
        <v>6062</v>
      </c>
      <c r="C283" s="7" t="s">
        <v>6063</v>
      </c>
      <c r="D283" s="7" t="s">
        <v>6062</v>
      </c>
      <c r="E283" s="7" t="s">
        <v>26</v>
      </c>
      <c r="F283" s="7" t="s">
        <v>6064</v>
      </c>
      <c r="G283" s="8" t="s">
        <v>18</v>
      </c>
      <c r="H283" s="7" t="s">
        <v>28</v>
      </c>
      <c r="I283" s="7" t="s">
        <v>29</v>
      </c>
      <c r="J283" s="7" t="s">
        <v>812</v>
      </c>
      <c r="K283" s="7" t="s">
        <v>1002</v>
      </c>
      <c r="L283" s="7" t="s">
        <v>31</v>
      </c>
      <c r="M283" s="7">
        <v>6.3379099999999999</v>
      </c>
      <c r="N283" s="7">
        <v>9.9917700000000007</v>
      </c>
      <c r="O283" s="7" t="s">
        <v>23</v>
      </c>
      <c r="P283" s="3"/>
      <c r="Q283" s="3"/>
      <c r="R283" s="3"/>
    </row>
    <row r="284" spans="1:18" x14ac:dyDescent="0.25">
      <c r="A284" s="2">
        <v>282</v>
      </c>
      <c r="B284" s="7" t="s">
        <v>6093</v>
      </c>
      <c r="C284" s="7" t="s">
        <v>6094</v>
      </c>
      <c r="D284" s="7" t="s">
        <v>6093</v>
      </c>
      <c r="E284" s="7" t="s">
        <v>26</v>
      </c>
      <c r="F284" s="7" t="s">
        <v>6095</v>
      </c>
      <c r="G284" s="8" t="s">
        <v>18</v>
      </c>
      <c r="H284" s="7" t="s">
        <v>28</v>
      </c>
      <c r="I284" s="7" t="s">
        <v>29</v>
      </c>
      <c r="J284" s="7" t="s">
        <v>812</v>
      </c>
      <c r="K284" s="7" t="s">
        <v>2011</v>
      </c>
      <c r="L284" s="7" t="s">
        <v>31</v>
      </c>
      <c r="M284" s="7">
        <v>6.2899950000000002</v>
      </c>
      <c r="N284" s="7">
        <v>10.036151</v>
      </c>
      <c r="O284" s="7" t="s">
        <v>23</v>
      </c>
      <c r="P284" s="3"/>
      <c r="Q284" s="3"/>
      <c r="R284" s="3"/>
    </row>
    <row r="285" spans="1:18" x14ac:dyDescent="0.25">
      <c r="A285" s="2">
        <v>283</v>
      </c>
      <c r="B285" s="7" t="s">
        <v>6103</v>
      </c>
      <c r="C285" s="7" t="s">
        <v>6104</v>
      </c>
      <c r="D285" s="7" t="s">
        <v>6103</v>
      </c>
      <c r="E285" s="7" t="s">
        <v>26</v>
      </c>
      <c r="F285" s="7" t="s">
        <v>6105</v>
      </c>
      <c r="G285" s="8" t="s">
        <v>18</v>
      </c>
      <c r="H285" s="7" t="s">
        <v>28</v>
      </c>
      <c r="I285" s="7" t="s">
        <v>114</v>
      </c>
      <c r="J285" s="7" t="s">
        <v>306</v>
      </c>
      <c r="K285" s="7" t="s">
        <v>114</v>
      </c>
      <c r="L285" s="7" t="s">
        <v>31</v>
      </c>
      <c r="M285" s="7">
        <v>6.48055</v>
      </c>
      <c r="N285" s="7">
        <v>10.747643</v>
      </c>
      <c r="O285" s="7" t="s">
        <v>23</v>
      </c>
      <c r="P285" s="3"/>
      <c r="Q285" s="3"/>
      <c r="R285" s="3"/>
    </row>
    <row r="286" spans="1:18" x14ac:dyDescent="0.25">
      <c r="A286" s="2">
        <v>284</v>
      </c>
      <c r="B286" s="7" t="s">
        <v>6144</v>
      </c>
      <c r="C286" s="7" t="s">
        <v>6145</v>
      </c>
      <c r="D286" s="7" t="s">
        <v>6144</v>
      </c>
      <c r="E286" s="7" t="s">
        <v>26</v>
      </c>
      <c r="F286" s="7" t="s">
        <v>6105</v>
      </c>
      <c r="G286" s="8" t="s">
        <v>18</v>
      </c>
      <c r="H286" s="7" t="s">
        <v>28</v>
      </c>
      <c r="I286" s="7" t="s">
        <v>114</v>
      </c>
      <c r="J286" s="7" t="s">
        <v>306</v>
      </c>
      <c r="K286" s="7" t="s">
        <v>114</v>
      </c>
      <c r="L286" s="7" t="s">
        <v>31</v>
      </c>
      <c r="M286" s="7">
        <v>6.4807920000000001</v>
      </c>
      <c r="N286" s="7">
        <v>10.747964</v>
      </c>
      <c r="O286" s="7" t="s">
        <v>23</v>
      </c>
      <c r="P286" s="3"/>
      <c r="Q286" s="3"/>
      <c r="R286" s="3"/>
    </row>
    <row r="287" spans="1:18" x14ac:dyDescent="0.25">
      <c r="A287" s="2">
        <v>285</v>
      </c>
      <c r="B287" s="7" t="s">
        <v>6176</v>
      </c>
      <c r="C287" s="7" t="s">
        <v>6177</v>
      </c>
      <c r="D287" s="7" t="s">
        <v>6176</v>
      </c>
      <c r="E287" s="7" t="s">
        <v>26</v>
      </c>
      <c r="F287" s="7" t="s">
        <v>2147</v>
      </c>
      <c r="G287" s="8" t="s">
        <v>18</v>
      </c>
      <c r="H287" s="7" t="s">
        <v>28</v>
      </c>
      <c r="I287" s="7" t="s">
        <v>92</v>
      </c>
      <c r="J287" s="7" t="s">
        <v>365</v>
      </c>
      <c r="K287" s="7" t="s">
        <v>2147</v>
      </c>
      <c r="L287" s="7" t="s">
        <v>31</v>
      </c>
      <c r="M287" s="7">
        <v>5.8885277780000003</v>
      </c>
      <c r="N287" s="7">
        <v>9.7561666670000005</v>
      </c>
      <c r="O287" s="7" t="s">
        <v>23</v>
      </c>
      <c r="P287" s="3"/>
      <c r="Q287" s="3"/>
      <c r="R287" s="3"/>
    </row>
    <row r="288" spans="1:18" x14ac:dyDescent="0.25">
      <c r="A288" s="2">
        <v>286</v>
      </c>
      <c r="B288" s="7" t="s">
        <v>6214</v>
      </c>
      <c r="C288" s="7" t="s">
        <v>6215</v>
      </c>
      <c r="D288" s="7" t="s">
        <v>6214</v>
      </c>
      <c r="E288" s="7" t="s">
        <v>26</v>
      </c>
      <c r="F288" s="7" t="s">
        <v>6216</v>
      </c>
      <c r="G288" s="8" t="s">
        <v>18</v>
      </c>
      <c r="H288" s="7" t="s">
        <v>28</v>
      </c>
      <c r="I288" s="7" t="s">
        <v>114</v>
      </c>
      <c r="J288" s="7" t="s">
        <v>306</v>
      </c>
      <c r="K288" s="7" t="s">
        <v>537</v>
      </c>
      <c r="L288" s="7" t="s">
        <v>31</v>
      </c>
      <c r="M288" s="7">
        <v>6.3617499999999998</v>
      </c>
      <c r="N288" s="7">
        <v>10.863111</v>
      </c>
      <c r="O288" s="7" t="s">
        <v>23</v>
      </c>
      <c r="P288" s="3"/>
      <c r="Q288" s="3"/>
      <c r="R288" s="3"/>
    </row>
    <row r="289" spans="1:18" x14ac:dyDescent="0.25">
      <c r="A289" s="2">
        <v>287</v>
      </c>
      <c r="B289" s="7" t="s">
        <v>6217</v>
      </c>
      <c r="C289" s="7" t="s">
        <v>6218</v>
      </c>
      <c r="D289" s="7" t="s">
        <v>6217</v>
      </c>
      <c r="E289" s="7" t="s">
        <v>26</v>
      </c>
      <c r="F289" s="7" t="s">
        <v>329</v>
      </c>
      <c r="G289" s="8" t="s">
        <v>18</v>
      </c>
      <c r="H289" s="7" t="s">
        <v>28</v>
      </c>
      <c r="I289" s="7" t="s">
        <v>114</v>
      </c>
      <c r="J289" s="7" t="s">
        <v>328</v>
      </c>
      <c r="K289" s="7" t="s">
        <v>329</v>
      </c>
      <c r="L289" s="7" t="s">
        <v>31</v>
      </c>
      <c r="M289" s="7">
        <v>6.35</v>
      </c>
      <c r="N289" s="7">
        <v>10.566667000000001</v>
      </c>
      <c r="O289" s="7" t="s">
        <v>23</v>
      </c>
      <c r="P289" s="3"/>
      <c r="Q289" s="3"/>
      <c r="R289" s="3"/>
    </row>
    <row r="290" spans="1:18" x14ac:dyDescent="0.25">
      <c r="A290" s="2">
        <v>288</v>
      </c>
      <c r="B290" s="7" t="s">
        <v>6277</v>
      </c>
      <c r="C290" s="7" t="s">
        <v>6278</v>
      </c>
      <c r="D290" s="7" t="s">
        <v>6277</v>
      </c>
      <c r="E290" s="7" t="s">
        <v>26</v>
      </c>
      <c r="F290" s="7" t="s">
        <v>6279</v>
      </c>
      <c r="G290" s="8" t="s">
        <v>18</v>
      </c>
      <c r="H290" s="7" t="s">
        <v>28</v>
      </c>
      <c r="I290" s="7" t="s">
        <v>114</v>
      </c>
      <c r="J290" s="7" t="s">
        <v>306</v>
      </c>
      <c r="K290" s="7" t="s">
        <v>6279</v>
      </c>
      <c r="L290" s="7" t="s">
        <v>31</v>
      </c>
      <c r="M290" s="7">
        <v>6.5666667099999998</v>
      </c>
      <c r="N290" s="7">
        <v>10.55000004</v>
      </c>
      <c r="O290" s="7" t="s">
        <v>23</v>
      </c>
      <c r="P290" s="3"/>
      <c r="Q290" s="3"/>
      <c r="R290" s="3"/>
    </row>
    <row r="291" spans="1:18" x14ac:dyDescent="0.25">
      <c r="A291" s="2">
        <v>289</v>
      </c>
      <c r="B291" s="7" t="s">
        <v>6585</v>
      </c>
      <c r="C291" s="7" t="s">
        <v>6586</v>
      </c>
      <c r="D291" s="7" t="s">
        <v>6585</v>
      </c>
      <c r="E291" s="7" t="s">
        <v>26</v>
      </c>
      <c r="F291" s="7" t="s">
        <v>6587</v>
      </c>
      <c r="G291" s="8" t="s">
        <v>18</v>
      </c>
      <c r="H291" s="7" t="s">
        <v>28</v>
      </c>
      <c r="I291" s="7" t="s">
        <v>241</v>
      </c>
      <c r="J291" s="7" t="s">
        <v>365</v>
      </c>
      <c r="K291" s="7" t="s">
        <v>6587</v>
      </c>
      <c r="L291" s="7" t="s">
        <v>31</v>
      </c>
      <c r="M291" s="7">
        <v>5.9758100000000001</v>
      </c>
      <c r="N291" s="7">
        <v>9.8425039999999999</v>
      </c>
      <c r="O291" s="7" t="s">
        <v>23</v>
      </c>
      <c r="P291" s="3"/>
      <c r="Q291" s="3"/>
      <c r="R291" s="3"/>
    </row>
    <row r="292" spans="1:18" x14ac:dyDescent="0.25">
      <c r="A292" s="2">
        <v>290</v>
      </c>
      <c r="B292" s="7" t="s">
        <v>6686</v>
      </c>
      <c r="C292" s="7" t="s">
        <v>6687</v>
      </c>
      <c r="D292" s="7" t="s">
        <v>6686</v>
      </c>
      <c r="E292" s="7" t="s">
        <v>26</v>
      </c>
      <c r="F292" s="7" t="s">
        <v>6688</v>
      </c>
      <c r="G292" s="8" t="s">
        <v>18</v>
      </c>
      <c r="H292" s="7" t="s">
        <v>28</v>
      </c>
      <c r="I292" s="7" t="s">
        <v>194</v>
      </c>
      <c r="J292" s="7" t="s">
        <v>195</v>
      </c>
      <c r="K292" s="7" t="s">
        <v>196</v>
      </c>
      <c r="L292" s="7" t="s">
        <v>31</v>
      </c>
      <c r="M292" s="7">
        <v>6.0135899999999998</v>
      </c>
      <c r="N292" s="7">
        <v>10.253880000000001</v>
      </c>
      <c r="O292" s="7" t="s">
        <v>23</v>
      </c>
      <c r="P292" s="3"/>
      <c r="Q292" s="3"/>
      <c r="R292" s="3"/>
    </row>
    <row r="293" spans="1:18" x14ac:dyDescent="0.25">
      <c r="A293" s="2">
        <v>291</v>
      </c>
      <c r="B293" s="7" t="s">
        <v>6689</v>
      </c>
      <c r="C293" s="7" t="s">
        <v>6690</v>
      </c>
      <c r="D293" s="7" t="s">
        <v>6689</v>
      </c>
      <c r="E293" s="7" t="s">
        <v>26</v>
      </c>
      <c r="F293" s="7" t="s">
        <v>6691</v>
      </c>
      <c r="G293" s="8" t="s">
        <v>18</v>
      </c>
      <c r="H293" s="7" t="s">
        <v>28</v>
      </c>
      <c r="I293" s="7" t="s">
        <v>1010</v>
      </c>
      <c r="J293" s="7" t="s">
        <v>195</v>
      </c>
      <c r="K293" s="7" t="s">
        <v>241</v>
      </c>
      <c r="L293" s="7" t="s">
        <v>31</v>
      </c>
      <c r="M293" s="7">
        <v>5.9655279999999999</v>
      </c>
      <c r="N293" s="7">
        <v>10.127889</v>
      </c>
      <c r="O293" s="7" t="s">
        <v>23</v>
      </c>
      <c r="P293" s="3"/>
      <c r="Q293" s="3"/>
      <c r="R293" s="3"/>
    </row>
    <row r="294" spans="1:18" x14ac:dyDescent="0.25">
      <c r="A294" s="2">
        <v>292</v>
      </c>
      <c r="B294" s="7" t="s">
        <v>6699</v>
      </c>
      <c r="C294" s="7" t="s">
        <v>6700</v>
      </c>
      <c r="D294" s="7" t="s">
        <v>6699</v>
      </c>
      <c r="E294" s="7" t="s">
        <v>26</v>
      </c>
      <c r="F294" s="7" t="s">
        <v>6701</v>
      </c>
      <c r="G294" s="8" t="s">
        <v>18</v>
      </c>
      <c r="H294" s="7" t="s">
        <v>28</v>
      </c>
      <c r="I294" s="7" t="s">
        <v>1010</v>
      </c>
      <c r="J294" s="7" t="s">
        <v>195</v>
      </c>
      <c r="K294" s="7" t="s">
        <v>194</v>
      </c>
      <c r="L294" s="7" t="s">
        <v>31</v>
      </c>
      <c r="M294" s="7">
        <v>5.9516109999999998</v>
      </c>
      <c r="N294" s="7">
        <v>10.174803000000001</v>
      </c>
      <c r="O294" s="7" t="s">
        <v>23</v>
      </c>
      <c r="P294" s="3"/>
      <c r="Q294" s="3"/>
      <c r="R294" s="3"/>
    </row>
    <row r="295" spans="1:18" x14ac:dyDescent="0.25">
      <c r="A295" s="2">
        <v>293</v>
      </c>
      <c r="B295" s="7" t="s">
        <v>6708</v>
      </c>
      <c r="C295" s="7" t="s">
        <v>6709</v>
      </c>
      <c r="D295" s="7" t="s">
        <v>6708</v>
      </c>
      <c r="E295" s="7" t="s">
        <v>26</v>
      </c>
      <c r="F295" s="7" t="s">
        <v>6710</v>
      </c>
      <c r="G295" s="8" t="s">
        <v>18</v>
      </c>
      <c r="H295" s="7" t="s">
        <v>28</v>
      </c>
      <c r="I295" s="7" t="s">
        <v>241</v>
      </c>
      <c r="J295" s="7" t="s">
        <v>365</v>
      </c>
      <c r="K295" s="7" t="s">
        <v>6587</v>
      </c>
      <c r="L295" s="7" t="s">
        <v>31</v>
      </c>
      <c r="M295" s="7">
        <v>6.0813670000000002</v>
      </c>
      <c r="N295" s="7">
        <v>9.8916029999999999</v>
      </c>
      <c r="O295" s="7" t="s">
        <v>23</v>
      </c>
      <c r="P295" s="3"/>
      <c r="Q295" s="3"/>
      <c r="R295" s="3"/>
    </row>
    <row r="296" spans="1:18" x14ac:dyDescent="0.25">
      <c r="A296" s="2">
        <v>294</v>
      </c>
      <c r="B296" s="7" t="s">
        <v>6714</v>
      </c>
      <c r="C296" s="7" t="s">
        <v>6715</v>
      </c>
      <c r="D296" s="7" t="s">
        <v>6714</v>
      </c>
      <c r="E296" s="7" t="s">
        <v>26</v>
      </c>
      <c r="F296" s="7" t="s">
        <v>6716</v>
      </c>
      <c r="G296" s="8" t="s">
        <v>18</v>
      </c>
      <c r="H296" s="7" t="s">
        <v>28</v>
      </c>
      <c r="I296" s="7" t="s">
        <v>194</v>
      </c>
      <c r="J296" s="7" t="s">
        <v>195</v>
      </c>
      <c r="K296" s="7" t="s">
        <v>1010</v>
      </c>
      <c r="L296" s="7" t="s">
        <v>31</v>
      </c>
      <c r="M296" s="7">
        <v>5.9875400000000001</v>
      </c>
      <c r="N296" s="7">
        <v>10.18276</v>
      </c>
      <c r="O296" s="7" t="s">
        <v>23</v>
      </c>
      <c r="P296" s="3"/>
      <c r="Q296" s="3"/>
      <c r="R296" s="3"/>
    </row>
    <row r="297" spans="1:18" x14ac:dyDescent="0.25">
      <c r="A297" s="2">
        <v>295</v>
      </c>
      <c r="B297" s="7" t="s">
        <v>6736</v>
      </c>
      <c r="C297" s="7" t="s">
        <v>6737</v>
      </c>
      <c r="D297" s="7" t="s">
        <v>6736</v>
      </c>
      <c r="E297" s="7" t="s">
        <v>26</v>
      </c>
      <c r="F297" s="7" t="s">
        <v>6738</v>
      </c>
      <c r="G297" s="8" t="s">
        <v>18</v>
      </c>
      <c r="H297" s="7" t="s">
        <v>28</v>
      </c>
      <c r="I297" s="7" t="s">
        <v>241</v>
      </c>
      <c r="J297" s="7" t="s">
        <v>365</v>
      </c>
      <c r="K297" s="7" t="s">
        <v>366</v>
      </c>
      <c r="L297" s="7" t="s">
        <v>31</v>
      </c>
      <c r="M297" s="7">
        <v>6.0952999999999999</v>
      </c>
      <c r="N297" s="7">
        <v>9.8102999999999998</v>
      </c>
      <c r="O297" s="7" t="s">
        <v>23</v>
      </c>
      <c r="P297" s="3"/>
      <c r="Q297" s="3"/>
      <c r="R297" s="3"/>
    </row>
    <row r="298" spans="1:18" x14ac:dyDescent="0.25">
      <c r="A298" s="2">
        <v>296</v>
      </c>
      <c r="B298" s="7" t="s">
        <v>6761</v>
      </c>
      <c r="C298" s="7" t="s">
        <v>6762</v>
      </c>
      <c r="D298" s="7" t="s">
        <v>6761</v>
      </c>
      <c r="E298" s="7" t="s">
        <v>26</v>
      </c>
      <c r="F298" s="7" t="s">
        <v>6763</v>
      </c>
      <c r="G298" s="8" t="s">
        <v>18</v>
      </c>
      <c r="H298" s="7" t="s">
        <v>28</v>
      </c>
      <c r="I298" s="7" t="s">
        <v>1010</v>
      </c>
      <c r="J298" s="7" t="s">
        <v>195</v>
      </c>
      <c r="K298" s="7" t="s">
        <v>194</v>
      </c>
      <c r="L298" s="7" t="s">
        <v>31</v>
      </c>
      <c r="M298" s="7">
        <v>5.9276109999999997</v>
      </c>
      <c r="N298" s="7">
        <v>10.155730999999999</v>
      </c>
      <c r="O298" s="7" t="s">
        <v>23</v>
      </c>
      <c r="P298" s="3"/>
      <c r="Q298" s="3"/>
      <c r="R298" s="3"/>
    </row>
    <row r="299" spans="1:18" x14ac:dyDescent="0.25">
      <c r="A299" s="2">
        <v>297</v>
      </c>
      <c r="B299" s="7" t="s">
        <v>6819</v>
      </c>
      <c r="C299" s="7" t="s">
        <v>6820</v>
      </c>
      <c r="D299" s="7" t="s">
        <v>6819</v>
      </c>
      <c r="E299" s="7" t="s">
        <v>26</v>
      </c>
      <c r="F299" s="7" t="s">
        <v>6821</v>
      </c>
      <c r="G299" s="8" t="s">
        <v>18</v>
      </c>
      <c r="H299" s="7" t="s">
        <v>28</v>
      </c>
      <c r="I299" s="7" t="s">
        <v>241</v>
      </c>
      <c r="J299" s="7" t="s">
        <v>365</v>
      </c>
      <c r="K299" s="7" t="s">
        <v>6587</v>
      </c>
      <c r="L299" s="7" t="s">
        <v>31</v>
      </c>
      <c r="M299" s="7">
        <v>6.0576472222222204</v>
      </c>
      <c r="N299" s="7">
        <v>9.9035111111111096</v>
      </c>
      <c r="O299" s="7" t="s">
        <v>23</v>
      </c>
      <c r="P299" s="3"/>
      <c r="Q299" s="3"/>
      <c r="R299" s="3"/>
    </row>
    <row r="300" spans="1:18" x14ac:dyDescent="0.25">
      <c r="A300" s="2">
        <v>298</v>
      </c>
      <c r="B300" s="7" t="s">
        <v>7022</v>
      </c>
      <c r="C300" s="7" t="s">
        <v>7023</v>
      </c>
      <c r="D300" s="7" t="s">
        <v>7022</v>
      </c>
      <c r="E300" s="7" t="s">
        <v>26</v>
      </c>
      <c r="F300" s="7" t="s">
        <v>7024</v>
      </c>
      <c r="G300" s="8" t="s">
        <v>18</v>
      </c>
      <c r="H300" s="7" t="s">
        <v>28</v>
      </c>
      <c r="I300" s="7" t="s">
        <v>1010</v>
      </c>
      <c r="J300" s="7" t="s">
        <v>195</v>
      </c>
      <c r="K300" s="7" t="s">
        <v>241</v>
      </c>
      <c r="L300" s="7" t="s">
        <v>31</v>
      </c>
      <c r="M300" s="7">
        <v>5.9689769999999998</v>
      </c>
      <c r="N300" s="7">
        <v>10.147043</v>
      </c>
      <c r="O300" s="7" t="s">
        <v>613</v>
      </c>
      <c r="P300" s="3"/>
      <c r="Q300" s="3"/>
      <c r="R300" s="3"/>
    </row>
    <row r="301" spans="1:18" x14ac:dyDescent="0.25">
      <c r="A301" s="2">
        <v>299</v>
      </c>
      <c r="B301" s="7" t="s">
        <v>7124</v>
      </c>
      <c r="C301" s="7" t="s">
        <v>7125</v>
      </c>
      <c r="D301" s="7" t="s">
        <v>7124</v>
      </c>
      <c r="E301" s="7" t="s">
        <v>26</v>
      </c>
      <c r="F301" s="7" t="s">
        <v>7126</v>
      </c>
      <c r="G301" s="8" t="s">
        <v>18</v>
      </c>
      <c r="H301" s="7" t="s">
        <v>28</v>
      </c>
      <c r="I301" s="7" t="s">
        <v>194</v>
      </c>
      <c r="J301" s="7" t="s">
        <v>195</v>
      </c>
      <c r="K301" s="7" t="s">
        <v>196</v>
      </c>
      <c r="L301" s="7" t="s">
        <v>31</v>
      </c>
      <c r="M301" s="7">
        <v>6.0106729999999997</v>
      </c>
      <c r="N301" s="7">
        <v>10.241841000000001</v>
      </c>
      <c r="O301" s="7" t="s">
        <v>23</v>
      </c>
      <c r="P301" s="3"/>
      <c r="Q301" s="3"/>
      <c r="R301" s="3"/>
    </row>
    <row r="302" spans="1:18" x14ac:dyDescent="0.25">
      <c r="A302" s="2">
        <v>300</v>
      </c>
      <c r="B302" s="7" t="s">
        <v>7130</v>
      </c>
      <c r="C302" s="7" t="s">
        <v>7131</v>
      </c>
      <c r="D302" s="7" t="s">
        <v>7130</v>
      </c>
      <c r="E302" s="7" t="s">
        <v>26</v>
      </c>
      <c r="F302" s="7" t="s">
        <v>7132</v>
      </c>
      <c r="G302" s="8" t="s">
        <v>18</v>
      </c>
      <c r="H302" s="7" t="s">
        <v>28</v>
      </c>
      <c r="I302" s="7" t="s">
        <v>194</v>
      </c>
      <c r="J302" s="7" t="s">
        <v>195</v>
      </c>
      <c r="K302" s="7" t="s">
        <v>1010</v>
      </c>
      <c r="L302" s="7" t="s">
        <v>31</v>
      </c>
      <c r="M302" s="7">
        <v>5.9736729999999998</v>
      </c>
      <c r="N302" s="7">
        <v>10.199527</v>
      </c>
      <c r="O302" s="7" t="s">
        <v>23</v>
      </c>
      <c r="P302" s="3"/>
      <c r="Q302" s="3"/>
      <c r="R302" s="3"/>
    </row>
    <row r="303" spans="1:18" x14ac:dyDescent="0.25">
      <c r="A303" s="2">
        <v>301</v>
      </c>
      <c r="B303" s="7" t="s">
        <v>7201</v>
      </c>
      <c r="C303" s="7" t="s">
        <v>7202</v>
      </c>
      <c r="D303" s="7" t="s">
        <v>7201</v>
      </c>
      <c r="E303" s="7" t="s">
        <v>131</v>
      </c>
      <c r="F303" s="7" t="s">
        <v>7203</v>
      </c>
      <c r="G303" s="17" t="s">
        <v>7747</v>
      </c>
      <c r="H303" s="7" t="s">
        <v>28</v>
      </c>
      <c r="I303" s="7" t="s">
        <v>245</v>
      </c>
      <c r="J303" s="7" t="s">
        <v>7204</v>
      </c>
      <c r="K303" s="7" t="s">
        <v>2327</v>
      </c>
      <c r="L303" s="7" t="s">
        <v>31</v>
      </c>
      <c r="M303" s="7">
        <v>5.7216779999999998</v>
      </c>
      <c r="N303" s="7">
        <v>10.182003</v>
      </c>
      <c r="O303" s="7" t="s">
        <v>23</v>
      </c>
      <c r="P303" s="3"/>
      <c r="Q303" s="3"/>
      <c r="R303" s="3"/>
    </row>
    <row r="304" spans="1:18" x14ac:dyDescent="0.25">
      <c r="A304" s="2">
        <v>302</v>
      </c>
      <c r="B304" s="7" t="s">
        <v>7278</v>
      </c>
      <c r="C304" s="7" t="s">
        <v>7279</v>
      </c>
      <c r="D304" s="7" t="s">
        <v>7278</v>
      </c>
      <c r="E304" s="7" t="s">
        <v>26</v>
      </c>
      <c r="F304" s="7" t="s">
        <v>7280</v>
      </c>
      <c r="G304" s="8" t="s">
        <v>18</v>
      </c>
      <c r="H304" s="7" t="s">
        <v>28</v>
      </c>
      <c r="I304" s="7" t="s">
        <v>241</v>
      </c>
      <c r="J304" s="7" t="s">
        <v>195</v>
      </c>
      <c r="K304" s="7" t="s">
        <v>241</v>
      </c>
      <c r="L304" s="7" t="s">
        <v>31</v>
      </c>
      <c r="M304" s="7">
        <v>5.7739000000000003</v>
      </c>
      <c r="N304" s="7">
        <v>10.105029999999999</v>
      </c>
      <c r="O304" s="7" t="s">
        <v>23</v>
      </c>
      <c r="P304" s="3"/>
      <c r="Q304" s="3"/>
      <c r="R304" s="3"/>
    </row>
    <row r="305" spans="1:18" x14ac:dyDescent="0.25">
      <c r="A305" s="2">
        <v>303</v>
      </c>
      <c r="B305" s="7" t="s">
        <v>7313</v>
      </c>
      <c r="C305" s="7" t="s">
        <v>7314</v>
      </c>
      <c r="D305" s="7" t="s">
        <v>7313</v>
      </c>
      <c r="E305" s="7" t="s">
        <v>26</v>
      </c>
      <c r="F305" s="7" t="s">
        <v>7315</v>
      </c>
      <c r="G305" s="8" t="s">
        <v>18</v>
      </c>
      <c r="H305" s="7" t="s">
        <v>28</v>
      </c>
      <c r="I305" s="7" t="s">
        <v>140</v>
      </c>
      <c r="J305" s="7" t="s">
        <v>328</v>
      </c>
      <c r="K305" s="7" t="s">
        <v>116</v>
      </c>
      <c r="L305" s="7" t="s">
        <v>31</v>
      </c>
      <c r="M305" s="7">
        <v>6.2932430000000004</v>
      </c>
      <c r="N305" s="7">
        <v>10.786978</v>
      </c>
      <c r="O305" s="7" t="s">
        <v>23</v>
      </c>
      <c r="P305" s="3"/>
      <c r="Q305" s="3"/>
      <c r="R305" s="3"/>
    </row>
    <row r="306" spans="1:18" x14ac:dyDescent="0.25">
      <c r="A306" s="2">
        <v>304</v>
      </c>
      <c r="B306" s="7" t="s">
        <v>7316</v>
      </c>
      <c r="C306" s="7" t="s">
        <v>7317</v>
      </c>
      <c r="D306" s="7" t="s">
        <v>7316</v>
      </c>
      <c r="E306" s="7" t="s">
        <v>26</v>
      </c>
      <c r="F306" s="7" t="s">
        <v>7318</v>
      </c>
      <c r="G306" s="8" t="s">
        <v>18</v>
      </c>
      <c r="H306" s="7" t="s">
        <v>28</v>
      </c>
      <c r="I306" s="7" t="s">
        <v>31</v>
      </c>
      <c r="J306" s="7" t="s">
        <v>195</v>
      </c>
      <c r="K306" s="7" t="s">
        <v>2718</v>
      </c>
      <c r="L306" s="7" t="s">
        <v>31</v>
      </c>
      <c r="M306" s="7">
        <v>5.9220569999999997</v>
      </c>
      <c r="N306" s="7">
        <v>10.068813</v>
      </c>
      <c r="O306" s="7" t="s">
        <v>23</v>
      </c>
      <c r="P306" s="3"/>
      <c r="Q306" s="3"/>
      <c r="R306" s="3"/>
    </row>
    <row r="307" spans="1:18" x14ac:dyDescent="0.25">
      <c r="A307" s="2">
        <v>305</v>
      </c>
      <c r="B307" s="7" t="s">
        <v>7319</v>
      </c>
      <c r="C307" s="7" t="s">
        <v>7320</v>
      </c>
      <c r="D307" s="7" t="s">
        <v>7319</v>
      </c>
      <c r="E307" s="7" t="s">
        <v>26</v>
      </c>
      <c r="F307" s="7" t="s">
        <v>7321</v>
      </c>
      <c r="G307" s="8" t="s">
        <v>18</v>
      </c>
      <c r="H307" s="7" t="s">
        <v>28</v>
      </c>
      <c r="I307" s="7" t="s">
        <v>140</v>
      </c>
      <c r="J307" s="7" t="s">
        <v>328</v>
      </c>
      <c r="K307" s="7" t="s">
        <v>349</v>
      </c>
      <c r="L307" s="7" t="s">
        <v>31</v>
      </c>
      <c r="M307" s="7">
        <v>6.0379100000000001</v>
      </c>
      <c r="N307" s="7">
        <v>10.68852</v>
      </c>
      <c r="O307" s="7" t="s">
        <v>23</v>
      </c>
      <c r="P307" s="3"/>
      <c r="Q307" s="3"/>
      <c r="R307" s="3"/>
    </row>
    <row r="308" spans="1:18" x14ac:dyDescent="0.25">
      <c r="A308" s="2">
        <v>306</v>
      </c>
      <c r="B308" s="7" t="s">
        <v>7322</v>
      </c>
      <c r="C308" s="7" t="s">
        <v>7323</v>
      </c>
      <c r="D308" s="7" t="s">
        <v>7322</v>
      </c>
      <c r="E308" s="7" t="s">
        <v>26</v>
      </c>
      <c r="F308" s="7" t="s">
        <v>7324</v>
      </c>
      <c r="G308" s="8" t="s">
        <v>18</v>
      </c>
      <c r="H308" s="7" t="s">
        <v>28</v>
      </c>
      <c r="I308" s="7" t="s">
        <v>140</v>
      </c>
      <c r="J308" s="7" t="s">
        <v>7325</v>
      </c>
      <c r="K308" s="7" t="s">
        <v>1454</v>
      </c>
      <c r="L308" s="7" t="s">
        <v>31</v>
      </c>
      <c r="M308" s="7">
        <v>5.9220499999999996</v>
      </c>
      <c r="N308" s="7">
        <v>10.435627999999999</v>
      </c>
      <c r="O308" s="7" t="s">
        <v>23</v>
      </c>
      <c r="P308" s="3"/>
      <c r="Q308" s="3"/>
      <c r="R308" s="3"/>
    </row>
    <row r="309" spans="1:18" x14ac:dyDescent="0.25">
      <c r="A309" s="2">
        <v>307</v>
      </c>
      <c r="B309" s="7" t="s">
        <v>7333</v>
      </c>
      <c r="C309" s="7" t="s">
        <v>7334</v>
      </c>
      <c r="D309" s="7" t="s">
        <v>7333</v>
      </c>
      <c r="E309" s="7" t="s">
        <v>26</v>
      </c>
      <c r="F309" s="7" t="s">
        <v>7335</v>
      </c>
      <c r="G309" s="8" t="s">
        <v>18</v>
      </c>
      <c r="H309" s="7" t="s">
        <v>28</v>
      </c>
      <c r="I309" s="7" t="s">
        <v>140</v>
      </c>
      <c r="J309" s="7" t="s">
        <v>328</v>
      </c>
      <c r="K309" s="7" t="s">
        <v>116</v>
      </c>
      <c r="L309" s="7" t="s">
        <v>31</v>
      </c>
      <c r="M309" s="7">
        <v>6.2248000000000001</v>
      </c>
      <c r="N309" s="7">
        <v>10.792870000000001</v>
      </c>
      <c r="O309" s="7" t="s">
        <v>23</v>
      </c>
      <c r="P309" s="3"/>
      <c r="Q309" s="3"/>
      <c r="R309" s="3"/>
    </row>
    <row r="310" spans="1:18" x14ac:dyDescent="0.25">
      <c r="A310" s="2">
        <v>308</v>
      </c>
      <c r="B310" s="7" t="s">
        <v>7336</v>
      </c>
      <c r="C310" s="7" t="s">
        <v>7337</v>
      </c>
      <c r="D310" s="7" t="s">
        <v>7336</v>
      </c>
      <c r="E310" s="7" t="s">
        <v>26</v>
      </c>
      <c r="F310" s="7" t="s">
        <v>7338</v>
      </c>
      <c r="G310" s="8" t="s">
        <v>18</v>
      </c>
      <c r="H310" s="7" t="s">
        <v>28</v>
      </c>
      <c r="I310" s="7" t="s">
        <v>140</v>
      </c>
      <c r="J310" s="7" t="s">
        <v>328</v>
      </c>
      <c r="K310" s="7" t="s">
        <v>116</v>
      </c>
      <c r="L310" s="7" t="s">
        <v>31</v>
      </c>
      <c r="M310" s="7">
        <v>6.2639480000000001</v>
      </c>
      <c r="N310" s="7">
        <v>10.751713000000001</v>
      </c>
      <c r="O310" s="7" t="s">
        <v>23</v>
      </c>
      <c r="P310" s="3"/>
      <c r="Q310" s="3"/>
      <c r="R310" s="3"/>
    </row>
    <row r="311" spans="1:18" x14ac:dyDescent="0.25">
      <c r="A311" s="2">
        <v>309</v>
      </c>
      <c r="B311" s="7" t="s">
        <v>7342</v>
      </c>
      <c r="C311" s="7" t="s">
        <v>7343</v>
      </c>
      <c r="D311" s="7" t="s">
        <v>7342</v>
      </c>
      <c r="E311" s="7" t="s">
        <v>26</v>
      </c>
      <c r="F311" s="7" t="s">
        <v>7344</v>
      </c>
      <c r="G311" s="8" t="s">
        <v>18</v>
      </c>
      <c r="H311" s="7" t="s">
        <v>28</v>
      </c>
      <c r="I311" s="7" t="s">
        <v>241</v>
      </c>
      <c r="J311" s="7" t="s">
        <v>195</v>
      </c>
      <c r="K311" s="7" t="s">
        <v>241</v>
      </c>
      <c r="L311" s="7" t="s">
        <v>31</v>
      </c>
      <c r="M311" s="7">
        <v>5.97044</v>
      </c>
      <c r="N311" s="7">
        <v>10.088900000000001</v>
      </c>
      <c r="O311" s="7" t="s">
        <v>23</v>
      </c>
      <c r="P311" s="3"/>
      <c r="Q311" s="3"/>
      <c r="R311" s="3"/>
    </row>
    <row r="312" spans="1:18" x14ac:dyDescent="0.25">
      <c r="A312" s="2">
        <v>310</v>
      </c>
      <c r="B312" s="7" t="s">
        <v>7345</v>
      </c>
      <c r="C312" s="7" t="s">
        <v>7346</v>
      </c>
      <c r="D312" s="7" t="s">
        <v>7345</v>
      </c>
      <c r="E312" s="7" t="s">
        <v>26</v>
      </c>
      <c r="F312" s="7" t="s">
        <v>7347</v>
      </c>
      <c r="G312" s="8" t="s">
        <v>18</v>
      </c>
      <c r="H312" s="7" t="s">
        <v>28</v>
      </c>
      <c r="I312" s="7" t="s">
        <v>31</v>
      </c>
      <c r="J312" s="7" t="s">
        <v>195</v>
      </c>
      <c r="K312" s="7" t="s">
        <v>29</v>
      </c>
      <c r="L312" s="7" t="s">
        <v>31</v>
      </c>
      <c r="M312" s="7">
        <v>6.1054199999999996</v>
      </c>
      <c r="N312" s="7">
        <v>10.084680000000001</v>
      </c>
      <c r="O312" s="7" t="s">
        <v>23</v>
      </c>
      <c r="P312" s="3"/>
      <c r="Q312" s="3"/>
      <c r="R312" s="3"/>
    </row>
    <row r="313" spans="1:18" x14ac:dyDescent="0.25">
      <c r="A313" s="2">
        <v>311</v>
      </c>
      <c r="B313" s="7" t="s">
        <v>7355</v>
      </c>
      <c r="C313" s="7" t="s">
        <v>7356</v>
      </c>
      <c r="D313" s="7" t="s">
        <v>7355</v>
      </c>
      <c r="E313" s="7" t="s">
        <v>26</v>
      </c>
      <c r="F313" s="7" t="s">
        <v>7357</v>
      </c>
      <c r="G313" s="8" t="s">
        <v>18</v>
      </c>
      <c r="H313" s="7" t="s">
        <v>28</v>
      </c>
      <c r="I313" s="7" t="s">
        <v>1010</v>
      </c>
      <c r="J313" s="7" t="s">
        <v>195</v>
      </c>
      <c r="K313" s="7" t="s">
        <v>1010</v>
      </c>
      <c r="L313" s="7" t="s">
        <v>31</v>
      </c>
      <c r="M313" s="7">
        <v>5.9759260000000003</v>
      </c>
      <c r="N313" s="7">
        <v>10.180094</v>
      </c>
      <c r="O313" s="7" t="s">
        <v>23</v>
      </c>
      <c r="P313" s="3"/>
      <c r="Q313" s="3"/>
      <c r="R313" s="3"/>
    </row>
    <row r="314" spans="1:18" x14ac:dyDescent="0.25">
      <c r="A314" s="2">
        <v>312</v>
      </c>
      <c r="B314" s="7" t="s">
        <v>7361</v>
      </c>
      <c r="C314" s="7" t="s">
        <v>7362</v>
      </c>
      <c r="D314" s="7" t="s">
        <v>7361</v>
      </c>
      <c r="E314" s="7" t="s">
        <v>26</v>
      </c>
      <c r="F314" s="7" t="s">
        <v>7363</v>
      </c>
      <c r="G314" s="17" t="s">
        <v>7747</v>
      </c>
      <c r="H314" s="7" t="s">
        <v>28</v>
      </c>
      <c r="I314" s="7" t="s">
        <v>1010</v>
      </c>
      <c r="J314" s="7" t="s">
        <v>195</v>
      </c>
      <c r="K314" s="7" t="s">
        <v>194</v>
      </c>
      <c r="L314" s="7" t="s">
        <v>31</v>
      </c>
      <c r="M314" s="7">
        <v>5.9571310000000004</v>
      </c>
      <c r="N314" s="7">
        <v>10.179076</v>
      </c>
      <c r="O314" s="7" t="s">
        <v>23</v>
      </c>
      <c r="P314" s="3"/>
      <c r="Q314" s="3"/>
      <c r="R314" s="3"/>
    </row>
    <row r="315" spans="1:18" x14ac:dyDescent="0.25">
      <c r="A315" s="2">
        <v>313</v>
      </c>
      <c r="B315" s="7" t="s">
        <v>7527</v>
      </c>
      <c r="C315" s="7" t="s">
        <v>7528</v>
      </c>
      <c r="D315" s="7" t="s">
        <v>7527</v>
      </c>
      <c r="E315" s="7" t="s">
        <v>26</v>
      </c>
      <c r="F315" s="7" t="s">
        <v>7529</v>
      </c>
      <c r="G315" s="8" t="s">
        <v>18</v>
      </c>
      <c r="H315" s="7" t="s">
        <v>28</v>
      </c>
      <c r="I315" s="7" t="s">
        <v>114</v>
      </c>
      <c r="J315" s="7" t="s">
        <v>306</v>
      </c>
      <c r="K315" s="7" t="s">
        <v>114</v>
      </c>
      <c r="L315" s="7" t="s">
        <v>31</v>
      </c>
      <c r="M315" s="7">
        <v>6.6634250000000002</v>
      </c>
      <c r="N315" s="7">
        <v>10.76455</v>
      </c>
      <c r="O315" s="7" t="s">
        <v>23</v>
      </c>
      <c r="P315" s="3"/>
      <c r="Q315" s="3"/>
      <c r="R315" s="3"/>
    </row>
    <row r="316" spans="1:18" x14ac:dyDescent="0.25">
      <c r="A316" s="2">
        <v>314</v>
      </c>
      <c r="B316" s="7" t="s">
        <v>7549</v>
      </c>
      <c r="C316" s="7" t="s">
        <v>7550</v>
      </c>
      <c r="D316" s="7" t="s">
        <v>7549</v>
      </c>
      <c r="E316" s="7" t="s">
        <v>26</v>
      </c>
      <c r="F316" s="7" t="s">
        <v>7551</v>
      </c>
      <c r="G316" s="8" t="s">
        <v>18</v>
      </c>
      <c r="H316" s="7" t="s">
        <v>28</v>
      </c>
      <c r="I316" s="7" t="s">
        <v>29</v>
      </c>
      <c r="J316" s="7" t="s">
        <v>195</v>
      </c>
      <c r="K316" s="7" t="s">
        <v>29</v>
      </c>
      <c r="L316" s="7" t="s">
        <v>31</v>
      </c>
      <c r="M316" s="7">
        <v>6.0658079999999996</v>
      </c>
      <c r="N316" s="7">
        <v>10.101448</v>
      </c>
      <c r="O316" s="7" t="s">
        <v>23</v>
      </c>
      <c r="P316" s="3"/>
      <c r="Q316" s="3"/>
      <c r="R316" s="3"/>
    </row>
    <row r="317" spans="1:18" x14ac:dyDescent="0.25">
      <c r="A317" s="2">
        <v>315</v>
      </c>
      <c r="B317" s="7" t="s">
        <v>7563</v>
      </c>
      <c r="C317" s="7" t="s">
        <v>7564</v>
      </c>
      <c r="D317" s="7" t="s">
        <v>7563</v>
      </c>
      <c r="E317" s="7" t="s">
        <v>131</v>
      </c>
      <c r="F317" s="7" t="s">
        <v>7565</v>
      </c>
      <c r="G317" s="17" t="s">
        <v>7747</v>
      </c>
      <c r="H317" s="7" t="s">
        <v>28</v>
      </c>
      <c r="I317" s="7" t="s">
        <v>7329</v>
      </c>
      <c r="J317" s="7" t="s">
        <v>7562</v>
      </c>
      <c r="K317" s="7" t="s">
        <v>4275</v>
      </c>
      <c r="L317" s="7" t="s">
        <v>31</v>
      </c>
      <c r="M317" s="7">
        <v>5.71136</v>
      </c>
      <c r="N317" s="7">
        <v>10.158250000000001</v>
      </c>
      <c r="O317" s="7" t="s">
        <v>23</v>
      </c>
      <c r="P317" s="3"/>
      <c r="Q317" s="3"/>
      <c r="R317" s="3"/>
    </row>
    <row r="318" spans="1:18" x14ac:dyDescent="0.25">
      <c r="A318" s="2">
        <v>316</v>
      </c>
      <c r="B318" s="7" t="s">
        <v>7575</v>
      </c>
      <c r="C318" s="7" t="s">
        <v>7576</v>
      </c>
      <c r="D318" s="7" t="s">
        <v>7575</v>
      </c>
      <c r="E318" s="7" t="s">
        <v>26</v>
      </c>
      <c r="F318" s="7" t="s">
        <v>7577</v>
      </c>
      <c r="G318" s="8" t="s">
        <v>18</v>
      </c>
      <c r="H318" s="7" t="s">
        <v>28</v>
      </c>
      <c r="I318" s="7" t="s">
        <v>29</v>
      </c>
      <c r="J318" s="7" t="s">
        <v>812</v>
      </c>
      <c r="K318" s="7" t="s">
        <v>2011</v>
      </c>
      <c r="L318" s="7" t="s">
        <v>31</v>
      </c>
      <c r="M318" s="7">
        <v>6.4580330000000004</v>
      </c>
      <c r="N318" s="7">
        <v>10.122539</v>
      </c>
      <c r="O318" s="7" t="s">
        <v>23</v>
      </c>
      <c r="P318" s="3"/>
      <c r="Q318" s="3"/>
      <c r="R318" s="3"/>
    </row>
    <row r="319" spans="1:18" x14ac:dyDescent="0.25">
      <c r="A319" s="2">
        <v>317</v>
      </c>
      <c r="B319" s="7" t="s">
        <v>7611</v>
      </c>
      <c r="C319" s="7" t="s">
        <v>7612</v>
      </c>
      <c r="D319" s="7" t="s">
        <v>7611</v>
      </c>
      <c r="E319" s="7" t="s">
        <v>26</v>
      </c>
      <c r="F319" s="7" t="s">
        <v>7613</v>
      </c>
      <c r="G319" s="17" t="s">
        <v>7747</v>
      </c>
      <c r="H319" s="7" t="s">
        <v>28</v>
      </c>
      <c r="I319" s="10" t="s">
        <v>241</v>
      </c>
      <c r="J319" s="10" t="s">
        <v>195</v>
      </c>
      <c r="K319" s="10" t="s">
        <v>241</v>
      </c>
      <c r="L319" s="7" t="s">
        <v>31</v>
      </c>
      <c r="M319" s="7">
        <v>5.962987</v>
      </c>
      <c r="N319" s="7">
        <v>10.134845</v>
      </c>
      <c r="O319" s="7" t="s">
        <v>23</v>
      </c>
      <c r="P319" s="3"/>
      <c r="Q319" s="3"/>
      <c r="R319" s="3"/>
    </row>
    <row r="320" spans="1:18" x14ac:dyDescent="0.25">
      <c r="A320" s="2">
        <v>318</v>
      </c>
      <c r="B320" s="7" t="s">
        <v>7614</v>
      </c>
      <c r="C320" s="7" t="s">
        <v>7615</v>
      </c>
      <c r="D320" s="7" t="s">
        <v>7614</v>
      </c>
      <c r="E320" s="7" t="s">
        <v>26</v>
      </c>
      <c r="F320" s="7" t="s">
        <v>7616</v>
      </c>
      <c r="G320" s="17" t="s">
        <v>7747</v>
      </c>
      <c r="H320" s="7" t="s">
        <v>28</v>
      </c>
      <c r="I320" s="7" t="s">
        <v>241</v>
      </c>
      <c r="J320" s="7" t="s">
        <v>195</v>
      </c>
      <c r="K320" s="7" t="s">
        <v>241</v>
      </c>
      <c r="L320" s="7" t="s">
        <v>31</v>
      </c>
      <c r="M320" s="7">
        <v>5.9411949999999996</v>
      </c>
      <c r="N320" s="7">
        <v>10.135865000000001</v>
      </c>
      <c r="O320" s="7" t="s">
        <v>23</v>
      </c>
      <c r="P320" s="3"/>
      <c r="Q320" s="3"/>
      <c r="R320" s="3"/>
    </row>
    <row r="321" spans="1:18" x14ac:dyDescent="0.25">
      <c r="A321" s="2">
        <v>319</v>
      </c>
      <c r="B321" s="7" t="s">
        <v>7641</v>
      </c>
      <c r="C321" s="7" t="s">
        <v>7642</v>
      </c>
      <c r="D321" s="7" t="s">
        <v>7641</v>
      </c>
      <c r="E321" s="7" t="s">
        <v>26</v>
      </c>
      <c r="F321" s="7" t="s">
        <v>7643</v>
      </c>
      <c r="G321" s="17" t="s">
        <v>7747</v>
      </c>
      <c r="H321" s="7" t="s">
        <v>28</v>
      </c>
      <c r="I321" s="7" t="s">
        <v>241</v>
      </c>
      <c r="J321" s="7" t="s">
        <v>195</v>
      </c>
      <c r="K321" s="7" t="s">
        <v>1010</v>
      </c>
      <c r="L321" s="7" t="s">
        <v>31</v>
      </c>
      <c r="M321" s="7">
        <v>6.0002599999999999</v>
      </c>
      <c r="N321" s="7">
        <v>10.20966</v>
      </c>
      <c r="O321" s="7" t="s">
        <v>23</v>
      </c>
      <c r="P321" s="3"/>
      <c r="Q321" s="3"/>
      <c r="R321" s="3"/>
    </row>
    <row r="322" spans="1:18" x14ac:dyDescent="0.25">
      <c r="A322" s="2">
        <v>320</v>
      </c>
      <c r="B322" s="7" t="s">
        <v>7651</v>
      </c>
      <c r="C322" s="7" t="s">
        <v>7652</v>
      </c>
      <c r="D322" s="7" t="s">
        <v>7651</v>
      </c>
      <c r="E322" s="10" t="s">
        <v>26</v>
      </c>
      <c r="F322" s="7" t="s">
        <v>7653</v>
      </c>
      <c r="G322" s="17" t="s">
        <v>7747</v>
      </c>
      <c r="H322" s="7" t="s">
        <v>28</v>
      </c>
      <c r="I322" s="7" t="s">
        <v>241</v>
      </c>
      <c r="J322" s="7" t="s">
        <v>195</v>
      </c>
      <c r="K322" s="7" t="s">
        <v>1010</v>
      </c>
      <c r="L322" s="7" t="s">
        <v>31</v>
      </c>
      <c r="M322" s="10">
        <v>5.9759690000000001</v>
      </c>
      <c r="N322" s="10">
        <v>10.121524000000001</v>
      </c>
      <c r="O322" s="7" t="s">
        <v>23</v>
      </c>
      <c r="P322" s="3"/>
      <c r="Q322" s="3"/>
      <c r="R322" s="3"/>
    </row>
    <row r="323" spans="1:18" ht="45" x14ac:dyDescent="0.25">
      <c r="A323" s="2">
        <v>321</v>
      </c>
      <c r="B323" s="7" t="s">
        <v>7675</v>
      </c>
      <c r="C323" s="7" t="s">
        <v>7676</v>
      </c>
      <c r="D323" s="7" t="s">
        <v>7675</v>
      </c>
      <c r="E323" s="10" t="s">
        <v>7677</v>
      </c>
      <c r="F323" s="11" t="s">
        <v>7678</v>
      </c>
      <c r="G323" s="17" t="s">
        <v>7747</v>
      </c>
      <c r="H323" s="7" t="s">
        <v>28</v>
      </c>
      <c r="I323" s="10" t="s">
        <v>241</v>
      </c>
      <c r="J323" s="10" t="s">
        <v>195</v>
      </c>
      <c r="K323" s="10" t="s">
        <v>241</v>
      </c>
      <c r="L323" s="7" t="s">
        <v>31</v>
      </c>
      <c r="M323" s="12">
        <v>5.9533959999999997</v>
      </c>
      <c r="N323" s="12">
        <v>10.141564000000001</v>
      </c>
      <c r="O323" s="11" t="s">
        <v>613</v>
      </c>
      <c r="P323" s="3"/>
      <c r="Q323" s="3"/>
      <c r="R323" s="3"/>
    </row>
    <row r="324" spans="1:18" x14ac:dyDescent="0.25">
      <c r="A324" s="2">
        <v>323</v>
      </c>
      <c r="B324" s="7" t="s">
        <v>142</v>
      </c>
      <c r="C324" s="7" t="s">
        <v>143</v>
      </c>
      <c r="D324" s="7" t="s">
        <v>142</v>
      </c>
      <c r="E324" s="7" t="s">
        <v>26</v>
      </c>
      <c r="F324" s="7" t="s">
        <v>144</v>
      </c>
      <c r="G324" s="8" t="s">
        <v>18</v>
      </c>
      <c r="H324" s="7" t="s">
        <v>28</v>
      </c>
      <c r="I324" s="7" t="s">
        <v>145</v>
      </c>
      <c r="J324" s="7" t="s">
        <v>146</v>
      </c>
      <c r="K324" s="7" t="s">
        <v>147</v>
      </c>
      <c r="L324" s="7" t="s">
        <v>121</v>
      </c>
      <c r="M324" s="7">
        <v>6.4088060000000002</v>
      </c>
      <c r="N324" s="7">
        <v>11.318972</v>
      </c>
      <c r="O324" s="7" t="s">
        <v>23</v>
      </c>
      <c r="P324" s="3"/>
      <c r="Q324" s="3"/>
      <c r="R324" s="3"/>
    </row>
    <row r="325" spans="1:18" x14ac:dyDescent="0.25">
      <c r="A325" s="2">
        <v>324</v>
      </c>
      <c r="B325" s="7" t="s">
        <v>304</v>
      </c>
      <c r="C325" s="7" t="s">
        <v>305</v>
      </c>
      <c r="D325" s="7" t="s">
        <v>304</v>
      </c>
      <c r="E325" s="7" t="s">
        <v>26</v>
      </c>
      <c r="F325" s="7" t="s">
        <v>270</v>
      </c>
      <c r="G325" s="8" t="s">
        <v>18</v>
      </c>
      <c r="H325" s="7" t="s">
        <v>28</v>
      </c>
      <c r="I325" s="7" t="s">
        <v>114</v>
      </c>
      <c r="J325" s="7" t="s">
        <v>306</v>
      </c>
      <c r="K325" s="7" t="s">
        <v>307</v>
      </c>
      <c r="L325" s="7" t="s">
        <v>121</v>
      </c>
      <c r="M325" s="7">
        <v>6.3082799999999999</v>
      </c>
      <c r="N325" s="7">
        <v>11.030340000000001</v>
      </c>
      <c r="O325" s="7" t="s">
        <v>23</v>
      </c>
      <c r="P325" s="3"/>
      <c r="Q325" s="3"/>
      <c r="R325" s="3"/>
    </row>
    <row r="326" spans="1:18" x14ac:dyDescent="0.25">
      <c r="A326" s="2">
        <v>325</v>
      </c>
      <c r="B326" s="7" t="s">
        <v>407</v>
      </c>
      <c r="C326" s="7" t="s">
        <v>408</v>
      </c>
      <c r="D326" s="7" t="s">
        <v>407</v>
      </c>
      <c r="E326" s="7" t="s">
        <v>131</v>
      </c>
      <c r="F326" s="7" t="s">
        <v>409</v>
      </c>
      <c r="G326" s="17" t="s">
        <v>7747</v>
      </c>
      <c r="H326" s="7" t="s">
        <v>28</v>
      </c>
      <c r="I326" s="7" t="s">
        <v>145</v>
      </c>
      <c r="J326" s="7" t="s">
        <v>134</v>
      </c>
      <c r="K326" s="7" t="s">
        <v>410</v>
      </c>
      <c r="L326" s="7" t="s">
        <v>121</v>
      </c>
      <c r="M326" s="7">
        <v>5.7818889999999996</v>
      </c>
      <c r="N326" s="7">
        <v>11.489750000000001</v>
      </c>
      <c r="O326" s="7" t="s">
        <v>23</v>
      </c>
      <c r="P326" s="3"/>
      <c r="Q326" s="3"/>
      <c r="R326" s="3"/>
    </row>
    <row r="327" spans="1:18" x14ac:dyDescent="0.25">
      <c r="A327" s="2">
        <v>332</v>
      </c>
      <c r="B327" s="7" t="s">
        <v>1207</v>
      </c>
      <c r="C327" s="7" t="s">
        <v>1208</v>
      </c>
      <c r="D327" s="7" t="s">
        <v>1207</v>
      </c>
      <c r="E327" s="7" t="s">
        <v>26</v>
      </c>
      <c r="F327" s="7" t="s">
        <v>1209</v>
      </c>
      <c r="G327" s="8" t="s">
        <v>18</v>
      </c>
      <c r="H327" s="7" t="s">
        <v>28</v>
      </c>
      <c r="I327" s="7" t="s">
        <v>114</v>
      </c>
      <c r="J327" s="7" t="s">
        <v>306</v>
      </c>
      <c r="K327" s="7" t="s">
        <v>1192</v>
      </c>
      <c r="L327" s="7" t="s">
        <v>121</v>
      </c>
      <c r="M327" s="7">
        <v>6.9556100000000001</v>
      </c>
      <c r="N327" s="7">
        <v>10.71881</v>
      </c>
      <c r="O327" s="7" t="s">
        <v>23</v>
      </c>
      <c r="P327" s="3"/>
      <c r="Q327" s="3"/>
      <c r="R327" s="3"/>
    </row>
    <row r="328" spans="1:18" x14ac:dyDescent="0.25">
      <c r="A328" s="2">
        <v>333</v>
      </c>
      <c r="B328" s="7" t="s">
        <v>1260</v>
      </c>
      <c r="C328" s="7" t="s">
        <v>1261</v>
      </c>
      <c r="D328" s="7" t="s">
        <v>1260</v>
      </c>
      <c r="E328" s="7" t="s">
        <v>26</v>
      </c>
      <c r="F328" s="7" t="s">
        <v>1262</v>
      </c>
      <c r="G328" s="17" t="s">
        <v>7747</v>
      </c>
      <c r="H328" s="7" t="s">
        <v>28</v>
      </c>
      <c r="I328" s="7" t="s">
        <v>114</v>
      </c>
      <c r="J328" s="7" t="s">
        <v>306</v>
      </c>
      <c r="K328" s="7" t="s">
        <v>307</v>
      </c>
      <c r="L328" s="7" t="s">
        <v>121</v>
      </c>
      <c r="M328" s="7">
        <v>6.6481199999999996</v>
      </c>
      <c r="N328" s="7">
        <v>11.04256</v>
      </c>
      <c r="O328" s="7" t="s">
        <v>23</v>
      </c>
      <c r="P328" s="3"/>
      <c r="Q328" s="3"/>
      <c r="R328" s="3"/>
    </row>
    <row r="329" spans="1:18" x14ac:dyDescent="0.25">
      <c r="A329" s="2">
        <v>336</v>
      </c>
      <c r="B329" s="7" t="s">
        <v>1902</v>
      </c>
      <c r="C329" s="7" t="s">
        <v>1903</v>
      </c>
      <c r="D329" s="7" t="s">
        <v>1902</v>
      </c>
      <c r="E329" s="7" t="s">
        <v>131</v>
      </c>
      <c r="F329" s="7" t="s">
        <v>1904</v>
      </c>
      <c r="G329" s="17" t="s">
        <v>7747</v>
      </c>
      <c r="H329" s="7" t="s">
        <v>28</v>
      </c>
      <c r="I329" s="7" t="s">
        <v>145</v>
      </c>
      <c r="J329" s="7" t="s">
        <v>146</v>
      </c>
      <c r="K329" s="7" t="s">
        <v>1522</v>
      </c>
      <c r="L329" s="7" t="s">
        <v>121</v>
      </c>
      <c r="M329" s="7">
        <v>6.0504300000000004</v>
      </c>
      <c r="N329" s="7">
        <v>11.291411999999999</v>
      </c>
      <c r="O329" s="7" t="s">
        <v>23</v>
      </c>
      <c r="P329" s="3"/>
      <c r="Q329" s="3"/>
      <c r="R329" s="3"/>
    </row>
    <row r="330" spans="1:18" x14ac:dyDescent="0.25">
      <c r="A330" s="2">
        <v>337</v>
      </c>
      <c r="B330" s="7" t="s">
        <v>1992</v>
      </c>
      <c r="C330" s="7" t="s">
        <v>1993</v>
      </c>
      <c r="D330" s="7" t="s">
        <v>1992</v>
      </c>
      <c r="E330" s="7" t="s">
        <v>26</v>
      </c>
      <c r="F330" s="7" t="s">
        <v>1994</v>
      </c>
      <c r="G330" s="8" t="s">
        <v>1106</v>
      </c>
      <c r="H330" s="7" t="s">
        <v>28</v>
      </c>
      <c r="I330" s="7" t="s">
        <v>145</v>
      </c>
      <c r="J330" s="7" t="s">
        <v>146</v>
      </c>
      <c r="K330" s="7" t="s">
        <v>147</v>
      </c>
      <c r="L330" s="7" t="s">
        <v>121</v>
      </c>
      <c r="M330" s="7">
        <v>6.4658329999999999</v>
      </c>
      <c r="N330" s="7">
        <v>11.30917</v>
      </c>
      <c r="O330" s="7" t="s">
        <v>23</v>
      </c>
      <c r="P330" s="3"/>
      <c r="Q330" s="3"/>
      <c r="R330" s="3"/>
    </row>
    <row r="331" spans="1:18" x14ac:dyDescent="0.25">
      <c r="A331" s="2">
        <v>341</v>
      </c>
      <c r="B331" s="7" t="s">
        <v>2924</v>
      </c>
      <c r="C331" s="7" t="s">
        <v>2925</v>
      </c>
      <c r="D331" s="7" t="s">
        <v>2924</v>
      </c>
      <c r="E331" s="7" t="s">
        <v>131</v>
      </c>
      <c r="F331" s="7" t="s">
        <v>147</v>
      </c>
      <c r="G331" s="17" t="s">
        <v>7747</v>
      </c>
      <c r="H331" s="7" t="s">
        <v>19</v>
      </c>
      <c r="I331" s="7" t="s">
        <v>145</v>
      </c>
      <c r="J331" s="7" t="s">
        <v>146</v>
      </c>
      <c r="K331" s="7" t="s">
        <v>147</v>
      </c>
      <c r="L331" s="7" t="s">
        <v>121</v>
      </c>
      <c r="M331" s="7">
        <v>6.0834000000000001</v>
      </c>
      <c r="N331" s="7">
        <v>11.471778</v>
      </c>
      <c r="O331" s="7" t="s">
        <v>23</v>
      </c>
      <c r="P331" s="3"/>
      <c r="Q331" s="3"/>
      <c r="R331" s="3"/>
    </row>
    <row r="332" spans="1:18" x14ac:dyDescent="0.25">
      <c r="A332" s="2">
        <v>345</v>
      </c>
      <c r="B332" s="7" t="s">
        <v>5871</v>
      </c>
      <c r="C332" s="7" t="s">
        <v>5872</v>
      </c>
      <c r="D332" s="7" t="s">
        <v>5871</v>
      </c>
      <c r="E332" s="7" t="s">
        <v>26</v>
      </c>
      <c r="F332" s="7" t="s">
        <v>5873</v>
      </c>
      <c r="G332" s="8" t="s">
        <v>18</v>
      </c>
      <c r="H332" s="7" t="s">
        <v>28</v>
      </c>
      <c r="I332" s="7" t="s">
        <v>114</v>
      </c>
      <c r="J332" s="7" t="s">
        <v>306</v>
      </c>
      <c r="K332" s="7" t="s">
        <v>307</v>
      </c>
      <c r="L332" s="7" t="s">
        <v>121</v>
      </c>
      <c r="M332" s="7">
        <v>6.3856109999999999</v>
      </c>
      <c r="N332" s="7">
        <v>11.165082999999999</v>
      </c>
      <c r="O332" s="7" t="s">
        <v>23</v>
      </c>
      <c r="P332" s="3"/>
      <c r="Q332" s="3"/>
      <c r="R332" s="3"/>
    </row>
    <row r="333" spans="1:18" x14ac:dyDescent="0.25">
      <c r="A333" s="2">
        <v>347</v>
      </c>
      <c r="B333" s="7" t="s">
        <v>5959</v>
      </c>
      <c r="C333" s="7" t="s">
        <v>5960</v>
      </c>
      <c r="D333" s="7" t="s">
        <v>5959</v>
      </c>
      <c r="E333" s="7" t="s">
        <v>131</v>
      </c>
      <c r="F333" s="7" t="s">
        <v>5961</v>
      </c>
      <c r="G333" s="17" t="s">
        <v>7747</v>
      </c>
      <c r="H333" s="7" t="s">
        <v>28</v>
      </c>
      <c r="I333" s="7" t="s">
        <v>145</v>
      </c>
      <c r="J333" s="7" t="s">
        <v>5962</v>
      </c>
      <c r="K333" s="7" t="s">
        <v>5963</v>
      </c>
      <c r="L333" s="7" t="s">
        <v>121</v>
      </c>
      <c r="M333" s="7">
        <v>6.4863099999999996</v>
      </c>
      <c r="N333" s="7">
        <v>11.56549</v>
      </c>
      <c r="O333" s="7" t="s">
        <v>23</v>
      </c>
      <c r="P333" s="3"/>
      <c r="Q333" s="3"/>
      <c r="R333" s="3"/>
    </row>
    <row r="334" spans="1:18" x14ac:dyDescent="0.25">
      <c r="A334" s="2">
        <v>354</v>
      </c>
      <c r="B334" s="7" t="s">
        <v>6203</v>
      </c>
      <c r="C334" s="7" t="s">
        <v>6204</v>
      </c>
      <c r="D334" s="7" t="s">
        <v>6203</v>
      </c>
      <c r="E334" s="7" t="s">
        <v>131</v>
      </c>
      <c r="F334" s="7" t="s">
        <v>6205</v>
      </c>
      <c r="G334" s="17" t="s">
        <v>7747</v>
      </c>
      <c r="H334" s="7" t="s">
        <v>19</v>
      </c>
      <c r="I334" s="7" t="s">
        <v>145</v>
      </c>
      <c r="J334" s="7" t="s">
        <v>5962</v>
      </c>
      <c r="K334" s="7" t="s">
        <v>5963</v>
      </c>
      <c r="L334" s="7" t="s">
        <v>121</v>
      </c>
      <c r="M334" s="7">
        <v>6.3443100000000001</v>
      </c>
      <c r="N334" s="7">
        <v>11.61402</v>
      </c>
      <c r="O334" s="7" t="s">
        <v>23</v>
      </c>
      <c r="P334" s="3"/>
      <c r="Q334" s="3"/>
      <c r="R334" s="3"/>
    </row>
    <row r="335" spans="1:18" x14ac:dyDescent="0.25">
      <c r="A335" s="2">
        <v>355</v>
      </c>
      <c r="B335" s="7" t="s">
        <v>6209</v>
      </c>
      <c r="C335" s="7" t="s">
        <v>6210</v>
      </c>
      <c r="D335" s="7" t="s">
        <v>6209</v>
      </c>
      <c r="E335" s="7" t="s">
        <v>26</v>
      </c>
      <c r="F335" s="7" t="s">
        <v>6211</v>
      </c>
      <c r="G335" s="8" t="s">
        <v>18</v>
      </c>
      <c r="H335" s="7" t="s">
        <v>28</v>
      </c>
      <c r="I335" s="7" t="s">
        <v>114</v>
      </c>
      <c r="J335" s="7" t="s">
        <v>306</v>
      </c>
      <c r="K335" s="7" t="s">
        <v>307</v>
      </c>
      <c r="L335" s="7" t="s">
        <v>121</v>
      </c>
      <c r="M335" s="7">
        <v>6.4783730000000004</v>
      </c>
      <c r="N335" s="7">
        <v>11.063392</v>
      </c>
      <c r="O335" s="7" t="s">
        <v>23</v>
      </c>
      <c r="P335" s="3"/>
      <c r="Q335" s="3"/>
      <c r="R335" s="3"/>
    </row>
    <row r="336" spans="1:18" x14ac:dyDescent="0.25">
      <c r="A336" s="2">
        <v>356</v>
      </c>
      <c r="B336" s="7" t="s">
        <v>6212</v>
      </c>
      <c r="C336" s="7" t="s">
        <v>6213</v>
      </c>
      <c r="D336" s="7" t="s">
        <v>6212</v>
      </c>
      <c r="E336" s="7" t="s">
        <v>26</v>
      </c>
      <c r="F336" s="7" t="s">
        <v>307</v>
      </c>
      <c r="G336" s="8" t="s">
        <v>18</v>
      </c>
      <c r="H336" s="7" t="s">
        <v>19</v>
      </c>
      <c r="I336" s="7" t="s">
        <v>114</v>
      </c>
      <c r="J336" s="7" t="s">
        <v>306</v>
      </c>
      <c r="K336" s="7" t="s">
        <v>307</v>
      </c>
      <c r="L336" s="7" t="s">
        <v>121</v>
      </c>
      <c r="M336" s="7">
        <v>6.4797500000000001</v>
      </c>
      <c r="N336" s="7">
        <v>11.063917</v>
      </c>
      <c r="O336" s="7" t="s">
        <v>23</v>
      </c>
      <c r="P336" s="3"/>
      <c r="Q336" s="3"/>
      <c r="R336" s="3"/>
    </row>
    <row r="337" spans="1:18" x14ac:dyDescent="0.25">
      <c r="A337" s="2">
        <v>361</v>
      </c>
      <c r="B337" s="7" t="s">
        <v>6331</v>
      </c>
      <c r="C337" s="7" t="s">
        <v>6332</v>
      </c>
      <c r="D337" s="7" t="s">
        <v>6331</v>
      </c>
      <c r="E337" s="7" t="s">
        <v>131</v>
      </c>
      <c r="F337" s="7" t="s">
        <v>6333</v>
      </c>
      <c r="G337" s="17" t="s">
        <v>7747</v>
      </c>
      <c r="H337" s="7" t="s">
        <v>19</v>
      </c>
      <c r="I337" s="7" t="s">
        <v>145</v>
      </c>
      <c r="J337" s="7" t="s">
        <v>5962</v>
      </c>
      <c r="K337" s="7" t="s">
        <v>5963</v>
      </c>
      <c r="L337" s="7" t="s">
        <v>121</v>
      </c>
      <c r="M337" s="7">
        <v>6.4118060000000003</v>
      </c>
      <c r="N337" s="7">
        <v>11.579611</v>
      </c>
      <c r="O337" s="7" t="s">
        <v>23</v>
      </c>
      <c r="P337" s="3"/>
      <c r="Q337" s="3"/>
      <c r="R337" s="3"/>
    </row>
    <row r="338" spans="1:18" x14ac:dyDescent="0.25">
      <c r="A338" s="2">
        <v>371</v>
      </c>
      <c r="B338" s="7" t="s">
        <v>7523</v>
      </c>
      <c r="C338" s="7" t="s">
        <v>7524</v>
      </c>
      <c r="D338" s="7" t="s">
        <v>7523</v>
      </c>
      <c r="E338" s="7" t="s">
        <v>131</v>
      </c>
      <c r="F338" s="7" t="s">
        <v>7525</v>
      </c>
      <c r="G338" s="17" t="s">
        <v>7747</v>
      </c>
      <c r="H338" s="7" t="s">
        <v>28</v>
      </c>
      <c r="I338" s="7" t="s">
        <v>7526</v>
      </c>
      <c r="J338" s="7" t="s">
        <v>146</v>
      </c>
      <c r="K338" s="7" t="s">
        <v>147</v>
      </c>
      <c r="L338" s="7" t="s">
        <v>121</v>
      </c>
      <c r="M338" s="7">
        <v>6.0878300000000003</v>
      </c>
      <c r="N338" s="7">
        <v>11.498201999999999</v>
      </c>
      <c r="O338" s="7" t="s">
        <v>23</v>
      </c>
      <c r="P338" s="3"/>
      <c r="Q338" s="3"/>
      <c r="R338" s="3"/>
    </row>
    <row r="339" spans="1:18" x14ac:dyDescent="0.25">
      <c r="A339" s="2">
        <v>495</v>
      </c>
      <c r="B339" s="7" t="s">
        <v>32</v>
      </c>
      <c r="C339" s="7" t="s">
        <v>33</v>
      </c>
      <c r="D339" s="7" t="s">
        <v>32</v>
      </c>
      <c r="E339" s="7" t="s">
        <v>34</v>
      </c>
      <c r="F339" s="7" t="s">
        <v>35</v>
      </c>
      <c r="G339" s="8" t="s">
        <v>36</v>
      </c>
      <c r="H339" s="7" t="s">
        <v>28</v>
      </c>
      <c r="I339" s="7" t="s">
        <v>37</v>
      </c>
      <c r="J339" s="7" t="s">
        <v>38</v>
      </c>
      <c r="K339" s="7" t="s">
        <v>39</v>
      </c>
      <c r="L339" s="7" t="s">
        <v>37</v>
      </c>
      <c r="M339" s="7">
        <v>4.3199170000000002</v>
      </c>
      <c r="N339" s="7">
        <v>9.4300280000000001</v>
      </c>
      <c r="O339" s="7" t="s">
        <v>23</v>
      </c>
      <c r="P339" s="3"/>
      <c r="Q339" s="3"/>
      <c r="R339" s="3"/>
    </row>
    <row r="340" spans="1:18" x14ac:dyDescent="0.25">
      <c r="A340" s="2">
        <v>496</v>
      </c>
      <c r="B340" s="7" t="s">
        <v>80</v>
      </c>
      <c r="C340" s="7" t="s">
        <v>81</v>
      </c>
      <c r="D340" s="7" t="s">
        <v>80</v>
      </c>
      <c r="E340" s="7" t="s">
        <v>34</v>
      </c>
      <c r="F340" s="7" t="s">
        <v>82</v>
      </c>
      <c r="G340" s="8" t="s">
        <v>18</v>
      </c>
      <c r="H340" s="7" t="s">
        <v>28</v>
      </c>
      <c r="I340" s="7" t="s">
        <v>37</v>
      </c>
      <c r="J340" s="7" t="s">
        <v>38</v>
      </c>
      <c r="K340" s="7" t="s">
        <v>37</v>
      </c>
      <c r="L340" s="7" t="s">
        <v>37</v>
      </c>
      <c r="M340" s="7">
        <v>4.1245200000000004</v>
      </c>
      <c r="N340" s="7">
        <v>9.2476299999999991</v>
      </c>
      <c r="O340" s="7" t="s">
        <v>23</v>
      </c>
      <c r="P340" s="3"/>
      <c r="Q340" s="3"/>
      <c r="R340" s="3"/>
    </row>
    <row r="341" spans="1:18" x14ac:dyDescent="0.25">
      <c r="A341" s="2">
        <v>497</v>
      </c>
      <c r="B341" s="7" t="s">
        <v>83</v>
      </c>
      <c r="C341" s="7" t="s">
        <v>84</v>
      </c>
      <c r="D341" s="7" t="s">
        <v>83</v>
      </c>
      <c r="E341" s="7" t="s">
        <v>34</v>
      </c>
      <c r="F341" s="7" t="s">
        <v>85</v>
      </c>
      <c r="G341" s="8" t="s">
        <v>18</v>
      </c>
      <c r="H341" s="7" t="s">
        <v>28</v>
      </c>
      <c r="I341" s="7" t="s">
        <v>37</v>
      </c>
      <c r="J341" s="7" t="s">
        <v>38</v>
      </c>
      <c r="K341" s="7" t="s">
        <v>37</v>
      </c>
      <c r="L341" s="7" t="s">
        <v>37</v>
      </c>
      <c r="M341" s="7">
        <v>4.1463429999999999</v>
      </c>
      <c r="N341" s="7">
        <v>9.2511530000000004</v>
      </c>
      <c r="O341" s="7" t="s">
        <v>23</v>
      </c>
      <c r="P341" s="3"/>
      <c r="Q341" s="3"/>
      <c r="R341" s="3"/>
    </row>
    <row r="342" spans="1:18" x14ac:dyDescent="0.25">
      <c r="A342" s="2">
        <v>498</v>
      </c>
      <c r="B342" s="7" t="s">
        <v>438</v>
      </c>
      <c r="C342" s="7" t="s">
        <v>439</v>
      </c>
      <c r="D342" s="7" t="s">
        <v>438</v>
      </c>
      <c r="E342" s="7" t="s">
        <v>34</v>
      </c>
      <c r="F342" s="7" t="s">
        <v>440</v>
      </c>
      <c r="G342" s="8" t="s">
        <v>18</v>
      </c>
      <c r="H342" s="7" t="s">
        <v>28</v>
      </c>
      <c r="I342" s="7" t="s">
        <v>441</v>
      </c>
      <c r="J342" s="7" t="s">
        <v>38</v>
      </c>
      <c r="K342" s="7" t="s">
        <v>442</v>
      </c>
      <c r="L342" s="7" t="s">
        <v>37</v>
      </c>
      <c r="M342" s="7">
        <v>4.092657</v>
      </c>
      <c r="N342" s="7">
        <v>9.3193400000000004</v>
      </c>
      <c r="O342" s="7" t="s">
        <v>23</v>
      </c>
      <c r="P342" s="3"/>
      <c r="Q342" s="3"/>
      <c r="R342" s="3"/>
    </row>
    <row r="343" spans="1:18" x14ac:dyDescent="0.25">
      <c r="A343" s="2">
        <v>499</v>
      </c>
      <c r="B343" s="7" t="s">
        <v>443</v>
      </c>
      <c r="C343" s="7" t="s">
        <v>444</v>
      </c>
      <c r="D343" s="7" t="s">
        <v>443</v>
      </c>
      <c r="E343" s="7" t="s">
        <v>34</v>
      </c>
      <c r="F343" s="7" t="s">
        <v>445</v>
      </c>
      <c r="G343" s="8" t="s">
        <v>18</v>
      </c>
      <c r="H343" s="7" t="s">
        <v>28</v>
      </c>
      <c r="I343" s="7" t="s">
        <v>441</v>
      </c>
      <c r="J343" s="7" t="s">
        <v>38</v>
      </c>
      <c r="K343" s="7" t="s">
        <v>442</v>
      </c>
      <c r="L343" s="7" t="s">
        <v>37</v>
      </c>
      <c r="M343" s="7">
        <v>4.0897220000000001</v>
      </c>
      <c r="N343" s="7">
        <v>9.3243329999999993</v>
      </c>
      <c r="O343" s="7" t="s">
        <v>23</v>
      </c>
      <c r="P343" s="3"/>
      <c r="Q343" s="3"/>
      <c r="R343" s="3"/>
    </row>
    <row r="344" spans="1:18" x14ac:dyDescent="0.25">
      <c r="A344" s="2">
        <v>500</v>
      </c>
      <c r="B344" s="7" t="s">
        <v>446</v>
      </c>
      <c r="C344" s="7" t="s">
        <v>447</v>
      </c>
      <c r="D344" s="7" t="s">
        <v>446</v>
      </c>
      <c r="E344" s="7" t="s">
        <v>34</v>
      </c>
      <c r="F344" s="7" t="s">
        <v>448</v>
      </c>
      <c r="G344" s="8" t="s">
        <v>18</v>
      </c>
      <c r="H344" s="7" t="s">
        <v>28</v>
      </c>
      <c r="I344" s="7" t="s">
        <v>441</v>
      </c>
      <c r="J344" s="7" t="s">
        <v>38</v>
      </c>
      <c r="K344" s="7" t="s">
        <v>442</v>
      </c>
      <c r="L344" s="7" t="s">
        <v>37</v>
      </c>
      <c r="M344" s="7">
        <v>4.0782100000000003</v>
      </c>
      <c r="N344" s="7">
        <v>9.2765079999999998</v>
      </c>
      <c r="O344" s="7" t="s">
        <v>23</v>
      </c>
      <c r="P344" s="3"/>
      <c r="Q344" s="3"/>
      <c r="R344" s="3"/>
    </row>
    <row r="345" spans="1:18" x14ac:dyDescent="0.25">
      <c r="A345" s="2">
        <v>501</v>
      </c>
      <c r="B345" s="7" t="s">
        <v>449</v>
      </c>
      <c r="C345" s="7" t="s">
        <v>450</v>
      </c>
      <c r="D345" s="7" t="s">
        <v>449</v>
      </c>
      <c r="E345" s="7" t="s">
        <v>34</v>
      </c>
      <c r="F345" s="7" t="s">
        <v>451</v>
      </c>
      <c r="G345" s="8" t="s">
        <v>18</v>
      </c>
      <c r="H345" s="7" t="s">
        <v>28</v>
      </c>
      <c r="I345" s="7" t="s">
        <v>37</v>
      </c>
      <c r="J345" s="7" t="s">
        <v>38</v>
      </c>
      <c r="K345" s="7" t="s">
        <v>39</v>
      </c>
      <c r="L345" s="7" t="s">
        <v>37</v>
      </c>
      <c r="M345" s="7">
        <v>4.4045833329999997</v>
      </c>
      <c r="N345" s="7">
        <v>9.1268055560000008</v>
      </c>
      <c r="O345" s="7" t="s">
        <v>23</v>
      </c>
      <c r="P345" s="3"/>
      <c r="Q345" s="3"/>
      <c r="R345" s="3"/>
    </row>
    <row r="346" spans="1:18" x14ac:dyDescent="0.25">
      <c r="A346" s="2">
        <v>502</v>
      </c>
      <c r="B346" s="7" t="s">
        <v>452</v>
      </c>
      <c r="C346" s="7" t="s">
        <v>453</v>
      </c>
      <c r="D346" s="7" t="s">
        <v>452</v>
      </c>
      <c r="E346" s="7" t="s">
        <v>34</v>
      </c>
      <c r="F346" s="7" t="s">
        <v>454</v>
      </c>
      <c r="G346" s="8" t="s">
        <v>18</v>
      </c>
      <c r="H346" s="7" t="s">
        <v>28</v>
      </c>
      <c r="I346" s="7" t="s">
        <v>37</v>
      </c>
      <c r="J346" s="7" t="s">
        <v>38</v>
      </c>
      <c r="K346" s="7" t="s">
        <v>39</v>
      </c>
      <c r="L346" s="7" t="s">
        <v>37</v>
      </c>
      <c r="M346" s="7">
        <v>4.3542019999999999</v>
      </c>
      <c r="N346" s="7">
        <v>9.3152460000000001</v>
      </c>
      <c r="O346" s="7" t="s">
        <v>23</v>
      </c>
      <c r="P346" s="3"/>
      <c r="Q346" s="3"/>
      <c r="R346" s="3"/>
    </row>
    <row r="347" spans="1:18" x14ac:dyDescent="0.25">
      <c r="A347" s="2">
        <v>503</v>
      </c>
      <c r="B347" s="7" t="s">
        <v>494</v>
      </c>
      <c r="C347" s="7" t="s">
        <v>495</v>
      </c>
      <c r="D347" s="7" t="s">
        <v>494</v>
      </c>
      <c r="E347" s="7" t="s">
        <v>34</v>
      </c>
      <c r="F347" s="7" t="s">
        <v>496</v>
      </c>
      <c r="G347" s="8" t="s">
        <v>18</v>
      </c>
      <c r="H347" s="7" t="s">
        <v>28</v>
      </c>
      <c r="I347" s="7" t="s">
        <v>37</v>
      </c>
      <c r="J347" s="7" t="s">
        <v>38</v>
      </c>
      <c r="K347" s="7" t="s">
        <v>497</v>
      </c>
      <c r="L347" s="7" t="s">
        <v>37</v>
      </c>
      <c r="M347" s="7">
        <v>4.1396439999999997</v>
      </c>
      <c r="N347" s="7">
        <v>9.3027750000000005</v>
      </c>
      <c r="O347" s="7" t="s">
        <v>23</v>
      </c>
      <c r="P347" s="3"/>
      <c r="Q347" s="3"/>
      <c r="R347" s="3"/>
    </row>
    <row r="348" spans="1:18" x14ac:dyDescent="0.25">
      <c r="A348" s="2">
        <v>504</v>
      </c>
      <c r="B348" s="7" t="s">
        <v>832</v>
      </c>
      <c r="C348" s="7" t="s">
        <v>833</v>
      </c>
      <c r="D348" s="7" t="s">
        <v>832</v>
      </c>
      <c r="E348" s="7" t="s">
        <v>34</v>
      </c>
      <c r="F348" s="7" t="s">
        <v>834</v>
      </c>
      <c r="G348" s="8" t="s">
        <v>18</v>
      </c>
      <c r="H348" s="7" t="s">
        <v>28</v>
      </c>
      <c r="I348" s="7" t="s">
        <v>37</v>
      </c>
      <c r="J348" s="7" t="s">
        <v>38</v>
      </c>
      <c r="K348" s="7" t="s">
        <v>39</v>
      </c>
      <c r="L348" s="7" t="s">
        <v>37</v>
      </c>
      <c r="M348" s="7">
        <v>4.328786</v>
      </c>
      <c r="N348" s="7">
        <v>9.3554340000000007</v>
      </c>
      <c r="O348" s="7" t="s">
        <v>23</v>
      </c>
      <c r="P348" s="3"/>
      <c r="Q348" s="3"/>
      <c r="R348" s="3"/>
    </row>
    <row r="349" spans="1:18" x14ac:dyDescent="0.25">
      <c r="A349" s="2">
        <v>505</v>
      </c>
      <c r="B349" s="7" t="s">
        <v>917</v>
      </c>
      <c r="C349" s="7" t="s">
        <v>918</v>
      </c>
      <c r="D349" s="7" t="s">
        <v>917</v>
      </c>
      <c r="E349" s="7" t="s">
        <v>34</v>
      </c>
      <c r="F349" s="7" t="s">
        <v>919</v>
      </c>
      <c r="G349" s="8" t="s">
        <v>18</v>
      </c>
      <c r="H349" s="7" t="s">
        <v>28</v>
      </c>
      <c r="I349" s="7" t="s">
        <v>37</v>
      </c>
      <c r="J349" s="7" t="s">
        <v>38</v>
      </c>
      <c r="K349" s="7" t="s">
        <v>37</v>
      </c>
      <c r="L349" s="7" t="s">
        <v>37</v>
      </c>
      <c r="M349" s="7">
        <v>4.1497539999999997</v>
      </c>
      <c r="N349" s="7">
        <v>9.2372060000000005</v>
      </c>
      <c r="O349" s="7" t="s">
        <v>23</v>
      </c>
      <c r="P349" s="3"/>
      <c r="Q349" s="3"/>
      <c r="R349" s="3"/>
    </row>
    <row r="350" spans="1:18" x14ac:dyDescent="0.25">
      <c r="A350" s="2">
        <v>506</v>
      </c>
      <c r="B350" s="7" t="s">
        <v>920</v>
      </c>
      <c r="C350" s="7" t="s">
        <v>921</v>
      </c>
      <c r="D350" s="7" t="s">
        <v>920</v>
      </c>
      <c r="E350" s="7" t="s">
        <v>34</v>
      </c>
      <c r="F350" s="7" t="s">
        <v>922</v>
      </c>
      <c r="G350" s="8" t="s">
        <v>18</v>
      </c>
      <c r="H350" s="7" t="s">
        <v>28</v>
      </c>
      <c r="I350" s="7" t="s">
        <v>37</v>
      </c>
      <c r="J350" s="7" t="s">
        <v>38</v>
      </c>
      <c r="K350" s="7" t="s">
        <v>37</v>
      </c>
      <c r="L350" s="7" t="s">
        <v>37</v>
      </c>
      <c r="M350" s="7">
        <v>4.1886099999999997</v>
      </c>
      <c r="N350" s="7">
        <v>9.2621680000000008</v>
      </c>
      <c r="O350" s="7" t="s">
        <v>23</v>
      </c>
      <c r="P350" s="3"/>
      <c r="Q350" s="3"/>
      <c r="R350" s="3"/>
    </row>
    <row r="351" spans="1:18" x14ac:dyDescent="0.25">
      <c r="A351" s="2">
        <v>507</v>
      </c>
      <c r="B351" s="7" t="s">
        <v>923</v>
      </c>
      <c r="C351" s="7" t="s">
        <v>924</v>
      </c>
      <c r="D351" s="7" t="s">
        <v>923</v>
      </c>
      <c r="E351" s="7" t="s">
        <v>34</v>
      </c>
      <c r="F351" s="7" t="s">
        <v>925</v>
      </c>
      <c r="G351" s="8" t="s">
        <v>18</v>
      </c>
      <c r="H351" s="7" t="s">
        <v>28</v>
      </c>
      <c r="I351" s="7" t="s">
        <v>37</v>
      </c>
      <c r="J351" s="7" t="s">
        <v>38</v>
      </c>
      <c r="K351" s="7" t="s">
        <v>39</v>
      </c>
      <c r="L351" s="7" t="s">
        <v>37</v>
      </c>
      <c r="M351" s="7">
        <v>4.4303055599999999</v>
      </c>
      <c r="N351" s="7">
        <v>9.2111111099999992</v>
      </c>
      <c r="O351" s="7" t="s">
        <v>23</v>
      </c>
      <c r="P351" s="3"/>
      <c r="Q351" s="3"/>
      <c r="R351" s="3"/>
    </row>
    <row r="352" spans="1:18" x14ac:dyDescent="0.25">
      <c r="A352" s="2">
        <v>508</v>
      </c>
      <c r="B352" s="7" t="s">
        <v>954</v>
      </c>
      <c r="C352" s="7" t="s">
        <v>955</v>
      </c>
      <c r="D352" s="7" t="s">
        <v>954</v>
      </c>
      <c r="E352" s="7" t="s">
        <v>34</v>
      </c>
      <c r="F352" s="7" t="s">
        <v>956</v>
      </c>
      <c r="G352" s="8" t="s">
        <v>18</v>
      </c>
      <c r="H352" s="7" t="s">
        <v>28</v>
      </c>
      <c r="I352" s="7" t="s">
        <v>37</v>
      </c>
      <c r="J352" s="7" t="s">
        <v>38</v>
      </c>
      <c r="K352" s="7" t="s">
        <v>37</v>
      </c>
      <c r="L352" s="7" t="s">
        <v>37</v>
      </c>
      <c r="M352" s="7">
        <v>4.2024020000000002</v>
      </c>
      <c r="N352" s="7">
        <v>9.2718579999999999</v>
      </c>
      <c r="O352" s="7" t="s">
        <v>23</v>
      </c>
      <c r="P352" s="3"/>
      <c r="Q352" s="3"/>
      <c r="R352" s="3"/>
    </row>
    <row r="353" spans="1:18" x14ac:dyDescent="0.25">
      <c r="A353" s="2">
        <v>509</v>
      </c>
      <c r="B353" s="7" t="s">
        <v>1123</v>
      </c>
      <c r="C353" s="7" t="s">
        <v>1124</v>
      </c>
      <c r="D353" s="7" t="s">
        <v>1123</v>
      </c>
      <c r="E353" s="7" t="s">
        <v>34</v>
      </c>
      <c r="F353" s="7" t="s">
        <v>1125</v>
      </c>
      <c r="G353" s="8" t="s">
        <v>18</v>
      </c>
      <c r="H353" s="7" t="s">
        <v>28</v>
      </c>
      <c r="I353" s="7" t="s">
        <v>458</v>
      </c>
      <c r="J353" s="7" t="s">
        <v>38</v>
      </c>
      <c r="K353" s="7" t="s">
        <v>190</v>
      </c>
      <c r="L353" s="7" t="s">
        <v>37</v>
      </c>
      <c r="M353" s="7">
        <v>4.4568830000000004</v>
      </c>
      <c r="N353" s="7">
        <v>9.1439869999999992</v>
      </c>
      <c r="O353" s="7" t="s">
        <v>23</v>
      </c>
      <c r="P353" s="3"/>
      <c r="Q353" s="3"/>
      <c r="R353" s="3"/>
    </row>
    <row r="354" spans="1:18" x14ac:dyDescent="0.25">
      <c r="A354" s="2">
        <v>510</v>
      </c>
      <c r="B354" s="7" t="s">
        <v>1330</v>
      </c>
      <c r="C354" s="7" t="s">
        <v>1331</v>
      </c>
      <c r="D354" s="7" t="s">
        <v>1330</v>
      </c>
      <c r="E354" s="7" t="s">
        <v>34</v>
      </c>
      <c r="F354" s="7" t="s">
        <v>1332</v>
      </c>
      <c r="G354" s="8" t="s">
        <v>36</v>
      </c>
      <c r="H354" s="7" t="s">
        <v>28</v>
      </c>
      <c r="I354" s="7" t="s">
        <v>37</v>
      </c>
      <c r="J354" s="7"/>
      <c r="K354" s="7" t="s">
        <v>1333</v>
      </c>
      <c r="L354" s="7" t="s">
        <v>37</v>
      </c>
      <c r="M354" s="7">
        <v>4.2299439999999997</v>
      </c>
      <c r="N354" s="7">
        <v>9.3305279999999993</v>
      </c>
      <c r="O354" s="7" t="s">
        <v>613</v>
      </c>
      <c r="P354" s="3"/>
      <c r="Q354" s="3"/>
      <c r="R354" s="3"/>
    </row>
    <row r="355" spans="1:18" x14ac:dyDescent="0.25">
      <c r="A355" s="2">
        <v>511</v>
      </c>
      <c r="B355" s="7" t="s">
        <v>1345</v>
      </c>
      <c r="C355" s="7" t="s">
        <v>1346</v>
      </c>
      <c r="D355" s="7" t="s">
        <v>1345</v>
      </c>
      <c r="E355" s="7" t="s">
        <v>34</v>
      </c>
      <c r="F355" s="7" t="s">
        <v>1347</v>
      </c>
      <c r="G355" s="8" t="s">
        <v>18</v>
      </c>
      <c r="H355" s="7" t="s">
        <v>28</v>
      </c>
      <c r="I355" s="7" t="s">
        <v>37</v>
      </c>
      <c r="J355" s="7" t="s">
        <v>38</v>
      </c>
      <c r="K355" s="7" t="s">
        <v>497</v>
      </c>
      <c r="L355" s="7" t="s">
        <v>37</v>
      </c>
      <c r="M355" s="7">
        <v>4.1398060000000001</v>
      </c>
      <c r="N355" s="7">
        <v>9.3119169999999993</v>
      </c>
      <c r="O355" s="7" t="s">
        <v>23</v>
      </c>
      <c r="P355" s="3"/>
      <c r="Q355" s="3"/>
      <c r="R355" s="3"/>
    </row>
    <row r="356" spans="1:18" x14ac:dyDescent="0.25">
      <c r="A356" s="2">
        <v>512</v>
      </c>
      <c r="B356" s="7" t="s">
        <v>1482</v>
      </c>
      <c r="C356" s="7" t="s">
        <v>1483</v>
      </c>
      <c r="D356" s="7" t="s">
        <v>1482</v>
      </c>
      <c r="E356" s="7" t="s">
        <v>34</v>
      </c>
      <c r="F356" s="7" t="s">
        <v>1484</v>
      </c>
      <c r="G356" s="8" t="s">
        <v>18</v>
      </c>
      <c r="H356" s="7" t="s">
        <v>28</v>
      </c>
      <c r="I356" s="7" t="s">
        <v>37</v>
      </c>
      <c r="J356" s="7" t="s">
        <v>38</v>
      </c>
      <c r="K356" s="7" t="s">
        <v>39</v>
      </c>
      <c r="L356" s="7" t="s">
        <v>37</v>
      </c>
      <c r="M356" s="7">
        <v>4.3433060000000001</v>
      </c>
      <c r="N356" s="7">
        <v>9.4309440000000002</v>
      </c>
      <c r="O356" s="7" t="s">
        <v>23</v>
      </c>
      <c r="P356" s="3"/>
      <c r="Q356" s="3"/>
      <c r="R356" s="3"/>
    </row>
    <row r="357" spans="1:18" x14ac:dyDescent="0.25">
      <c r="A357" s="2">
        <v>513</v>
      </c>
      <c r="B357" s="7" t="s">
        <v>1656</v>
      </c>
      <c r="C357" s="7" t="s">
        <v>1657</v>
      </c>
      <c r="D357" s="7" t="s">
        <v>1656</v>
      </c>
      <c r="E357" s="7" t="s">
        <v>34</v>
      </c>
      <c r="F357" s="7" t="s">
        <v>1658</v>
      </c>
      <c r="G357" s="8" t="s">
        <v>18</v>
      </c>
      <c r="H357" s="7" t="s">
        <v>19</v>
      </c>
      <c r="I357" s="7" t="s">
        <v>37</v>
      </c>
      <c r="J357" s="7" t="s">
        <v>38</v>
      </c>
      <c r="K357" s="7" t="s">
        <v>37</v>
      </c>
      <c r="L357" s="7" t="s">
        <v>37</v>
      </c>
      <c r="M357" s="7">
        <v>4.1518350000000002</v>
      </c>
      <c r="N357" s="7">
        <v>9.2998419999999999</v>
      </c>
      <c r="O357" s="7" t="s">
        <v>23</v>
      </c>
      <c r="P357" s="3"/>
      <c r="Q357" s="3"/>
      <c r="R357" s="3"/>
    </row>
    <row r="358" spans="1:18" x14ac:dyDescent="0.25">
      <c r="A358" s="2">
        <v>514</v>
      </c>
      <c r="B358" s="7" t="s">
        <v>1725</v>
      </c>
      <c r="C358" s="7" t="s">
        <v>1726</v>
      </c>
      <c r="D358" s="7" t="s">
        <v>1725</v>
      </c>
      <c r="E358" s="7" t="s">
        <v>34</v>
      </c>
      <c r="F358" s="7" t="s">
        <v>1727</v>
      </c>
      <c r="G358" s="8" t="s">
        <v>18</v>
      </c>
      <c r="H358" s="7" t="s">
        <v>19</v>
      </c>
      <c r="I358" s="7" t="s">
        <v>37</v>
      </c>
      <c r="J358" s="7" t="s">
        <v>38</v>
      </c>
      <c r="K358" s="7" t="s">
        <v>37</v>
      </c>
      <c r="L358" s="7" t="s">
        <v>37</v>
      </c>
      <c r="M358" s="7">
        <v>4.1581320000000002</v>
      </c>
      <c r="N358" s="7">
        <v>9.2700840000000007</v>
      </c>
      <c r="O358" s="7" t="s">
        <v>613</v>
      </c>
      <c r="P358" s="3"/>
      <c r="Q358" s="3"/>
      <c r="R358" s="3"/>
    </row>
    <row r="359" spans="1:18" x14ac:dyDescent="0.25">
      <c r="A359" s="2">
        <v>515</v>
      </c>
      <c r="B359" s="7" t="s">
        <v>1767</v>
      </c>
      <c r="C359" s="7" t="s">
        <v>1768</v>
      </c>
      <c r="D359" s="7" t="s">
        <v>1767</v>
      </c>
      <c r="E359" s="7" t="s">
        <v>34</v>
      </c>
      <c r="F359" s="7" t="s">
        <v>1333</v>
      </c>
      <c r="G359" s="8" t="s">
        <v>18</v>
      </c>
      <c r="H359" s="7" t="s">
        <v>28</v>
      </c>
      <c r="I359" s="7" t="s">
        <v>37</v>
      </c>
      <c r="J359" s="7" t="s">
        <v>38</v>
      </c>
      <c r="K359" s="7" t="s">
        <v>1333</v>
      </c>
      <c r="L359" s="7" t="s">
        <v>37</v>
      </c>
      <c r="M359" s="7">
        <v>4.2267900000000003</v>
      </c>
      <c r="N359" s="7">
        <v>9.3391400000000004</v>
      </c>
      <c r="O359" s="7" t="s">
        <v>23</v>
      </c>
      <c r="P359" s="3"/>
      <c r="Q359" s="3"/>
      <c r="R359" s="3"/>
    </row>
    <row r="360" spans="1:18" x14ac:dyDescent="0.25">
      <c r="A360" s="2">
        <v>516</v>
      </c>
      <c r="B360" s="7" t="s">
        <v>2069</v>
      </c>
      <c r="C360" s="7" t="s">
        <v>2070</v>
      </c>
      <c r="D360" s="7" t="s">
        <v>2069</v>
      </c>
      <c r="E360" s="7" t="s">
        <v>34</v>
      </c>
      <c r="F360" s="7" t="s">
        <v>2071</v>
      </c>
      <c r="G360" s="8" t="s">
        <v>18</v>
      </c>
      <c r="H360" s="7" t="s">
        <v>28</v>
      </c>
      <c r="I360" s="7" t="s">
        <v>37</v>
      </c>
      <c r="J360" s="7" t="s">
        <v>38</v>
      </c>
      <c r="K360" s="7" t="s">
        <v>37</v>
      </c>
      <c r="L360" s="7" t="s">
        <v>37</v>
      </c>
      <c r="M360" s="7">
        <v>4.1232090000000001</v>
      </c>
      <c r="N360" s="7">
        <v>9.3093489999999992</v>
      </c>
      <c r="O360" s="7" t="s">
        <v>23</v>
      </c>
      <c r="P360" s="3"/>
      <c r="Q360" s="3"/>
      <c r="R360" s="3"/>
    </row>
    <row r="361" spans="1:18" x14ac:dyDescent="0.25">
      <c r="A361" s="2">
        <v>517</v>
      </c>
      <c r="B361" s="7" t="s">
        <v>2269</v>
      </c>
      <c r="C361" s="7" t="s">
        <v>2270</v>
      </c>
      <c r="D361" s="7" t="s">
        <v>2269</v>
      </c>
      <c r="E361" s="7" t="s">
        <v>34</v>
      </c>
      <c r="F361" s="7" t="s">
        <v>2271</v>
      </c>
      <c r="G361" s="8" t="s">
        <v>18</v>
      </c>
      <c r="H361" s="7" t="s">
        <v>19</v>
      </c>
      <c r="I361" s="7" t="s">
        <v>441</v>
      </c>
      <c r="J361" s="7" t="s">
        <v>38</v>
      </c>
      <c r="K361" s="7" t="s">
        <v>442</v>
      </c>
      <c r="L361" s="7" t="s">
        <v>37</v>
      </c>
      <c r="M361" s="7">
        <v>4.0751869999999997</v>
      </c>
      <c r="N361" s="7">
        <v>9.3678310000000007</v>
      </c>
      <c r="O361" s="7" t="s">
        <v>23</v>
      </c>
      <c r="P361" s="3"/>
      <c r="Q361" s="3"/>
      <c r="R361" s="3"/>
    </row>
    <row r="362" spans="1:18" x14ac:dyDescent="0.25">
      <c r="A362" s="2">
        <v>518</v>
      </c>
      <c r="B362" s="7" t="s">
        <v>2331</v>
      </c>
      <c r="C362" s="7" t="s">
        <v>2332</v>
      </c>
      <c r="D362" s="7" t="s">
        <v>2331</v>
      </c>
      <c r="E362" s="7" t="s">
        <v>34</v>
      </c>
      <c r="F362" s="7" t="s">
        <v>2333</v>
      </c>
      <c r="G362" s="8" t="s">
        <v>18</v>
      </c>
      <c r="H362" s="7" t="s">
        <v>28</v>
      </c>
      <c r="I362" s="7" t="s">
        <v>37</v>
      </c>
      <c r="J362" s="7" t="s">
        <v>38</v>
      </c>
      <c r="K362" s="7" t="s">
        <v>37</v>
      </c>
      <c r="L362" s="7" t="s">
        <v>37</v>
      </c>
      <c r="M362" s="7">
        <v>4.1372150000000003</v>
      </c>
      <c r="N362" s="7">
        <v>9.2298880000000008</v>
      </c>
      <c r="O362" s="7" t="s">
        <v>23</v>
      </c>
      <c r="P362" s="3"/>
      <c r="Q362" s="3"/>
      <c r="R362" s="3"/>
    </row>
    <row r="363" spans="1:18" x14ac:dyDescent="0.25">
      <c r="A363" s="2">
        <v>519</v>
      </c>
      <c r="B363" s="7" t="s">
        <v>2343</v>
      </c>
      <c r="C363" s="7" t="s">
        <v>2344</v>
      </c>
      <c r="D363" s="7" t="s">
        <v>2343</v>
      </c>
      <c r="E363" s="7" t="s">
        <v>34</v>
      </c>
      <c r="F363" s="7" t="s">
        <v>2345</v>
      </c>
      <c r="G363" s="8" t="s">
        <v>18</v>
      </c>
      <c r="H363" s="7" t="s">
        <v>19</v>
      </c>
      <c r="I363" s="7" t="s">
        <v>37</v>
      </c>
      <c r="J363" s="7" t="s">
        <v>38</v>
      </c>
      <c r="K363" s="7" t="s">
        <v>37</v>
      </c>
      <c r="L363" s="7" t="s">
        <v>37</v>
      </c>
      <c r="M363" s="7">
        <v>4.1579959999999998</v>
      </c>
      <c r="N363" s="7">
        <v>9.2541790000000006</v>
      </c>
      <c r="O363" s="7" t="s">
        <v>23</v>
      </c>
      <c r="P363" s="3"/>
      <c r="Q363" s="3"/>
      <c r="R363" s="3"/>
    </row>
    <row r="364" spans="1:18" x14ac:dyDescent="0.25">
      <c r="A364" s="2">
        <v>520</v>
      </c>
      <c r="B364" s="7" t="s">
        <v>2358</v>
      </c>
      <c r="C364" s="7" t="s">
        <v>2359</v>
      </c>
      <c r="D364" s="7" t="s">
        <v>2358</v>
      </c>
      <c r="E364" s="7" t="s">
        <v>34</v>
      </c>
      <c r="F364" s="7" t="s">
        <v>2360</v>
      </c>
      <c r="G364" s="8" t="s">
        <v>18</v>
      </c>
      <c r="H364" s="7" t="s">
        <v>19</v>
      </c>
      <c r="I364" s="7" t="s">
        <v>37</v>
      </c>
      <c r="J364" s="7" t="s">
        <v>38</v>
      </c>
      <c r="K364" s="7" t="s">
        <v>37</v>
      </c>
      <c r="L364" s="7" t="s">
        <v>37</v>
      </c>
      <c r="M364" s="7">
        <v>4.1595610000000001</v>
      </c>
      <c r="N364" s="7">
        <v>9.2694109999999998</v>
      </c>
      <c r="O364" s="7" t="s">
        <v>23</v>
      </c>
      <c r="P364" s="3"/>
      <c r="Q364" s="3"/>
      <c r="R364" s="3"/>
    </row>
    <row r="365" spans="1:18" x14ac:dyDescent="0.25">
      <c r="A365" s="2">
        <v>521</v>
      </c>
      <c r="B365" s="7" t="s">
        <v>2542</v>
      </c>
      <c r="C365" s="7" t="s">
        <v>2543</v>
      </c>
      <c r="D365" s="7" t="s">
        <v>2542</v>
      </c>
      <c r="E365" s="7" t="s">
        <v>34</v>
      </c>
      <c r="F365" s="7" t="s">
        <v>2544</v>
      </c>
      <c r="G365" s="8" t="s">
        <v>18</v>
      </c>
      <c r="H365" s="7" t="s">
        <v>28</v>
      </c>
      <c r="I365" s="7" t="s">
        <v>37</v>
      </c>
      <c r="J365" s="7" t="s">
        <v>38</v>
      </c>
      <c r="K365" s="7" t="s">
        <v>37</v>
      </c>
      <c r="L365" s="7" t="s">
        <v>37</v>
      </c>
      <c r="M365" s="7">
        <v>4.1676390000000003</v>
      </c>
      <c r="N365" s="7">
        <v>9.3018330000000002</v>
      </c>
      <c r="O365" s="7" t="s">
        <v>613</v>
      </c>
      <c r="P365" s="3"/>
      <c r="Q365" s="3"/>
      <c r="R365" s="3"/>
    </row>
    <row r="366" spans="1:18" x14ac:dyDescent="0.25">
      <c r="A366" s="2">
        <v>522</v>
      </c>
      <c r="B366" s="7" t="s">
        <v>2548</v>
      </c>
      <c r="C366" s="7" t="s">
        <v>2549</v>
      </c>
      <c r="D366" s="7" t="s">
        <v>2548</v>
      </c>
      <c r="E366" s="7" t="s">
        <v>34</v>
      </c>
      <c r="F366" s="7" t="s">
        <v>2550</v>
      </c>
      <c r="G366" s="8" t="s">
        <v>18</v>
      </c>
      <c r="H366" s="7" t="s">
        <v>28</v>
      </c>
      <c r="I366" s="7" t="s">
        <v>37</v>
      </c>
      <c r="J366" s="7" t="s">
        <v>38</v>
      </c>
      <c r="K366" s="7" t="s">
        <v>37</v>
      </c>
      <c r="L366" s="7" t="s">
        <v>37</v>
      </c>
      <c r="M366" s="7">
        <v>4.1551669999999996</v>
      </c>
      <c r="N366" s="7">
        <v>9.2875829999999997</v>
      </c>
      <c r="O366" s="7" t="s">
        <v>23</v>
      </c>
      <c r="P366" s="3"/>
      <c r="Q366" s="3"/>
      <c r="R366" s="3"/>
    </row>
    <row r="367" spans="1:18" x14ac:dyDescent="0.25">
      <c r="A367" s="2">
        <v>523</v>
      </c>
      <c r="B367" s="7" t="s">
        <v>2554</v>
      </c>
      <c r="C367" s="7" t="s">
        <v>2555</v>
      </c>
      <c r="D367" s="7" t="s">
        <v>2554</v>
      </c>
      <c r="E367" s="7" t="s">
        <v>34</v>
      </c>
      <c r="F367" s="7" t="s">
        <v>2556</v>
      </c>
      <c r="G367" s="8" t="s">
        <v>18</v>
      </c>
      <c r="H367" s="7" t="s">
        <v>28</v>
      </c>
      <c r="I367" s="7" t="s">
        <v>37</v>
      </c>
      <c r="J367" s="7" t="s">
        <v>38</v>
      </c>
      <c r="K367" s="7" t="s">
        <v>37</v>
      </c>
      <c r="L367" s="7" t="s">
        <v>37</v>
      </c>
      <c r="M367" s="7">
        <v>4.1539440000000001</v>
      </c>
      <c r="N367" s="7">
        <v>9.2433610000000002</v>
      </c>
      <c r="O367" s="7" t="s">
        <v>23</v>
      </c>
      <c r="P367" s="3"/>
      <c r="Q367" s="3"/>
      <c r="R367" s="3"/>
    </row>
    <row r="368" spans="1:18" x14ac:dyDescent="0.25">
      <c r="A368" s="2">
        <v>524</v>
      </c>
      <c r="B368" s="7" t="s">
        <v>2570</v>
      </c>
      <c r="C368" s="7" t="s">
        <v>2571</v>
      </c>
      <c r="D368" s="7" t="s">
        <v>2570</v>
      </c>
      <c r="E368" s="7" t="s">
        <v>34</v>
      </c>
      <c r="F368" s="7" t="s">
        <v>2572</v>
      </c>
      <c r="G368" s="8" t="s">
        <v>18</v>
      </c>
      <c r="H368" s="7" t="s">
        <v>28</v>
      </c>
      <c r="I368" s="7" t="s">
        <v>37</v>
      </c>
      <c r="J368" s="7" t="s">
        <v>38</v>
      </c>
      <c r="K368" s="7" t="s">
        <v>37</v>
      </c>
      <c r="L368" s="7" t="s">
        <v>37</v>
      </c>
      <c r="M368" s="7">
        <v>4.1509169999999997</v>
      </c>
      <c r="N368" s="7">
        <v>9.2831670000000006</v>
      </c>
      <c r="O368" s="7" t="s">
        <v>23</v>
      </c>
      <c r="P368" s="3"/>
      <c r="Q368" s="3"/>
      <c r="R368" s="3"/>
    </row>
    <row r="369" spans="1:18" x14ac:dyDescent="0.25">
      <c r="A369" s="2">
        <v>525</v>
      </c>
      <c r="B369" s="7" t="s">
        <v>2705</v>
      </c>
      <c r="C369" s="7" t="s">
        <v>2706</v>
      </c>
      <c r="D369" s="7" t="s">
        <v>2705</v>
      </c>
      <c r="E369" s="7" t="s">
        <v>34</v>
      </c>
      <c r="F369" s="7" t="s">
        <v>39</v>
      </c>
      <c r="G369" s="8" t="s">
        <v>18</v>
      </c>
      <c r="H369" s="7" t="s">
        <v>28</v>
      </c>
      <c r="I369" s="7" t="s">
        <v>37</v>
      </c>
      <c r="J369" s="7" t="s">
        <v>38</v>
      </c>
      <c r="K369" s="7" t="s">
        <v>39</v>
      </c>
      <c r="L369" s="7" t="s">
        <v>37</v>
      </c>
      <c r="M369" s="7">
        <v>4.2823609999999999</v>
      </c>
      <c r="N369" s="7">
        <v>9.3962219999999999</v>
      </c>
      <c r="O369" s="7" t="s">
        <v>23</v>
      </c>
      <c r="P369" s="3"/>
      <c r="Q369" s="3"/>
      <c r="R369" s="3"/>
    </row>
    <row r="370" spans="1:18" x14ac:dyDescent="0.25">
      <c r="A370" s="2">
        <v>526</v>
      </c>
      <c r="B370" s="7" t="s">
        <v>2754</v>
      </c>
      <c r="C370" s="7" t="s">
        <v>2755</v>
      </c>
      <c r="D370" s="7" t="s">
        <v>2754</v>
      </c>
      <c r="E370" s="7" t="s">
        <v>34</v>
      </c>
      <c r="F370" s="7" t="s">
        <v>2756</v>
      </c>
      <c r="G370" s="8" t="s">
        <v>18</v>
      </c>
      <c r="H370" s="7" t="s">
        <v>28</v>
      </c>
      <c r="I370" s="7" t="s">
        <v>37</v>
      </c>
      <c r="J370" s="7" t="s">
        <v>38</v>
      </c>
      <c r="K370" s="7" t="s">
        <v>37</v>
      </c>
      <c r="L370" s="7" t="s">
        <v>37</v>
      </c>
      <c r="M370" s="7">
        <v>4.1685910000000002</v>
      </c>
      <c r="N370" s="7">
        <v>9.2498249999999995</v>
      </c>
      <c r="O370" s="7" t="s">
        <v>23</v>
      </c>
      <c r="P370" s="3"/>
      <c r="Q370" s="3"/>
      <c r="R370" s="3"/>
    </row>
    <row r="371" spans="1:18" x14ac:dyDescent="0.25">
      <c r="A371" s="2">
        <v>527</v>
      </c>
      <c r="B371" s="7" t="s">
        <v>2874</v>
      </c>
      <c r="C371" s="7" t="s">
        <v>2875</v>
      </c>
      <c r="D371" s="7" t="s">
        <v>2874</v>
      </c>
      <c r="E371" s="7" t="s">
        <v>34</v>
      </c>
      <c r="F371" s="7" t="s">
        <v>2876</v>
      </c>
      <c r="G371" s="8" t="s">
        <v>18</v>
      </c>
      <c r="H371" s="7" t="s">
        <v>19</v>
      </c>
      <c r="I371" s="7" t="s">
        <v>441</v>
      </c>
      <c r="J371" s="7" t="s">
        <v>38</v>
      </c>
      <c r="K371" s="7" t="s">
        <v>442</v>
      </c>
      <c r="L371" s="7" t="s">
        <v>37</v>
      </c>
      <c r="M371" s="7">
        <v>4.0697799999999997</v>
      </c>
      <c r="N371" s="7">
        <v>9.3678159999999995</v>
      </c>
      <c r="O371" s="7" t="s">
        <v>23</v>
      </c>
      <c r="P371" s="3"/>
      <c r="Q371" s="3"/>
      <c r="R371" s="3"/>
    </row>
    <row r="372" spans="1:18" x14ac:dyDescent="0.25">
      <c r="A372" s="2">
        <v>528</v>
      </c>
      <c r="B372" s="7" t="s">
        <v>2932</v>
      </c>
      <c r="C372" s="7" t="s">
        <v>2933</v>
      </c>
      <c r="D372" s="7" t="s">
        <v>2932</v>
      </c>
      <c r="E372" s="7" t="s">
        <v>34</v>
      </c>
      <c r="F372" s="7" t="s">
        <v>2934</v>
      </c>
      <c r="G372" s="8" t="s">
        <v>18</v>
      </c>
      <c r="H372" s="7" t="s">
        <v>28</v>
      </c>
      <c r="I372" s="7" t="s">
        <v>441</v>
      </c>
      <c r="J372" s="7" t="s">
        <v>38</v>
      </c>
      <c r="K372" s="7" t="s">
        <v>442</v>
      </c>
      <c r="L372" s="7" t="s">
        <v>37</v>
      </c>
      <c r="M372" s="7">
        <v>4.0749750000000002</v>
      </c>
      <c r="N372" s="7">
        <v>9.3614099999999993</v>
      </c>
      <c r="O372" s="7" t="s">
        <v>23</v>
      </c>
      <c r="P372" s="3"/>
      <c r="Q372" s="3"/>
      <c r="R372" s="3"/>
    </row>
    <row r="373" spans="1:18" x14ac:dyDescent="0.25">
      <c r="A373" s="2">
        <v>529</v>
      </c>
      <c r="B373" s="7" t="s">
        <v>2990</v>
      </c>
      <c r="C373" s="7" t="s">
        <v>2991</v>
      </c>
      <c r="D373" s="7" t="s">
        <v>2990</v>
      </c>
      <c r="E373" s="7" t="s">
        <v>34</v>
      </c>
      <c r="F373" s="7" t="s">
        <v>2992</v>
      </c>
      <c r="G373" s="8" t="s">
        <v>18</v>
      </c>
      <c r="H373" s="7" t="s">
        <v>28</v>
      </c>
      <c r="I373" s="7" t="s">
        <v>37</v>
      </c>
      <c r="J373" s="7" t="s">
        <v>38</v>
      </c>
      <c r="K373" s="7" t="s">
        <v>37</v>
      </c>
      <c r="L373" s="7" t="s">
        <v>37</v>
      </c>
      <c r="M373" s="7">
        <v>4.1577989999999998</v>
      </c>
      <c r="N373" s="7">
        <v>9.2640589999999996</v>
      </c>
      <c r="O373" s="7" t="s">
        <v>613</v>
      </c>
      <c r="P373" s="3"/>
      <c r="Q373" s="3"/>
      <c r="R373" s="3"/>
    </row>
    <row r="374" spans="1:18" x14ac:dyDescent="0.25">
      <c r="A374" s="2">
        <v>530</v>
      </c>
      <c r="B374" s="7" t="s">
        <v>3019</v>
      </c>
      <c r="C374" s="7" t="s">
        <v>3020</v>
      </c>
      <c r="D374" s="7" t="s">
        <v>3019</v>
      </c>
      <c r="E374" s="7" t="s">
        <v>34</v>
      </c>
      <c r="F374" s="7" t="s">
        <v>3021</v>
      </c>
      <c r="G374" s="8" t="s">
        <v>18</v>
      </c>
      <c r="H374" s="7" t="s">
        <v>28</v>
      </c>
      <c r="I374" s="7" t="s">
        <v>37</v>
      </c>
      <c r="J374" s="7" t="s">
        <v>38</v>
      </c>
      <c r="K374" s="7" t="s">
        <v>37</v>
      </c>
      <c r="L374" s="7" t="s">
        <v>37</v>
      </c>
      <c r="M374" s="7">
        <v>4.1584000000000003</v>
      </c>
      <c r="N374" s="7">
        <v>9.2934599999999996</v>
      </c>
      <c r="O374" s="7" t="s">
        <v>23</v>
      </c>
      <c r="P374" s="3"/>
      <c r="Q374" s="3"/>
      <c r="R374" s="3"/>
    </row>
    <row r="375" spans="1:18" x14ac:dyDescent="0.25">
      <c r="A375" s="2">
        <v>531</v>
      </c>
      <c r="B375" s="7" t="s">
        <v>3138</v>
      </c>
      <c r="C375" s="7" t="s">
        <v>3139</v>
      </c>
      <c r="D375" s="7" t="s">
        <v>3138</v>
      </c>
      <c r="E375" s="7" t="s">
        <v>34</v>
      </c>
      <c r="F375" s="7" t="s">
        <v>3140</v>
      </c>
      <c r="G375" s="8" t="s">
        <v>18</v>
      </c>
      <c r="H375" s="7" t="s">
        <v>28</v>
      </c>
      <c r="I375" s="7" t="s">
        <v>37</v>
      </c>
      <c r="J375" s="7" t="s">
        <v>38</v>
      </c>
      <c r="K375" s="7" t="s">
        <v>37</v>
      </c>
      <c r="L375" s="7" t="s">
        <v>37</v>
      </c>
      <c r="M375" s="7">
        <v>4.1705560000000004</v>
      </c>
      <c r="N375" s="7">
        <v>9.2731110000000001</v>
      </c>
      <c r="O375" s="7" t="s">
        <v>23</v>
      </c>
      <c r="P375" s="3"/>
      <c r="Q375" s="3"/>
      <c r="R375" s="3"/>
    </row>
    <row r="376" spans="1:18" x14ac:dyDescent="0.25">
      <c r="A376" s="2">
        <v>532</v>
      </c>
      <c r="B376" s="7" t="s">
        <v>3141</v>
      </c>
      <c r="C376" s="7" t="s">
        <v>3142</v>
      </c>
      <c r="D376" s="7" t="s">
        <v>3141</v>
      </c>
      <c r="E376" s="7" t="s">
        <v>34</v>
      </c>
      <c r="F376" s="7" t="s">
        <v>3143</v>
      </c>
      <c r="G376" s="8" t="s">
        <v>18</v>
      </c>
      <c r="H376" s="7" t="s">
        <v>28</v>
      </c>
      <c r="I376" s="7" t="s">
        <v>37</v>
      </c>
      <c r="J376" s="7" t="s">
        <v>38</v>
      </c>
      <c r="K376" s="7" t="s">
        <v>37</v>
      </c>
      <c r="L376" s="7" t="s">
        <v>37</v>
      </c>
      <c r="M376" s="7">
        <v>4.1496389999999996</v>
      </c>
      <c r="N376" s="7">
        <v>9.2246389999999998</v>
      </c>
      <c r="O376" s="7" t="s">
        <v>23</v>
      </c>
      <c r="P376" s="3"/>
      <c r="Q376" s="3"/>
      <c r="R376" s="3"/>
    </row>
    <row r="377" spans="1:18" x14ac:dyDescent="0.25">
      <c r="A377" s="2">
        <v>533</v>
      </c>
      <c r="B377" s="7" t="s">
        <v>3191</v>
      </c>
      <c r="C377" s="7" t="s">
        <v>3192</v>
      </c>
      <c r="D377" s="7" t="s">
        <v>3191</v>
      </c>
      <c r="E377" s="7" t="s">
        <v>34</v>
      </c>
      <c r="F377" s="7" t="s">
        <v>3193</v>
      </c>
      <c r="G377" s="8" t="s">
        <v>18</v>
      </c>
      <c r="H377" s="7" t="s">
        <v>28</v>
      </c>
      <c r="I377" s="7" t="s">
        <v>356</v>
      </c>
      <c r="J377" s="7" t="s">
        <v>152</v>
      </c>
      <c r="K377" s="7" t="s">
        <v>2475</v>
      </c>
      <c r="L377" s="7" t="s">
        <v>37</v>
      </c>
      <c r="M377" s="7">
        <v>4.2704370000000003</v>
      </c>
      <c r="N377" s="7">
        <v>9.4467580000000009</v>
      </c>
      <c r="O377" s="7" t="s">
        <v>23</v>
      </c>
      <c r="P377" s="3"/>
      <c r="Q377" s="3"/>
      <c r="R377" s="3"/>
    </row>
    <row r="378" spans="1:18" x14ac:dyDescent="0.25">
      <c r="A378" s="2">
        <v>534</v>
      </c>
      <c r="B378" s="7" t="s">
        <v>3353</v>
      </c>
      <c r="C378" s="7" t="s">
        <v>3354</v>
      </c>
      <c r="D378" s="7" t="s">
        <v>3353</v>
      </c>
      <c r="E378" s="7" t="s">
        <v>34</v>
      </c>
      <c r="F378" s="7" t="s">
        <v>3355</v>
      </c>
      <c r="G378" s="8" t="s">
        <v>18</v>
      </c>
      <c r="H378" s="7" t="s">
        <v>28</v>
      </c>
      <c r="I378" s="7" t="s">
        <v>441</v>
      </c>
      <c r="J378" s="7" t="s">
        <v>38</v>
      </c>
      <c r="K378" s="7" t="s">
        <v>442</v>
      </c>
      <c r="L378" s="7" t="s">
        <v>37</v>
      </c>
      <c r="M378" s="7">
        <v>4.0908300000000004</v>
      </c>
      <c r="N378" s="7">
        <v>9.3461499999999997</v>
      </c>
      <c r="O378" s="7" t="s">
        <v>23</v>
      </c>
      <c r="P378" s="3"/>
      <c r="Q378" s="3"/>
      <c r="R378" s="3"/>
    </row>
    <row r="379" spans="1:18" x14ac:dyDescent="0.25">
      <c r="A379" s="2">
        <v>535</v>
      </c>
      <c r="B379" s="7" t="s">
        <v>3433</v>
      </c>
      <c r="C379" s="7" t="s">
        <v>3434</v>
      </c>
      <c r="D379" s="7" t="s">
        <v>3433</v>
      </c>
      <c r="E379" s="7" t="s">
        <v>34</v>
      </c>
      <c r="F379" s="7" t="s">
        <v>3435</v>
      </c>
      <c r="G379" s="8" t="s">
        <v>18</v>
      </c>
      <c r="H379" s="7" t="s">
        <v>28</v>
      </c>
      <c r="I379" s="7" t="s">
        <v>441</v>
      </c>
      <c r="J379" s="7" t="s">
        <v>38</v>
      </c>
      <c r="K379" s="7" t="s">
        <v>442</v>
      </c>
      <c r="L379" s="7" t="s">
        <v>37</v>
      </c>
      <c r="M379" s="7">
        <v>4.0935740000000003</v>
      </c>
      <c r="N379" s="7">
        <v>9.3141990000000003</v>
      </c>
      <c r="O379" s="7" t="s">
        <v>23</v>
      </c>
      <c r="P379" s="3"/>
      <c r="Q379" s="3"/>
      <c r="R379" s="3"/>
    </row>
    <row r="380" spans="1:18" x14ac:dyDescent="0.25">
      <c r="A380" s="2">
        <v>536</v>
      </c>
      <c r="B380" s="7" t="s">
        <v>3447</v>
      </c>
      <c r="C380" s="7" t="s">
        <v>3448</v>
      </c>
      <c r="D380" s="7" t="s">
        <v>3447</v>
      </c>
      <c r="E380" s="7" t="s">
        <v>34</v>
      </c>
      <c r="F380" s="7" t="s">
        <v>3449</v>
      </c>
      <c r="G380" s="8" t="s">
        <v>18</v>
      </c>
      <c r="H380" s="7" t="s">
        <v>28</v>
      </c>
      <c r="I380" s="7" t="s">
        <v>37</v>
      </c>
      <c r="J380" s="7" t="s">
        <v>38</v>
      </c>
      <c r="K380" s="7" t="s">
        <v>37</v>
      </c>
      <c r="L380" s="7" t="s">
        <v>37</v>
      </c>
      <c r="M380" s="7">
        <v>4.1586970000000001</v>
      </c>
      <c r="N380" s="7">
        <v>9.2819149999999997</v>
      </c>
      <c r="O380" s="7" t="s">
        <v>613</v>
      </c>
      <c r="P380" s="3"/>
      <c r="Q380" s="3"/>
      <c r="R380" s="3"/>
    </row>
    <row r="381" spans="1:18" x14ac:dyDescent="0.25">
      <c r="A381" s="2">
        <v>537</v>
      </c>
      <c r="B381" s="7" t="s">
        <v>3482</v>
      </c>
      <c r="C381" s="7" t="s">
        <v>3483</v>
      </c>
      <c r="D381" s="7" t="s">
        <v>3482</v>
      </c>
      <c r="E381" s="7" t="s">
        <v>34</v>
      </c>
      <c r="F381" s="7" t="s">
        <v>3484</v>
      </c>
      <c r="G381" s="8" t="s">
        <v>18</v>
      </c>
      <c r="H381" s="7" t="s">
        <v>28</v>
      </c>
      <c r="I381" s="7" t="s">
        <v>37</v>
      </c>
      <c r="J381" s="7" t="s">
        <v>38</v>
      </c>
      <c r="K381" s="7" t="s">
        <v>37</v>
      </c>
      <c r="L381" s="7" t="s">
        <v>37</v>
      </c>
      <c r="M381" s="7">
        <v>4.192361</v>
      </c>
      <c r="N381" s="7">
        <v>9.2783890000000007</v>
      </c>
      <c r="O381" s="7" t="s">
        <v>23</v>
      </c>
      <c r="P381" s="3"/>
      <c r="Q381" s="3"/>
      <c r="R381" s="3"/>
    </row>
    <row r="382" spans="1:18" x14ac:dyDescent="0.25">
      <c r="A382" s="2">
        <v>538</v>
      </c>
      <c r="B382" s="7" t="s">
        <v>3515</v>
      </c>
      <c r="C382" s="7" t="s">
        <v>3516</v>
      </c>
      <c r="D382" s="7" t="s">
        <v>3515</v>
      </c>
      <c r="E382" s="7" t="s">
        <v>34</v>
      </c>
      <c r="F382" s="7" t="s">
        <v>2133</v>
      </c>
      <c r="G382" s="8" t="s">
        <v>18</v>
      </c>
      <c r="H382" s="7" t="s">
        <v>28</v>
      </c>
      <c r="I382" s="7" t="s">
        <v>37</v>
      </c>
      <c r="J382" s="7" t="s">
        <v>38</v>
      </c>
      <c r="K382" s="7" t="s">
        <v>37</v>
      </c>
      <c r="L382" s="7" t="s">
        <v>37</v>
      </c>
      <c r="M382" s="7">
        <v>4.1538069999999996</v>
      </c>
      <c r="N382" s="7">
        <v>9.3040870000000009</v>
      </c>
      <c r="O382" s="7" t="s">
        <v>23</v>
      </c>
      <c r="P382" s="3"/>
      <c r="Q382" s="3"/>
      <c r="R382" s="3"/>
    </row>
    <row r="383" spans="1:18" x14ac:dyDescent="0.25">
      <c r="A383" s="2">
        <v>539</v>
      </c>
      <c r="B383" s="7" t="s">
        <v>3529</v>
      </c>
      <c r="C383" s="7" t="s">
        <v>3530</v>
      </c>
      <c r="D383" s="7" t="s">
        <v>3529</v>
      </c>
      <c r="E383" s="7" t="s">
        <v>34</v>
      </c>
      <c r="F383" s="7" t="s">
        <v>3531</v>
      </c>
      <c r="G383" s="8" t="s">
        <v>18</v>
      </c>
      <c r="H383" s="7" t="s">
        <v>28</v>
      </c>
      <c r="I383" s="7" t="s">
        <v>37</v>
      </c>
      <c r="J383" s="7" t="s">
        <v>38</v>
      </c>
      <c r="K383" s="7" t="s">
        <v>37</v>
      </c>
      <c r="L383" s="7" t="s">
        <v>37</v>
      </c>
      <c r="M383" s="7">
        <v>4.1537319999999998</v>
      </c>
      <c r="N383" s="7">
        <v>9.2917400000000008</v>
      </c>
      <c r="O383" s="7" t="s">
        <v>23</v>
      </c>
      <c r="P383" s="3"/>
      <c r="Q383" s="3"/>
      <c r="R383" s="3"/>
    </row>
    <row r="384" spans="1:18" x14ac:dyDescent="0.25">
      <c r="A384" s="2">
        <v>540</v>
      </c>
      <c r="B384" s="7" t="s">
        <v>3535</v>
      </c>
      <c r="C384" s="7" t="s">
        <v>3536</v>
      </c>
      <c r="D384" s="7" t="s">
        <v>3535</v>
      </c>
      <c r="E384" s="7" t="s">
        <v>34</v>
      </c>
      <c r="F384" s="7" t="s">
        <v>3537</v>
      </c>
      <c r="G384" s="8" t="s">
        <v>18</v>
      </c>
      <c r="H384" s="7" t="s">
        <v>28</v>
      </c>
      <c r="I384" s="7" t="s">
        <v>37</v>
      </c>
      <c r="J384" s="7" t="s">
        <v>38</v>
      </c>
      <c r="K384" s="7" t="s">
        <v>37</v>
      </c>
      <c r="L384" s="7" t="s">
        <v>37</v>
      </c>
      <c r="M384" s="7">
        <v>4.1604789999999996</v>
      </c>
      <c r="N384" s="7">
        <v>9.237641</v>
      </c>
      <c r="O384" s="7" t="s">
        <v>23</v>
      </c>
      <c r="P384" s="3"/>
      <c r="Q384" s="3"/>
      <c r="R384" s="3"/>
    </row>
    <row r="385" spans="1:18" x14ac:dyDescent="0.25">
      <c r="A385" s="2">
        <v>541</v>
      </c>
      <c r="B385" s="7" t="s">
        <v>3611</v>
      </c>
      <c r="C385" s="7" t="s">
        <v>3612</v>
      </c>
      <c r="D385" s="7" t="s">
        <v>3611</v>
      </c>
      <c r="E385" s="7" t="s">
        <v>34</v>
      </c>
      <c r="F385" s="7" t="s">
        <v>3613</v>
      </c>
      <c r="G385" s="8" t="s">
        <v>18</v>
      </c>
      <c r="H385" s="7" t="s">
        <v>28</v>
      </c>
      <c r="I385" s="7" t="s">
        <v>441</v>
      </c>
      <c r="J385" s="7" t="s">
        <v>38</v>
      </c>
      <c r="K385" s="7" t="s">
        <v>442</v>
      </c>
      <c r="L385" s="7" t="s">
        <v>37</v>
      </c>
      <c r="M385" s="7">
        <v>4.0841390000000004</v>
      </c>
      <c r="N385" s="7">
        <v>9.3573330000000006</v>
      </c>
      <c r="O385" s="7" t="s">
        <v>23</v>
      </c>
      <c r="P385" s="3"/>
      <c r="Q385" s="3"/>
      <c r="R385" s="3"/>
    </row>
    <row r="386" spans="1:18" x14ac:dyDescent="0.25">
      <c r="A386" s="2">
        <v>542</v>
      </c>
      <c r="B386" s="7" t="s">
        <v>3624</v>
      </c>
      <c r="C386" s="7" t="s">
        <v>3625</v>
      </c>
      <c r="D386" s="7" t="s">
        <v>3624</v>
      </c>
      <c r="E386" s="7" t="s">
        <v>34</v>
      </c>
      <c r="F386" s="7" t="s">
        <v>3626</v>
      </c>
      <c r="G386" s="8" t="s">
        <v>18</v>
      </c>
      <c r="H386" s="7" t="s">
        <v>28</v>
      </c>
      <c r="I386" s="7" t="s">
        <v>37</v>
      </c>
      <c r="J386" s="7" t="s">
        <v>38</v>
      </c>
      <c r="K386" s="7" t="s">
        <v>39</v>
      </c>
      <c r="L386" s="7" t="s">
        <v>37</v>
      </c>
      <c r="M386" s="7">
        <v>4.2892780000000004</v>
      </c>
      <c r="N386" s="7">
        <v>9.4137219999999999</v>
      </c>
      <c r="O386" s="7" t="s">
        <v>23</v>
      </c>
      <c r="P386" s="3"/>
      <c r="Q386" s="3"/>
      <c r="R386" s="3"/>
    </row>
    <row r="387" spans="1:18" x14ac:dyDescent="0.25">
      <c r="A387" s="2">
        <v>543</v>
      </c>
      <c r="B387" s="7" t="s">
        <v>3645</v>
      </c>
      <c r="C387" s="7" t="s">
        <v>3646</v>
      </c>
      <c r="D387" s="7" t="s">
        <v>3645</v>
      </c>
      <c r="E387" s="7" t="s">
        <v>34</v>
      </c>
      <c r="F387" s="7" t="s">
        <v>3647</v>
      </c>
      <c r="G387" s="8" t="s">
        <v>18</v>
      </c>
      <c r="H387" s="7" t="s">
        <v>28</v>
      </c>
      <c r="I387" s="7" t="s">
        <v>37</v>
      </c>
      <c r="J387" s="7" t="s">
        <v>38</v>
      </c>
      <c r="K387" s="7" t="s">
        <v>37</v>
      </c>
      <c r="L387" s="7" t="s">
        <v>37</v>
      </c>
      <c r="M387" s="7">
        <v>4.1488339999999999</v>
      </c>
      <c r="N387" s="7">
        <v>9.2602679999999999</v>
      </c>
      <c r="O387" s="7" t="s">
        <v>23</v>
      </c>
      <c r="P387" s="3"/>
      <c r="Q387" s="3"/>
      <c r="R387" s="3"/>
    </row>
    <row r="388" spans="1:18" x14ac:dyDescent="0.25">
      <c r="A388" s="2">
        <v>544</v>
      </c>
      <c r="B388" s="7" t="s">
        <v>3651</v>
      </c>
      <c r="C388" s="7" t="s">
        <v>3652</v>
      </c>
      <c r="D388" s="7" t="s">
        <v>3651</v>
      </c>
      <c r="E388" s="7" t="s">
        <v>34</v>
      </c>
      <c r="F388" s="7" t="s">
        <v>3653</v>
      </c>
      <c r="G388" s="8" t="s">
        <v>18</v>
      </c>
      <c r="H388" s="7" t="s">
        <v>28</v>
      </c>
      <c r="I388" s="7" t="s">
        <v>441</v>
      </c>
      <c r="J388" s="7" t="s">
        <v>38</v>
      </c>
      <c r="K388" s="7" t="s">
        <v>442</v>
      </c>
      <c r="L388" s="7" t="s">
        <v>37</v>
      </c>
      <c r="M388" s="7">
        <v>4.0655089999999996</v>
      </c>
      <c r="N388" s="7">
        <v>9.3717740000000003</v>
      </c>
      <c r="O388" s="7" t="s">
        <v>23</v>
      </c>
      <c r="P388" s="3"/>
      <c r="Q388" s="3"/>
      <c r="R388" s="3"/>
    </row>
    <row r="389" spans="1:18" x14ac:dyDescent="0.25">
      <c r="A389" s="2">
        <v>545</v>
      </c>
      <c r="B389" s="7" t="s">
        <v>3695</v>
      </c>
      <c r="C389" s="7" t="s">
        <v>3696</v>
      </c>
      <c r="D389" s="7" t="s">
        <v>3695</v>
      </c>
      <c r="E389" s="7" t="s">
        <v>34</v>
      </c>
      <c r="F389" s="7" t="s">
        <v>3697</v>
      </c>
      <c r="G389" s="8" t="s">
        <v>36</v>
      </c>
      <c r="H389" s="7" t="s">
        <v>28</v>
      </c>
      <c r="I389" s="7" t="s">
        <v>37</v>
      </c>
      <c r="J389" s="7" t="s">
        <v>38</v>
      </c>
      <c r="K389" s="7" t="s">
        <v>39</v>
      </c>
      <c r="L389" s="7" t="s">
        <v>37</v>
      </c>
      <c r="M389" s="7">
        <v>4.3024170000000002</v>
      </c>
      <c r="N389" s="7">
        <v>9.4290000000000003</v>
      </c>
      <c r="O389" s="7" t="s">
        <v>23</v>
      </c>
      <c r="P389" s="3"/>
      <c r="Q389" s="3"/>
      <c r="R389" s="3"/>
    </row>
    <row r="390" spans="1:18" x14ac:dyDescent="0.25">
      <c r="A390" s="2">
        <v>546</v>
      </c>
      <c r="B390" s="7" t="s">
        <v>3722</v>
      </c>
      <c r="C390" s="7" t="s">
        <v>3723</v>
      </c>
      <c r="D390" s="7" t="s">
        <v>3722</v>
      </c>
      <c r="E390" s="7" t="s">
        <v>34</v>
      </c>
      <c r="F390" s="7" t="s">
        <v>441</v>
      </c>
      <c r="G390" s="8" t="s">
        <v>18</v>
      </c>
      <c r="H390" s="7" t="s">
        <v>19</v>
      </c>
      <c r="I390" s="7" t="s">
        <v>441</v>
      </c>
      <c r="J390" s="7" t="s">
        <v>38</v>
      </c>
      <c r="K390" s="7" t="s">
        <v>442</v>
      </c>
      <c r="L390" s="7" t="s">
        <v>37</v>
      </c>
      <c r="M390" s="7">
        <v>4.0899039999999998</v>
      </c>
      <c r="N390" s="7">
        <v>9.3190059999999999</v>
      </c>
      <c r="O390" s="7" t="s">
        <v>23</v>
      </c>
      <c r="P390" s="3"/>
      <c r="Q390" s="3"/>
      <c r="R390" s="3"/>
    </row>
    <row r="391" spans="1:18" x14ac:dyDescent="0.25">
      <c r="A391" s="2">
        <v>547</v>
      </c>
      <c r="B391" s="7" t="s">
        <v>3754</v>
      </c>
      <c r="C391" s="7" t="s">
        <v>3755</v>
      </c>
      <c r="D391" s="7" t="s">
        <v>3754</v>
      </c>
      <c r="E391" s="7" t="s">
        <v>34</v>
      </c>
      <c r="F391" s="7" t="s">
        <v>3756</v>
      </c>
      <c r="G391" s="8" t="s">
        <v>18</v>
      </c>
      <c r="H391" s="7" t="s">
        <v>28</v>
      </c>
      <c r="I391" s="7" t="s">
        <v>37</v>
      </c>
      <c r="J391" s="7" t="s">
        <v>38</v>
      </c>
      <c r="K391" s="7" t="s">
        <v>37</v>
      </c>
      <c r="L391" s="7" t="s">
        <v>37</v>
      </c>
      <c r="M391" s="7">
        <v>4.134639</v>
      </c>
      <c r="N391" s="7">
        <v>9.2190560000000001</v>
      </c>
      <c r="O391" s="7" t="s">
        <v>23</v>
      </c>
      <c r="P391" s="3"/>
      <c r="Q391" s="3"/>
      <c r="R391" s="3"/>
    </row>
    <row r="392" spans="1:18" x14ac:dyDescent="0.25">
      <c r="A392" s="2">
        <v>548</v>
      </c>
      <c r="B392" s="7" t="s">
        <v>3826</v>
      </c>
      <c r="C392" s="7" t="s">
        <v>3827</v>
      </c>
      <c r="D392" s="7" t="s">
        <v>3826</v>
      </c>
      <c r="E392" s="7" t="s">
        <v>34</v>
      </c>
      <c r="F392" s="7" t="s">
        <v>3828</v>
      </c>
      <c r="G392" s="8" t="s">
        <v>18</v>
      </c>
      <c r="H392" s="7" t="s">
        <v>28</v>
      </c>
      <c r="I392" s="7" t="s">
        <v>37</v>
      </c>
      <c r="J392" s="7" t="s">
        <v>38</v>
      </c>
      <c r="K392" s="7" t="s">
        <v>37</v>
      </c>
      <c r="L392" s="7" t="s">
        <v>37</v>
      </c>
      <c r="M392" s="7">
        <v>4.1433330000000002</v>
      </c>
      <c r="N392" s="7">
        <v>9.2432499999999997</v>
      </c>
      <c r="O392" s="7" t="s">
        <v>23</v>
      </c>
      <c r="P392" s="3"/>
      <c r="Q392" s="3"/>
      <c r="R392" s="3"/>
    </row>
    <row r="393" spans="1:18" x14ac:dyDescent="0.25">
      <c r="A393" s="2">
        <v>549</v>
      </c>
      <c r="B393" s="7" t="s">
        <v>4029</v>
      </c>
      <c r="C393" s="7" t="s">
        <v>4030</v>
      </c>
      <c r="D393" s="7" t="s">
        <v>4029</v>
      </c>
      <c r="E393" s="7" t="s">
        <v>34</v>
      </c>
      <c r="F393" s="7" t="s">
        <v>4031</v>
      </c>
      <c r="G393" s="8" t="s">
        <v>18</v>
      </c>
      <c r="H393" s="7" t="s">
        <v>19</v>
      </c>
      <c r="I393" s="7" t="s">
        <v>65</v>
      </c>
      <c r="J393" s="7" t="s">
        <v>38</v>
      </c>
      <c r="K393" s="7" t="s">
        <v>649</v>
      </c>
      <c r="L393" s="7" t="s">
        <v>37</v>
      </c>
      <c r="M393" s="7">
        <v>4.211652</v>
      </c>
      <c r="N393" s="7">
        <v>8.9892730000000007</v>
      </c>
      <c r="O393" s="7" t="s">
        <v>23</v>
      </c>
      <c r="P393" s="3"/>
      <c r="Q393" s="3"/>
      <c r="R393" s="3"/>
    </row>
    <row r="394" spans="1:18" x14ac:dyDescent="0.25">
      <c r="A394" s="2">
        <v>550</v>
      </c>
      <c r="B394" s="7" t="s">
        <v>4046</v>
      </c>
      <c r="C394" s="7" t="s">
        <v>4047</v>
      </c>
      <c r="D394" s="7" t="s">
        <v>4046</v>
      </c>
      <c r="E394" s="7" t="s">
        <v>34</v>
      </c>
      <c r="F394" s="7" t="s">
        <v>4048</v>
      </c>
      <c r="G394" s="8" t="s">
        <v>18</v>
      </c>
      <c r="H394" s="7" t="s">
        <v>28</v>
      </c>
      <c r="I394" s="7" t="s">
        <v>37</v>
      </c>
      <c r="J394" s="7" t="s">
        <v>38</v>
      </c>
      <c r="K394" s="7" t="s">
        <v>37</v>
      </c>
      <c r="L394" s="7" t="s">
        <v>37</v>
      </c>
      <c r="M394" s="7">
        <v>4.1704679999999996</v>
      </c>
      <c r="N394" s="7">
        <v>9.3013899999999996</v>
      </c>
      <c r="O394" s="7" t="s">
        <v>613</v>
      </c>
      <c r="P394" s="3"/>
      <c r="Q394" s="3"/>
      <c r="R394" s="3"/>
    </row>
    <row r="395" spans="1:18" x14ac:dyDescent="0.25">
      <c r="A395" s="2">
        <v>551</v>
      </c>
      <c r="B395" s="7" t="s">
        <v>4115</v>
      </c>
      <c r="C395" s="7" t="s">
        <v>4116</v>
      </c>
      <c r="D395" s="7" t="s">
        <v>4115</v>
      </c>
      <c r="E395" s="7" t="s">
        <v>34</v>
      </c>
      <c r="F395" s="7" t="s">
        <v>4117</v>
      </c>
      <c r="G395" s="8" t="s">
        <v>18</v>
      </c>
      <c r="H395" s="7" t="s">
        <v>28</v>
      </c>
      <c r="I395" s="7" t="s">
        <v>441</v>
      </c>
      <c r="J395" s="7" t="s">
        <v>38</v>
      </c>
      <c r="K395" s="7" t="s">
        <v>442</v>
      </c>
      <c r="L395" s="7" t="s">
        <v>37</v>
      </c>
      <c r="M395" s="7">
        <v>4.1880480000000002</v>
      </c>
      <c r="N395" s="7">
        <v>9.4106070000000006</v>
      </c>
      <c r="O395" s="7" t="s">
        <v>23</v>
      </c>
      <c r="P395" s="3"/>
      <c r="Q395" s="3"/>
      <c r="R395" s="3"/>
    </row>
    <row r="396" spans="1:18" x14ac:dyDescent="0.25">
      <c r="A396" s="2">
        <v>552</v>
      </c>
      <c r="B396" s="7" t="s">
        <v>4118</v>
      </c>
      <c r="C396" s="7" t="s">
        <v>4119</v>
      </c>
      <c r="D396" s="7" t="s">
        <v>4118</v>
      </c>
      <c r="E396" s="7" t="s">
        <v>34</v>
      </c>
      <c r="F396" s="7" t="s">
        <v>4120</v>
      </c>
      <c r="G396" s="8" t="s">
        <v>18</v>
      </c>
      <c r="H396" s="7" t="s">
        <v>28</v>
      </c>
      <c r="I396" s="7" t="s">
        <v>441</v>
      </c>
      <c r="J396" s="7" t="s">
        <v>38</v>
      </c>
      <c r="K396" s="7" t="s">
        <v>442</v>
      </c>
      <c r="L396" s="7" t="s">
        <v>37</v>
      </c>
      <c r="M396" s="7">
        <v>4.1328060000000004</v>
      </c>
      <c r="N396" s="7">
        <v>9.4430829999999997</v>
      </c>
      <c r="O396" s="7" t="s">
        <v>23</v>
      </c>
      <c r="P396" s="3"/>
      <c r="Q396" s="3"/>
      <c r="R396" s="3"/>
    </row>
    <row r="397" spans="1:18" x14ac:dyDescent="0.25">
      <c r="A397" s="2">
        <v>553</v>
      </c>
      <c r="B397" s="7" t="s">
        <v>4135</v>
      </c>
      <c r="C397" s="7" t="s">
        <v>4136</v>
      </c>
      <c r="D397" s="7" t="s">
        <v>4135</v>
      </c>
      <c r="E397" s="7" t="s">
        <v>34</v>
      </c>
      <c r="F397" s="7" t="s">
        <v>4048</v>
      </c>
      <c r="G397" s="8" t="s">
        <v>18</v>
      </c>
      <c r="H397" s="7" t="s">
        <v>28</v>
      </c>
      <c r="I397" s="7" t="s">
        <v>37</v>
      </c>
      <c r="J397" s="7" t="s">
        <v>38</v>
      </c>
      <c r="K397" s="7" t="s">
        <v>37</v>
      </c>
      <c r="L397" s="7" t="s">
        <v>37</v>
      </c>
      <c r="M397" s="7">
        <v>4.1790250000000002</v>
      </c>
      <c r="N397" s="7">
        <v>9.3054659999999991</v>
      </c>
      <c r="O397" s="7" t="s">
        <v>23</v>
      </c>
      <c r="P397" s="3"/>
      <c r="Q397" s="3"/>
      <c r="R397" s="3"/>
    </row>
    <row r="398" spans="1:18" x14ac:dyDescent="0.25">
      <c r="A398" s="2">
        <v>554</v>
      </c>
      <c r="B398" s="7" t="s">
        <v>4137</v>
      </c>
      <c r="C398" s="7" t="s">
        <v>4138</v>
      </c>
      <c r="D398" s="7" t="s">
        <v>4137</v>
      </c>
      <c r="E398" s="7" t="s">
        <v>34</v>
      </c>
      <c r="F398" s="7" t="s">
        <v>4139</v>
      </c>
      <c r="G398" s="8" t="s">
        <v>18</v>
      </c>
      <c r="H398" s="7" t="s">
        <v>19</v>
      </c>
      <c r="I398" s="7" t="s">
        <v>37</v>
      </c>
      <c r="J398" s="7" t="s">
        <v>38</v>
      </c>
      <c r="K398" s="7" t="s">
        <v>39</v>
      </c>
      <c r="L398" s="7" t="s">
        <v>37</v>
      </c>
      <c r="M398" s="7">
        <v>4.2992780000000002</v>
      </c>
      <c r="N398" s="7">
        <v>9.4153889999999993</v>
      </c>
      <c r="O398" s="7" t="s">
        <v>23</v>
      </c>
      <c r="P398" s="3"/>
      <c r="Q398" s="3"/>
      <c r="R398" s="3"/>
    </row>
    <row r="399" spans="1:18" x14ac:dyDescent="0.25">
      <c r="A399" s="2">
        <v>555</v>
      </c>
      <c r="B399" s="7" t="s">
        <v>4168</v>
      </c>
      <c r="C399" s="7" t="s">
        <v>4169</v>
      </c>
      <c r="D399" s="7" t="s">
        <v>4168</v>
      </c>
      <c r="E399" s="7" t="s">
        <v>34</v>
      </c>
      <c r="F399" s="7" t="s">
        <v>4170</v>
      </c>
      <c r="G399" s="8" t="s">
        <v>18</v>
      </c>
      <c r="H399" s="7" t="s">
        <v>28</v>
      </c>
      <c r="I399" s="7" t="s">
        <v>37</v>
      </c>
      <c r="J399" s="7" t="s">
        <v>38</v>
      </c>
      <c r="K399" s="7" t="s">
        <v>37</v>
      </c>
      <c r="L399" s="7" t="s">
        <v>37</v>
      </c>
      <c r="M399" s="7">
        <v>4.1587180000000004</v>
      </c>
      <c r="N399" s="7">
        <v>9.3043560000000003</v>
      </c>
      <c r="O399" s="7" t="s">
        <v>23</v>
      </c>
      <c r="P399" s="3"/>
      <c r="Q399" s="3"/>
      <c r="R399" s="3"/>
    </row>
    <row r="400" spans="1:18" x14ac:dyDescent="0.25">
      <c r="A400" s="2">
        <v>556</v>
      </c>
      <c r="B400" s="7" t="s">
        <v>4235</v>
      </c>
      <c r="C400" s="7" t="s">
        <v>4236</v>
      </c>
      <c r="D400" s="7" t="s">
        <v>4235</v>
      </c>
      <c r="E400" s="7" t="s">
        <v>34</v>
      </c>
      <c r="F400" s="7" t="s">
        <v>4237</v>
      </c>
      <c r="G400" s="8" t="s">
        <v>18</v>
      </c>
      <c r="H400" s="7" t="s">
        <v>28</v>
      </c>
      <c r="I400" s="7" t="s">
        <v>37</v>
      </c>
      <c r="J400" s="7" t="s">
        <v>38</v>
      </c>
      <c r="K400" s="7" t="s">
        <v>37</v>
      </c>
      <c r="L400" s="7" t="s">
        <v>37</v>
      </c>
      <c r="M400" s="7">
        <v>4.1523890000000003</v>
      </c>
      <c r="N400" s="7">
        <v>9.3001310000000004</v>
      </c>
      <c r="O400" s="7" t="s">
        <v>23</v>
      </c>
      <c r="P400" s="3"/>
      <c r="Q400" s="3"/>
      <c r="R400" s="3"/>
    </row>
    <row r="401" spans="1:18" x14ac:dyDescent="0.25">
      <c r="A401" s="2">
        <v>557</v>
      </c>
      <c r="B401" s="7" t="s">
        <v>4400</v>
      </c>
      <c r="C401" s="7" t="s">
        <v>4401</v>
      </c>
      <c r="D401" s="7" t="s">
        <v>4400</v>
      </c>
      <c r="E401" s="7" t="s">
        <v>34</v>
      </c>
      <c r="F401" s="7" t="s">
        <v>4402</v>
      </c>
      <c r="G401" s="8" t="s">
        <v>18</v>
      </c>
      <c r="H401" s="7" t="s">
        <v>19</v>
      </c>
      <c r="I401" s="7" t="s">
        <v>441</v>
      </c>
      <c r="J401" s="7" t="s">
        <v>38</v>
      </c>
      <c r="K401" s="7" t="s">
        <v>442</v>
      </c>
      <c r="L401" s="7" t="s">
        <v>37</v>
      </c>
      <c r="M401" s="7">
        <v>4.0906190000000002</v>
      </c>
      <c r="N401" s="7">
        <v>9.3171689999999998</v>
      </c>
      <c r="O401" s="7" t="s">
        <v>23</v>
      </c>
      <c r="P401" s="3"/>
      <c r="Q401" s="3"/>
      <c r="R401" s="3"/>
    </row>
    <row r="402" spans="1:18" x14ac:dyDescent="0.25">
      <c r="A402" s="2">
        <v>558</v>
      </c>
      <c r="B402" s="7" t="s">
        <v>5496</v>
      </c>
      <c r="C402" s="7" t="s">
        <v>5497</v>
      </c>
      <c r="D402" s="7" t="s">
        <v>5496</v>
      </c>
      <c r="E402" s="7" t="s">
        <v>34</v>
      </c>
      <c r="F402" s="7" t="s">
        <v>5498</v>
      </c>
      <c r="G402" s="8" t="s">
        <v>18</v>
      </c>
      <c r="H402" s="7" t="s">
        <v>28</v>
      </c>
      <c r="I402" s="7" t="s">
        <v>441</v>
      </c>
      <c r="J402" s="7" t="s">
        <v>38</v>
      </c>
      <c r="K402" s="7" t="s">
        <v>442</v>
      </c>
      <c r="L402" s="7" t="s">
        <v>37</v>
      </c>
      <c r="M402" s="7">
        <v>4.0880429999999999</v>
      </c>
      <c r="N402" s="7">
        <v>9.3507379999999998</v>
      </c>
      <c r="O402" s="7" t="s">
        <v>613</v>
      </c>
      <c r="P402" s="3"/>
      <c r="Q402" s="3"/>
      <c r="R402" s="3"/>
    </row>
    <row r="403" spans="1:18" x14ac:dyDescent="0.25">
      <c r="A403" s="2">
        <v>559</v>
      </c>
      <c r="B403" s="7" t="s">
        <v>5924</v>
      </c>
      <c r="C403" s="7" t="s">
        <v>5925</v>
      </c>
      <c r="D403" s="7" t="s">
        <v>5924</v>
      </c>
      <c r="E403" s="7" t="s">
        <v>34</v>
      </c>
      <c r="F403" s="7" t="s">
        <v>5926</v>
      </c>
      <c r="G403" s="8" t="s">
        <v>18</v>
      </c>
      <c r="H403" s="7" t="s">
        <v>28</v>
      </c>
      <c r="I403" s="7" t="s">
        <v>37</v>
      </c>
      <c r="J403" s="7" t="s">
        <v>38</v>
      </c>
      <c r="K403" s="7" t="s">
        <v>39</v>
      </c>
      <c r="L403" s="7" t="s">
        <v>37</v>
      </c>
      <c r="M403" s="7">
        <v>4.4011500000000003</v>
      </c>
      <c r="N403" s="7">
        <v>9.2701700000000002</v>
      </c>
      <c r="O403" s="7" t="s">
        <v>23</v>
      </c>
      <c r="P403" s="3"/>
      <c r="Q403" s="3"/>
      <c r="R403" s="3"/>
    </row>
    <row r="404" spans="1:18" x14ac:dyDescent="0.25">
      <c r="A404" s="2">
        <v>560</v>
      </c>
      <c r="B404" s="7" t="s">
        <v>6003</v>
      </c>
      <c r="C404" s="7" t="s">
        <v>6004</v>
      </c>
      <c r="D404" s="7" t="s">
        <v>6003</v>
      </c>
      <c r="E404" s="7" t="s">
        <v>34</v>
      </c>
      <c r="F404" s="7" t="s">
        <v>6005</v>
      </c>
      <c r="G404" s="8" t="s">
        <v>18</v>
      </c>
      <c r="H404" s="7" t="s">
        <v>28</v>
      </c>
      <c r="I404" s="7" t="s">
        <v>441</v>
      </c>
      <c r="J404" s="7" t="s">
        <v>38</v>
      </c>
      <c r="K404" s="7" t="s">
        <v>442</v>
      </c>
      <c r="L404" s="7" t="s">
        <v>37</v>
      </c>
      <c r="M404" s="7">
        <v>4.1330200000000001</v>
      </c>
      <c r="N404" s="7">
        <v>9.4644879999999993</v>
      </c>
      <c r="O404" s="7" t="s">
        <v>23</v>
      </c>
      <c r="P404" s="3"/>
      <c r="Q404" s="3"/>
      <c r="R404" s="3"/>
    </row>
    <row r="405" spans="1:18" x14ac:dyDescent="0.25">
      <c r="A405" s="2">
        <v>561</v>
      </c>
      <c r="B405" s="7" t="s">
        <v>6006</v>
      </c>
      <c r="C405" s="7" t="s">
        <v>6007</v>
      </c>
      <c r="D405" s="7" t="s">
        <v>6006</v>
      </c>
      <c r="E405" s="7" t="s">
        <v>34</v>
      </c>
      <c r="F405" s="7" t="s">
        <v>6008</v>
      </c>
      <c r="G405" s="8" t="s">
        <v>18</v>
      </c>
      <c r="H405" s="7" t="s">
        <v>28</v>
      </c>
      <c r="I405" s="7" t="s">
        <v>458</v>
      </c>
      <c r="J405" s="7" t="s">
        <v>459</v>
      </c>
      <c r="K405" s="7" t="s">
        <v>190</v>
      </c>
      <c r="L405" s="7" t="s">
        <v>37</v>
      </c>
      <c r="M405" s="7">
        <v>4.5040833300000003</v>
      </c>
      <c r="N405" s="7">
        <v>9.0225277800000008</v>
      </c>
      <c r="O405" s="7" t="s">
        <v>23</v>
      </c>
      <c r="P405" s="3"/>
      <c r="Q405" s="3"/>
      <c r="R405" s="3"/>
    </row>
    <row r="406" spans="1:18" x14ac:dyDescent="0.25">
      <c r="A406" s="2">
        <v>562</v>
      </c>
      <c r="B406" s="7" t="s">
        <v>6037</v>
      </c>
      <c r="C406" s="7" t="s">
        <v>6038</v>
      </c>
      <c r="D406" s="7" t="s">
        <v>6037</v>
      </c>
      <c r="E406" s="7" t="s">
        <v>34</v>
      </c>
      <c r="F406" s="7" t="s">
        <v>6039</v>
      </c>
      <c r="G406" s="8" t="s">
        <v>18</v>
      </c>
      <c r="H406" s="7" t="s">
        <v>28</v>
      </c>
      <c r="I406" s="7" t="s">
        <v>441</v>
      </c>
      <c r="J406" s="7" t="s">
        <v>38</v>
      </c>
      <c r="K406" s="7" t="s">
        <v>442</v>
      </c>
      <c r="L406" s="7" t="s">
        <v>37</v>
      </c>
      <c r="M406" s="7">
        <v>4.1253859999999998</v>
      </c>
      <c r="N406" s="7">
        <v>9.4067679999999996</v>
      </c>
      <c r="O406" s="7" t="s">
        <v>23</v>
      </c>
      <c r="P406" s="3"/>
      <c r="Q406" s="3"/>
      <c r="R406" s="3"/>
    </row>
    <row r="407" spans="1:18" x14ac:dyDescent="0.25">
      <c r="A407" s="2">
        <v>563</v>
      </c>
      <c r="B407" s="7" t="s">
        <v>6043</v>
      </c>
      <c r="C407" s="7" t="s">
        <v>6044</v>
      </c>
      <c r="D407" s="7" t="s">
        <v>6043</v>
      </c>
      <c r="E407" s="7" t="s">
        <v>34</v>
      </c>
      <c r="F407" s="7" t="s">
        <v>6045</v>
      </c>
      <c r="G407" s="8" t="s">
        <v>18</v>
      </c>
      <c r="H407" s="7" t="s">
        <v>28</v>
      </c>
      <c r="I407" s="7" t="s">
        <v>65</v>
      </c>
      <c r="J407" s="7" t="s">
        <v>38</v>
      </c>
      <c r="K407" s="7" t="s">
        <v>649</v>
      </c>
      <c r="L407" s="7" t="s">
        <v>37</v>
      </c>
      <c r="M407" s="7">
        <v>4.3010555559999997</v>
      </c>
      <c r="N407" s="7">
        <v>9.0648888890000006</v>
      </c>
      <c r="O407" s="7" t="s">
        <v>23</v>
      </c>
      <c r="P407" s="3"/>
      <c r="Q407" s="3"/>
      <c r="R407" s="3"/>
    </row>
    <row r="408" spans="1:18" x14ac:dyDescent="0.25">
      <c r="A408" s="2">
        <v>564</v>
      </c>
      <c r="B408" s="7" t="s">
        <v>6529</v>
      </c>
      <c r="C408" s="7" t="s">
        <v>6530</v>
      </c>
      <c r="D408" s="7" t="s">
        <v>6529</v>
      </c>
      <c r="E408" s="7" t="s">
        <v>34</v>
      </c>
      <c r="F408" s="7" t="s">
        <v>6531</v>
      </c>
      <c r="G408" s="8" t="s">
        <v>18</v>
      </c>
      <c r="H408" s="7" t="s">
        <v>28</v>
      </c>
      <c r="I408" s="7" t="s">
        <v>458</v>
      </c>
      <c r="J408" s="7" t="s">
        <v>459</v>
      </c>
      <c r="K408" s="7" t="s">
        <v>190</v>
      </c>
      <c r="L408" s="7" t="s">
        <v>37</v>
      </c>
      <c r="M408" s="7">
        <v>4.438722222</v>
      </c>
      <c r="N408" s="7">
        <v>8.9601944440000008</v>
      </c>
      <c r="O408" s="7" t="s">
        <v>23</v>
      </c>
      <c r="P408" s="3"/>
      <c r="Q408" s="3"/>
      <c r="R408" s="3"/>
    </row>
    <row r="409" spans="1:18" x14ac:dyDescent="0.25">
      <c r="A409" s="2">
        <v>565</v>
      </c>
      <c r="B409" s="7" t="s">
        <v>6631</v>
      </c>
      <c r="C409" s="7" t="s">
        <v>6632</v>
      </c>
      <c r="D409" s="7" t="s">
        <v>6631</v>
      </c>
      <c r="E409" s="7" t="s">
        <v>34</v>
      </c>
      <c r="F409" s="7" t="s">
        <v>6633</v>
      </c>
      <c r="G409" s="8" t="s">
        <v>18</v>
      </c>
      <c r="H409" s="7" t="s">
        <v>28</v>
      </c>
      <c r="I409" s="7" t="s">
        <v>37</v>
      </c>
      <c r="J409" s="7" t="s">
        <v>38</v>
      </c>
      <c r="K409" s="7" t="s">
        <v>1333</v>
      </c>
      <c r="L409" s="7" t="s">
        <v>37</v>
      </c>
      <c r="M409" s="7">
        <v>4.2237609999999997</v>
      </c>
      <c r="N409" s="7">
        <v>9.3354060000000008</v>
      </c>
      <c r="O409" s="7" t="s">
        <v>23</v>
      </c>
      <c r="P409" s="3"/>
      <c r="Q409" s="3"/>
      <c r="R409" s="3"/>
    </row>
    <row r="410" spans="1:18" x14ac:dyDescent="0.25">
      <c r="A410" s="2">
        <v>566</v>
      </c>
      <c r="B410" s="7" t="s">
        <v>6643</v>
      </c>
      <c r="C410" s="7" t="s">
        <v>6644</v>
      </c>
      <c r="D410" s="7" t="s">
        <v>6643</v>
      </c>
      <c r="E410" s="7" t="s">
        <v>34</v>
      </c>
      <c r="F410" s="7" t="s">
        <v>6645</v>
      </c>
      <c r="G410" s="8" t="s">
        <v>18</v>
      </c>
      <c r="H410" s="7" t="s">
        <v>28</v>
      </c>
      <c r="I410" s="7" t="s">
        <v>37</v>
      </c>
      <c r="J410" s="7" t="s">
        <v>38</v>
      </c>
      <c r="K410" s="7" t="s">
        <v>37</v>
      </c>
      <c r="L410" s="7" t="s">
        <v>37</v>
      </c>
      <c r="M410" s="7">
        <v>4.1500500000000002</v>
      </c>
      <c r="N410" s="7">
        <v>9.2297600000000006</v>
      </c>
      <c r="O410" s="7" t="s">
        <v>613</v>
      </c>
      <c r="P410" s="3"/>
      <c r="Q410" s="3"/>
      <c r="R410" s="3"/>
    </row>
    <row r="411" spans="1:18" x14ac:dyDescent="0.25">
      <c r="A411" s="2">
        <v>567</v>
      </c>
      <c r="B411" s="7" t="s">
        <v>6702</v>
      </c>
      <c r="C411" s="7" t="s">
        <v>6703</v>
      </c>
      <c r="D411" s="7" t="s">
        <v>6702</v>
      </c>
      <c r="E411" s="7" t="s">
        <v>34</v>
      </c>
      <c r="F411" s="7" t="s">
        <v>6704</v>
      </c>
      <c r="G411" s="8" t="s">
        <v>18</v>
      </c>
      <c r="H411" s="7" t="s">
        <v>28</v>
      </c>
      <c r="I411" s="7" t="s">
        <v>37</v>
      </c>
      <c r="J411" s="7" t="s">
        <v>38</v>
      </c>
      <c r="K411" s="7" t="s">
        <v>37</v>
      </c>
      <c r="L411" s="7" t="s">
        <v>37</v>
      </c>
      <c r="M411" s="7">
        <v>4.1595599999999999</v>
      </c>
      <c r="N411" s="7">
        <v>9.2867219999999993</v>
      </c>
      <c r="O411" s="7" t="s">
        <v>23</v>
      </c>
      <c r="P411" s="3"/>
      <c r="Q411" s="3"/>
      <c r="R411" s="3"/>
    </row>
    <row r="412" spans="1:18" x14ac:dyDescent="0.25">
      <c r="A412" s="2">
        <v>568</v>
      </c>
      <c r="B412" s="7" t="s">
        <v>6755</v>
      </c>
      <c r="C412" s="7" t="s">
        <v>6756</v>
      </c>
      <c r="D412" s="7" t="s">
        <v>6755</v>
      </c>
      <c r="E412" s="7" t="s">
        <v>34</v>
      </c>
      <c r="F412" s="7" t="s">
        <v>6757</v>
      </c>
      <c r="G412" s="8" t="s">
        <v>18</v>
      </c>
      <c r="H412" s="7" t="s">
        <v>28</v>
      </c>
      <c r="I412" s="7" t="s">
        <v>37</v>
      </c>
      <c r="J412" s="7" t="s">
        <v>38</v>
      </c>
      <c r="K412" s="7" t="s">
        <v>37</v>
      </c>
      <c r="L412" s="7" t="s">
        <v>37</v>
      </c>
      <c r="M412" s="7">
        <v>4.1471099999999996</v>
      </c>
      <c r="N412" s="7">
        <v>9.2881800000000005</v>
      </c>
      <c r="O412" s="7" t="s">
        <v>23</v>
      </c>
      <c r="P412" s="3"/>
      <c r="Q412" s="3"/>
      <c r="R412" s="3"/>
    </row>
    <row r="413" spans="1:18" x14ac:dyDescent="0.25">
      <c r="A413" s="2">
        <v>569</v>
      </c>
      <c r="B413" s="7" t="s">
        <v>6764</v>
      </c>
      <c r="C413" s="7" t="s">
        <v>6765</v>
      </c>
      <c r="D413" s="7" t="s">
        <v>6764</v>
      </c>
      <c r="E413" s="7" t="s">
        <v>34</v>
      </c>
      <c r="F413" s="7" t="s">
        <v>6766</v>
      </c>
      <c r="G413" s="8" t="s">
        <v>18</v>
      </c>
      <c r="H413" s="7" t="s">
        <v>28</v>
      </c>
      <c r="I413" s="7" t="s">
        <v>37</v>
      </c>
      <c r="J413" s="7" t="s">
        <v>38</v>
      </c>
      <c r="K413" s="7" t="s">
        <v>37</v>
      </c>
      <c r="L413" s="7" t="s">
        <v>37</v>
      </c>
      <c r="M413" s="7">
        <v>4.154083</v>
      </c>
      <c r="N413" s="7">
        <v>9.2770279999999996</v>
      </c>
      <c r="O413" s="7" t="s">
        <v>613</v>
      </c>
      <c r="P413" s="3"/>
      <c r="Q413" s="3"/>
      <c r="R413" s="3"/>
    </row>
    <row r="414" spans="1:18" x14ac:dyDescent="0.25">
      <c r="A414" s="2">
        <v>570</v>
      </c>
      <c r="B414" s="7" t="s">
        <v>7133</v>
      </c>
      <c r="C414" s="7" t="s">
        <v>7134</v>
      </c>
      <c r="D414" s="7" t="s">
        <v>7133</v>
      </c>
      <c r="E414" s="7" t="s">
        <v>34</v>
      </c>
      <c r="F414" s="7" t="s">
        <v>7135</v>
      </c>
      <c r="G414" s="8" t="s">
        <v>18</v>
      </c>
      <c r="H414" s="7" t="s">
        <v>28</v>
      </c>
      <c r="I414" s="7" t="s">
        <v>37</v>
      </c>
      <c r="J414" s="7" t="s">
        <v>7063</v>
      </c>
      <c r="K414" s="7" t="s">
        <v>37</v>
      </c>
      <c r="L414" s="7" t="s">
        <v>37</v>
      </c>
      <c r="M414" s="7">
        <v>4.1482700000000001</v>
      </c>
      <c r="N414" s="7">
        <v>9.2940699999999996</v>
      </c>
      <c r="O414" s="7" t="s">
        <v>613</v>
      </c>
      <c r="P414" s="3"/>
      <c r="Q414" s="3"/>
      <c r="R414" s="3"/>
    </row>
    <row r="415" spans="1:18" x14ac:dyDescent="0.25">
      <c r="A415" s="2">
        <v>571</v>
      </c>
      <c r="B415" s="7" t="s">
        <v>7145</v>
      </c>
      <c r="C415" s="7" t="s">
        <v>7146</v>
      </c>
      <c r="D415" s="7" t="s">
        <v>7145</v>
      </c>
      <c r="E415" s="7" t="s">
        <v>34</v>
      </c>
      <c r="F415" s="7" t="s">
        <v>7147</v>
      </c>
      <c r="G415" s="17" t="s">
        <v>7747</v>
      </c>
      <c r="H415" s="7" t="s">
        <v>28</v>
      </c>
      <c r="I415" s="7" t="s">
        <v>37</v>
      </c>
      <c r="J415" s="7" t="s">
        <v>7063</v>
      </c>
      <c r="K415" s="7" t="s">
        <v>37</v>
      </c>
      <c r="L415" s="7" t="s">
        <v>37</v>
      </c>
      <c r="M415" s="7">
        <v>4.1541180000000004</v>
      </c>
      <c r="N415" s="7">
        <v>9.2605310000000003</v>
      </c>
      <c r="O415" s="7" t="s">
        <v>613</v>
      </c>
      <c r="P415" s="3"/>
      <c r="Q415" s="3"/>
      <c r="R415" s="3"/>
    </row>
    <row r="416" spans="1:18" x14ac:dyDescent="0.25">
      <c r="A416" s="2">
        <v>572</v>
      </c>
      <c r="B416" s="7" t="s">
        <v>7165</v>
      </c>
      <c r="C416" s="7" t="s">
        <v>7166</v>
      </c>
      <c r="D416" s="7" t="s">
        <v>7165</v>
      </c>
      <c r="E416" s="7" t="s">
        <v>34</v>
      </c>
      <c r="F416" s="7" t="s">
        <v>7167</v>
      </c>
      <c r="G416" s="8" t="s">
        <v>18</v>
      </c>
      <c r="H416" s="7" t="s">
        <v>28</v>
      </c>
      <c r="I416" s="7" t="s">
        <v>37</v>
      </c>
      <c r="J416" s="7" t="s">
        <v>7063</v>
      </c>
      <c r="K416" s="7" t="s">
        <v>37</v>
      </c>
      <c r="L416" s="7" t="s">
        <v>37</v>
      </c>
      <c r="M416" s="7">
        <v>4.1570549999999997</v>
      </c>
      <c r="N416" s="7">
        <v>9.2855469999999993</v>
      </c>
      <c r="O416" s="7" t="s">
        <v>613</v>
      </c>
      <c r="P416" s="3"/>
      <c r="Q416" s="3"/>
      <c r="R416" s="3"/>
    </row>
    <row r="417" spans="1:18" x14ac:dyDescent="0.25">
      <c r="A417" s="2">
        <v>573</v>
      </c>
      <c r="B417" s="7" t="s">
        <v>7339</v>
      </c>
      <c r="C417" s="7" t="s">
        <v>7340</v>
      </c>
      <c r="D417" s="7" t="s">
        <v>7339</v>
      </c>
      <c r="E417" s="7" t="s">
        <v>34</v>
      </c>
      <c r="F417" s="7" t="s">
        <v>7341</v>
      </c>
      <c r="G417" s="8" t="s">
        <v>18</v>
      </c>
      <c r="H417" s="7" t="s">
        <v>28</v>
      </c>
      <c r="I417" s="7" t="s">
        <v>441</v>
      </c>
      <c r="J417" s="7" t="s">
        <v>7063</v>
      </c>
      <c r="K417" s="7" t="s">
        <v>2271</v>
      </c>
      <c r="L417" s="7" t="s">
        <v>37</v>
      </c>
      <c r="M417" s="7">
        <v>4.1849400000000001</v>
      </c>
      <c r="N417" s="7">
        <v>9.4735899999999997</v>
      </c>
      <c r="O417" s="7" t="s">
        <v>23</v>
      </c>
      <c r="P417" s="3"/>
      <c r="Q417" s="3"/>
      <c r="R417" s="3"/>
    </row>
    <row r="418" spans="1:18" x14ac:dyDescent="0.25">
      <c r="A418" s="2">
        <v>574</v>
      </c>
      <c r="B418" s="7" t="s">
        <v>7358</v>
      </c>
      <c r="C418" s="7" t="s">
        <v>7359</v>
      </c>
      <c r="D418" s="7" t="s">
        <v>7358</v>
      </c>
      <c r="E418" s="7" t="s">
        <v>34</v>
      </c>
      <c r="F418" s="7" t="s">
        <v>7360</v>
      </c>
      <c r="G418" s="17" t="s">
        <v>7747</v>
      </c>
      <c r="H418" s="7" t="s">
        <v>28</v>
      </c>
      <c r="I418" s="7" t="s">
        <v>37</v>
      </c>
      <c r="J418" s="7" t="s">
        <v>38</v>
      </c>
      <c r="K418" s="7" t="s">
        <v>497</v>
      </c>
      <c r="L418" s="7" t="s">
        <v>37</v>
      </c>
      <c r="M418" s="7">
        <v>4.1614909999999998</v>
      </c>
      <c r="N418" s="7">
        <v>9.2459641999999995</v>
      </c>
      <c r="O418" s="7" t="s">
        <v>613</v>
      </c>
      <c r="P418" s="3"/>
      <c r="Q418" s="3"/>
      <c r="R418" s="3"/>
    </row>
    <row r="419" spans="1:18" x14ac:dyDescent="0.25">
      <c r="A419" s="2">
        <v>575</v>
      </c>
      <c r="B419" s="7" t="s">
        <v>7367</v>
      </c>
      <c r="C419" s="7" t="s">
        <v>7368</v>
      </c>
      <c r="D419" s="7" t="s">
        <v>7367</v>
      </c>
      <c r="E419" s="7" t="s">
        <v>34</v>
      </c>
      <c r="F419" s="7" t="s">
        <v>7369</v>
      </c>
      <c r="G419" s="17" t="s">
        <v>7747</v>
      </c>
      <c r="H419" s="7" t="s">
        <v>28</v>
      </c>
      <c r="I419" s="7" t="s">
        <v>441</v>
      </c>
      <c r="J419" s="7" t="s">
        <v>38</v>
      </c>
      <c r="K419" s="7" t="s">
        <v>7370</v>
      </c>
      <c r="L419" s="7" t="s">
        <v>37</v>
      </c>
      <c r="M419" s="7">
        <v>4.0831150000000003</v>
      </c>
      <c r="N419" s="7">
        <v>9.3143539999999998</v>
      </c>
      <c r="O419" s="7" t="s">
        <v>23</v>
      </c>
      <c r="P419" s="3"/>
      <c r="Q419" s="3"/>
      <c r="R419" s="3"/>
    </row>
    <row r="420" spans="1:18" x14ac:dyDescent="0.25">
      <c r="A420" s="2">
        <v>576</v>
      </c>
      <c r="B420" s="7" t="s">
        <v>7402</v>
      </c>
      <c r="C420" s="7" t="s">
        <v>7403</v>
      </c>
      <c r="D420" s="7" t="s">
        <v>7402</v>
      </c>
      <c r="E420" s="7" t="s">
        <v>34</v>
      </c>
      <c r="F420" s="7" t="s">
        <v>7404</v>
      </c>
      <c r="G420" s="17" t="s">
        <v>7747</v>
      </c>
      <c r="H420" s="7" t="s">
        <v>28</v>
      </c>
      <c r="I420" s="7" t="s">
        <v>441</v>
      </c>
      <c r="J420" s="7" t="s">
        <v>38</v>
      </c>
      <c r="K420" s="7" t="s">
        <v>442</v>
      </c>
      <c r="L420" s="7" t="s">
        <v>37</v>
      </c>
      <c r="M420" s="7">
        <v>4.0627849999999999</v>
      </c>
      <c r="N420" s="7">
        <v>9.3635699999999993</v>
      </c>
      <c r="O420" s="7" t="s">
        <v>23</v>
      </c>
      <c r="P420" s="3"/>
      <c r="Q420" s="3"/>
      <c r="R420" s="3"/>
    </row>
    <row r="421" spans="1:18" x14ac:dyDescent="0.25">
      <c r="A421" s="2">
        <v>577</v>
      </c>
      <c r="B421" s="7" t="s">
        <v>7596</v>
      </c>
      <c r="C421" s="7" t="s">
        <v>7597</v>
      </c>
      <c r="D421" s="7" t="s">
        <v>7596</v>
      </c>
      <c r="E421" s="7" t="s">
        <v>34</v>
      </c>
      <c r="F421" s="7" t="s">
        <v>7598</v>
      </c>
      <c r="G421" s="17" t="s">
        <v>7747</v>
      </c>
      <c r="H421" s="7" t="s">
        <v>28</v>
      </c>
      <c r="I421" s="7" t="s">
        <v>37</v>
      </c>
      <c r="J421" s="7" t="s">
        <v>7063</v>
      </c>
      <c r="K421" s="7" t="s">
        <v>37</v>
      </c>
      <c r="L421" s="7" t="s">
        <v>37</v>
      </c>
      <c r="M421" s="7">
        <v>4.1682090000000001</v>
      </c>
      <c r="N421" s="7">
        <v>9.2784820000000003</v>
      </c>
      <c r="O421" s="7" t="s">
        <v>23</v>
      </c>
      <c r="P421" s="3"/>
      <c r="Q421" s="3"/>
      <c r="R421" s="3"/>
    </row>
    <row r="422" spans="1:18" ht="45" x14ac:dyDescent="0.25">
      <c r="A422" s="2">
        <v>578</v>
      </c>
      <c r="B422" s="7" t="s">
        <v>7685</v>
      </c>
      <c r="C422" s="7" t="s">
        <v>7686</v>
      </c>
      <c r="D422" s="7" t="s">
        <v>7685</v>
      </c>
      <c r="E422" s="7" t="s">
        <v>34</v>
      </c>
      <c r="F422" s="11" t="s">
        <v>7687</v>
      </c>
      <c r="G422" s="17" t="s">
        <v>7747</v>
      </c>
      <c r="H422" s="7" t="s">
        <v>28</v>
      </c>
      <c r="I422" s="7" t="s">
        <v>441</v>
      </c>
      <c r="J422" s="7" t="e">
        <v>#REF!</v>
      </c>
      <c r="K422" s="7" t="s">
        <v>2271</v>
      </c>
      <c r="L422" s="7" t="s">
        <v>37</v>
      </c>
      <c r="M422" s="12">
        <v>4.0680529999999999</v>
      </c>
      <c r="N422" s="12">
        <v>9.3588470000000008</v>
      </c>
      <c r="O422" s="7" t="s">
        <v>23</v>
      </c>
      <c r="P422" s="3"/>
      <c r="Q422" s="3"/>
      <c r="R422" s="3"/>
    </row>
    <row r="423" spans="1:18" x14ac:dyDescent="0.25">
      <c r="A423" s="2">
        <v>579</v>
      </c>
      <c r="B423" s="7" t="s">
        <v>7717</v>
      </c>
      <c r="C423" s="7" t="s">
        <v>7718</v>
      </c>
      <c r="D423" s="7" t="s">
        <v>7717</v>
      </c>
      <c r="E423" s="7" t="s">
        <v>34</v>
      </c>
      <c r="F423" s="7" t="s">
        <v>7719</v>
      </c>
      <c r="G423" s="17" t="s">
        <v>7747</v>
      </c>
      <c r="H423" s="7" t="s">
        <v>28</v>
      </c>
      <c r="I423" s="7" t="s">
        <v>37</v>
      </c>
      <c r="J423" s="7" t="s">
        <v>7063</v>
      </c>
      <c r="K423" s="7" t="s">
        <v>37</v>
      </c>
      <c r="L423" s="7" t="s">
        <v>37</v>
      </c>
      <c r="M423" s="7">
        <v>4.1776299999999997</v>
      </c>
      <c r="N423" s="7">
        <v>9.2801939999999998</v>
      </c>
      <c r="O423" s="7" t="s">
        <v>23</v>
      </c>
      <c r="P423" s="3"/>
      <c r="Q423" s="3"/>
      <c r="R423" s="3"/>
    </row>
    <row r="424" spans="1:18" x14ac:dyDescent="0.25">
      <c r="A424" s="2">
        <v>580</v>
      </c>
      <c r="B424" s="7" t="s">
        <v>48</v>
      </c>
      <c r="C424" s="7" t="s">
        <v>49</v>
      </c>
      <c r="D424" s="7" t="s">
        <v>48</v>
      </c>
      <c r="E424" s="7" t="s">
        <v>50</v>
      </c>
      <c r="F424" s="7" t="s">
        <v>51</v>
      </c>
      <c r="G424" s="17" t="s">
        <v>7747</v>
      </c>
      <c r="H424" s="7" t="s">
        <v>28</v>
      </c>
      <c r="I424" s="7" t="s">
        <v>52</v>
      </c>
      <c r="J424" s="7" t="s">
        <v>53</v>
      </c>
      <c r="K424" s="7" t="s">
        <v>54</v>
      </c>
      <c r="L424" s="7" t="s">
        <v>55</v>
      </c>
      <c r="M424" s="7">
        <v>3.9766650000000001</v>
      </c>
      <c r="N424" s="7">
        <v>9.7918050000000001</v>
      </c>
      <c r="O424" s="7" t="s">
        <v>23</v>
      </c>
      <c r="P424" s="3"/>
      <c r="Q424" s="3"/>
      <c r="R424" s="3"/>
    </row>
    <row r="425" spans="1:18" x14ac:dyDescent="0.25">
      <c r="A425" s="2">
        <v>581</v>
      </c>
      <c r="B425" s="7" t="s">
        <v>421</v>
      </c>
      <c r="C425" s="7" t="s">
        <v>422</v>
      </c>
      <c r="D425" s="7" t="s">
        <v>421</v>
      </c>
      <c r="E425" s="7" t="s">
        <v>34</v>
      </c>
      <c r="F425" s="7" t="s">
        <v>423</v>
      </c>
      <c r="G425" s="17" t="s">
        <v>7747</v>
      </c>
      <c r="H425" s="7" t="s">
        <v>28</v>
      </c>
      <c r="I425" s="7" t="s">
        <v>356</v>
      </c>
      <c r="J425" s="7" t="s">
        <v>152</v>
      </c>
      <c r="K425" s="7" t="s">
        <v>424</v>
      </c>
      <c r="L425" s="7" t="s">
        <v>55</v>
      </c>
      <c r="M425" s="7">
        <v>4.293838</v>
      </c>
      <c r="N425" s="7">
        <v>9.6697369999999996</v>
      </c>
      <c r="O425" s="7" t="s">
        <v>23</v>
      </c>
      <c r="P425" s="3"/>
      <c r="Q425" s="3"/>
      <c r="R425" s="3"/>
    </row>
    <row r="426" spans="1:18" x14ac:dyDescent="0.25">
      <c r="A426" s="2">
        <v>582</v>
      </c>
      <c r="B426" s="7" t="s">
        <v>475</v>
      </c>
      <c r="C426" s="7" t="s">
        <v>476</v>
      </c>
      <c r="D426" s="7" t="s">
        <v>475</v>
      </c>
      <c r="E426" s="7" t="s">
        <v>50</v>
      </c>
      <c r="F426" s="7" t="s">
        <v>477</v>
      </c>
      <c r="G426" s="17" t="s">
        <v>7747</v>
      </c>
      <c r="H426" s="7" t="s">
        <v>28</v>
      </c>
      <c r="I426" s="7" t="s">
        <v>161</v>
      </c>
      <c r="J426" s="7" t="s">
        <v>159</v>
      </c>
      <c r="K426" s="7" t="s">
        <v>200</v>
      </c>
      <c r="L426" s="7" t="s">
        <v>55</v>
      </c>
      <c r="M426" s="7">
        <v>3.971635</v>
      </c>
      <c r="N426" s="7">
        <v>9.9267920000000007</v>
      </c>
      <c r="O426" s="7" t="s">
        <v>23</v>
      </c>
      <c r="P426" s="3"/>
      <c r="Q426" s="3"/>
      <c r="R426" s="3"/>
    </row>
    <row r="427" spans="1:18" x14ac:dyDescent="0.25">
      <c r="A427" s="2">
        <v>583</v>
      </c>
      <c r="B427" s="7" t="s">
        <v>558</v>
      </c>
      <c r="C427" s="7" t="s">
        <v>559</v>
      </c>
      <c r="D427" s="7" t="s">
        <v>558</v>
      </c>
      <c r="E427" s="7" t="s">
        <v>50</v>
      </c>
      <c r="F427" s="7" t="s">
        <v>560</v>
      </c>
      <c r="G427" s="17" t="s">
        <v>7747</v>
      </c>
      <c r="H427" s="7" t="s">
        <v>28</v>
      </c>
      <c r="I427" s="7" t="s">
        <v>52</v>
      </c>
      <c r="J427" s="7" t="s">
        <v>53</v>
      </c>
      <c r="K427" s="7" t="s">
        <v>54</v>
      </c>
      <c r="L427" s="7" t="s">
        <v>55</v>
      </c>
      <c r="M427" s="7">
        <v>3.9698310000000001</v>
      </c>
      <c r="N427" s="7">
        <v>9.7450810000000008</v>
      </c>
      <c r="O427" s="7" t="s">
        <v>23</v>
      </c>
      <c r="P427" s="3"/>
      <c r="Q427" s="3"/>
      <c r="R427" s="3"/>
    </row>
    <row r="428" spans="1:18" x14ac:dyDescent="0.25">
      <c r="A428" s="2">
        <v>584</v>
      </c>
      <c r="B428" s="7" t="s">
        <v>608</v>
      </c>
      <c r="C428" s="7" t="s">
        <v>609</v>
      </c>
      <c r="D428" s="7" t="s">
        <v>608</v>
      </c>
      <c r="E428" s="7" t="s">
        <v>50</v>
      </c>
      <c r="F428" s="7" t="s">
        <v>610</v>
      </c>
      <c r="G428" s="17" t="s">
        <v>7747</v>
      </c>
      <c r="H428" s="7" t="s">
        <v>28</v>
      </c>
      <c r="I428" s="7" t="s">
        <v>611</v>
      </c>
      <c r="J428" s="7" t="s">
        <v>53</v>
      </c>
      <c r="K428" s="7" t="s">
        <v>612</v>
      </c>
      <c r="L428" s="7" t="s">
        <v>55</v>
      </c>
      <c r="M428" s="7">
        <v>4.0826390000000004</v>
      </c>
      <c r="N428" s="7">
        <v>9.7485560000000007</v>
      </c>
      <c r="O428" s="7" t="s">
        <v>613</v>
      </c>
      <c r="P428" s="3"/>
      <c r="Q428" s="3"/>
      <c r="R428" s="3"/>
    </row>
    <row r="429" spans="1:18" x14ac:dyDescent="0.25">
      <c r="A429" s="2">
        <v>585</v>
      </c>
      <c r="B429" s="7" t="s">
        <v>614</v>
      </c>
      <c r="C429" s="7" t="s">
        <v>615</v>
      </c>
      <c r="D429" s="7" t="s">
        <v>614</v>
      </c>
      <c r="E429" s="7" t="s">
        <v>50</v>
      </c>
      <c r="F429" s="7" t="s">
        <v>616</v>
      </c>
      <c r="G429" s="17" t="s">
        <v>7747</v>
      </c>
      <c r="H429" s="7" t="s">
        <v>28</v>
      </c>
      <c r="I429" s="7" t="s">
        <v>611</v>
      </c>
      <c r="J429" s="7" t="s">
        <v>53</v>
      </c>
      <c r="K429" s="7" t="s">
        <v>612</v>
      </c>
      <c r="L429" s="7" t="s">
        <v>55</v>
      </c>
      <c r="M429" s="7">
        <v>4.0749000000000004</v>
      </c>
      <c r="N429" s="7">
        <v>9.7532689999999995</v>
      </c>
      <c r="O429" s="7" t="s">
        <v>613</v>
      </c>
      <c r="P429" s="3"/>
      <c r="Q429" s="3"/>
      <c r="R429" s="3"/>
    </row>
    <row r="430" spans="1:18" x14ac:dyDescent="0.25">
      <c r="A430" s="2">
        <v>586</v>
      </c>
      <c r="B430" s="7" t="s">
        <v>624</v>
      </c>
      <c r="C430" s="7" t="s">
        <v>625</v>
      </c>
      <c r="D430" s="7" t="s">
        <v>624</v>
      </c>
      <c r="E430" s="7" t="s">
        <v>50</v>
      </c>
      <c r="F430" s="7" t="s">
        <v>626</v>
      </c>
      <c r="G430" s="17" t="s">
        <v>7747</v>
      </c>
      <c r="H430" s="7" t="s">
        <v>28</v>
      </c>
      <c r="I430" s="7" t="s">
        <v>627</v>
      </c>
      <c r="J430" s="7" t="s">
        <v>53</v>
      </c>
      <c r="K430" s="7" t="s">
        <v>628</v>
      </c>
      <c r="L430" s="7" t="s">
        <v>55</v>
      </c>
      <c r="M430" s="7">
        <v>4.0620279999999998</v>
      </c>
      <c r="N430" s="7">
        <v>9.6610829999999996</v>
      </c>
      <c r="O430" s="7" t="s">
        <v>23</v>
      </c>
      <c r="P430" s="3"/>
      <c r="Q430" s="3"/>
      <c r="R430" s="3"/>
    </row>
    <row r="431" spans="1:18" x14ac:dyDescent="0.25">
      <c r="A431" s="2">
        <v>587</v>
      </c>
      <c r="B431" s="7" t="s">
        <v>951</v>
      </c>
      <c r="C431" s="7" t="s">
        <v>952</v>
      </c>
      <c r="D431" s="7" t="s">
        <v>951</v>
      </c>
      <c r="E431" s="7" t="s">
        <v>34</v>
      </c>
      <c r="F431" s="7" t="s">
        <v>953</v>
      </c>
      <c r="G431" s="8" t="s">
        <v>18</v>
      </c>
      <c r="H431" s="7" t="s">
        <v>28</v>
      </c>
      <c r="I431" s="7" t="s">
        <v>441</v>
      </c>
      <c r="J431" s="7" t="s">
        <v>38</v>
      </c>
      <c r="K431" s="7" t="s">
        <v>442</v>
      </c>
      <c r="L431" s="7" t="s">
        <v>55</v>
      </c>
      <c r="M431" s="7">
        <v>4.1451529999999996</v>
      </c>
      <c r="N431" s="7">
        <v>9.5065469999999994</v>
      </c>
      <c r="O431" s="7" t="s">
        <v>23</v>
      </c>
      <c r="P431" s="3"/>
      <c r="Q431" s="3"/>
      <c r="R431" s="3"/>
    </row>
    <row r="432" spans="1:18" x14ac:dyDescent="0.25">
      <c r="A432" s="2">
        <v>588</v>
      </c>
      <c r="B432" s="7" t="s">
        <v>957</v>
      </c>
      <c r="C432" s="7" t="s">
        <v>958</v>
      </c>
      <c r="D432" s="7" t="s">
        <v>957</v>
      </c>
      <c r="E432" s="7" t="s">
        <v>50</v>
      </c>
      <c r="F432" s="7" t="s">
        <v>959</v>
      </c>
      <c r="G432" s="17" t="s">
        <v>7747</v>
      </c>
      <c r="H432" s="7" t="s">
        <v>28</v>
      </c>
      <c r="I432" s="7" t="s">
        <v>960</v>
      </c>
      <c r="J432" s="7" t="s">
        <v>53</v>
      </c>
      <c r="K432" s="7" t="s">
        <v>628</v>
      </c>
      <c r="L432" s="7" t="s">
        <v>55</v>
      </c>
      <c r="M432" s="7">
        <v>4.1094869999999997</v>
      </c>
      <c r="N432" s="7">
        <v>9.6173140000000004</v>
      </c>
      <c r="O432" s="7" t="s">
        <v>23</v>
      </c>
      <c r="P432" s="3"/>
      <c r="Q432" s="3"/>
      <c r="R432" s="3"/>
    </row>
    <row r="433" spans="1:18" x14ac:dyDescent="0.25">
      <c r="A433" s="2">
        <v>589</v>
      </c>
      <c r="B433" s="7" t="s">
        <v>1326</v>
      </c>
      <c r="C433" s="7" t="s">
        <v>1327</v>
      </c>
      <c r="D433" s="7" t="s">
        <v>1326</v>
      </c>
      <c r="E433" s="7" t="s">
        <v>50</v>
      </c>
      <c r="F433" s="7" t="s">
        <v>1328</v>
      </c>
      <c r="G433" s="17" t="s">
        <v>7747</v>
      </c>
      <c r="H433" s="7" t="s">
        <v>28</v>
      </c>
      <c r="I433" s="7" t="s">
        <v>1329</v>
      </c>
      <c r="J433" s="7" t="s">
        <v>53</v>
      </c>
      <c r="K433" s="7" t="s">
        <v>54</v>
      </c>
      <c r="L433" s="7" t="s">
        <v>55</v>
      </c>
      <c r="M433" s="7">
        <v>4.0495700000000001</v>
      </c>
      <c r="N433" s="7">
        <v>9.7297399999999996</v>
      </c>
      <c r="O433" s="7" t="s">
        <v>613</v>
      </c>
      <c r="P433" s="3"/>
      <c r="Q433" s="3"/>
      <c r="R433" s="3"/>
    </row>
    <row r="434" spans="1:18" x14ac:dyDescent="0.25">
      <c r="A434" s="2">
        <v>590</v>
      </c>
      <c r="B434" s="7" t="s">
        <v>1400</v>
      </c>
      <c r="C434" s="7" t="s">
        <v>1401</v>
      </c>
      <c r="D434" s="7" t="s">
        <v>1400</v>
      </c>
      <c r="E434" s="7" t="s">
        <v>50</v>
      </c>
      <c r="F434" s="7" t="s">
        <v>1402</v>
      </c>
      <c r="G434" s="17" t="s">
        <v>7747</v>
      </c>
      <c r="H434" s="7" t="s">
        <v>28</v>
      </c>
      <c r="I434" s="7" t="s">
        <v>1403</v>
      </c>
      <c r="J434" s="7" t="s">
        <v>53</v>
      </c>
      <c r="K434" s="7" t="s">
        <v>1404</v>
      </c>
      <c r="L434" s="7" t="s">
        <v>55</v>
      </c>
      <c r="M434" s="7">
        <v>4.0247580000000003</v>
      </c>
      <c r="N434" s="7">
        <v>9.7015499999999992</v>
      </c>
      <c r="O434" s="7" t="s">
        <v>613</v>
      </c>
      <c r="P434" s="3"/>
      <c r="Q434" s="3"/>
      <c r="R434" s="3"/>
    </row>
    <row r="435" spans="1:18" x14ac:dyDescent="0.25">
      <c r="A435" s="2">
        <v>591</v>
      </c>
      <c r="B435" s="7" t="s">
        <v>1436</v>
      </c>
      <c r="C435" s="7" t="s">
        <v>1437</v>
      </c>
      <c r="D435" s="7" t="s">
        <v>1436</v>
      </c>
      <c r="E435" s="7" t="s">
        <v>50</v>
      </c>
      <c r="F435" s="7" t="s">
        <v>1438</v>
      </c>
      <c r="G435" s="17" t="s">
        <v>7747</v>
      </c>
      <c r="H435" s="7" t="s">
        <v>28</v>
      </c>
      <c r="I435" s="7" t="s">
        <v>627</v>
      </c>
      <c r="J435" s="7" t="s">
        <v>53</v>
      </c>
      <c r="K435" s="7" t="s">
        <v>628</v>
      </c>
      <c r="L435" s="7" t="s">
        <v>55</v>
      </c>
      <c r="M435" s="7">
        <v>4.0705830000000001</v>
      </c>
      <c r="N435" s="7">
        <v>9.6499159999999993</v>
      </c>
      <c r="O435" s="7" t="s">
        <v>23</v>
      </c>
      <c r="P435" s="3"/>
      <c r="Q435" s="3"/>
      <c r="R435" s="3"/>
    </row>
    <row r="436" spans="1:18" x14ac:dyDescent="0.25">
      <c r="A436" s="2">
        <v>592</v>
      </c>
      <c r="B436" s="7" t="s">
        <v>1465</v>
      </c>
      <c r="C436" s="7" t="s">
        <v>1466</v>
      </c>
      <c r="D436" s="7" t="s">
        <v>1465</v>
      </c>
      <c r="E436" s="7" t="s">
        <v>50</v>
      </c>
      <c r="F436" s="7" t="s">
        <v>1467</v>
      </c>
      <c r="G436" s="17" t="s">
        <v>7747</v>
      </c>
      <c r="H436" s="7" t="s">
        <v>28</v>
      </c>
      <c r="I436" s="7" t="s">
        <v>1329</v>
      </c>
      <c r="J436" s="7" t="s">
        <v>53</v>
      </c>
      <c r="K436" s="7" t="s">
        <v>54</v>
      </c>
      <c r="L436" s="7" t="s">
        <v>55</v>
      </c>
      <c r="M436" s="7">
        <v>4.0266700000000002</v>
      </c>
      <c r="N436" s="7">
        <v>9.7850269999999995</v>
      </c>
      <c r="O436" s="7" t="s">
        <v>613</v>
      </c>
      <c r="P436" s="3"/>
      <c r="Q436" s="3"/>
      <c r="R436" s="3"/>
    </row>
    <row r="437" spans="1:18" x14ac:dyDescent="0.25">
      <c r="A437" s="2">
        <v>593</v>
      </c>
      <c r="B437" s="7" t="s">
        <v>1468</v>
      </c>
      <c r="C437" s="7" t="s">
        <v>1469</v>
      </c>
      <c r="D437" s="7" t="s">
        <v>1468</v>
      </c>
      <c r="E437" s="7" t="s">
        <v>50</v>
      </c>
      <c r="F437" s="7" t="s">
        <v>1470</v>
      </c>
      <c r="G437" s="17" t="s">
        <v>7747</v>
      </c>
      <c r="H437" s="7" t="s">
        <v>28</v>
      </c>
      <c r="I437" s="7" t="s">
        <v>1471</v>
      </c>
      <c r="J437" s="7" t="s">
        <v>53</v>
      </c>
      <c r="K437" s="7" t="s">
        <v>612</v>
      </c>
      <c r="L437" s="7" t="s">
        <v>55</v>
      </c>
      <c r="M437" s="7">
        <v>4.0723060000000002</v>
      </c>
      <c r="N437" s="7">
        <v>9.7335829999999994</v>
      </c>
      <c r="O437" s="7" t="s">
        <v>23</v>
      </c>
      <c r="P437" s="3"/>
      <c r="Q437" s="3"/>
      <c r="R437" s="3"/>
    </row>
    <row r="438" spans="1:18" x14ac:dyDescent="0.25">
      <c r="A438" s="2">
        <v>594</v>
      </c>
      <c r="B438" s="7" t="s">
        <v>1475</v>
      </c>
      <c r="C438" s="7" t="s">
        <v>1476</v>
      </c>
      <c r="D438" s="7" t="s">
        <v>1475</v>
      </c>
      <c r="E438" s="7" t="s">
        <v>50</v>
      </c>
      <c r="F438" s="7" t="s">
        <v>1477</v>
      </c>
      <c r="G438" s="17" t="s">
        <v>7747</v>
      </c>
      <c r="H438" s="7" t="s">
        <v>28</v>
      </c>
      <c r="I438" s="7" t="s">
        <v>1478</v>
      </c>
      <c r="J438" s="7" t="s">
        <v>53</v>
      </c>
      <c r="K438" s="7" t="s">
        <v>612</v>
      </c>
      <c r="L438" s="7" t="s">
        <v>55</v>
      </c>
      <c r="M438" s="7">
        <v>4.0908329999999999</v>
      </c>
      <c r="N438" s="7">
        <v>9.7586110000000001</v>
      </c>
      <c r="O438" s="7" t="s">
        <v>613</v>
      </c>
      <c r="P438" s="3"/>
      <c r="Q438" s="3"/>
      <c r="R438" s="3"/>
    </row>
    <row r="439" spans="1:18" x14ac:dyDescent="0.25">
      <c r="A439" s="2">
        <v>595</v>
      </c>
      <c r="B439" s="7" t="s">
        <v>1513</v>
      </c>
      <c r="C439" s="7" t="s">
        <v>1514</v>
      </c>
      <c r="D439" s="7" t="s">
        <v>1513</v>
      </c>
      <c r="E439" s="7" t="s">
        <v>50</v>
      </c>
      <c r="F439" s="7" t="s">
        <v>1515</v>
      </c>
      <c r="G439" s="17" t="s">
        <v>7747</v>
      </c>
      <c r="H439" s="7" t="s">
        <v>28</v>
      </c>
      <c r="I439" s="7" t="s">
        <v>1516</v>
      </c>
      <c r="J439" s="7" t="s">
        <v>53</v>
      </c>
      <c r="K439" s="7" t="s">
        <v>54</v>
      </c>
      <c r="L439" s="7" t="s">
        <v>55</v>
      </c>
      <c r="M439" s="7">
        <v>4.04277</v>
      </c>
      <c r="N439" s="7">
        <v>9.7795199999999998</v>
      </c>
      <c r="O439" s="7" t="s">
        <v>613</v>
      </c>
      <c r="P439" s="3"/>
      <c r="Q439" s="3"/>
      <c r="R439" s="3"/>
    </row>
    <row r="440" spans="1:18" x14ac:dyDescent="0.25">
      <c r="A440" s="2">
        <v>596</v>
      </c>
      <c r="B440" s="7" t="s">
        <v>1541</v>
      </c>
      <c r="C440" s="7" t="s">
        <v>1542</v>
      </c>
      <c r="D440" s="7" t="s">
        <v>1541</v>
      </c>
      <c r="E440" s="7" t="s">
        <v>50</v>
      </c>
      <c r="F440" s="7" t="s">
        <v>1543</v>
      </c>
      <c r="G440" s="17" t="s">
        <v>7747</v>
      </c>
      <c r="H440" s="7" t="s">
        <v>28</v>
      </c>
      <c r="I440" s="7" t="s">
        <v>1516</v>
      </c>
      <c r="J440" s="7" t="s">
        <v>53</v>
      </c>
      <c r="K440" s="7" t="s">
        <v>54</v>
      </c>
      <c r="L440" s="7" t="s">
        <v>55</v>
      </c>
      <c r="M440" s="7">
        <v>4.0913750000000002</v>
      </c>
      <c r="N440" s="7">
        <v>9.8086929999999999</v>
      </c>
      <c r="O440" s="7" t="s">
        <v>23</v>
      </c>
      <c r="P440" s="3"/>
      <c r="Q440" s="3"/>
      <c r="R440" s="3"/>
    </row>
    <row r="441" spans="1:18" x14ac:dyDescent="0.25">
      <c r="A441" s="2">
        <v>597</v>
      </c>
      <c r="B441" s="7" t="s">
        <v>1547</v>
      </c>
      <c r="C441" s="7" t="s">
        <v>1548</v>
      </c>
      <c r="D441" s="7" t="s">
        <v>1547</v>
      </c>
      <c r="E441" s="7" t="s">
        <v>50</v>
      </c>
      <c r="F441" s="7" t="s">
        <v>1549</v>
      </c>
      <c r="G441" s="17" t="s">
        <v>7747</v>
      </c>
      <c r="H441" s="7" t="s">
        <v>19</v>
      </c>
      <c r="I441" s="7" t="s">
        <v>1516</v>
      </c>
      <c r="J441" s="7" t="s">
        <v>53</v>
      </c>
      <c r="K441" s="7" t="s">
        <v>54</v>
      </c>
      <c r="L441" s="7" t="s">
        <v>55</v>
      </c>
      <c r="M441" s="7">
        <v>4.0534999999999997</v>
      </c>
      <c r="N441" s="7">
        <v>9.7788299999999992</v>
      </c>
      <c r="O441" s="7" t="s">
        <v>23</v>
      </c>
      <c r="P441" s="3"/>
      <c r="Q441" s="3"/>
      <c r="R441" s="3"/>
    </row>
    <row r="442" spans="1:18" x14ac:dyDescent="0.25">
      <c r="A442" s="2">
        <v>598</v>
      </c>
      <c r="B442" s="7" t="s">
        <v>1554</v>
      </c>
      <c r="C442" s="7" t="s">
        <v>1555</v>
      </c>
      <c r="D442" s="7" t="s">
        <v>1554</v>
      </c>
      <c r="E442" s="7" t="s">
        <v>50</v>
      </c>
      <c r="F442" s="7" t="s">
        <v>1556</v>
      </c>
      <c r="G442" s="17" t="s">
        <v>7747</v>
      </c>
      <c r="H442" s="7" t="s">
        <v>28</v>
      </c>
      <c r="I442" s="7" t="s">
        <v>1516</v>
      </c>
      <c r="J442" s="7" t="s">
        <v>53</v>
      </c>
      <c r="K442" s="7" t="s">
        <v>612</v>
      </c>
      <c r="L442" s="7" t="s">
        <v>55</v>
      </c>
      <c r="M442" s="7">
        <v>4.0803700000000003</v>
      </c>
      <c r="N442" s="7">
        <v>9.7886900000000008</v>
      </c>
      <c r="O442" s="7" t="s">
        <v>613</v>
      </c>
      <c r="P442" s="3"/>
      <c r="Q442" s="3"/>
      <c r="R442" s="3"/>
    </row>
    <row r="443" spans="1:18" x14ac:dyDescent="0.25">
      <c r="A443" s="2">
        <v>599</v>
      </c>
      <c r="B443" s="7" t="s">
        <v>1572</v>
      </c>
      <c r="C443" s="7" t="s">
        <v>1573</v>
      </c>
      <c r="D443" s="7" t="s">
        <v>1572</v>
      </c>
      <c r="E443" s="7" t="s">
        <v>50</v>
      </c>
      <c r="F443" s="7" t="s">
        <v>1574</v>
      </c>
      <c r="G443" s="17" t="s">
        <v>7747</v>
      </c>
      <c r="H443" s="7" t="s">
        <v>19</v>
      </c>
      <c r="I443" s="7" t="s">
        <v>1575</v>
      </c>
      <c r="J443" s="7" t="s">
        <v>53</v>
      </c>
      <c r="K443" s="7" t="s">
        <v>54</v>
      </c>
      <c r="L443" s="7" t="s">
        <v>55</v>
      </c>
      <c r="M443" s="7">
        <v>4.0232950000000001</v>
      </c>
      <c r="N443" s="7">
        <v>9.74831</v>
      </c>
      <c r="O443" s="7" t="s">
        <v>23</v>
      </c>
      <c r="P443" s="3"/>
      <c r="Q443" s="3"/>
      <c r="R443" s="3"/>
    </row>
    <row r="444" spans="1:18" x14ac:dyDescent="0.25">
      <c r="A444" s="2">
        <v>600</v>
      </c>
      <c r="B444" s="7" t="s">
        <v>1576</v>
      </c>
      <c r="C444" s="7" t="s">
        <v>1577</v>
      </c>
      <c r="D444" s="7" t="s">
        <v>1576</v>
      </c>
      <c r="E444" s="7" t="s">
        <v>50</v>
      </c>
      <c r="F444" s="7" t="s">
        <v>1578</v>
      </c>
      <c r="G444" s="17" t="s">
        <v>7747</v>
      </c>
      <c r="H444" s="7" t="s">
        <v>19</v>
      </c>
      <c r="I444" s="7" t="s">
        <v>1575</v>
      </c>
      <c r="J444" s="7" t="s">
        <v>53</v>
      </c>
      <c r="K444" s="7" t="s">
        <v>54</v>
      </c>
      <c r="L444" s="7" t="s">
        <v>55</v>
      </c>
      <c r="M444" s="7">
        <v>4.0175099999999997</v>
      </c>
      <c r="N444" s="7">
        <v>9.7346520000000005</v>
      </c>
      <c r="O444" s="7" t="s">
        <v>613</v>
      </c>
      <c r="P444" s="3"/>
      <c r="Q444" s="3"/>
      <c r="R444" s="3"/>
    </row>
    <row r="445" spans="1:18" x14ac:dyDescent="0.25">
      <c r="A445" s="2">
        <v>601</v>
      </c>
      <c r="B445" s="7" t="s">
        <v>1585</v>
      </c>
      <c r="C445" s="7" t="s">
        <v>1586</v>
      </c>
      <c r="D445" s="7" t="s">
        <v>1585</v>
      </c>
      <c r="E445" s="7" t="s">
        <v>50</v>
      </c>
      <c r="F445" s="7" t="s">
        <v>1587</v>
      </c>
      <c r="G445" s="17" t="s">
        <v>7747</v>
      </c>
      <c r="H445" s="7" t="s">
        <v>19</v>
      </c>
      <c r="I445" s="7" t="s">
        <v>1516</v>
      </c>
      <c r="J445" s="7" t="s">
        <v>53</v>
      </c>
      <c r="K445" s="7" t="s">
        <v>54</v>
      </c>
      <c r="L445" s="7" t="s">
        <v>55</v>
      </c>
      <c r="M445" s="7">
        <v>4.0658500000000002</v>
      </c>
      <c r="N445" s="7">
        <v>9.7916600000000003</v>
      </c>
      <c r="O445" s="7" t="s">
        <v>23</v>
      </c>
      <c r="P445" s="3"/>
      <c r="Q445" s="3"/>
      <c r="R445" s="3"/>
    </row>
    <row r="446" spans="1:18" x14ac:dyDescent="0.25">
      <c r="A446" s="2">
        <v>602</v>
      </c>
      <c r="B446" s="7" t="s">
        <v>1588</v>
      </c>
      <c r="C446" s="7" t="s">
        <v>1589</v>
      </c>
      <c r="D446" s="7" t="s">
        <v>1588</v>
      </c>
      <c r="E446" s="7" t="s">
        <v>50</v>
      </c>
      <c r="F446" s="7" t="s">
        <v>1590</v>
      </c>
      <c r="G446" s="17" t="s">
        <v>7747</v>
      </c>
      <c r="H446" s="7" t="s">
        <v>28</v>
      </c>
      <c r="I446" s="7" t="s">
        <v>1516</v>
      </c>
      <c r="J446" s="7" t="s">
        <v>53</v>
      </c>
      <c r="K446" s="7" t="s">
        <v>612</v>
      </c>
      <c r="L446" s="7" t="s">
        <v>55</v>
      </c>
      <c r="M446" s="7">
        <v>4.0822000000000003</v>
      </c>
      <c r="N446" s="7">
        <v>9.7861999999999991</v>
      </c>
      <c r="O446" s="7" t="s">
        <v>23</v>
      </c>
      <c r="P446" s="3"/>
      <c r="Q446" s="3"/>
      <c r="R446" s="3"/>
    </row>
    <row r="447" spans="1:18" x14ac:dyDescent="0.25">
      <c r="A447" s="2">
        <v>603</v>
      </c>
      <c r="B447" s="7" t="s">
        <v>1591</v>
      </c>
      <c r="C447" s="7" t="s">
        <v>1592</v>
      </c>
      <c r="D447" s="7" t="s">
        <v>1591</v>
      </c>
      <c r="E447" s="7" t="s">
        <v>50</v>
      </c>
      <c r="F447" s="7" t="s">
        <v>1593</v>
      </c>
      <c r="G447" s="17" t="s">
        <v>7747</v>
      </c>
      <c r="H447" s="7" t="s">
        <v>19</v>
      </c>
      <c r="I447" s="7" t="s">
        <v>1329</v>
      </c>
      <c r="J447" s="7" t="s">
        <v>53</v>
      </c>
      <c r="K447" s="7" t="s">
        <v>628</v>
      </c>
      <c r="L447" s="7" t="s">
        <v>55</v>
      </c>
      <c r="M447" s="7">
        <v>4.026141</v>
      </c>
      <c r="N447" s="7">
        <v>9.7454809999999998</v>
      </c>
      <c r="O447" s="7" t="s">
        <v>23</v>
      </c>
      <c r="P447" s="3"/>
      <c r="Q447" s="3"/>
      <c r="R447" s="3"/>
    </row>
    <row r="448" spans="1:18" x14ac:dyDescent="0.25">
      <c r="A448" s="2">
        <v>604</v>
      </c>
      <c r="B448" s="7" t="s">
        <v>1616</v>
      </c>
      <c r="C448" s="7" t="s">
        <v>1617</v>
      </c>
      <c r="D448" s="7" t="s">
        <v>1616</v>
      </c>
      <c r="E448" s="7" t="s">
        <v>50</v>
      </c>
      <c r="F448" s="7" t="s">
        <v>1618</v>
      </c>
      <c r="G448" s="17" t="s">
        <v>7747</v>
      </c>
      <c r="H448" s="7" t="s">
        <v>28</v>
      </c>
      <c r="I448" s="7" t="s">
        <v>52</v>
      </c>
      <c r="J448" s="7" t="s">
        <v>53</v>
      </c>
      <c r="K448" s="7" t="s">
        <v>54</v>
      </c>
      <c r="L448" s="7" t="s">
        <v>55</v>
      </c>
      <c r="M448" s="7">
        <v>3.9801639999999998</v>
      </c>
      <c r="N448" s="7">
        <v>9.7644059999999993</v>
      </c>
      <c r="O448" s="7" t="s">
        <v>23</v>
      </c>
      <c r="P448" s="3"/>
      <c r="Q448" s="3"/>
      <c r="R448" s="3"/>
    </row>
    <row r="449" spans="1:18" x14ac:dyDescent="0.25">
      <c r="A449" s="2">
        <v>605</v>
      </c>
      <c r="B449" s="7" t="s">
        <v>1659</v>
      </c>
      <c r="C449" s="7" t="s">
        <v>1660</v>
      </c>
      <c r="D449" s="7" t="s">
        <v>1659</v>
      </c>
      <c r="E449" s="7" t="s">
        <v>50</v>
      </c>
      <c r="F449" s="7" t="s">
        <v>1661</v>
      </c>
      <c r="G449" s="17" t="s">
        <v>7747</v>
      </c>
      <c r="H449" s="7" t="s">
        <v>19</v>
      </c>
      <c r="I449" s="7" t="s">
        <v>1471</v>
      </c>
      <c r="J449" s="7" t="s">
        <v>53</v>
      </c>
      <c r="K449" s="7" t="s">
        <v>612</v>
      </c>
      <c r="L449" s="7" t="s">
        <v>55</v>
      </c>
      <c r="M449" s="7">
        <v>4.0824689999999997</v>
      </c>
      <c r="N449" s="7">
        <v>9.7199720000000003</v>
      </c>
      <c r="O449" s="7" t="s">
        <v>613</v>
      </c>
      <c r="P449" s="3"/>
      <c r="Q449" s="3"/>
      <c r="R449" s="3"/>
    </row>
    <row r="450" spans="1:18" x14ac:dyDescent="0.25">
      <c r="A450" s="2">
        <v>606</v>
      </c>
      <c r="B450" s="7" t="s">
        <v>1662</v>
      </c>
      <c r="C450" s="7" t="s">
        <v>1663</v>
      </c>
      <c r="D450" s="7" t="s">
        <v>1662</v>
      </c>
      <c r="E450" s="7" t="s">
        <v>50</v>
      </c>
      <c r="F450" s="7" t="s">
        <v>1664</v>
      </c>
      <c r="G450" s="17" t="s">
        <v>7747</v>
      </c>
      <c r="H450" s="7" t="s">
        <v>28</v>
      </c>
      <c r="I450" s="7" t="s">
        <v>1471</v>
      </c>
      <c r="J450" s="7" t="s">
        <v>53</v>
      </c>
      <c r="K450" s="7" t="s">
        <v>612</v>
      </c>
      <c r="L450" s="7" t="s">
        <v>55</v>
      </c>
      <c r="M450" s="7">
        <v>4.0657899999999998</v>
      </c>
      <c r="N450" s="7">
        <v>9.7326099999999993</v>
      </c>
      <c r="O450" s="7" t="s">
        <v>613</v>
      </c>
      <c r="P450" s="3"/>
      <c r="Q450" s="3"/>
      <c r="R450" s="3"/>
    </row>
    <row r="451" spans="1:18" x14ac:dyDescent="0.25">
      <c r="A451" s="2">
        <v>607</v>
      </c>
      <c r="B451" s="7" t="s">
        <v>1689</v>
      </c>
      <c r="C451" s="7" t="s">
        <v>1690</v>
      </c>
      <c r="D451" s="7" t="s">
        <v>1689</v>
      </c>
      <c r="E451" s="7" t="s">
        <v>50</v>
      </c>
      <c r="F451" s="7" t="s">
        <v>1691</v>
      </c>
      <c r="G451" s="17" t="s">
        <v>7747</v>
      </c>
      <c r="H451" s="7" t="s">
        <v>28</v>
      </c>
      <c r="I451" s="7" t="s">
        <v>1403</v>
      </c>
      <c r="J451" s="7" t="s">
        <v>53</v>
      </c>
      <c r="K451" s="7" t="s">
        <v>1404</v>
      </c>
      <c r="L451" s="7" t="s">
        <v>55</v>
      </c>
      <c r="M451" s="7">
        <v>4.0268969999999999</v>
      </c>
      <c r="N451" s="7">
        <v>9.7017299999999995</v>
      </c>
      <c r="O451" s="7" t="s">
        <v>613</v>
      </c>
      <c r="P451" s="3"/>
      <c r="Q451" s="3"/>
      <c r="R451" s="3"/>
    </row>
    <row r="452" spans="1:18" x14ac:dyDescent="0.25">
      <c r="A452" s="2">
        <v>608</v>
      </c>
      <c r="B452" s="7" t="s">
        <v>1718</v>
      </c>
      <c r="C452" s="7" t="s">
        <v>1719</v>
      </c>
      <c r="D452" s="7" t="s">
        <v>1718</v>
      </c>
      <c r="E452" s="7" t="s">
        <v>34</v>
      </c>
      <c r="F452" s="7" t="s">
        <v>1720</v>
      </c>
      <c r="G452" s="17" t="s">
        <v>7747</v>
      </c>
      <c r="H452" s="7" t="s">
        <v>28</v>
      </c>
      <c r="I452" s="7" t="s">
        <v>356</v>
      </c>
      <c r="J452" s="7" t="s">
        <v>152</v>
      </c>
      <c r="K452" s="7" t="s">
        <v>1721</v>
      </c>
      <c r="L452" s="7" t="s">
        <v>55</v>
      </c>
      <c r="M452" s="7">
        <v>4.1792220000000002</v>
      </c>
      <c r="N452" s="7">
        <v>9.6555560000000007</v>
      </c>
      <c r="O452" s="7" t="s">
        <v>23</v>
      </c>
      <c r="P452" s="3"/>
      <c r="Q452" s="3"/>
      <c r="R452" s="3"/>
    </row>
    <row r="453" spans="1:18" x14ac:dyDescent="0.25">
      <c r="A453" s="2">
        <v>609</v>
      </c>
      <c r="B453" s="7" t="s">
        <v>1731</v>
      </c>
      <c r="C453" s="7" t="s">
        <v>1732</v>
      </c>
      <c r="D453" s="7" t="s">
        <v>1731</v>
      </c>
      <c r="E453" s="7" t="s">
        <v>50</v>
      </c>
      <c r="F453" s="7" t="s">
        <v>1733</v>
      </c>
      <c r="G453" s="17" t="s">
        <v>7747</v>
      </c>
      <c r="H453" s="7" t="s">
        <v>19</v>
      </c>
      <c r="I453" s="7" t="s">
        <v>1403</v>
      </c>
      <c r="J453" s="7" t="s">
        <v>53</v>
      </c>
      <c r="K453" s="7" t="s">
        <v>1404</v>
      </c>
      <c r="L453" s="7" t="s">
        <v>55</v>
      </c>
      <c r="M453" s="7">
        <v>4.0363920000000002</v>
      </c>
      <c r="N453" s="7">
        <v>9.6801779999999997</v>
      </c>
      <c r="O453" s="7" t="s">
        <v>613</v>
      </c>
      <c r="P453" s="3"/>
      <c r="Q453" s="3"/>
      <c r="R453" s="3"/>
    </row>
    <row r="454" spans="1:18" x14ac:dyDescent="0.25">
      <c r="A454" s="2">
        <v>610</v>
      </c>
      <c r="B454" s="7" t="s">
        <v>1734</v>
      </c>
      <c r="C454" s="7" t="s">
        <v>1735</v>
      </c>
      <c r="D454" s="7" t="s">
        <v>1734</v>
      </c>
      <c r="E454" s="7" t="s">
        <v>50</v>
      </c>
      <c r="F454" s="7" t="s">
        <v>1736</v>
      </c>
      <c r="G454" s="17" t="s">
        <v>7747</v>
      </c>
      <c r="H454" s="7" t="s">
        <v>28</v>
      </c>
      <c r="I454" s="7" t="s">
        <v>52</v>
      </c>
      <c r="J454" s="7" t="s">
        <v>53</v>
      </c>
      <c r="K454" s="7" t="s">
        <v>54</v>
      </c>
      <c r="L454" s="7" t="s">
        <v>55</v>
      </c>
      <c r="M454" s="7">
        <v>4.0052779999999997</v>
      </c>
      <c r="N454" s="7">
        <v>9.7941109999999991</v>
      </c>
      <c r="O454" s="7" t="s">
        <v>23</v>
      </c>
      <c r="P454" s="3"/>
      <c r="Q454" s="3"/>
      <c r="R454" s="3"/>
    </row>
    <row r="455" spans="1:18" x14ac:dyDescent="0.25">
      <c r="A455" s="2">
        <v>611</v>
      </c>
      <c r="B455" s="7" t="s">
        <v>1849</v>
      </c>
      <c r="C455" s="7" t="s">
        <v>1850</v>
      </c>
      <c r="D455" s="7" t="s">
        <v>1849</v>
      </c>
      <c r="E455" s="7" t="s">
        <v>50</v>
      </c>
      <c r="F455" s="7" t="s">
        <v>1851</v>
      </c>
      <c r="G455" s="17" t="s">
        <v>7747</v>
      </c>
      <c r="H455" s="7" t="s">
        <v>28</v>
      </c>
      <c r="I455" s="7" t="s">
        <v>1329</v>
      </c>
      <c r="J455" s="7" t="s">
        <v>53</v>
      </c>
      <c r="K455" s="7" t="s">
        <v>54</v>
      </c>
      <c r="L455" s="7" t="s">
        <v>55</v>
      </c>
      <c r="M455" s="7">
        <v>4.0437779999999997</v>
      </c>
      <c r="N455" s="7">
        <v>9.7476389999999995</v>
      </c>
      <c r="O455" s="7" t="s">
        <v>613</v>
      </c>
      <c r="P455" s="3"/>
      <c r="Q455" s="3"/>
      <c r="R455" s="3"/>
    </row>
    <row r="456" spans="1:18" x14ac:dyDescent="0.25">
      <c r="A456" s="2">
        <v>612</v>
      </c>
      <c r="B456" s="7" t="s">
        <v>1852</v>
      </c>
      <c r="C456" s="7" t="s">
        <v>1853</v>
      </c>
      <c r="D456" s="7" t="s">
        <v>1852</v>
      </c>
      <c r="E456" s="7" t="s">
        <v>50</v>
      </c>
      <c r="F456" s="7" t="s">
        <v>1854</v>
      </c>
      <c r="G456" s="17" t="s">
        <v>7747</v>
      </c>
      <c r="H456" s="7" t="s">
        <v>19</v>
      </c>
      <c r="I456" s="7" t="s">
        <v>1329</v>
      </c>
      <c r="J456" s="7" t="s">
        <v>53</v>
      </c>
      <c r="K456" s="7" t="s">
        <v>628</v>
      </c>
      <c r="L456" s="7" t="s">
        <v>55</v>
      </c>
      <c r="M456" s="7">
        <v>4.0427989999999996</v>
      </c>
      <c r="N456" s="7">
        <v>9.7397200000000002</v>
      </c>
      <c r="O456" s="7" t="s">
        <v>613</v>
      </c>
      <c r="P456" s="3"/>
      <c r="Q456" s="3"/>
      <c r="R456" s="3"/>
    </row>
    <row r="457" spans="1:18" x14ac:dyDescent="0.25">
      <c r="A457" s="2">
        <v>613</v>
      </c>
      <c r="B457" s="7" t="s">
        <v>1955</v>
      </c>
      <c r="C457" s="7" t="s">
        <v>1956</v>
      </c>
      <c r="D457" s="7" t="s">
        <v>1955</v>
      </c>
      <c r="E457" s="7" t="s">
        <v>50</v>
      </c>
      <c r="F457" s="7" t="s">
        <v>1957</v>
      </c>
      <c r="G457" s="17" t="s">
        <v>7747</v>
      </c>
      <c r="H457" s="7" t="s">
        <v>28</v>
      </c>
      <c r="I457" s="7" t="s">
        <v>1958</v>
      </c>
      <c r="J457" s="7" t="s">
        <v>53</v>
      </c>
      <c r="K457" s="7" t="s">
        <v>1404</v>
      </c>
      <c r="L457" s="7" t="s">
        <v>55</v>
      </c>
      <c r="M457" s="7">
        <v>4.0680500000000004</v>
      </c>
      <c r="N457" s="7">
        <v>9.7100200000000001</v>
      </c>
      <c r="O457" s="7" t="s">
        <v>613</v>
      </c>
      <c r="P457" s="3"/>
      <c r="Q457" s="3"/>
      <c r="R457" s="3"/>
    </row>
    <row r="458" spans="1:18" x14ac:dyDescent="0.25">
      <c r="A458" s="2">
        <v>614</v>
      </c>
      <c r="B458" s="7" t="s">
        <v>1973</v>
      </c>
      <c r="C458" s="7" t="s">
        <v>1974</v>
      </c>
      <c r="D458" s="7" t="s">
        <v>1973</v>
      </c>
      <c r="E458" s="7" t="s">
        <v>50</v>
      </c>
      <c r="F458" s="7" t="s">
        <v>1975</v>
      </c>
      <c r="G458" s="17" t="s">
        <v>7747</v>
      </c>
      <c r="H458" s="7" t="s">
        <v>28</v>
      </c>
      <c r="I458" s="7" t="s">
        <v>627</v>
      </c>
      <c r="J458" s="7" t="s">
        <v>53</v>
      </c>
      <c r="K458" s="7" t="s">
        <v>1404</v>
      </c>
      <c r="L458" s="7" t="s">
        <v>55</v>
      </c>
      <c r="M458" s="7">
        <v>4.0716390000000002</v>
      </c>
      <c r="N458" s="7">
        <v>9.6979170000000003</v>
      </c>
      <c r="O458" s="7" t="s">
        <v>23</v>
      </c>
      <c r="P458" s="3"/>
      <c r="Q458" s="3"/>
      <c r="R458" s="3"/>
    </row>
    <row r="459" spans="1:18" x14ac:dyDescent="0.25">
      <c r="A459" s="2">
        <v>615</v>
      </c>
      <c r="B459" s="7" t="s">
        <v>2006</v>
      </c>
      <c r="C459" s="7" t="s">
        <v>2007</v>
      </c>
      <c r="D459" s="7" t="s">
        <v>2006</v>
      </c>
      <c r="E459" s="7" t="s">
        <v>50</v>
      </c>
      <c r="F459" s="7" t="s">
        <v>2008</v>
      </c>
      <c r="G459" s="17" t="s">
        <v>7747</v>
      </c>
      <c r="H459" s="7" t="s">
        <v>28</v>
      </c>
      <c r="I459" s="7" t="s">
        <v>52</v>
      </c>
      <c r="J459" s="7" t="s">
        <v>53</v>
      </c>
      <c r="K459" s="7" t="s">
        <v>54</v>
      </c>
      <c r="L459" s="7" t="s">
        <v>55</v>
      </c>
      <c r="M459" s="7">
        <v>4.019889</v>
      </c>
      <c r="N459" s="7">
        <v>9.8055830000000004</v>
      </c>
      <c r="O459" s="7" t="s">
        <v>23</v>
      </c>
      <c r="P459" s="3"/>
      <c r="Q459" s="3"/>
      <c r="R459" s="3"/>
    </row>
    <row r="460" spans="1:18" x14ac:dyDescent="0.25">
      <c r="A460" s="2">
        <v>616</v>
      </c>
      <c r="B460" s="7" t="s">
        <v>2021</v>
      </c>
      <c r="C460" s="7" t="s">
        <v>2022</v>
      </c>
      <c r="D460" s="7" t="s">
        <v>2021</v>
      </c>
      <c r="E460" s="7" t="s">
        <v>50</v>
      </c>
      <c r="F460" s="7" t="s">
        <v>2023</v>
      </c>
      <c r="G460" s="17" t="s">
        <v>7747</v>
      </c>
      <c r="H460" s="7" t="s">
        <v>19</v>
      </c>
      <c r="I460" s="7" t="s">
        <v>2024</v>
      </c>
      <c r="J460" s="7" t="s">
        <v>53</v>
      </c>
      <c r="K460" s="7" t="s">
        <v>54</v>
      </c>
      <c r="L460" s="7" t="s">
        <v>55</v>
      </c>
      <c r="M460" s="7">
        <v>4.0328390000000001</v>
      </c>
      <c r="N460" s="7">
        <v>9.7344069999999991</v>
      </c>
      <c r="O460" s="7" t="s">
        <v>23</v>
      </c>
      <c r="P460" s="3"/>
      <c r="Q460" s="3"/>
      <c r="R460" s="3"/>
    </row>
    <row r="461" spans="1:18" x14ac:dyDescent="0.25">
      <c r="A461" s="2">
        <v>617</v>
      </c>
      <c r="B461" s="7" t="s">
        <v>2167</v>
      </c>
      <c r="C461" s="7" t="s">
        <v>2168</v>
      </c>
      <c r="D461" s="7" t="s">
        <v>2167</v>
      </c>
      <c r="E461" s="7" t="s">
        <v>34</v>
      </c>
      <c r="F461" s="7" t="s">
        <v>2169</v>
      </c>
      <c r="G461" s="17" t="s">
        <v>7747</v>
      </c>
      <c r="H461" s="7" t="s">
        <v>19</v>
      </c>
      <c r="I461" s="7" t="s">
        <v>356</v>
      </c>
      <c r="J461" s="7" t="s">
        <v>152</v>
      </c>
      <c r="K461" s="7" t="s">
        <v>1721</v>
      </c>
      <c r="L461" s="7" t="s">
        <v>55</v>
      </c>
      <c r="M461" s="7">
        <v>4.1094949999999999</v>
      </c>
      <c r="N461" s="7">
        <v>9.5713849999999994</v>
      </c>
      <c r="O461" s="7" t="s">
        <v>23</v>
      </c>
      <c r="P461" s="3"/>
      <c r="Q461" s="3"/>
      <c r="R461" s="3"/>
    </row>
    <row r="462" spans="1:18" x14ac:dyDescent="0.25">
      <c r="A462" s="2">
        <v>618</v>
      </c>
      <c r="B462" s="7" t="s">
        <v>2197</v>
      </c>
      <c r="C462" s="7" t="s">
        <v>2198</v>
      </c>
      <c r="D462" s="7" t="s">
        <v>2197</v>
      </c>
      <c r="E462" s="7" t="s">
        <v>50</v>
      </c>
      <c r="F462" s="7" t="s">
        <v>2199</v>
      </c>
      <c r="G462" s="17" t="s">
        <v>7747</v>
      </c>
      <c r="H462" s="7" t="s">
        <v>19</v>
      </c>
      <c r="I462" s="7" t="s">
        <v>960</v>
      </c>
      <c r="J462" s="7" t="s">
        <v>53</v>
      </c>
      <c r="K462" s="7" t="s">
        <v>628</v>
      </c>
      <c r="L462" s="7" t="s">
        <v>55</v>
      </c>
      <c r="M462" s="7">
        <v>4.1037929999999996</v>
      </c>
      <c r="N462" s="7">
        <v>9.6256769999999996</v>
      </c>
      <c r="O462" s="7" t="s">
        <v>23</v>
      </c>
      <c r="P462" s="3"/>
      <c r="Q462" s="3"/>
      <c r="R462" s="3"/>
    </row>
    <row r="463" spans="1:18" x14ac:dyDescent="0.25">
      <c r="A463" s="2">
        <v>619</v>
      </c>
      <c r="B463" s="7" t="s">
        <v>2200</v>
      </c>
      <c r="C463" s="7" t="s">
        <v>2201</v>
      </c>
      <c r="D463" s="7" t="s">
        <v>2200</v>
      </c>
      <c r="E463" s="7" t="s">
        <v>50</v>
      </c>
      <c r="F463" s="7" t="s">
        <v>2202</v>
      </c>
      <c r="G463" s="17" t="s">
        <v>7747</v>
      </c>
      <c r="H463" s="7" t="s">
        <v>19</v>
      </c>
      <c r="I463" s="7" t="s">
        <v>960</v>
      </c>
      <c r="J463" s="7" t="s">
        <v>53</v>
      </c>
      <c r="K463" s="7" t="s">
        <v>628</v>
      </c>
      <c r="L463" s="7" t="s">
        <v>55</v>
      </c>
      <c r="M463" s="7">
        <v>4.0961109999999996</v>
      </c>
      <c r="N463" s="7">
        <v>9.6540280000000003</v>
      </c>
      <c r="O463" s="7" t="s">
        <v>613</v>
      </c>
      <c r="P463" s="3"/>
      <c r="Q463" s="3"/>
      <c r="R463" s="3"/>
    </row>
    <row r="464" spans="1:18" x14ac:dyDescent="0.25">
      <c r="A464" s="2">
        <v>620</v>
      </c>
      <c r="B464" s="7" t="s">
        <v>2210</v>
      </c>
      <c r="C464" s="7" t="s">
        <v>2211</v>
      </c>
      <c r="D464" s="7" t="s">
        <v>2210</v>
      </c>
      <c r="E464" s="7" t="s">
        <v>50</v>
      </c>
      <c r="F464" s="7" t="s">
        <v>2212</v>
      </c>
      <c r="G464" s="17" t="s">
        <v>7747</v>
      </c>
      <c r="H464" s="7" t="s">
        <v>19</v>
      </c>
      <c r="I464" s="7" t="s">
        <v>1958</v>
      </c>
      <c r="J464" s="7" t="s">
        <v>53</v>
      </c>
      <c r="K464" s="7" t="s">
        <v>2213</v>
      </c>
      <c r="L464" s="7" t="s">
        <v>55</v>
      </c>
      <c r="M464" s="7">
        <v>4.0485629999999997</v>
      </c>
      <c r="N464" s="7">
        <v>9.7009229999999995</v>
      </c>
      <c r="O464" s="7" t="s">
        <v>613</v>
      </c>
      <c r="P464" s="3"/>
      <c r="Q464" s="3"/>
      <c r="R464" s="3"/>
    </row>
    <row r="465" spans="1:18" x14ac:dyDescent="0.25">
      <c r="A465" s="2">
        <v>621</v>
      </c>
      <c r="B465" s="7" t="s">
        <v>2218</v>
      </c>
      <c r="C465" s="7" t="s">
        <v>2219</v>
      </c>
      <c r="D465" s="7" t="s">
        <v>2218</v>
      </c>
      <c r="E465" s="7" t="s">
        <v>50</v>
      </c>
      <c r="F465" s="7" t="s">
        <v>2220</v>
      </c>
      <c r="G465" s="17" t="s">
        <v>7747</v>
      </c>
      <c r="H465" s="7" t="s">
        <v>19</v>
      </c>
      <c r="I465" s="7" t="s">
        <v>1403</v>
      </c>
      <c r="J465" s="7" t="s">
        <v>53</v>
      </c>
      <c r="K465" s="7" t="s">
        <v>1404</v>
      </c>
      <c r="L465" s="7" t="s">
        <v>55</v>
      </c>
      <c r="M465" s="7">
        <v>4.0398750000000003</v>
      </c>
      <c r="N465" s="7">
        <v>9.6822820000000007</v>
      </c>
      <c r="O465" s="7" t="s">
        <v>23</v>
      </c>
      <c r="P465" s="3"/>
      <c r="Q465" s="3"/>
      <c r="R465" s="3"/>
    </row>
    <row r="466" spans="1:18" x14ac:dyDescent="0.25">
      <c r="A466" s="2">
        <v>622</v>
      </c>
      <c r="B466" s="7" t="s">
        <v>2221</v>
      </c>
      <c r="C466" s="7" t="s">
        <v>2222</v>
      </c>
      <c r="D466" s="7" t="s">
        <v>2221</v>
      </c>
      <c r="E466" s="7" t="s">
        <v>50</v>
      </c>
      <c r="F466" s="7" t="s">
        <v>2223</v>
      </c>
      <c r="G466" s="17" t="s">
        <v>7747</v>
      </c>
      <c r="H466" s="7" t="s">
        <v>19</v>
      </c>
      <c r="I466" s="7" t="s">
        <v>52</v>
      </c>
      <c r="J466" s="7" t="s">
        <v>53</v>
      </c>
      <c r="K466" s="7" t="s">
        <v>54</v>
      </c>
      <c r="L466" s="7" t="s">
        <v>55</v>
      </c>
      <c r="M466" s="7">
        <v>4.0105000000000004</v>
      </c>
      <c r="N466" s="7">
        <v>9.7677189999999996</v>
      </c>
      <c r="O466" s="7" t="s">
        <v>23</v>
      </c>
      <c r="P466" s="3"/>
      <c r="Q466" s="3"/>
      <c r="R466" s="3"/>
    </row>
    <row r="467" spans="1:18" x14ac:dyDescent="0.25">
      <c r="A467" s="2">
        <v>623</v>
      </c>
      <c r="B467" s="7" t="s">
        <v>2224</v>
      </c>
      <c r="C467" s="7" t="s">
        <v>2225</v>
      </c>
      <c r="D467" s="7" t="s">
        <v>2224</v>
      </c>
      <c r="E467" s="7" t="s">
        <v>50</v>
      </c>
      <c r="F467" s="7" t="s">
        <v>2226</v>
      </c>
      <c r="G467" s="17" t="s">
        <v>7747</v>
      </c>
      <c r="H467" s="7" t="s">
        <v>19</v>
      </c>
      <c r="I467" s="7" t="s">
        <v>52</v>
      </c>
      <c r="J467" s="7" t="s">
        <v>53</v>
      </c>
      <c r="K467" s="7" t="s">
        <v>54</v>
      </c>
      <c r="L467" s="7" t="s">
        <v>55</v>
      </c>
      <c r="M467" s="7">
        <v>4.0021000000000004</v>
      </c>
      <c r="N467" s="7">
        <v>9.7674099999999999</v>
      </c>
      <c r="O467" s="7" t="s">
        <v>23</v>
      </c>
      <c r="P467" s="3"/>
      <c r="Q467" s="3"/>
      <c r="R467" s="3"/>
    </row>
    <row r="468" spans="1:18" x14ac:dyDescent="0.25">
      <c r="A468" s="2">
        <v>624</v>
      </c>
      <c r="B468" s="7" t="s">
        <v>2263</v>
      </c>
      <c r="C468" s="7" t="s">
        <v>2264</v>
      </c>
      <c r="D468" s="7" t="s">
        <v>2263</v>
      </c>
      <c r="E468" s="7" t="s">
        <v>50</v>
      </c>
      <c r="F468" s="7" t="s">
        <v>2265</v>
      </c>
      <c r="G468" s="17" t="s">
        <v>7747</v>
      </c>
      <c r="H468" s="7" t="s">
        <v>28</v>
      </c>
      <c r="I468" s="7" t="s">
        <v>960</v>
      </c>
      <c r="J468" s="7" t="s">
        <v>53</v>
      </c>
      <c r="K468" s="7" t="s">
        <v>628</v>
      </c>
      <c r="L468" s="7" t="s">
        <v>55</v>
      </c>
      <c r="M468" s="7">
        <v>4.0863719999999999</v>
      </c>
      <c r="N468" s="7">
        <v>9.6548499999999997</v>
      </c>
      <c r="O468" s="7" t="s">
        <v>613</v>
      </c>
      <c r="P468" s="3"/>
      <c r="Q468" s="3"/>
      <c r="R468" s="3"/>
    </row>
    <row r="469" spans="1:18" x14ac:dyDescent="0.25">
      <c r="A469" s="2">
        <v>625</v>
      </c>
      <c r="B469" s="7" t="s">
        <v>2303</v>
      </c>
      <c r="C469" s="7" t="s">
        <v>2304</v>
      </c>
      <c r="D469" s="7" t="s">
        <v>2303</v>
      </c>
      <c r="E469" s="7" t="s">
        <v>50</v>
      </c>
      <c r="F469" s="7" t="s">
        <v>2305</v>
      </c>
      <c r="G469" s="17" t="s">
        <v>7747</v>
      </c>
      <c r="H469" s="7" t="s">
        <v>19</v>
      </c>
      <c r="I469" s="7" t="s">
        <v>1403</v>
      </c>
      <c r="J469" s="7" t="s">
        <v>53</v>
      </c>
      <c r="K469" s="7" t="s">
        <v>2213</v>
      </c>
      <c r="L469" s="7" t="s">
        <v>55</v>
      </c>
      <c r="M469" s="7">
        <v>4.0290160000000004</v>
      </c>
      <c r="N469" s="7">
        <v>9.7019990000000007</v>
      </c>
      <c r="O469" s="7" t="s">
        <v>613</v>
      </c>
      <c r="P469" s="3"/>
      <c r="Q469" s="3"/>
      <c r="R469" s="3"/>
    </row>
    <row r="470" spans="1:18" x14ac:dyDescent="0.25">
      <c r="A470" s="2">
        <v>626</v>
      </c>
      <c r="B470" s="7" t="s">
        <v>2306</v>
      </c>
      <c r="C470" s="7" t="s">
        <v>2307</v>
      </c>
      <c r="D470" s="7" t="s">
        <v>2306</v>
      </c>
      <c r="E470" s="7" t="s">
        <v>50</v>
      </c>
      <c r="F470" s="7" t="s">
        <v>2308</v>
      </c>
      <c r="G470" s="17" t="s">
        <v>7747</v>
      </c>
      <c r="H470" s="7" t="s">
        <v>28</v>
      </c>
      <c r="I470" s="7" t="s">
        <v>1471</v>
      </c>
      <c r="J470" s="7" t="s">
        <v>53</v>
      </c>
      <c r="K470" s="7" t="s">
        <v>54</v>
      </c>
      <c r="L470" s="7" t="s">
        <v>55</v>
      </c>
      <c r="M470" s="7">
        <v>4.052028</v>
      </c>
      <c r="N470" s="7">
        <v>9.7413059999999998</v>
      </c>
      <c r="O470" s="7" t="s">
        <v>613</v>
      </c>
      <c r="P470" s="3"/>
      <c r="Q470" s="3"/>
      <c r="R470" s="3"/>
    </row>
    <row r="471" spans="1:18" x14ac:dyDescent="0.25">
      <c r="A471" s="2">
        <v>627</v>
      </c>
      <c r="B471" s="7" t="s">
        <v>2316</v>
      </c>
      <c r="C471" s="7" t="s">
        <v>2317</v>
      </c>
      <c r="D471" s="7" t="s">
        <v>2316</v>
      </c>
      <c r="E471" s="7" t="s">
        <v>50</v>
      </c>
      <c r="F471" s="7" t="s">
        <v>2318</v>
      </c>
      <c r="G471" s="17" t="s">
        <v>7747</v>
      </c>
      <c r="H471" s="7" t="s">
        <v>19</v>
      </c>
      <c r="I471" s="7" t="s">
        <v>1403</v>
      </c>
      <c r="J471" s="7" t="s">
        <v>53</v>
      </c>
      <c r="K471" s="7" t="s">
        <v>1404</v>
      </c>
      <c r="L471" s="7" t="s">
        <v>55</v>
      </c>
      <c r="M471" s="7">
        <v>4.0414250000000003</v>
      </c>
      <c r="N471" s="7">
        <v>9.6864129999999999</v>
      </c>
      <c r="O471" s="7" t="s">
        <v>613</v>
      </c>
      <c r="P471" s="3"/>
      <c r="Q471" s="3"/>
      <c r="R471" s="3"/>
    </row>
    <row r="472" spans="1:18" x14ac:dyDescent="0.25">
      <c r="A472" s="2">
        <v>628</v>
      </c>
      <c r="B472" s="7" t="s">
        <v>2334</v>
      </c>
      <c r="C472" s="7" t="s">
        <v>2335</v>
      </c>
      <c r="D472" s="7" t="s">
        <v>2334</v>
      </c>
      <c r="E472" s="7" t="s">
        <v>50</v>
      </c>
      <c r="F472" s="7" t="s">
        <v>2336</v>
      </c>
      <c r="G472" s="17" t="s">
        <v>7747</v>
      </c>
      <c r="H472" s="7" t="s">
        <v>19</v>
      </c>
      <c r="I472" s="7" t="s">
        <v>627</v>
      </c>
      <c r="J472" s="7" t="s">
        <v>53</v>
      </c>
      <c r="K472" s="7" t="s">
        <v>628</v>
      </c>
      <c r="L472" s="7" t="s">
        <v>55</v>
      </c>
      <c r="M472" s="7">
        <v>4.0920829999999997</v>
      </c>
      <c r="N472" s="7">
        <v>9.6622219999999999</v>
      </c>
      <c r="O472" s="7" t="s">
        <v>23</v>
      </c>
      <c r="P472" s="3"/>
      <c r="Q472" s="3"/>
      <c r="R472" s="3"/>
    </row>
    <row r="473" spans="1:18" x14ac:dyDescent="0.25">
      <c r="A473" s="2">
        <v>629</v>
      </c>
      <c r="B473" s="7" t="s">
        <v>2346</v>
      </c>
      <c r="C473" s="7" t="s">
        <v>2347</v>
      </c>
      <c r="D473" s="7" t="s">
        <v>2346</v>
      </c>
      <c r="E473" s="7" t="s">
        <v>50</v>
      </c>
      <c r="F473" s="7" t="s">
        <v>2348</v>
      </c>
      <c r="G473" s="17" t="s">
        <v>7747</v>
      </c>
      <c r="H473" s="7" t="s">
        <v>19</v>
      </c>
      <c r="I473" s="7" t="s">
        <v>1329</v>
      </c>
      <c r="J473" s="7" t="s">
        <v>53</v>
      </c>
      <c r="K473" s="7" t="s">
        <v>54</v>
      </c>
      <c r="L473" s="7" t="s">
        <v>55</v>
      </c>
      <c r="M473" s="7">
        <v>4.0472780000000004</v>
      </c>
      <c r="N473" s="7">
        <v>9.7314439999999998</v>
      </c>
      <c r="O473" s="7" t="s">
        <v>23</v>
      </c>
      <c r="P473" s="3"/>
      <c r="Q473" s="3"/>
      <c r="R473" s="3"/>
    </row>
    <row r="474" spans="1:18" x14ac:dyDescent="0.25">
      <c r="A474" s="2">
        <v>630</v>
      </c>
      <c r="B474" s="7" t="s">
        <v>2374</v>
      </c>
      <c r="C474" s="7" t="s">
        <v>2375</v>
      </c>
      <c r="D474" s="7" t="s">
        <v>2374</v>
      </c>
      <c r="E474" s="7" t="s">
        <v>50</v>
      </c>
      <c r="F474" s="7" t="s">
        <v>2376</v>
      </c>
      <c r="G474" s="17" t="s">
        <v>7747</v>
      </c>
      <c r="H474" s="7" t="s">
        <v>28</v>
      </c>
      <c r="I474" s="7" t="s">
        <v>2024</v>
      </c>
      <c r="J474" s="7" t="s">
        <v>53</v>
      </c>
      <c r="K474" s="7" t="s">
        <v>2213</v>
      </c>
      <c r="L474" s="7" t="s">
        <v>55</v>
      </c>
      <c r="M474" s="7">
        <v>4.0285700000000002</v>
      </c>
      <c r="N474" s="7">
        <v>9.7150300000000005</v>
      </c>
      <c r="O474" s="7" t="s">
        <v>613</v>
      </c>
      <c r="P474" s="3"/>
      <c r="Q474" s="3"/>
      <c r="R474" s="3"/>
    </row>
    <row r="475" spans="1:18" x14ac:dyDescent="0.25">
      <c r="A475" s="2">
        <v>631</v>
      </c>
      <c r="B475" s="7" t="s">
        <v>2381</v>
      </c>
      <c r="C475" s="7" t="s">
        <v>2382</v>
      </c>
      <c r="D475" s="7" t="s">
        <v>2381</v>
      </c>
      <c r="E475" s="7" t="s">
        <v>50</v>
      </c>
      <c r="F475" s="7" t="s">
        <v>2383</v>
      </c>
      <c r="G475" s="17" t="s">
        <v>7747</v>
      </c>
      <c r="H475" s="7" t="s">
        <v>19</v>
      </c>
      <c r="I475" s="7" t="s">
        <v>2024</v>
      </c>
      <c r="J475" s="7" t="s">
        <v>53</v>
      </c>
      <c r="K475" s="7" t="s">
        <v>54</v>
      </c>
      <c r="L475" s="7" t="s">
        <v>55</v>
      </c>
      <c r="M475" s="7">
        <v>4.0264899999999999</v>
      </c>
      <c r="N475" s="7">
        <v>9.7335499999999993</v>
      </c>
      <c r="O475" s="7" t="s">
        <v>613</v>
      </c>
      <c r="P475" s="3"/>
      <c r="Q475" s="3"/>
      <c r="R475" s="3"/>
    </row>
    <row r="476" spans="1:18" x14ac:dyDescent="0.25">
      <c r="A476" s="2">
        <v>632</v>
      </c>
      <c r="B476" s="7" t="s">
        <v>2385</v>
      </c>
      <c r="C476" s="7" t="s">
        <v>2386</v>
      </c>
      <c r="D476" s="7" t="s">
        <v>2385</v>
      </c>
      <c r="E476" s="7" t="s">
        <v>50</v>
      </c>
      <c r="F476" s="7" t="s">
        <v>2387</v>
      </c>
      <c r="G476" s="17" t="s">
        <v>7747</v>
      </c>
      <c r="H476" s="7" t="s">
        <v>19</v>
      </c>
      <c r="I476" s="7" t="s">
        <v>611</v>
      </c>
      <c r="J476" s="7" t="s">
        <v>53</v>
      </c>
      <c r="K476" s="7" t="s">
        <v>612</v>
      </c>
      <c r="L476" s="7" t="s">
        <v>55</v>
      </c>
      <c r="M476" s="7">
        <v>4.0665399999999998</v>
      </c>
      <c r="N476" s="7">
        <v>9.7397500000000008</v>
      </c>
      <c r="O476" s="7" t="s">
        <v>23</v>
      </c>
      <c r="P476" s="3"/>
      <c r="Q476" s="3"/>
      <c r="R476" s="3"/>
    </row>
    <row r="477" spans="1:18" x14ac:dyDescent="0.25">
      <c r="A477" s="2">
        <v>633</v>
      </c>
      <c r="B477" s="7" t="s">
        <v>2391</v>
      </c>
      <c r="C477" s="7" t="s">
        <v>2392</v>
      </c>
      <c r="D477" s="7" t="s">
        <v>2391</v>
      </c>
      <c r="E477" s="7" t="s">
        <v>50</v>
      </c>
      <c r="F477" s="7" t="s">
        <v>2393</v>
      </c>
      <c r="G477" s="17" t="s">
        <v>7747</v>
      </c>
      <c r="H477" s="7" t="s">
        <v>28</v>
      </c>
      <c r="I477" s="7" t="s">
        <v>1958</v>
      </c>
      <c r="J477" s="7" t="s">
        <v>53</v>
      </c>
      <c r="K477" s="7" t="s">
        <v>1404</v>
      </c>
      <c r="L477" s="7" t="s">
        <v>55</v>
      </c>
      <c r="M477" s="7">
        <v>4.0630559999999996</v>
      </c>
      <c r="N477" s="7">
        <v>9.7130829999999992</v>
      </c>
      <c r="O477" s="7" t="s">
        <v>613</v>
      </c>
      <c r="P477" s="3"/>
      <c r="Q477" s="3"/>
      <c r="R477" s="3"/>
    </row>
    <row r="478" spans="1:18" x14ac:dyDescent="0.25">
      <c r="A478" s="2">
        <v>634</v>
      </c>
      <c r="B478" s="7" t="s">
        <v>2394</v>
      </c>
      <c r="C478" s="7" t="s">
        <v>2395</v>
      </c>
      <c r="D478" s="7" t="s">
        <v>2394</v>
      </c>
      <c r="E478" s="7" t="s">
        <v>50</v>
      </c>
      <c r="F478" s="7" t="s">
        <v>2396</v>
      </c>
      <c r="G478" s="17" t="s">
        <v>7747</v>
      </c>
      <c r="H478" s="7" t="s">
        <v>28</v>
      </c>
      <c r="I478" s="7" t="s">
        <v>52</v>
      </c>
      <c r="J478" s="7" t="s">
        <v>53</v>
      </c>
      <c r="K478" s="7" t="s">
        <v>54</v>
      </c>
      <c r="L478" s="7" t="s">
        <v>55</v>
      </c>
      <c r="M478" s="7">
        <v>3.9928889999999999</v>
      </c>
      <c r="N478" s="7">
        <v>9.7678329999999995</v>
      </c>
      <c r="O478" s="7" t="s">
        <v>613</v>
      </c>
      <c r="P478" s="3"/>
      <c r="Q478" s="3"/>
      <c r="R478" s="3"/>
    </row>
    <row r="479" spans="1:18" x14ac:dyDescent="0.25">
      <c r="A479" s="2">
        <v>635</v>
      </c>
      <c r="B479" s="7" t="s">
        <v>2397</v>
      </c>
      <c r="C479" s="7" t="s">
        <v>2398</v>
      </c>
      <c r="D479" s="7" t="s">
        <v>2397</v>
      </c>
      <c r="E479" s="7" t="s">
        <v>50</v>
      </c>
      <c r="F479" s="7" t="s">
        <v>2383</v>
      </c>
      <c r="G479" s="17" t="s">
        <v>7747</v>
      </c>
      <c r="H479" s="7" t="s">
        <v>28</v>
      </c>
      <c r="I479" s="7" t="s">
        <v>2024</v>
      </c>
      <c r="J479" s="7" t="s">
        <v>53</v>
      </c>
      <c r="K479" s="7" t="s">
        <v>54</v>
      </c>
      <c r="L479" s="7" t="s">
        <v>55</v>
      </c>
      <c r="M479" s="7">
        <v>4.025722</v>
      </c>
      <c r="N479" s="7">
        <v>9.7320949999999993</v>
      </c>
      <c r="O479" s="7" t="s">
        <v>613</v>
      </c>
      <c r="P479" s="3"/>
      <c r="Q479" s="3"/>
      <c r="R479" s="3"/>
    </row>
    <row r="480" spans="1:18" x14ac:dyDescent="0.25">
      <c r="A480" s="2">
        <v>636</v>
      </c>
      <c r="B480" s="7" t="s">
        <v>2402</v>
      </c>
      <c r="C480" s="7" t="s">
        <v>2403</v>
      </c>
      <c r="D480" s="7" t="s">
        <v>2402</v>
      </c>
      <c r="E480" s="7" t="s">
        <v>50</v>
      </c>
      <c r="F480" s="7" t="s">
        <v>2404</v>
      </c>
      <c r="G480" s="17" t="s">
        <v>7747</v>
      </c>
      <c r="H480" s="7" t="s">
        <v>28</v>
      </c>
      <c r="I480" s="7" t="s">
        <v>1471</v>
      </c>
      <c r="J480" s="7" t="s">
        <v>53</v>
      </c>
      <c r="K480" s="7" t="s">
        <v>54</v>
      </c>
      <c r="L480" s="7" t="s">
        <v>55</v>
      </c>
      <c r="M480" s="7">
        <v>4.0476700000000001</v>
      </c>
      <c r="N480" s="7">
        <v>9.74864</v>
      </c>
      <c r="O480" s="7" t="s">
        <v>613</v>
      </c>
      <c r="P480" s="3"/>
      <c r="Q480" s="3"/>
      <c r="R480" s="3"/>
    </row>
    <row r="481" spans="1:18" x14ac:dyDescent="0.25">
      <c r="A481" s="2">
        <v>637</v>
      </c>
      <c r="B481" s="7" t="s">
        <v>2405</v>
      </c>
      <c r="C481" s="7" t="s">
        <v>2406</v>
      </c>
      <c r="D481" s="7" t="s">
        <v>2405</v>
      </c>
      <c r="E481" s="7" t="s">
        <v>50</v>
      </c>
      <c r="F481" s="7" t="s">
        <v>2407</v>
      </c>
      <c r="G481" s="17" t="s">
        <v>7747</v>
      </c>
      <c r="H481" s="7" t="s">
        <v>28</v>
      </c>
      <c r="I481" s="7" t="s">
        <v>2024</v>
      </c>
      <c r="J481" s="7" t="s">
        <v>53</v>
      </c>
      <c r="K481" s="7" t="s">
        <v>1404</v>
      </c>
      <c r="L481" s="7" t="s">
        <v>55</v>
      </c>
      <c r="M481" s="7">
        <v>4.04955</v>
      </c>
      <c r="N481" s="7">
        <v>9.7194800000000008</v>
      </c>
      <c r="O481" s="7" t="s">
        <v>613</v>
      </c>
      <c r="P481" s="3"/>
      <c r="Q481" s="3"/>
      <c r="R481" s="3"/>
    </row>
    <row r="482" spans="1:18" x14ac:dyDescent="0.25">
      <c r="A482" s="2">
        <v>638</v>
      </c>
      <c r="B482" s="7" t="s">
        <v>2408</v>
      </c>
      <c r="C482" s="7" t="s">
        <v>2409</v>
      </c>
      <c r="D482" s="7" t="s">
        <v>2408</v>
      </c>
      <c r="E482" s="7" t="s">
        <v>50</v>
      </c>
      <c r="F482" s="7" t="s">
        <v>2410</v>
      </c>
      <c r="G482" s="17" t="s">
        <v>7747</v>
      </c>
      <c r="H482" s="7" t="s">
        <v>28</v>
      </c>
      <c r="I482" s="7" t="s">
        <v>1471</v>
      </c>
      <c r="J482" s="7" t="s">
        <v>53</v>
      </c>
      <c r="K482" s="7" t="s">
        <v>54</v>
      </c>
      <c r="L482" s="7" t="s">
        <v>55</v>
      </c>
      <c r="M482" s="7">
        <v>4.0542999999999996</v>
      </c>
      <c r="N482" s="7">
        <v>9.7373999999999992</v>
      </c>
      <c r="O482" s="7" t="s">
        <v>613</v>
      </c>
      <c r="P482" s="3"/>
      <c r="Q482" s="3"/>
      <c r="R482" s="3"/>
    </row>
    <row r="483" spans="1:18" x14ac:dyDescent="0.25">
      <c r="A483" s="2">
        <v>639</v>
      </c>
      <c r="B483" s="7" t="s">
        <v>2417</v>
      </c>
      <c r="C483" s="7" t="s">
        <v>2418</v>
      </c>
      <c r="D483" s="7" t="s">
        <v>2417</v>
      </c>
      <c r="E483" s="7" t="s">
        <v>50</v>
      </c>
      <c r="F483" s="7" t="s">
        <v>2419</v>
      </c>
      <c r="G483" s="17" t="s">
        <v>7747</v>
      </c>
      <c r="H483" s="7" t="s">
        <v>28</v>
      </c>
      <c r="I483" s="7" t="s">
        <v>960</v>
      </c>
      <c r="J483" s="7" t="s">
        <v>53</v>
      </c>
      <c r="K483" s="7" t="s">
        <v>628</v>
      </c>
      <c r="L483" s="7" t="s">
        <v>55</v>
      </c>
      <c r="M483" s="7">
        <v>4.0953840000000001</v>
      </c>
      <c r="N483" s="7">
        <v>9.6490650000000002</v>
      </c>
      <c r="O483" s="7" t="s">
        <v>613</v>
      </c>
      <c r="P483" s="3"/>
      <c r="Q483" s="3"/>
      <c r="R483" s="3"/>
    </row>
    <row r="484" spans="1:18" x14ac:dyDescent="0.25">
      <c r="A484" s="2">
        <v>640</v>
      </c>
      <c r="B484" s="7" t="s">
        <v>2420</v>
      </c>
      <c r="C484" s="7" t="s">
        <v>2421</v>
      </c>
      <c r="D484" s="7" t="s">
        <v>2420</v>
      </c>
      <c r="E484" s="7" t="s">
        <v>50</v>
      </c>
      <c r="F484" s="7" t="s">
        <v>2422</v>
      </c>
      <c r="G484" s="17" t="s">
        <v>7747</v>
      </c>
      <c r="H484" s="7" t="s">
        <v>28</v>
      </c>
      <c r="I484" s="7" t="s">
        <v>627</v>
      </c>
      <c r="J484" s="7" t="s">
        <v>53</v>
      </c>
      <c r="K484" s="7" t="s">
        <v>628</v>
      </c>
      <c r="L484" s="7" t="s">
        <v>55</v>
      </c>
      <c r="M484" s="7">
        <v>4.0709439999999999</v>
      </c>
      <c r="N484" s="7">
        <v>9.6656940000000002</v>
      </c>
      <c r="O484" s="7" t="s">
        <v>613</v>
      </c>
      <c r="P484" s="3"/>
      <c r="Q484" s="3"/>
      <c r="R484" s="3"/>
    </row>
    <row r="485" spans="1:18" x14ac:dyDescent="0.25">
      <c r="A485" s="2">
        <v>641</v>
      </c>
      <c r="B485" s="7" t="s">
        <v>2432</v>
      </c>
      <c r="C485" s="7" t="s">
        <v>2433</v>
      </c>
      <c r="D485" s="7" t="s">
        <v>2432</v>
      </c>
      <c r="E485" s="7" t="s">
        <v>50</v>
      </c>
      <c r="F485" s="7" t="s">
        <v>2434</v>
      </c>
      <c r="G485" s="17" t="s">
        <v>7747</v>
      </c>
      <c r="H485" s="7" t="s">
        <v>19</v>
      </c>
      <c r="I485" s="7" t="s">
        <v>1471</v>
      </c>
      <c r="J485" s="7" t="s">
        <v>53</v>
      </c>
      <c r="K485" s="7" t="s">
        <v>612</v>
      </c>
      <c r="L485" s="7" t="s">
        <v>55</v>
      </c>
      <c r="M485" s="7">
        <v>4.0697599999999996</v>
      </c>
      <c r="N485" s="7">
        <v>9.7254000000000005</v>
      </c>
      <c r="O485" s="7" t="s">
        <v>613</v>
      </c>
      <c r="P485" s="3"/>
      <c r="Q485" s="3"/>
      <c r="R485" s="3"/>
    </row>
    <row r="486" spans="1:18" x14ac:dyDescent="0.25">
      <c r="A486" s="2">
        <v>642</v>
      </c>
      <c r="B486" s="7" t="s">
        <v>2444</v>
      </c>
      <c r="C486" s="7" t="s">
        <v>2445</v>
      </c>
      <c r="D486" s="7" t="s">
        <v>2444</v>
      </c>
      <c r="E486" s="7" t="s">
        <v>50</v>
      </c>
      <c r="F486" s="7" t="s">
        <v>2422</v>
      </c>
      <c r="G486" s="17" t="s">
        <v>7747</v>
      </c>
      <c r="H486" s="7" t="s">
        <v>19</v>
      </c>
      <c r="I486" s="7" t="s">
        <v>627</v>
      </c>
      <c r="J486" s="7" t="s">
        <v>53</v>
      </c>
      <c r="K486" s="7" t="s">
        <v>628</v>
      </c>
      <c r="L486" s="7" t="s">
        <v>55</v>
      </c>
      <c r="M486" s="7">
        <v>4.0690799999999996</v>
      </c>
      <c r="N486" s="7">
        <v>9.6567600000000002</v>
      </c>
      <c r="O486" s="7" t="s">
        <v>23</v>
      </c>
      <c r="P486" s="3"/>
      <c r="Q486" s="3"/>
      <c r="R486" s="3"/>
    </row>
    <row r="487" spans="1:18" x14ac:dyDescent="0.25">
      <c r="A487" s="2">
        <v>643</v>
      </c>
      <c r="B487" s="7" t="s">
        <v>2487</v>
      </c>
      <c r="C487" s="7" t="s">
        <v>2488</v>
      </c>
      <c r="D487" s="7" t="s">
        <v>2487</v>
      </c>
      <c r="E487" s="7" t="s">
        <v>50</v>
      </c>
      <c r="F487" s="7" t="s">
        <v>2489</v>
      </c>
      <c r="G487" s="17" t="s">
        <v>7747</v>
      </c>
      <c r="H487" s="7" t="s">
        <v>28</v>
      </c>
      <c r="I487" s="7" t="s">
        <v>1958</v>
      </c>
      <c r="J487" s="7" t="s">
        <v>53</v>
      </c>
      <c r="K487" s="7" t="s">
        <v>2213</v>
      </c>
      <c r="L487" s="7" t="s">
        <v>55</v>
      </c>
      <c r="M487" s="7">
        <v>4.0512980000000001</v>
      </c>
      <c r="N487" s="7">
        <v>9.7068390000000004</v>
      </c>
      <c r="O487" s="7" t="s">
        <v>613</v>
      </c>
      <c r="P487" s="3"/>
      <c r="Q487" s="3"/>
      <c r="R487" s="3"/>
    </row>
    <row r="488" spans="1:18" x14ac:dyDescent="0.25">
      <c r="A488" s="2">
        <v>644</v>
      </c>
      <c r="B488" s="7" t="s">
        <v>2490</v>
      </c>
      <c r="C488" s="7" t="s">
        <v>2491</v>
      </c>
      <c r="D488" s="7" t="s">
        <v>2490</v>
      </c>
      <c r="E488" s="7" t="s">
        <v>50</v>
      </c>
      <c r="F488" s="7" t="s">
        <v>2492</v>
      </c>
      <c r="G488" s="17" t="s">
        <v>7747</v>
      </c>
      <c r="H488" s="7" t="s">
        <v>28</v>
      </c>
      <c r="I488" s="7" t="s">
        <v>2024</v>
      </c>
      <c r="J488" s="7" t="s">
        <v>53</v>
      </c>
      <c r="K488" s="7" t="s">
        <v>2213</v>
      </c>
      <c r="L488" s="7" t="s">
        <v>55</v>
      </c>
      <c r="M488" s="7">
        <v>4.0329499999999996</v>
      </c>
      <c r="N488" s="7">
        <v>9.7189499999999995</v>
      </c>
      <c r="O488" s="7" t="s">
        <v>613</v>
      </c>
      <c r="P488" s="3"/>
      <c r="Q488" s="3"/>
      <c r="R488" s="3"/>
    </row>
    <row r="489" spans="1:18" x14ac:dyDescent="0.25">
      <c r="A489" s="2">
        <v>645</v>
      </c>
      <c r="B489" s="7" t="s">
        <v>2500</v>
      </c>
      <c r="C489" s="7" t="s">
        <v>2501</v>
      </c>
      <c r="D489" s="7" t="s">
        <v>2500</v>
      </c>
      <c r="E489" s="7" t="s">
        <v>50</v>
      </c>
      <c r="F489" s="7" t="s">
        <v>2502</v>
      </c>
      <c r="G489" s="17" t="s">
        <v>7747</v>
      </c>
      <c r="H489" s="7" t="s">
        <v>28</v>
      </c>
      <c r="I489" s="7" t="s">
        <v>1471</v>
      </c>
      <c r="J489" s="7" t="s">
        <v>53</v>
      </c>
      <c r="K489" s="7" t="s">
        <v>612</v>
      </c>
      <c r="L489" s="7" t="s">
        <v>55</v>
      </c>
      <c r="M489" s="7">
        <v>4.0601099999999999</v>
      </c>
      <c r="N489" s="7">
        <v>9.7784499999999994</v>
      </c>
      <c r="O489" s="7" t="s">
        <v>23</v>
      </c>
      <c r="P489" s="3"/>
      <c r="Q489" s="3"/>
      <c r="R489" s="3"/>
    </row>
    <row r="490" spans="1:18" x14ac:dyDescent="0.25">
      <c r="A490" s="2">
        <v>646</v>
      </c>
      <c r="B490" s="7" t="s">
        <v>2516</v>
      </c>
      <c r="C490" s="7" t="s">
        <v>2517</v>
      </c>
      <c r="D490" s="7" t="s">
        <v>2516</v>
      </c>
      <c r="E490" s="7" t="s">
        <v>50</v>
      </c>
      <c r="F490" s="7" t="s">
        <v>2518</v>
      </c>
      <c r="G490" s="17" t="s">
        <v>7747</v>
      </c>
      <c r="H490" s="7" t="s">
        <v>28</v>
      </c>
      <c r="I490" s="7" t="s">
        <v>1516</v>
      </c>
      <c r="J490" s="7" t="s">
        <v>53</v>
      </c>
      <c r="K490" s="7" t="s">
        <v>54</v>
      </c>
      <c r="L490" s="7" t="s">
        <v>55</v>
      </c>
      <c r="M490" s="7">
        <v>4.05525</v>
      </c>
      <c r="N490" s="7">
        <v>9.7758889999999994</v>
      </c>
      <c r="O490" s="7" t="s">
        <v>23</v>
      </c>
      <c r="P490" s="3"/>
      <c r="Q490" s="3"/>
      <c r="R490" s="3"/>
    </row>
    <row r="491" spans="1:18" x14ac:dyDescent="0.25">
      <c r="A491" s="2">
        <v>647</v>
      </c>
      <c r="B491" s="7" t="s">
        <v>2522</v>
      </c>
      <c r="C491" s="7" t="s">
        <v>2523</v>
      </c>
      <c r="D491" s="7" t="s">
        <v>2522</v>
      </c>
      <c r="E491" s="7" t="s">
        <v>50</v>
      </c>
      <c r="F491" s="7" t="s">
        <v>2524</v>
      </c>
      <c r="G491" s="17" t="s">
        <v>7747</v>
      </c>
      <c r="H491" s="7" t="s">
        <v>28</v>
      </c>
      <c r="I491" s="7" t="s">
        <v>2024</v>
      </c>
      <c r="J491" s="7" t="s">
        <v>53</v>
      </c>
      <c r="K491" s="7" t="s">
        <v>1404</v>
      </c>
      <c r="L491" s="7" t="s">
        <v>55</v>
      </c>
      <c r="M491" s="7">
        <v>4.0199429999999996</v>
      </c>
      <c r="N491" s="7">
        <v>9.7043300000000006</v>
      </c>
      <c r="O491" s="7" t="s">
        <v>613</v>
      </c>
      <c r="P491" s="3"/>
      <c r="Q491" s="3"/>
      <c r="R491" s="3"/>
    </row>
    <row r="492" spans="1:18" x14ac:dyDescent="0.25">
      <c r="A492" s="2">
        <v>648</v>
      </c>
      <c r="B492" s="7" t="s">
        <v>2527</v>
      </c>
      <c r="C492" s="7" t="s">
        <v>2528</v>
      </c>
      <c r="D492" s="7" t="s">
        <v>2527</v>
      </c>
      <c r="E492" s="7" t="s">
        <v>50</v>
      </c>
      <c r="F492" s="7" t="s">
        <v>2529</v>
      </c>
      <c r="G492" s="17" t="s">
        <v>7747</v>
      </c>
      <c r="H492" s="7" t="s">
        <v>28</v>
      </c>
      <c r="I492" s="7" t="s">
        <v>627</v>
      </c>
      <c r="J492" s="7" t="s">
        <v>53</v>
      </c>
      <c r="K492" s="7" t="s">
        <v>628</v>
      </c>
      <c r="L492" s="7" t="s">
        <v>55</v>
      </c>
      <c r="M492" s="7">
        <v>4.0802240000000003</v>
      </c>
      <c r="N492" s="7">
        <v>9.6829560000000008</v>
      </c>
      <c r="O492" s="7" t="s">
        <v>613</v>
      </c>
      <c r="P492" s="3"/>
      <c r="Q492" s="3"/>
      <c r="R492" s="3"/>
    </row>
    <row r="493" spans="1:18" x14ac:dyDescent="0.25">
      <c r="A493" s="2">
        <v>649</v>
      </c>
      <c r="B493" s="7" t="s">
        <v>2545</v>
      </c>
      <c r="C493" s="7" t="s">
        <v>2546</v>
      </c>
      <c r="D493" s="7" t="s">
        <v>2545</v>
      </c>
      <c r="E493" s="7" t="s">
        <v>50</v>
      </c>
      <c r="F493" s="7" t="s">
        <v>2547</v>
      </c>
      <c r="G493" s="17" t="s">
        <v>7747</v>
      </c>
      <c r="H493" s="7" t="s">
        <v>28</v>
      </c>
      <c r="I493" s="7" t="s">
        <v>1478</v>
      </c>
      <c r="J493" s="7" t="s">
        <v>53</v>
      </c>
      <c r="K493" s="7" t="s">
        <v>612</v>
      </c>
      <c r="L493" s="7" t="s">
        <v>55</v>
      </c>
      <c r="M493" s="7">
        <v>4.0866939999999996</v>
      </c>
      <c r="N493" s="7">
        <v>9.7450829999999993</v>
      </c>
      <c r="O493" s="7" t="s">
        <v>613</v>
      </c>
      <c r="P493" s="3"/>
      <c r="Q493" s="3"/>
      <c r="R493" s="3"/>
    </row>
    <row r="494" spans="1:18" x14ac:dyDescent="0.25">
      <c r="A494" s="2">
        <v>650</v>
      </c>
      <c r="B494" s="7" t="s">
        <v>2588</v>
      </c>
      <c r="C494" s="7" t="s">
        <v>2589</v>
      </c>
      <c r="D494" s="7" t="s">
        <v>2588</v>
      </c>
      <c r="E494" s="7" t="s">
        <v>50</v>
      </c>
      <c r="F494" s="7" t="s">
        <v>2590</v>
      </c>
      <c r="G494" s="17" t="s">
        <v>7747</v>
      </c>
      <c r="H494" s="7" t="s">
        <v>28</v>
      </c>
      <c r="I494" s="7" t="s">
        <v>1478</v>
      </c>
      <c r="J494" s="7" t="s">
        <v>53</v>
      </c>
      <c r="K494" s="7" t="s">
        <v>612</v>
      </c>
      <c r="L494" s="7" t="s">
        <v>55</v>
      </c>
      <c r="M494" s="7">
        <v>4.0827220000000004</v>
      </c>
      <c r="N494" s="7">
        <v>9.7272499999999997</v>
      </c>
      <c r="O494" s="7" t="s">
        <v>613</v>
      </c>
      <c r="P494" s="3"/>
      <c r="Q494" s="3"/>
      <c r="R494" s="3"/>
    </row>
    <row r="495" spans="1:18" x14ac:dyDescent="0.25">
      <c r="A495" s="2">
        <v>651</v>
      </c>
      <c r="B495" s="7" t="s">
        <v>2601</v>
      </c>
      <c r="C495" s="7" t="s">
        <v>2602</v>
      </c>
      <c r="D495" s="7" t="s">
        <v>2601</v>
      </c>
      <c r="E495" s="7" t="s">
        <v>50</v>
      </c>
      <c r="F495" s="7" t="s">
        <v>2603</v>
      </c>
      <c r="G495" s="17" t="s">
        <v>7747</v>
      </c>
      <c r="H495" s="7" t="s">
        <v>28</v>
      </c>
      <c r="I495" s="7" t="s">
        <v>960</v>
      </c>
      <c r="J495" s="7" t="s">
        <v>53</v>
      </c>
      <c r="K495" s="7" t="s">
        <v>628</v>
      </c>
      <c r="L495" s="7" t="s">
        <v>55</v>
      </c>
      <c r="M495" s="7">
        <v>4.1081859999999999</v>
      </c>
      <c r="N495" s="7">
        <v>9.6449689999999997</v>
      </c>
      <c r="O495" s="7" t="s">
        <v>23</v>
      </c>
      <c r="P495" s="3"/>
      <c r="Q495" s="3"/>
      <c r="R495" s="3"/>
    </row>
    <row r="496" spans="1:18" x14ac:dyDescent="0.25">
      <c r="A496" s="2">
        <v>652</v>
      </c>
      <c r="B496" s="7" t="s">
        <v>2604</v>
      </c>
      <c r="C496" s="7" t="s">
        <v>2605</v>
      </c>
      <c r="D496" s="7" t="s">
        <v>2604</v>
      </c>
      <c r="E496" s="7" t="s">
        <v>50</v>
      </c>
      <c r="F496" s="7" t="s">
        <v>2606</v>
      </c>
      <c r="G496" s="17" t="s">
        <v>7747</v>
      </c>
      <c r="H496" s="7" t="s">
        <v>28</v>
      </c>
      <c r="I496" s="7" t="s">
        <v>1478</v>
      </c>
      <c r="J496" s="7" t="s">
        <v>53</v>
      </c>
      <c r="K496" s="7" t="s">
        <v>612</v>
      </c>
      <c r="L496" s="7" t="s">
        <v>55</v>
      </c>
      <c r="M496" s="7">
        <v>4.1047700000000003</v>
      </c>
      <c r="N496" s="7">
        <v>9.7439549999999997</v>
      </c>
      <c r="O496" s="7" t="s">
        <v>23</v>
      </c>
      <c r="P496" s="3"/>
      <c r="Q496" s="3"/>
      <c r="R496" s="3"/>
    </row>
    <row r="497" spans="1:18" x14ac:dyDescent="0.25">
      <c r="A497" s="2">
        <v>653</v>
      </c>
      <c r="B497" s="7" t="s">
        <v>2613</v>
      </c>
      <c r="C497" s="7" t="s">
        <v>2614</v>
      </c>
      <c r="D497" s="7" t="s">
        <v>2613</v>
      </c>
      <c r="E497" s="7" t="s">
        <v>50</v>
      </c>
      <c r="F497" s="7" t="s">
        <v>2615</v>
      </c>
      <c r="G497" s="17" t="s">
        <v>7747</v>
      </c>
      <c r="H497" s="7" t="s">
        <v>28</v>
      </c>
      <c r="I497" s="7" t="s">
        <v>1478</v>
      </c>
      <c r="J497" s="7" t="s">
        <v>53</v>
      </c>
      <c r="K497" s="7" t="s">
        <v>612</v>
      </c>
      <c r="L497" s="7" t="s">
        <v>55</v>
      </c>
      <c r="M497" s="7">
        <v>4.0768599999999999</v>
      </c>
      <c r="N497" s="7">
        <v>9.7631300000000003</v>
      </c>
      <c r="O497" s="7" t="s">
        <v>23</v>
      </c>
      <c r="P497" s="3"/>
      <c r="Q497" s="3"/>
      <c r="R497" s="3"/>
    </row>
    <row r="498" spans="1:18" x14ac:dyDescent="0.25">
      <c r="A498" s="2">
        <v>654</v>
      </c>
      <c r="B498" s="7" t="s">
        <v>2641</v>
      </c>
      <c r="C498" s="7" t="s">
        <v>2642</v>
      </c>
      <c r="D498" s="7" t="s">
        <v>2641</v>
      </c>
      <c r="E498" s="7" t="s">
        <v>50</v>
      </c>
      <c r="F498" s="7" t="s">
        <v>2643</v>
      </c>
      <c r="G498" s="17" t="s">
        <v>7747</v>
      </c>
      <c r="H498" s="7" t="s">
        <v>28</v>
      </c>
      <c r="I498" s="7" t="s">
        <v>1329</v>
      </c>
      <c r="J498" s="7" t="s">
        <v>53</v>
      </c>
      <c r="K498" s="7" t="s">
        <v>612</v>
      </c>
      <c r="L498" s="7" t="s">
        <v>55</v>
      </c>
      <c r="M498" s="7">
        <v>4.058611</v>
      </c>
      <c r="N498" s="7">
        <v>9.734</v>
      </c>
      <c r="O498" s="7" t="s">
        <v>613</v>
      </c>
      <c r="P498" s="3"/>
      <c r="Q498" s="3"/>
      <c r="R498" s="3"/>
    </row>
    <row r="499" spans="1:18" x14ac:dyDescent="0.25">
      <c r="A499" s="2">
        <v>655</v>
      </c>
      <c r="B499" s="7" t="s">
        <v>2644</v>
      </c>
      <c r="C499" s="7" t="s">
        <v>2645</v>
      </c>
      <c r="D499" s="7" t="s">
        <v>2644</v>
      </c>
      <c r="E499" s="7" t="s">
        <v>50</v>
      </c>
      <c r="F499" s="7" t="s">
        <v>2646</v>
      </c>
      <c r="G499" s="17" t="s">
        <v>7747</v>
      </c>
      <c r="H499" s="7" t="s">
        <v>28</v>
      </c>
      <c r="I499" s="7" t="s">
        <v>1516</v>
      </c>
      <c r="J499" s="7" t="s">
        <v>53</v>
      </c>
      <c r="K499" s="7" t="s">
        <v>54</v>
      </c>
      <c r="L499" s="7" t="s">
        <v>55</v>
      </c>
      <c r="M499" s="7">
        <v>4.0467779999999998</v>
      </c>
      <c r="N499" s="7">
        <v>9.7680559999999996</v>
      </c>
      <c r="O499" s="7" t="s">
        <v>613</v>
      </c>
      <c r="P499" s="3"/>
      <c r="Q499" s="3"/>
      <c r="R499" s="3"/>
    </row>
    <row r="500" spans="1:18" x14ac:dyDescent="0.25">
      <c r="A500" s="2">
        <v>656</v>
      </c>
      <c r="B500" s="7" t="s">
        <v>2650</v>
      </c>
      <c r="C500" s="7" t="s">
        <v>2651</v>
      </c>
      <c r="D500" s="7" t="s">
        <v>2650</v>
      </c>
      <c r="E500" s="7" t="s">
        <v>50</v>
      </c>
      <c r="F500" s="7" t="s">
        <v>2652</v>
      </c>
      <c r="G500" s="17" t="s">
        <v>7747</v>
      </c>
      <c r="H500" s="7" t="s">
        <v>28</v>
      </c>
      <c r="I500" s="7" t="s">
        <v>1958</v>
      </c>
      <c r="J500" s="7" t="s">
        <v>53</v>
      </c>
      <c r="K500" s="7" t="s">
        <v>1404</v>
      </c>
      <c r="L500" s="7" t="s">
        <v>55</v>
      </c>
      <c r="M500" s="7">
        <v>4.0586330000000004</v>
      </c>
      <c r="N500" s="7">
        <v>9.7152499999999993</v>
      </c>
      <c r="O500" s="7" t="s">
        <v>613</v>
      </c>
      <c r="P500" s="3"/>
      <c r="Q500" s="3"/>
      <c r="R500" s="3"/>
    </row>
    <row r="501" spans="1:18" x14ac:dyDescent="0.25">
      <c r="A501" s="2">
        <v>657</v>
      </c>
      <c r="B501" s="7" t="s">
        <v>2653</v>
      </c>
      <c r="C501" s="7" t="s">
        <v>2654</v>
      </c>
      <c r="D501" s="7" t="s">
        <v>2653</v>
      </c>
      <c r="E501" s="7" t="s">
        <v>50</v>
      </c>
      <c r="F501" s="7" t="s">
        <v>2655</v>
      </c>
      <c r="G501" s="17" t="s">
        <v>7747</v>
      </c>
      <c r="H501" s="7" t="s">
        <v>28</v>
      </c>
      <c r="I501" s="7" t="s">
        <v>960</v>
      </c>
      <c r="J501" s="7" t="s">
        <v>53</v>
      </c>
      <c r="K501" s="7" t="s">
        <v>628</v>
      </c>
      <c r="L501" s="7" t="s">
        <v>55</v>
      </c>
      <c r="M501" s="7">
        <v>4.0845779999999996</v>
      </c>
      <c r="N501" s="7">
        <v>9.646528</v>
      </c>
      <c r="O501" s="7" t="s">
        <v>613</v>
      </c>
      <c r="P501" s="3"/>
      <c r="Q501" s="3"/>
      <c r="R501" s="3"/>
    </row>
    <row r="502" spans="1:18" x14ac:dyDescent="0.25">
      <c r="A502" s="2">
        <v>658</v>
      </c>
      <c r="B502" s="7" t="s">
        <v>2656</v>
      </c>
      <c r="C502" s="7" t="s">
        <v>2657</v>
      </c>
      <c r="D502" s="7" t="s">
        <v>2656</v>
      </c>
      <c r="E502" s="7" t="s">
        <v>50</v>
      </c>
      <c r="F502" s="7" t="s">
        <v>2658</v>
      </c>
      <c r="G502" s="17" t="s">
        <v>7747</v>
      </c>
      <c r="H502" s="7" t="s">
        <v>28</v>
      </c>
      <c r="I502" s="7" t="s">
        <v>1575</v>
      </c>
      <c r="J502" s="7" t="s">
        <v>53</v>
      </c>
      <c r="K502" s="7" t="s">
        <v>54</v>
      </c>
      <c r="L502" s="7" t="s">
        <v>55</v>
      </c>
      <c r="M502" s="7">
        <v>4.0284079999999998</v>
      </c>
      <c r="N502" s="7">
        <v>9.7302459999999993</v>
      </c>
      <c r="O502" s="7" t="s">
        <v>23</v>
      </c>
      <c r="P502" s="3"/>
      <c r="Q502" s="3"/>
      <c r="R502" s="3"/>
    </row>
    <row r="503" spans="1:18" x14ac:dyDescent="0.25">
      <c r="A503" s="2">
        <v>659</v>
      </c>
      <c r="B503" s="7" t="s">
        <v>2659</v>
      </c>
      <c r="C503" s="7" t="s">
        <v>2660</v>
      </c>
      <c r="D503" s="7" t="s">
        <v>2659</v>
      </c>
      <c r="E503" s="7" t="s">
        <v>50</v>
      </c>
      <c r="F503" s="7" t="s">
        <v>2661</v>
      </c>
      <c r="G503" s="17" t="s">
        <v>7747</v>
      </c>
      <c r="H503" s="7" t="s">
        <v>28</v>
      </c>
      <c r="I503" s="7" t="s">
        <v>960</v>
      </c>
      <c r="J503" s="7" t="s">
        <v>53</v>
      </c>
      <c r="K503" s="7" t="s">
        <v>628</v>
      </c>
      <c r="L503" s="7" t="s">
        <v>55</v>
      </c>
      <c r="M503" s="7">
        <v>4.0790829999999998</v>
      </c>
      <c r="N503" s="7">
        <v>9.6495280000000001</v>
      </c>
      <c r="O503" s="7" t="s">
        <v>23</v>
      </c>
      <c r="P503" s="3"/>
      <c r="Q503" s="3"/>
      <c r="R503" s="3"/>
    </row>
    <row r="504" spans="1:18" x14ac:dyDescent="0.25">
      <c r="A504" s="2">
        <v>660</v>
      </c>
      <c r="B504" s="7" t="s">
        <v>2707</v>
      </c>
      <c r="C504" s="7" t="s">
        <v>2708</v>
      </c>
      <c r="D504" s="7" t="s">
        <v>2707</v>
      </c>
      <c r="E504" s="7" t="s">
        <v>50</v>
      </c>
      <c r="F504" s="7" t="s">
        <v>2709</v>
      </c>
      <c r="G504" s="17" t="s">
        <v>7747</v>
      </c>
      <c r="H504" s="7" t="s">
        <v>28</v>
      </c>
      <c r="I504" s="7" t="s">
        <v>1516</v>
      </c>
      <c r="J504" s="7" t="s">
        <v>53</v>
      </c>
      <c r="K504" s="7" t="s">
        <v>54</v>
      </c>
      <c r="L504" s="7" t="s">
        <v>55</v>
      </c>
      <c r="M504" s="7">
        <v>4.0888900000000001</v>
      </c>
      <c r="N504" s="7">
        <v>9.7992100000000004</v>
      </c>
      <c r="O504" s="7" t="s">
        <v>23</v>
      </c>
      <c r="P504" s="3"/>
      <c r="Q504" s="3"/>
      <c r="R504" s="3"/>
    </row>
    <row r="505" spans="1:18" x14ac:dyDescent="0.25">
      <c r="A505" s="2">
        <v>661</v>
      </c>
      <c r="B505" s="7" t="s">
        <v>2836</v>
      </c>
      <c r="C505" s="7" t="s">
        <v>2837</v>
      </c>
      <c r="D505" s="7" t="s">
        <v>2836</v>
      </c>
      <c r="E505" s="7" t="s">
        <v>50</v>
      </c>
      <c r="F505" s="7" t="s">
        <v>2838</v>
      </c>
      <c r="G505" s="17" t="s">
        <v>7747</v>
      </c>
      <c r="H505" s="7" t="s">
        <v>28</v>
      </c>
      <c r="I505" s="7" t="s">
        <v>1516</v>
      </c>
      <c r="J505" s="7" t="s">
        <v>53</v>
      </c>
      <c r="K505" s="7" t="s">
        <v>54</v>
      </c>
      <c r="L505" s="7" t="s">
        <v>55</v>
      </c>
      <c r="M505" s="7">
        <v>4.0768599999999999</v>
      </c>
      <c r="N505" s="7">
        <v>9.80166</v>
      </c>
      <c r="O505" s="7" t="s">
        <v>23</v>
      </c>
      <c r="P505" s="3"/>
      <c r="Q505" s="3"/>
      <c r="R505" s="3"/>
    </row>
    <row r="506" spans="1:18" x14ac:dyDescent="0.25">
      <c r="A506" s="2">
        <v>662</v>
      </c>
      <c r="B506" s="7" t="s">
        <v>2839</v>
      </c>
      <c r="C506" s="7" t="s">
        <v>2840</v>
      </c>
      <c r="D506" s="7" t="s">
        <v>2839</v>
      </c>
      <c r="E506" s="7" t="s">
        <v>50</v>
      </c>
      <c r="F506" s="7" t="s">
        <v>2841</v>
      </c>
      <c r="G506" s="17" t="s">
        <v>7747</v>
      </c>
      <c r="H506" s="7" t="s">
        <v>28</v>
      </c>
      <c r="I506" s="7" t="s">
        <v>1471</v>
      </c>
      <c r="J506" s="7" t="s">
        <v>53</v>
      </c>
      <c r="K506" s="7" t="s">
        <v>612</v>
      </c>
      <c r="L506" s="7" t="s">
        <v>55</v>
      </c>
      <c r="M506" s="7">
        <v>4.0945</v>
      </c>
      <c r="N506" s="7">
        <v>9.764367</v>
      </c>
      <c r="O506" s="7" t="s">
        <v>23</v>
      </c>
      <c r="P506" s="3"/>
      <c r="Q506" s="3"/>
      <c r="R506" s="3"/>
    </row>
    <row r="507" spans="1:18" x14ac:dyDescent="0.25">
      <c r="A507" s="2">
        <v>663</v>
      </c>
      <c r="B507" s="7" t="s">
        <v>2851</v>
      </c>
      <c r="C507" s="7" t="s">
        <v>2852</v>
      </c>
      <c r="D507" s="7" t="s">
        <v>2851</v>
      </c>
      <c r="E507" s="7" t="s">
        <v>50</v>
      </c>
      <c r="F507" s="7" t="s">
        <v>2853</v>
      </c>
      <c r="G507" s="17" t="s">
        <v>7747</v>
      </c>
      <c r="H507" s="7" t="s">
        <v>19</v>
      </c>
      <c r="I507" s="7" t="s">
        <v>1403</v>
      </c>
      <c r="J507" s="7" t="s">
        <v>53</v>
      </c>
      <c r="K507" s="7" t="s">
        <v>1404</v>
      </c>
      <c r="L507" s="7" t="s">
        <v>55</v>
      </c>
      <c r="M507" s="7">
        <v>4.0449999999999999</v>
      </c>
      <c r="N507" s="7">
        <v>9.6935000000000002</v>
      </c>
      <c r="O507" s="7" t="s">
        <v>613</v>
      </c>
      <c r="P507" s="3"/>
      <c r="Q507" s="3"/>
      <c r="R507" s="3"/>
    </row>
    <row r="508" spans="1:18" x14ac:dyDescent="0.25">
      <c r="A508" s="2">
        <v>664</v>
      </c>
      <c r="B508" s="7" t="s">
        <v>2868</v>
      </c>
      <c r="C508" s="7" t="s">
        <v>2869</v>
      </c>
      <c r="D508" s="7" t="s">
        <v>2868</v>
      </c>
      <c r="E508" s="7" t="s">
        <v>34</v>
      </c>
      <c r="F508" s="7" t="s">
        <v>2870</v>
      </c>
      <c r="G508" s="17" t="s">
        <v>7747</v>
      </c>
      <c r="H508" s="7" t="s">
        <v>19</v>
      </c>
      <c r="I508" s="7" t="s">
        <v>356</v>
      </c>
      <c r="J508" s="7" t="s">
        <v>152</v>
      </c>
      <c r="K508" s="7" t="s">
        <v>1721</v>
      </c>
      <c r="L508" s="7" t="s">
        <v>55</v>
      </c>
      <c r="M508" s="7">
        <v>4.1734</v>
      </c>
      <c r="N508" s="7">
        <v>9.5930420000000005</v>
      </c>
      <c r="O508" s="7" t="s">
        <v>23</v>
      </c>
      <c r="P508" s="3"/>
      <c r="Q508" s="3"/>
      <c r="R508" s="3"/>
    </row>
    <row r="509" spans="1:18" x14ac:dyDescent="0.25">
      <c r="A509" s="2">
        <v>665</v>
      </c>
      <c r="B509" s="7" t="s">
        <v>2877</v>
      </c>
      <c r="C509" s="7" t="s">
        <v>2878</v>
      </c>
      <c r="D509" s="7" t="s">
        <v>2877</v>
      </c>
      <c r="E509" s="7" t="s">
        <v>50</v>
      </c>
      <c r="F509" s="7" t="s">
        <v>2879</v>
      </c>
      <c r="G509" s="17" t="s">
        <v>7747</v>
      </c>
      <c r="H509" s="7" t="s">
        <v>19</v>
      </c>
      <c r="I509" s="7" t="s">
        <v>1958</v>
      </c>
      <c r="J509" s="7" t="s">
        <v>53</v>
      </c>
      <c r="K509" s="7" t="s">
        <v>1404</v>
      </c>
      <c r="L509" s="7" t="s">
        <v>55</v>
      </c>
      <c r="M509" s="7">
        <v>4.0424499999999997</v>
      </c>
      <c r="N509" s="7">
        <v>9.7041629999999994</v>
      </c>
      <c r="O509" s="7" t="s">
        <v>613</v>
      </c>
      <c r="P509" s="3"/>
      <c r="Q509" s="3"/>
      <c r="R509" s="3"/>
    </row>
    <row r="510" spans="1:18" x14ac:dyDescent="0.25">
      <c r="A510" s="2">
        <v>666</v>
      </c>
      <c r="B510" s="7" t="s">
        <v>2888</v>
      </c>
      <c r="C510" s="7" t="s">
        <v>2889</v>
      </c>
      <c r="D510" s="7" t="s">
        <v>2888</v>
      </c>
      <c r="E510" s="7" t="s">
        <v>50</v>
      </c>
      <c r="F510" s="7" t="s">
        <v>2890</v>
      </c>
      <c r="G510" s="17" t="s">
        <v>7747</v>
      </c>
      <c r="H510" s="7" t="s">
        <v>19</v>
      </c>
      <c r="I510" s="7" t="s">
        <v>1958</v>
      </c>
      <c r="J510" s="7" t="s">
        <v>53</v>
      </c>
      <c r="K510" s="7" t="s">
        <v>1404</v>
      </c>
      <c r="L510" s="7" t="s">
        <v>55</v>
      </c>
      <c r="M510" s="7">
        <v>4.0615560000000004</v>
      </c>
      <c r="N510" s="7">
        <v>9.7193889999999996</v>
      </c>
      <c r="O510" s="7" t="s">
        <v>613</v>
      </c>
      <c r="P510" s="3"/>
      <c r="Q510" s="3"/>
      <c r="R510" s="3"/>
    </row>
    <row r="511" spans="1:18" x14ac:dyDescent="0.25">
      <c r="A511" s="2">
        <v>667</v>
      </c>
      <c r="B511" s="7" t="s">
        <v>2891</v>
      </c>
      <c r="C511" s="7" t="s">
        <v>2892</v>
      </c>
      <c r="D511" s="7" t="s">
        <v>2891</v>
      </c>
      <c r="E511" s="7" t="s">
        <v>50</v>
      </c>
      <c r="F511" s="7" t="s">
        <v>2893</v>
      </c>
      <c r="G511" s="17" t="s">
        <v>7747</v>
      </c>
      <c r="H511" s="7" t="s">
        <v>19</v>
      </c>
      <c r="I511" s="7" t="s">
        <v>1403</v>
      </c>
      <c r="J511" s="7" t="s">
        <v>53</v>
      </c>
      <c r="K511" s="7" t="s">
        <v>2213</v>
      </c>
      <c r="L511" s="7" t="s">
        <v>55</v>
      </c>
      <c r="M511" s="7">
        <v>4.0229169999999996</v>
      </c>
      <c r="N511" s="7">
        <v>9.6945560000000004</v>
      </c>
      <c r="O511" s="7" t="s">
        <v>613</v>
      </c>
      <c r="P511" s="3"/>
      <c r="Q511" s="3"/>
      <c r="R511" s="3"/>
    </row>
    <row r="512" spans="1:18" x14ac:dyDescent="0.25">
      <c r="A512" s="2">
        <v>668</v>
      </c>
      <c r="B512" s="7" t="s">
        <v>2894</v>
      </c>
      <c r="C512" s="7" t="s">
        <v>2895</v>
      </c>
      <c r="D512" s="7" t="s">
        <v>2894</v>
      </c>
      <c r="E512" s="7" t="s">
        <v>50</v>
      </c>
      <c r="F512" s="7" t="s">
        <v>2896</v>
      </c>
      <c r="G512" s="17" t="s">
        <v>7747</v>
      </c>
      <c r="H512" s="7" t="s">
        <v>19</v>
      </c>
      <c r="I512" s="7" t="s">
        <v>1958</v>
      </c>
      <c r="J512" s="7" t="s">
        <v>53</v>
      </c>
      <c r="K512" s="7" t="s">
        <v>1404</v>
      </c>
      <c r="L512" s="7" t="s">
        <v>55</v>
      </c>
      <c r="M512" s="7">
        <v>4.060333</v>
      </c>
      <c r="N512" s="7">
        <v>9.7084440000000001</v>
      </c>
      <c r="O512" s="7" t="s">
        <v>23</v>
      </c>
      <c r="P512" s="3"/>
      <c r="Q512" s="3"/>
      <c r="R512" s="3"/>
    </row>
    <row r="513" spans="1:18" x14ac:dyDescent="0.25">
      <c r="A513" s="2">
        <v>669</v>
      </c>
      <c r="B513" s="7" t="s">
        <v>2897</v>
      </c>
      <c r="C513" s="7" t="s">
        <v>2898</v>
      </c>
      <c r="D513" s="7" t="s">
        <v>2897</v>
      </c>
      <c r="E513" s="7" t="s">
        <v>50</v>
      </c>
      <c r="F513" s="7" t="s">
        <v>2899</v>
      </c>
      <c r="G513" s="17" t="s">
        <v>7747</v>
      </c>
      <c r="H513" s="7" t="s">
        <v>28</v>
      </c>
      <c r="I513" s="7" t="s">
        <v>52</v>
      </c>
      <c r="J513" s="7" t="s">
        <v>53</v>
      </c>
      <c r="K513" s="7" t="s">
        <v>54</v>
      </c>
      <c r="L513" s="7" t="s">
        <v>55</v>
      </c>
      <c r="M513" s="7">
        <v>4.0227300000000001</v>
      </c>
      <c r="N513" s="7">
        <v>9.7881800000000005</v>
      </c>
      <c r="O513" s="7" t="s">
        <v>23</v>
      </c>
      <c r="P513" s="3"/>
      <c r="Q513" s="3"/>
      <c r="R513" s="3"/>
    </row>
    <row r="514" spans="1:18" x14ac:dyDescent="0.25">
      <c r="A514" s="2">
        <v>670</v>
      </c>
      <c r="B514" s="7" t="s">
        <v>2919</v>
      </c>
      <c r="C514" s="7" t="s">
        <v>2920</v>
      </c>
      <c r="D514" s="7" t="s">
        <v>2919</v>
      </c>
      <c r="E514" s="7" t="s">
        <v>50</v>
      </c>
      <c r="F514" s="7" t="s">
        <v>2921</v>
      </c>
      <c r="G514" s="17" t="s">
        <v>7747</v>
      </c>
      <c r="H514" s="7" t="s">
        <v>19</v>
      </c>
      <c r="I514" s="7" t="s">
        <v>1403</v>
      </c>
      <c r="J514" s="7" t="s">
        <v>53</v>
      </c>
      <c r="K514" s="7" t="s">
        <v>1404</v>
      </c>
      <c r="L514" s="7" t="s">
        <v>55</v>
      </c>
      <c r="M514" s="7">
        <v>4.0490560000000002</v>
      </c>
      <c r="N514" s="7">
        <v>9.6936110000000006</v>
      </c>
      <c r="O514" s="7" t="s">
        <v>613</v>
      </c>
      <c r="P514" s="3"/>
      <c r="Q514" s="3"/>
      <c r="R514" s="3"/>
    </row>
    <row r="515" spans="1:18" x14ac:dyDescent="0.25">
      <c r="A515" s="2">
        <v>671</v>
      </c>
      <c r="B515" s="7" t="s">
        <v>2941</v>
      </c>
      <c r="C515" s="7" t="s">
        <v>2942</v>
      </c>
      <c r="D515" s="7" t="s">
        <v>2941</v>
      </c>
      <c r="E515" s="7" t="s">
        <v>50</v>
      </c>
      <c r="F515" s="7" t="s">
        <v>2943</v>
      </c>
      <c r="G515" s="17" t="s">
        <v>7747</v>
      </c>
      <c r="H515" s="7" t="s">
        <v>28</v>
      </c>
      <c r="I515" s="7" t="s">
        <v>627</v>
      </c>
      <c r="J515" s="7" t="s">
        <v>53</v>
      </c>
      <c r="K515" s="7" t="s">
        <v>628</v>
      </c>
      <c r="L515" s="7" t="s">
        <v>55</v>
      </c>
      <c r="M515" s="7">
        <v>4.0809439999999997</v>
      </c>
      <c r="N515" s="7">
        <v>9.6593889999999991</v>
      </c>
      <c r="O515" s="7" t="s">
        <v>23</v>
      </c>
      <c r="P515" s="3"/>
      <c r="Q515" s="3"/>
      <c r="R515" s="3"/>
    </row>
    <row r="516" spans="1:18" x14ac:dyDescent="0.25">
      <c r="A516" s="2">
        <v>672</v>
      </c>
      <c r="B516" s="7" t="s">
        <v>2944</v>
      </c>
      <c r="C516" s="7" t="s">
        <v>2945</v>
      </c>
      <c r="D516" s="7" t="s">
        <v>2944</v>
      </c>
      <c r="E516" s="7" t="s">
        <v>50</v>
      </c>
      <c r="F516" s="7" t="s">
        <v>2946</v>
      </c>
      <c r="G516" s="17" t="s">
        <v>7747</v>
      </c>
      <c r="H516" s="7" t="s">
        <v>28</v>
      </c>
      <c r="I516" s="7" t="s">
        <v>1575</v>
      </c>
      <c r="J516" s="7" t="s">
        <v>53</v>
      </c>
      <c r="K516" s="7" t="s">
        <v>54</v>
      </c>
      <c r="L516" s="7" t="s">
        <v>55</v>
      </c>
      <c r="M516" s="7">
        <v>4.0104889999999997</v>
      </c>
      <c r="N516" s="7">
        <v>9.7263359999999999</v>
      </c>
      <c r="O516" s="7" t="s">
        <v>23</v>
      </c>
      <c r="P516" s="3"/>
      <c r="Q516" s="3"/>
      <c r="R516" s="3"/>
    </row>
    <row r="517" spans="1:18" x14ac:dyDescent="0.25">
      <c r="A517" s="2">
        <v>673</v>
      </c>
      <c r="B517" s="7" t="s">
        <v>2959</v>
      </c>
      <c r="C517" s="7" t="s">
        <v>2960</v>
      </c>
      <c r="D517" s="7" t="s">
        <v>2959</v>
      </c>
      <c r="E517" s="7" t="s">
        <v>50</v>
      </c>
      <c r="F517" s="7" t="s">
        <v>2961</v>
      </c>
      <c r="G517" s="17" t="s">
        <v>7747</v>
      </c>
      <c r="H517" s="7" t="s">
        <v>28</v>
      </c>
      <c r="I517" s="7" t="s">
        <v>52</v>
      </c>
      <c r="J517" s="7" t="s">
        <v>53</v>
      </c>
      <c r="K517" s="7" t="s">
        <v>2213</v>
      </c>
      <c r="L517" s="7" t="s">
        <v>55</v>
      </c>
      <c r="M517" s="7">
        <v>3.9966300000000001</v>
      </c>
      <c r="N517" s="7">
        <v>9.7588500000000007</v>
      </c>
      <c r="O517" s="7" t="s">
        <v>23</v>
      </c>
      <c r="P517" s="3"/>
      <c r="Q517" s="3"/>
      <c r="R517" s="3"/>
    </row>
    <row r="518" spans="1:18" x14ac:dyDescent="0.25">
      <c r="A518" s="2">
        <v>674</v>
      </c>
      <c r="B518" s="7" t="s">
        <v>2962</v>
      </c>
      <c r="C518" s="7" t="s">
        <v>2963</v>
      </c>
      <c r="D518" s="7" t="s">
        <v>2962</v>
      </c>
      <c r="E518" s="7" t="s">
        <v>50</v>
      </c>
      <c r="F518" s="7" t="s">
        <v>2964</v>
      </c>
      <c r="G518" s="17" t="s">
        <v>7747</v>
      </c>
      <c r="H518" s="7" t="s">
        <v>28</v>
      </c>
      <c r="I518" s="7" t="s">
        <v>1403</v>
      </c>
      <c r="J518" s="7" t="s">
        <v>53</v>
      </c>
      <c r="K518" s="7" t="s">
        <v>1404</v>
      </c>
      <c r="L518" s="7" t="s">
        <v>55</v>
      </c>
      <c r="M518" s="7">
        <v>4.0334009999999996</v>
      </c>
      <c r="N518" s="7">
        <v>9.7017439999999997</v>
      </c>
      <c r="O518" s="7" t="s">
        <v>613</v>
      </c>
      <c r="P518" s="3"/>
      <c r="Q518" s="3"/>
      <c r="R518" s="3"/>
    </row>
    <row r="519" spans="1:18" x14ac:dyDescent="0.25">
      <c r="A519" s="2">
        <v>675</v>
      </c>
      <c r="B519" s="7" t="s">
        <v>2969</v>
      </c>
      <c r="C519" s="7" t="s">
        <v>2970</v>
      </c>
      <c r="D519" s="7" t="s">
        <v>2969</v>
      </c>
      <c r="E519" s="7" t="s">
        <v>50</v>
      </c>
      <c r="F519" s="7" t="s">
        <v>2971</v>
      </c>
      <c r="G519" s="17" t="s">
        <v>7747</v>
      </c>
      <c r="H519" s="7" t="s">
        <v>28</v>
      </c>
      <c r="I519" s="7" t="s">
        <v>611</v>
      </c>
      <c r="J519" s="7" t="s">
        <v>53</v>
      </c>
      <c r="K519" s="7" t="s">
        <v>612</v>
      </c>
      <c r="L519" s="7" t="s">
        <v>55</v>
      </c>
      <c r="M519" s="7">
        <v>4.0733670000000002</v>
      </c>
      <c r="N519" s="7">
        <v>9.7739999999999991</v>
      </c>
      <c r="O519" s="7" t="s">
        <v>23</v>
      </c>
      <c r="P519" s="3"/>
      <c r="Q519" s="3"/>
      <c r="R519" s="3"/>
    </row>
    <row r="520" spans="1:18" x14ac:dyDescent="0.25">
      <c r="A520" s="2">
        <v>676</v>
      </c>
      <c r="B520" s="7" t="s">
        <v>2975</v>
      </c>
      <c r="C520" s="7" t="s">
        <v>2976</v>
      </c>
      <c r="D520" s="7" t="s">
        <v>2975</v>
      </c>
      <c r="E520" s="7" t="s">
        <v>50</v>
      </c>
      <c r="F520" s="7" t="s">
        <v>2977</v>
      </c>
      <c r="G520" s="17" t="s">
        <v>7747</v>
      </c>
      <c r="H520" s="7" t="s">
        <v>28</v>
      </c>
      <c r="I520" s="7" t="s">
        <v>1575</v>
      </c>
      <c r="J520" s="7" t="s">
        <v>53</v>
      </c>
      <c r="K520" s="7" t="s">
        <v>54</v>
      </c>
      <c r="L520" s="7" t="s">
        <v>55</v>
      </c>
      <c r="M520" s="7">
        <v>4.0177870000000002</v>
      </c>
      <c r="N520" s="7">
        <v>9.768103</v>
      </c>
      <c r="O520" s="7" t="s">
        <v>23</v>
      </c>
      <c r="P520" s="3"/>
      <c r="Q520" s="3"/>
      <c r="R520" s="3"/>
    </row>
    <row r="521" spans="1:18" x14ac:dyDescent="0.25">
      <c r="A521" s="2">
        <v>677</v>
      </c>
      <c r="B521" s="7" t="s">
        <v>2981</v>
      </c>
      <c r="C521" s="7" t="s">
        <v>2982</v>
      </c>
      <c r="D521" s="7" t="s">
        <v>2981</v>
      </c>
      <c r="E521" s="7" t="s">
        <v>50</v>
      </c>
      <c r="F521" s="7" t="s">
        <v>2983</v>
      </c>
      <c r="G521" s="17" t="s">
        <v>7747</v>
      </c>
      <c r="H521" s="7" t="s">
        <v>28</v>
      </c>
      <c r="I521" s="7" t="s">
        <v>1575</v>
      </c>
      <c r="J521" s="7" t="s">
        <v>53</v>
      </c>
      <c r="K521" s="7" t="s">
        <v>54</v>
      </c>
      <c r="L521" s="7" t="s">
        <v>55</v>
      </c>
      <c r="M521" s="7">
        <v>4.0224849999999996</v>
      </c>
      <c r="N521" s="7">
        <v>9.7390450000000008</v>
      </c>
      <c r="O521" s="7" t="s">
        <v>23</v>
      </c>
      <c r="P521" s="3"/>
      <c r="Q521" s="3"/>
      <c r="R521" s="3"/>
    </row>
    <row r="522" spans="1:18" x14ac:dyDescent="0.25">
      <c r="A522" s="2">
        <v>678</v>
      </c>
      <c r="B522" s="7" t="s">
        <v>2987</v>
      </c>
      <c r="C522" s="7" t="s">
        <v>2988</v>
      </c>
      <c r="D522" s="7" t="s">
        <v>2987</v>
      </c>
      <c r="E522" s="7" t="s">
        <v>50</v>
      </c>
      <c r="F522" s="7" t="s">
        <v>2989</v>
      </c>
      <c r="G522" s="17" t="s">
        <v>7747</v>
      </c>
      <c r="H522" s="7" t="s">
        <v>28</v>
      </c>
      <c r="I522" s="7" t="s">
        <v>1958</v>
      </c>
      <c r="J522" s="7" t="s">
        <v>53</v>
      </c>
      <c r="K522" s="7" t="s">
        <v>1404</v>
      </c>
      <c r="L522" s="7" t="s">
        <v>55</v>
      </c>
      <c r="M522" s="7">
        <v>4.0409600000000001</v>
      </c>
      <c r="N522" s="7">
        <v>9.7013700000000007</v>
      </c>
      <c r="O522" s="7" t="s">
        <v>613</v>
      </c>
      <c r="P522" s="3"/>
      <c r="Q522" s="3"/>
      <c r="R522" s="3"/>
    </row>
    <row r="523" spans="1:18" x14ac:dyDescent="0.25">
      <c r="A523" s="2">
        <v>679</v>
      </c>
      <c r="B523" s="7" t="s">
        <v>3002</v>
      </c>
      <c r="C523" s="7" t="s">
        <v>3003</v>
      </c>
      <c r="D523" s="7" t="s">
        <v>3002</v>
      </c>
      <c r="E523" s="7" t="s">
        <v>50</v>
      </c>
      <c r="F523" s="7" t="s">
        <v>3004</v>
      </c>
      <c r="G523" s="17" t="s">
        <v>7747</v>
      </c>
      <c r="H523" s="7" t="s">
        <v>28</v>
      </c>
      <c r="I523" s="7" t="s">
        <v>627</v>
      </c>
      <c r="J523" s="7" t="s">
        <v>53</v>
      </c>
      <c r="K523" s="7" t="s">
        <v>628</v>
      </c>
      <c r="L523" s="7" t="s">
        <v>55</v>
      </c>
      <c r="M523" s="7">
        <v>4.06616</v>
      </c>
      <c r="N523" s="7">
        <v>9.6668000000000003</v>
      </c>
      <c r="O523" s="7" t="s">
        <v>23</v>
      </c>
      <c r="P523" s="3"/>
      <c r="Q523" s="3"/>
      <c r="R523" s="3"/>
    </row>
    <row r="524" spans="1:18" x14ac:dyDescent="0.25">
      <c r="A524" s="2">
        <v>680</v>
      </c>
      <c r="B524" s="7" t="s">
        <v>3005</v>
      </c>
      <c r="C524" s="7" t="s">
        <v>3006</v>
      </c>
      <c r="D524" s="7" t="s">
        <v>3005</v>
      </c>
      <c r="E524" s="7" t="s">
        <v>50</v>
      </c>
      <c r="F524" s="7" t="s">
        <v>3007</v>
      </c>
      <c r="G524" s="17" t="s">
        <v>7747</v>
      </c>
      <c r="H524" s="7" t="s">
        <v>28</v>
      </c>
      <c r="I524" s="7" t="s">
        <v>1516</v>
      </c>
      <c r="J524" s="7" t="s">
        <v>53</v>
      </c>
      <c r="K524" s="7" t="s">
        <v>54</v>
      </c>
      <c r="L524" s="7" t="s">
        <v>55</v>
      </c>
      <c r="M524" s="7">
        <v>4.0465559999999998</v>
      </c>
      <c r="N524" s="7">
        <v>9.7662220000000008</v>
      </c>
      <c r="O524" s="7" t="s">
        <v>613</v>
      </c>
      <c r="P524" s="3"/>
      <c r="Q524" s="3"/>
      <c r="R524" s="3"/>
    </row>
    <row r="525" spans="1:18" x14ac:dyDescent="0.25">
      <c r="A525" s="2">
        <v>681</v>
      </c>
      <c r="B525" s="7" t="s">
        <v>3034</v>
      </c>
      <c r="C525" s="7" t="s">
        <v>3035</v>
      </c>
      <c r="D525" s="7" t="s">
        <v>3034</v>
      </c>
      <c r="E525" s="7" t="s">
        <v>50</v>
      </c>
      <c r="F525" s="7" t="s">
        <v>3036</v>
      </c>
      <c r="G525" s="17" t="s">
        <v>7747</v>
      </c>
      <c r="H525" s="7" t="s">
        <v>28</v>
      </c>
      <c r="I525" s="7" t="s">
        <v>1403</v>
      </c>
      <c r="J525" s="7" t="s">
        <v>53</v>
      </c>
      <c r="K525" s="7" t="s">
        <v>2213</v>
      </c>
      <c r="L525" s="7" t="s">
        <v>55</v>
      </c>
      <c r="M525" s="7">
        <v>4.0219889999999996</v>
      </c>
      <c r="N525" s="7">
        <v>9.6700420000000005</v>
      </c>
      <c r="O525" s="7" t="s">
        <v>23</v>
      </c>
      <c r="P525" s="3"/>
      <c r="Q525" s="3"/>
      <c r="R525" s="3"/>
    </row>
    <row r="526" spans="1:18" x14ac:dyDescent="0.25">
      <c r="A526" s="2">
        <v>682</v>
      </c>
      <c r="B526" s="7" t="s">
        <v>3037</v>
      </c>
      <c r="C526" s="7" t="s">
        <v>3038</v>
      </c>
      <c r="D526" s="7" t="s">
        <v>3037</v>
      </c>
      <c r="E526" s="7" t="s">
        <v>50</v>
      </c>
      <c r="F526" s="7" t="s">
        <v>3039</v>
      </c>
      <c r="G526" s="17" t="s">
        <v>7747</v>
      </c>
      <c r="H526" s="7" t="s">
        <v>28</v>
      </c>
      <c r="I526" s="7" t="s">
        <v>960</v>
      </c>
      <c r="J526" s="7" t="s">
        <v>53</v>
      </c>
      <c r="K526" s="7" t="s">
        <v>628</v>
      </c>
      <c r="L526" s="7" t="s">
        <v>55</v>
      </c>
      <c r="M526" s="7">
        <v>4.1054529999999998</v>
      </c>
      <c r="N526" s="7">
        <v>9.5960479999999997</v>
      </c>
      <c r="O526" s="7" t="s">
        <v>23</v>
      </c>
      <c r="P526" s="3"/>
      <c r="Q526" s="3"/>
      <c r="R526" s="3"/>
    </row>
    <row r="527" spans="1:18" x14ac:dyDescent="0.25">
      <c r="A527" s="2">
        <v>683</v>
      </c>
      <c r="B527" s="7" t="s">
        <v>3043</v>
      </c>
      <c r="C527" s="7" t="s">
        <v>3044</v>
      </c>
      <c r="D527" s="7" t="s">
        <v>3043</v>
      </c>
      <c r="E527" s="7" t="s">
        <v>50</v>
      </c>
      <c r="F527" s="7" t="s">
        <v>3045</v>
      </c>
      <c r="G527" s="17" t="s">
        <v>7747</v>
      </c>
      <c r="H527" s="7" t="s">
        <v>28</v>
      </c>
      <c r="I527" s="7" t="s">
        <v>1478</v>
      </c>
      <c r="J527" s="7" t="s">
        <v>53</v>
      </c>
      <c r="K527" s="7" t="s">
        <v>612</v>
      </c>
      <c r="L527" s="7" t="s">
        <v>55</v>
      </c>
      <c r="M527" s="7">
        <v>4.1101679999999998</v>
      </c>
      <c r="N527" s="7">
        <v>9.7705610000000007</v>
      </c>
      <c r="O527" s="7" t="s">
        <v>23</v>
      </c>
      <c r="P527" s="3"/>
      <c r="Q527" s="3"/>
      <c r="R527" s="3"/>
    </row>
    <row r="528" spans="1:18" x14ac:dyDescent="0.25">
      <c r="A528" s="2">
        <v>684</v>
      </c>
      <c r="B528" s="7" t="s">
        <v>3064</v>
      </c>
      <c r="C528" s="7" t="s">
        <v>3065</v>
      </c>
      <c r="D528" s="7" t="s">
        <v>3064</v>
      </c>
      <c r="E528" s="7" t="s">
        <v>50</v>
      </c>
      <c r="F528" s="7" t="s">
        <v>3066</v>
      </c>
      <c r="G528" s="17" t="s">
        <v>7747</v>
      </c>
      <c r="H528" s="7" t="s">
        <v>28</v>
      </c>
      <c r="I528" s="7" t="s">
        <v>1575</v>
      </c>
      <c r="J528" s="7" t="s">
        <v>53</v>
      </c>
      <c r="K528" s="7" t="s">
        <v>54</v>
      </c>
      <c r="L528" s="7" t="s">
        <v>55</v>
      </c>
      <c r="M528" s="7">
        <v>4.01119</v>
      </c>
      <c r="N528" s="7">
        <v>9.7503320000000002</v>
      </c>
      <c r="O528" s="7" t="s">
        <v>23</v>
      </c>
      <c r="P528" s="3"/>
      <c r="Q528" s="3"/>
      <c r="R528" s="3"/>
    </row>
    <row r="529" spans="1:18" x14ac:dyDescent="0.25">
      <c r="A529" s="2">
        <v>685</v>
      </c>
      <c r="B529" s="7" t="s">
        <v>3084</v>
      </c>
      <c r="C529" s="7" t="s">
        <v>3085</v>
      </c>
      <c r="D529" s="7" t="s">
        <v>3084</v>
      </c>
      <c r="E529" s="7" t="s">
        <v>50</v>
      </c>
      <c r="F529" s="7" t="s">
        <v>3086</v>
      </c>
      <c r="G529" s="17" t="s">
        <v>7747</v>
      </c>
      <c r="H529" s="7" t="s">
        <v>19</v>
      </c>
      <c r="I529" s="7" t="s">
        <v>611</v>
      </c>
      <c r="J529" s="7" t="s">
        <v>53</v>
      </c>
      <c r="K529" s="7" t="s">
        <v>612</v>
      </c>
      <c r="L529" s="7" t="s">
        <v>55</v>
      </c>
      <c r="M529" s="7">
        <v>4.1009890000000002</v>
      </c>
      <c r="N529" s="7">
        <v>9.7501920000000002</v>
      </c>
      <c r="O529" s="7" t="s">
        <v>23</v>
      </c>
      <c r="P529" s="3"/>
      <c r="Q529" s="3"/>
      <c r="R529" s="3"/>
    </row>
    <row r="530" spans="1:18" x14ac:dyDescent="0.25">
      <c r="A530" s="2">
        <v>686</v>
      </c>
      <c r="B530" s="7" t="s">
        <v>3087</v>
      </c>
      <c r="C530" s="7" t="s">
        <v>3088</v>
      </c>
      <c r="D530" s="7" t="s">
        <v>3087</v>
      </c>
      <c r="E530" s="7" t="s">
        <v>50</v>
      </c>
      <c r="F530" s="7" t="s">
        <v>3089</v>
      </c>
      <c r="G530" s="17" t="s">
        <v>7747</v>
      </c>
      <c r="H530" s="7" t="s">
        <v>28</v>
      </c>
      <c r="I530" s="7" t="s">
        <v>611</v>
      </c>
      <c r="J530" s="7" t="s">
        <v>53</v>
      </c>
      <c r="K530" s="7" t="s">
        <v>612</v>
      </c>
      <c r="L530" s="7" t="s">
        <v>55</v>
      </c>
      <c r="M530" s="7">
        <v>4.065194</v>
      </c>
      <c r="N530" s="7">
        <v>9.7612500000000004</v>
      </c>
      <c r="O530" s="7" t="s">
        <v>613</v>
      </c>
      <c r="P530" s="3"/>
      <c r="Q530" s="3"/>
      <c r="R530" s="3"/>
    </row>
    <row r="531" spans="1:18" x14ac:dyDescent="0.25">
      <c r="A531" s="2">
        <v>687</v>
      </c>
      <c r="B531" s="7" t="s">
        <v>3111</v>
      </c>
      <c r="C531" s="7" t="s">
        <v>3112</v>
      </c>
      <c r="D531" s="7" t="s">
        <v>3111</v>
      </c>
      <c r="E531" s="7" t="s">
        <v>34</v>
      </c>
      <c r="F531" s="7" t="s">
        <v>3113</v>
      </c>
      <c r="G531" s="17" t="s">
        <v>7747</v>
      </c>
      <c r="H531" s="7" t="s">
        <v>28</v>
      </c>
      <c r="I531" s="7" t="s">
        <v>356</v>
      </c>
      <c r="J531" s="7" t="s">
        <v>152</v>
      </c>
      <c r="K531" s="7" t="s">
        <v>1721</v>
      </c>
      <c r="L531" s="7" t="s">
        <v>55</v>
      </c>
      <c r="M531" s="7">
        <v>4.1267170000000002</v>
      </c>
      <c r="N531" s="7">
        <v>9.5877490000000005</v>
      </c>
      <c r="O531" s="7" t="s">
        <v>23</v>
      </c>
      <c r="P531" s="3"/>
      <c r="Q531" s="3"/>
      <c r="R531" s="3"/>
    </row>
    <row r="532" spans="1:18" x14ac:dyDescent="0.25">
      <c r="A532" s="2">
        <v>688</v>
      </c>
      <c r="B532" s="7" t="s">
        <v>3129</v>
      </c>
      <c r="C532" s="7" t="s">
        <v>3130</v>
      </c>
      <c r="D532" s="7" t="s">
        <v>3129</v>
      </c>
      <c r="E532" s="7" t="s">
        <v>50</v>
      </c>
      <c r="F532" s="7" t="s">
        <v>3131</v>
      </c>
      <c r="G532" s="17" t="s">
        <v>7747</v>
      </c>
      <c r="H532" s="7" t="s">
        <v>28</v>
      </c>
      <c r="I532" s="7" t="s">
        <v>1575</v>
      </c>
      <c r="J532" s="7" t="s">
        <v>53</v>
      </c>
      <c r="K532" s="7" t="s">
        <v>54</v>
      </c>
      <c r="L532" s="7" t="s">
        <v>55</v>
      </c>
      <c r="M532" s="7">
        <v>4.0283720000000001</v>
      </c>
      <c r="N532" s="7">
        <v>9.7420770000000001</v>
      </c>
      <c r="O532" s="7" t="s">
        <v>23</v>
      </c>
      <c r="P532" s="3"/>
      <c r="Q532" s="3"/>
      <c r="R532" s="3"/>
    </row>
    <row r="533" spans="1:18" x14ac:dyDescent="0.25">
      <c r="A533" s="2">
        <v>689</v>
      </c>
      <c r="B533" s="7" t="s">
        <v>3148</v>
      </c>
      <c r="C533" s="7" t="s">
        <v>3149</v>
      </c>
      <c r="D533" s="7" t="s">
        <v>3148</v>
      </c>
      <c r="E533" s="7" t="s">
        <v>50</v>
      </c>
      <c r="F533" s="7" t="s">
        <v>3150</v>
      </c>
      <c r="G533" s="17" t="s">
        <v>7747</v>
      </c>
      <c r="H533" s="7" t="s">
        <v>28</v>
      </c>
      <c r="I533" s="7" t="s">
        <v>1403</v>
      </c>
      <c r="J533" s="7" t="s">
        <v>53</v>
      </c>
      <c r="K533" s="7" t="s">
        <v>1404</v>
      </c>
      <c r="L533" s="7" t="s">
        <v>55</v>
      </c>
      <c r="M533" s="7">
        <v>4.0231250000000003</v>
      </c>
      <c r="N533" s="7">
        <v>9.6696930000000005</v>
      </c>
      <c r="O533" s="7" t="s">
        <v>23</v>
      </c>
      <c r="P533" s="3"/>
      <c r="Q533" s="3"/>
      <c r="R533" s="3"/>
    </row>
    <row r="534" spans="1:18" x14ac:dyDescent="0.25">
      <c r="A534" s="2">
        <v>690</v>
      </c>
      <c r="B534" s="7" t="s">
        <v>3166</v>
      </c>
      <c r="C534" s="7" t="s">
        <v>3167</v>
      </c>
      <c r="D534" s="7" t="s">
        <v>3166</v>
      </c>
      <c r="E534" s="7" t="s">
        <v>50</v>
      </c>
      <c r="F534" s="7" t="s">
        <v>3168</v>
      </c>
      <c r="G534" s="17" t="s">
        <v>7747</v>
      </c>
      <c r="H534" s="7" t="s">
        <v>28</v>
      </c>
      <c r="I534" s="7" t="s">
        <v>611</v>
      </c>
      <c r="J534" s="7" t="s">
        <v>53</v>
      </c>
      <c r="K534" s="7" t="s">
        <v>54</v>
      </c>
      <c r="L534" s="7" t="s">
        <v>55</v>
      </c>
      <c r="M534" s="7">
        <v>4.0380500000000001</v>
      </c>
      <c r="N534" s="7">
        <v>9.7605299999999993</v>
      </c>
      <c r="O534" s="7" t="s">
        <v>613</v>
      </c>
      <c r="P534" s="3"/>
      <c r="Q534" s="3"/>
      <c r="R534" s="3"/>
    </row>
    <row r="535" spans="1:18" x14ac:dyDescent="0.25">
      <c r="A535" s="2">
        <v>691</v>
      </c>
      <c r="B535" s="7" t="s">
        <v>3176</v>
      </c>
      <c r="C535" s="7" t="s">
        <v>3177</v>
      </c>
      <c r="D535" s="7" t="s">
        <v>3176</v>
      </c>
      <c r="E535" s="7" t="s">
        <v>50</v>
      </c>
      <c r="F535" s="7" t="s">
        <v>3178</v>
      </c>
      <c r="G535" s="17" t="s">
        <v>7747</v>
      </c>
      <c r="H535" s="7" t="s">
        <v>28</v>
      </c>
      <c r="I535" s="7" t="s">
        <v>1478</v>
      </c>
      <c r="J535" s="7" t="s">
        <v>53</v>
      </c>
      <c r="K535" s="7" t="s">
        <v>612</v>
      </c>
      <c r="L535" s="7" t="s">
        <v>55</v>
      </c>
      <c r="M535" s="7">
        <v>4.0984569999999998</v>
      </c>
      <c r="N535" s="7">
        <v>9.7313410000000005</v>
      </c>
      <c r="O535" s="7" t="s">
        <v>613</v>
      </c>
      <c r="P535" s="3"/>
      <c r="Q535" s="3"/>
      <c r="R535" s="3"/>
    </row>
    <row r="536" spans="1:18" x14ac:dyDescent="0.25">
      <c r="A536" s="2">
        <v>692</v>
      </c>
      <c r="B536" s="7" t="s">
        <v>3212</v>
      </c>
      <c r="C536" s="7" t="s">
        <v>3213</v>
      </c>
      <c r="D536" s="7" t="s">
        <v>3212</v>
      </c>
      <c r="E536" s="7" t="s">
        <v>50</v>
      </c>
      <c r="F536" s="7" t="s">
        <v>3214</v>
      </c>
      <c r="G536" s="17" t="s">
        <v>7747</v>
      </c>
      <c r="H536" s="7" t="s">
        <v>28</v>
      </c>
      <c r="I536" s="7" t="s">
        <v>1516</v>
      </c>
      <c r="J536" s="7" t="s">
        <v>53</v>
      </c>
      <c r="K536" s="7" t="s">
        <v>612</v>
      </c>
      <c r="L536" s="7" t="s">
        <v>55</v>
      </c>
      <c r="M536" s="7">
        <v>4.0703300000000002</v>
      </c>
      <c r="N536" s="7">
        <v>9.7823600000000006</v>
      </c>
      <c r="O536" s="7" t="s">
        <v>23</v>
      </c>
      <c r="P536" s="3"/>
      <c r="Q536" s="3"/>
      <c r="R536" s="3"/>
    </row>
    <row r="537" spans="1:18" x14ac:dyDescent="0.25">
      <c r="A537" s="2">
        <v>693</v>
      </c>
      <c r="B537" s="7" t="s">
        <v>3247</v>
      </c>
      <c r="C537" s="7" t="s">
        <v>3248</v>
      </c>
      <c r="D537" s="7" t="s">
        <v>3247</v>
      </c>
      <c r="E537" s="7" t="s">
        <v>50</v>
      </c>
      <c r="F537" s="7" t="s">
        <v>3249</v>
      </c>
      <c r="G537" s="17" t="s">
        <v>7747</v>
      </c>
      <c r="H537" s="7" t="s">
        <v>28</v>
      </c>
      <c r="I537" s="7" t="s">
        <v>1403</v>
      </c>
      <c r="J537" s="7" t="s">
        <v>53</v>
      </c>
      <c r="K537" s="7" t="s">
        <v>1404</v>
      </c>
      <c r="L537" s="7" t="s">
        <v>55</v>
      </c>
      <c r="M537" s="7">
        <v>4.027228</v>
      </c>
      <c r="N537" s="7">
        <v>9.6660140000000006</v>
      </c>
      <c r="O537" s="7" t="s">
        <v>23</v>
      </c>
      <c r="P537" s="3"/>
      <c r="Q537" s="3"/>
      <c r="R537" s="3"/>
    </row>
    <row r="538" spans="1:18" x14ac:dyDescent="0.25">
      <c r="A538" s="2">
        <v>694</v>
      </c>
      <c r="B538" s="7" t="s">
        <v>3256</v>
      </c>
      <c r="C538" s="7" t="s">
        <v>3257</v>
      </c>
      <c r="D538" s="7" t="s">
        <v>3256</v>
      </c>
      <c r="E538" s="7" t="s">
        <v>50</v>
      </c>
      <c r="F538" s="7" t="s">
        <v>3258</v>
      </c>
      <c r="G538" s="17" t="s">
        <v>7747</v>
      </c>
      <c r="H538" s="7" t="s">
        <v>28</v>
      </c>
      <c r="I538" s="7" t="s">
        <v>960</v>
      </c>
      <c r="J538" s="7" t="s">
        <v>53</v>
      </c>
      <c r="K538" s="7" t="s">
        <v>628</v>
      </c>
      <c r="L538" s="7" t="s">
        <v>55</v>
      </c>
      <c r="M538" s="7">
        <v>4.0962899999999998</v>
      </c>
      <c r="N538" s="7">
        <v>9.6590279999999993</v>
      </c>
      <c r="O538" s="7" t="s">
        <v>23</v>
      </c>
      <c r="P538" s="3"/>
      <c r="Q538" s="3"/>
      <c r="R538" s="3"/>
    </row>
    <row r="539" spans="1:18" x14ac:dyDescent="0.25">
      <c r="A539" s="2">
        <v>695</v>
      </c>
      <c r="B539" s="7" t="s">
        <v>3296</v>
      </c>
      <c r="C539" s="7" t="s">
        <v>3297</v>
      </c>
      <c r="D539" s="7" t="s">
        <v>3296</v>
      </c>
      <c r="E539" s="7" t="s">
        <v>50</v>
      </c>
      <c r="F539" s="7" t="s">
        <v>3298</v>
      </c>
      <c r="G539" s="17" t="s">
        <v>7747</v>
      </c>
      <c r="H539" s="7" t="s">
        <v>28</v>
      </c>
      <c r="I539" s="7" t="s">
        <v>627</v>
      </c>
      <c r="J539" s="7" t="s">
        <v>53</v>
      </c>
      <c r="K539" s="7" t="s">
        <v>628</v>
      </c>
      <c r="L539" s="7" t="s">
        <v>55</v>
      </c>
      <c r="M539" s="7">
        <v>4.0979970000000003</v>
      </c>
      <c r="N539" s="7">
        <v>9.6608420000000006</v>
      </c>
      <c r="O539" s="7" t="s">
        <v>613</v>
      </c>
      <c r="P539" s="3"/>
      <c r="Q539" s="3"/>
      <c r="R539" s="3"/>
    </row>
    <row r="540" spans="1:18" x14ac:dyDescent="0.25">
      <c r="A540" s="2">
        <v>696</v>
      </c>
      <c r="B540" s="7" t="s">
        <v>3310</v>
      </c>
      <c r="C540" s="7" t="s">
        <v>3311</v>
      </c>
      <c r="D540" s="7" t="s">
        <v>3310</v>
      </c>
      <c r="E540" s="7" t="s">
        <v>50</v>
      </c>
      <c r="F540" s="7" t="s">
        <v>3312</v>
      </c>
      <c r="G540" s="17" t="s">
        <v>7747</v>
      </c>
      <c r="H540" s="7" t="s">
        <v>28</v>
      </c>
      <c r="I540" s="7" t="s">
        <v>1516</v>
      </c>
      <c r="J540" s="7" t="s">
        <v>53</v>
      </c>
      <c r="K540" s="7" t="s">
        <v>54</v>
      </c>
      <c r="L540" s="7" t="s">
        <v>55</v>
      </c>
      <c r="M540" s="7">
        <v>4.0629020000000002</v>
      </c>
      <c r="N540" s="7">
        <v>9.7869729999999997</v>
      </c>
      <c r="O540" s="7" t="s">
        <v>23</v>
      </c>
      <c r="P540" s="3"/>
      <c r="Q540" s="3"/>
      <c r="R540" s="3"/>
    </row>
    <row r="541" spans="1:18" x14ac:dyDescent="0.25">
      <c r="A541" s="2">
        <v>697</v>
      </c>
      <c r="B541" s="7" t="s">
        <v>3332</v>
      </c>
      <c r="C541" s="7" t="s">
        <v>3333</v>
      </c>
      <c r="D541" s="7" t="s">
        <v>3332</v>
      </c>
      <c r="E541" s="7" t="s">
        <v>50</v>
      </c>
      <c r="F541" s="7" t="s">
        <v>3334</v>
      </c>
      <c r="G541" s="17" t="s">
        <v>7747</v>
      </c>
      <c r="H541" s="7" t="s">
        <v>28</v>
      </c>
      <c r="I541" s="7" t="s">
        <v>627</v>
      </c>
      <c r="J541" s="7" t="s">
        <v>53</v>
      </c>
      <c r="K541" s="7" t="s">
        <v>628</v>
      </c>
      <c r="L541" s="7" t="s">
        <v>55</v>
      </c>
      <c r="M541" s="7">
        <v>4.0763579999999999</v>
      </c>
      <c r="N541" s="7">
        <v>9.6563689999999998</v>
      </c>
      <c r="O541" s="7" t="s">
        <v>23</v>
      </c>
      <c r="P541" s="3"/>
      <c r="Q541" s="3"/>
      <c r="R541" s="3"/>
    </row>
    <row r="542" spans="1:18" x14ac:dyDescent="0.25">
      <c r="A542" s="2">
        <v>698</v>
      </c>
      <c r="B542" s="7" t="s">
        <v>3389</v>
      </c>
      <c r="C542" s="7" t="s">
        <v>3390</v>
      </c>
      <c r="D542" s="7" t="s">
        <v>3389</v>
      </c>
      <c r="E542" s="7" t="s">
        <v>50</v>
      </c>
      <c r="F542" s="7" t="s">
        <v>3391</v>
      </c>
      <c r="G542" s="17" t="s">
        <v>7747</v>
      </c>
      <c r="H542" s="7" t="s">
        <v>28</v>
      </c>
      <c r="I542" s="7" t="s">
        <v>627</v>
      </c>
      <c r="J542" s="7" t="s">
        <v>53</v>
      </c>
      <c r="K542" s="7" t="s">
        <v>628</v>
      </c>
      <c r="L542" s="7" t="s">
        <v>55</v>
      </c>
      <c r="M542" s="7">
        <v>4.0754900000000003</v>
      </c>
      <c r="N542" s="7">
        <v>9.6631599999999995</v>
      </c>
      <c r="O542" s="7" t="s">
        <v>23</v>
      </c>
      <c r="P542" s="3"/>
      <c r="Q542" s="3"/>
      <c r="R542" s="3"/>
    </row>
    <row r="543" spans="1:18" x14ac:dyDescent="0.25">
      <c r="A543" s="2">
        <v>699</v>
      </c>
      <c r="B543" s="7" t="s">
        <v>3424</v>
      </c>
      <c r="C543" s="7" t="s">
        <v>3425</v>
      </c>
      <c r="D543" s="7" t="s">
        <v>3424</v>
      </c>
      <c r="E543" s="7" t="s">
        <v>50</v>
      </c>
      <c r="F543" s="7" t="s">
        <v>3426</v>
      </c>
      <c r="G543" s="17" t="s">
        <v>7747</v>
      </c>
      <c r="H543" s="7" t="s">
        <v>28</v>
      </c>
      <c r="I543" s="7" t="s">
        <v>1958</v>
      </c>
      <c r="J543" s="7" t="s">
        <v>53</v>
      </c>
      <c r="K543" s="7" t="s">
        <v>1404</v>
      </c>
      <c r="L543" s="7" t="s">
        <v>55</v>
      </c>
      <c r="M543" s="7">
        <v>4.0453000000000001</v>
      </c>
      <c r="N543" s="7">
        <v>9.7067499999999995</v>
      </c>
      <c r="O543" s="7" t="s">
        <v>613</v>
      </c>
      <c r="P543" s="3"/>
      <c r="Q543" s="3"/>
      <c r="R543" s="3"/>
    </row>
    <row r="544" spans="1:18" x14ac:dyDescent="0.25">
      <c r="A544" s="2">
        <v>700</v>
      </c>
      <c r="B544" s="7" t="s">
        <v>3436</v>
      </c>
      <c r="C544" s="7" t="s">
        <v>3437</v>
      </c>
      <c r="D544" s="7" t="s">
        <v>3436</v>
      </c>
      <c r="E544" s="7" t="s">
        <v>50</v>
      </c>
      <c r="F544" s="7" t="s">
        <v>3438</v>
      </c>
      <c r="G544" s="17" t="s">
        <v>7747</v>
      </c>
      <c r="H544" s="7" t="s">
        <v>28</v>
      </c>
      <c r="I544" s="7" t="s">
        <v>52</v>
      </c>
      <c r="J544" s="7" t="s">
        <v>53</v>
      </c>
      <c r="K544" s="7" t="s">
        <v>54</v>
      </c>
      <c r="L544" s="7" t="s">
        <v>55</v>
      </c>
      <c r="M544" s="7">
        <v>4.0044719999999998</v>
      </c>
      <c r="N544" s="7">
        <v>9.7620559999999994</v>
      </c>
      <c r="O544" s="7" t="s">
        <v>613</v>
      </c>
      <c r="P544" s="3"/>
      <c r="Q544" s="3"/>
      <c r="R544" s="3"/>
    </row>
    <row r="545" spans="1:18" x14ac:dyDescent="0.25">
      <c r="A545" s="2">
        <v>701</v>
      </c>
      <c r="B545" s="7" t="s">
        <v>3442</v>
      </c>
      <c r="C545" s="7" t="s">
        <v>3443</v>
      </c>
      <c r="D545" s="7" t="s">
        <v>3442</v>
      </c>
      <c r="E545" s="7" t="s">
        <v>50</v>
      </c>
      <c r="F545" s="7" t="s">
        <v>3444</v>
      </c>
      <c r="G545" s="17" t="s">
        <v>7747</v>
      </c>
      <c r="H545" s="7" t="s">
        <v>28</v>
      </c>
      <c r="I545" s="7" t="s">
        <v>1516</v>
      </c>
      <c r="J545" s="7" t="s">
        <v>53</v>
      </c>
      <c r="K545" s="7" t="s">
        <v>54</v>
      </c>
      <c r="L545" s="7" t="s">
        <v>55</v>
      </c>
      <c r="M545" s="7">
        <v>4.050465</v>
      </c>
      <c r="N545" s="7">
        <v>9.7978400000000008</v>
      </c>
      <c r="O545" s="7" t="s">
        <v>613</v>
      </c>
      <c r="P545" s="3"/>
      <c r="Q545" s="3"/>
      <c r="R545" s="3"/>
    </row>
    <row r="546" spans="1:18" x14ac:dyDescent="0.25">
      <c r="A546" s="2">
        <v>702</v>
      </c>
      <c r="B546" s="7" t="s">
        <v>3450</v>
      </c>
      <c r="C546" s="7" t="s">
        <v>3451</v>
      </c>
      <c r="D546" s="7" t="s">
        <v>3450</v>
      </c>
      <c r="E546" s="7" t="s">
        <v>50</v>
      </c>
      <c r="F546" s="7" t="s">
        <v>3452</v>
      </c>
      <c r="G546" s="17" t="s">
        <v>7747</v>
      </c>
      <c r="H546" s="7" t="s">
        <v>28</v>
      </c>
      <c r="I546" s="7" t="s">
        <v>1575</v>
      </c>
      <c r="J546" s="7" t="s">
        <v>53</v>
      </c>
      <c r="K546" s="7" t="s">
        <v>54</v>
      </c>
      <c r="L546" s="7" t="s">
        <v>55</v>
      </c>
      <c r="M546" s="7">
        <v>4.0075700000000003</v>
      </c>
      <c r="N546" s="7">
        <v>9.7437699999999996</v>
      </c>
      <c r="O546" s="7" t="s">
        <v>613</v>
      </c>
      <c r="P546" s="3"/>
      <c r="Q546" s="3"/>
      <c r="R546" s="3"/>
    </row>
    <row r="547" spans="1:18" x14ac:dyDescent="0.25">
      <c r="A547" s="2">
        <v>703</v>
      </c>
      <c r="B547" s="7" t="s">
        <v>3465</v>
      </c>
      <c r="C547" s="7" t="s">
        <v>3466</v>
      </c>
      <c r="D547" s="7" t="s">
        <v>3465</v>
      </c>
      <c r="E547" s="7" t="s">
        <v>50</v>
      </c>
      <c r="F547" s="7" t="s">
        <v>3467</v>
      </c>
      <c r="G547" s="17" t="s">
        <v>7747</v>
      </c>
      <c r="H547" s="7" t="s">
        <v>28</v>
      </c>
      <c r="I547" s="7" t="s">
        <v>1329</v>
      </c>
      <c r="J547" s="7" t="s">
        <v>53</v>
      </c>
      <c r="K547" s="7" t="s">
        <v>612</v>
      </c>
      <c r="L547" s="7" t="s">
        <v>55</v>
      </c>
      <c r="M547" s="7">
        <v>4.058605</v>
      </c>
      <c r="N547" s="7">
        <v>9.734</v>
      </c>
      <c r="O547" s="7" t="s">
        <v>613</v>
      </c>
      <c r="P547" s="3"/>
      <c r="Q547" s="3"/>
      <c r="R547" s="3"/>
    </row>
    <row r="548" spans="1:18" x14ac:dyDescent="0.25">
      <c r="A548" s="2">
        <v>704</v>
      </c>
      <c r="B548" s="7" t="s">
        <v>3470</v>
      </c>
      <c r="C548" s="7" t="s">
        <v>3471</v>
      </c>
      <c r="D548" s="7" t="s">
        <v>3470</v>
      </c>
      <c r="E548" s="7" t="s">
        <v>50</v>
      </c>
      <c r="F548" s="7" t="s">
        <v>3472</v>
      </c>
      <c r="G548" s="17" t="s">
        <v>7747</v>
      </c>
      <c r="H548" s="7" t="s">
        <v>28</v>
      </c>
      <c r="I548" s="7" t="s">
        <v>1575</v>
      </c>
      <c r="J548" s="7" t="s">
        <v>53</v>
      </c>
      <c r="K548" s="7" t="s">
        <v>54</v>
      </c>
      <c r="L548" s="7" t="s">
        <v>55</v>
      </c>
      <c r="M548" s="7">
        <v>4.0084999999999997</v>
      </c>
      <c r="N548" s="7">
        <v>9.7371189999999999</v>
      </c>
      <c r="O548" s="7" t="s">
        <v>23</v>
      </c>
      <c r="P548" s="3"/>
      <c r="Q548" s="3"/>
      <c r="R548" s="3"/>
    </row>
    <row r="549" spans="1:18" x14ac:dyDescent="0.25">
      <c r="A549" s="2">
        <v>705</v>
      </c>
      <c r="B549" s="7" t="s">
        <v>3479</v>
      </c>
      <c r="C549" s="7" t="s">
        <v>3480</v>
      </c>
      <c r="D549" s="7" t="s">
        <v>3479</v>
      </c>
      <c r="E549" s="7" t="s">
        <v>50</v>
      </c>
      <c r="F549" s="7" t="s">
        <v>3481</v>
      </c>
      <c r="G549" s="17" t="s">
        <v>7747</v>
      </c>
      <c r="H549" s="7" t="s">
        <v>28</v>
      </c>
      <c r="I549" s="7" t="s">
        <v>960</v>
      </c>
      <c r="J549" s="7" t="s">
        <v>53</v>
      </c>
      <c r="K549" s="7" t="s">
        <v>628</v>
      </c>
      <c r="L549" s="7" t="s">
        <v>55</v>
      </c>
      <c r="M549" s="7">
        <v>4.1124229999999997</v>
      </c>
      <c r="N549" s="7">
        <v>9.6449420000000003</v>
      </c>
      <c r="O549" s="7" t="s">
        <v>23</v>
      </c>
      <c r="P549" s="3"/>
      <c r="Q549" s="3"/>
      <c r="R549" s="3"/>
    </row>
    <row r="550" spans="1:18" x14ac:dyDescent="0.25">
      <c r="A550" s="2">
        <v>706</v>
      </c>
      <c r="B550" s="7" t="s">
        <v>3488</v>
      </c>
      <c r="C550" s="7" t="s">
        <v>3489</v>
      </c>
      <c r="D550" s="7" t="s">
        <v>3488</v>
      </c>
      <c r="E550" s="7" t="s">
        <v>50</v>
      </c>
      <c r="F550" s="7" t="s">
        <v>3490</v>
      </c>
      <c r="G550" s="17" t="s">
        <v>7747</v>
      </c>
      <c r="H550" s="7" t="s">
        <v>28</v>
      </c>
      <c r="I550" s="7" t="s">
        <v>1575</v>
      </c>
      <c r="J550" s="7" t="s">
        <v>53</v>
      </c>
      <c r="K550" s="7" t="s">
        <v>54</v>
      </c>
      <c r="L550" s="7" t="s">
        <v>55</v>
      </c>
      <c r="M550" s="7">
        <v>4.0201099999999999</v>
      </c>
      <c r="N550" s="7">
        <v>9.7235700000000005</v>
      </c>
      <c r="O550" s="7" t="s">
        <v>613</v>
      </c>
      <c r="P550" s="3"/>
      <c r="Q550" s="3"/>
      <c r="R550" s="3"/>
    </row>
    <row r="551" spans="1:18" x14ac:dyDescent="0.25">
      <c r="A551" s="2">
        <v>707</v>
      </c>
      <c r="B551" s="7" t="s">
        <v>3500</v>
      </c>
      <c r="C551" s="7" t="s">
        <v>3501</v>
      </c>
      <c r="D551" s="7" t="s">
        <v>3500</v>
      </c>
      <c r="E551" s="7" t="s">
        <v>50</v>
      </c>
      <c r="F551" s="7" t="s">
        <v>3502</v>
      </c>
      <c r="G551" s="17" t="s">
        <v>7747</v>
      </c>
      <c r="H551" s="7" t="s">
        <v>19</v>
      </c>
      <c r="I551" s="7" t="s">
        <v>960</v>
      </c>
      <c r="J551" s="7" t="s">
        <v>53</v>
      </c>
      <c r="K551" s="7" t="s">
        <v>628</v>
      </c>
      <c r="L551" s="7" t="s">
        <v>55</v>
      </c>
      <c r="M551" s="7">
        <v>4.1020560000000001</v>
      </c>
      <c r="N551" s="7">
        <v>9.6314139999999995</v>
      </c>
      <c r="O551" s="7" t="s">
        <v>23</v>
      </c>
      <c r="P551" s="3"/>
      <c r="Q551" s="3"/>
      <c r="R551" s="3"/>
    </row>
    <row r="552" spans="1:18" x14ac:dyDescent="0.25">
      <c r="A552" s="2">
        <v>708</v>
      </c>
      <c r="B552" s="7" t="s">
        <v>3523</v>
      </c>
      <c r="C552" s="7" t="s">
        <v>3524</v>
      </c>
      <c r="D552" s="7" t="s">
        <v>3523</v>
      </c>
      <c r="E552" s="7" t="s">
        <v>50</v>
      </c>
      <c r="F552" s="7" t="s">
        <v>3525</v>
      </c>
      <c r="G552" s="17" t="s">
        <v>7747</v>
      </c>
      <c r="H552" s="7" t="s">
        <v>28</v>
      </c>
      <c r="I552" s="7" t="s">
        <v>2024</v>
      </c>
      <c r="J552" s="7" t="s">
        <v>53</v>
      </c>
      <c r="K552" s="7" t="s">
        <v>2213</v>
      </c>
      <c r="L552" s="7" t="s">
        <v>55</v>
      </c>
      <c r="M552" s="7">
        <v>4.0369849999999996</v>
      </c>
      <c r="N552" s="7">
        <v>9.7167080000000006</v>
      </c>
      <c r="O552" s="7" t="s">
        <v>613</v>
      </c>
      <c r="P552" s="3"/>
      <c r="Q552" s="3"/>
      <c r="R552" s="3"/>
    </row>
    <row r="553" spans="1:18" x14ac:dyDescent="0.25">
      <c r="A553" s="2">
        <v>709</v>
      </c>
      <c r="B553" s="7" t="s">
        <v>3538</v>
      </c>
      <c r="C553" s="7" t="s">
        <v>3539</v>
      </c>
      <c r="D553" s="7" t="s">
        <v>3538</v>
      </c>
      <c r="E553" s="7" t="s">
        <v>50</v>
      </c>
      <c r="F553" s="7" t="s">
        <v>3540</v>
      </c>
      <c r="G553" s="17" t="s">
        <v>7747</v>
      </c>
      <c r="H553" s="7" t="s">
        <v>28</v>
      </c>
      <c r="I553" s="7" t="s">
        <v>1575</v>
      </c>
      <c r="J553" s="7" t="s">
        <v>53</v>
      </c>
      <c r="K553" s="7" t="s">
        <v>54</v>
      </c>
      <c r="L553" s="7" t="s">
        <v>55</v>
      </c>
      <c r="M553" s="7">
        <v>4.0144330000000004</v>
      </c>
      <c r="N553" s="7">
        <v>9.7447169999999996</v>
      </c>
      <c r="O553" s="7" t="s">
        <v>613</v>
      </c>
      <c r="P553" s="3"/>
      <c r="Q553" s="3"/>
      <c r="R553" s="3"/>
    </row>
    <row r="554" spans="1:18" x14ac:dyDescent="0.25">
      <c r="A554" s="2">
        <v>710</v>
      </c>
      <c r="B554" s="7" t="s">
        <v>3544</v>
      </c>
      <c r="C554" s="7" t="s">
        <v>3545</v>
      </c>
      <c r="D554" s="7" t="s">
        <v>3544</v>
      </c>
      <c r="E554" s="7" t="s">
        <v>50</v>
      </c>
      <c r="F554" s="7" t="s">
        <v>3546</v>
      </c>
      <c r="G554" s="17" t="s">
        <v>7747</v>
      </c>
      <c r="H554" s="7" t="s">
        <v>28</v>
      </c>
      <c r="I554" s="7" t="s">
        <v>2024</v>
      </c>
      <c r="J554" s="7" t="s">
        <v>53</v>
      </c>
      <c r="K554" s="7" t="s">
        <v>2213</v>
      </c>
      <c r="L554" s="7" t="s">
        <v>55</v>
      </c>
      <c r="M554" s="7">
        <v>4.0419229999999997</v>
      </c>
      <c r="N554" s="7">
        <v>9.7205870000000001</v>
      </c>
      <c r="O554" s="7" t="s">
        <v>613</v>
      </c>
      <c r="P554" s="3"/>
      <c r="Q554" s="3"/>
      <c r="R554" s="3"/>
    </row>
    <row r="555" spans="1:18" x14ac:dyDescent="0.25">
      <c r="A555" s="2">
        <v>711</v>
      </c>
      <c r="B555" s="7" t="s">
        <v>3547</v>
      </c>
      <c r="C555" s="7" t="s">
        <v>3548</v>
      </c>
      <c r="D555" s="7" t="s">
        <v>3547</v>
      </c>
      <c r="E555" s="7" t="s">
        <v>50</v>
      </c>
      <c r="F555" s="7" t="s">
        <v>3549</v>
      </c>
      <c r="G555" s="17" t="s">
        <v>7747</v>
      </c>
      <c r="H555" s="7" t="s">
        <v>19</v>
      </c>
      <c r="I555" s="7" t="s">
        <v>1575</v>
      </c>
      <c r="J555" s="7" t="s">
        <v>53</v>
      </c>
      <c r="K555" s="7" t="s">
        <v>54</v>
      </c>
      <c r="L555" s="7" t="s">
        <v>55</v>
      </c>
      <c r="M555" s="7">
        <v>4.0193830000000004</v>
      </c>
      <c r="N555" s="7">
        <v>9.7576210000000003</v>
      </c>
      <c r="O555" s="7" t="s">
        <v>23</v>
      </c>
      <c r="P555" s="3"/>
      <c r="Q555" s="3"/>
      <c r="R555" s="3"/>
    </row>
    <row r="556" spans="1:18" x14ac:dyDescent="0.25">
      <c r="A556" s="2">
        <v>712</v>
      </c>
      <c r="B556" s="7" t="s">
        <v>3568</v>
      </c>
      <c r="C556" s="7" t="s">
        <v>3569</v>
      </c>
      <c r="D556" s="7" t="s">
        <v>3568</v>
      </c>
      <c r="E556" s="7" t="s">
        <v>50</v>
      </c>
      <c r="F556" s="7" t="s">
        <v>3570</v>
      </c>
      <c r="G556" s="17" t="s">
        <v>7747</v>
      </c>
      <c r="H556" s="7" t="s">
        <v>28</v>
      </c>
      <c r="I556" s="7" t="s">
        <v>611</v>
      </c>
      <c r="J556" s="7" t="s">
        <v>53</v>
      </c>
      <c r="K556" s="7" t="s">
        <v>612</v>
      </c>
      <c r="L556" s="7" t="s">
        <v>55</v>
      </c>
      <c r="M556" s="7">
        <v>4.062538</v>
      </c>
      <c r="N556" s="7">
        <v>9.7630239999999997</v>
      </c>
      <c r="O556" s="7" t="s">
        <v>613</v>
      </c>
      <c r="P556" s="3"/>
      <c r="Q556" s="3"/>
      <c r="R556" s="3"/>
    </row>
    <row r="557" spans="1:18" x14ac:dyDescent="0.25">
      <c r="A557" s="2">
        <v>713</v>
      </c>
      <c r="B557" s="7" t="s">
        <v>3574</v>
      </c>
      <c r="C557" s="7" t="s">
        <v>3575</v>
      </c>
      <c r="D557" s="7" t="s">
        <v>3574</v>
      </c>
      <c r="E557" s="7" t="s">
        <v>50</v>
      </c>
      <c r="F557" s="7" t="s">
        <v>3576</v>
      </c>
      <c r="G557" s="17" t="s">
        <v>7747</v>
      </c>
      <c r="H557" s="7" t="s">
        <v>28</v>
      </c>
      <c r="I557" s="7" t="s">
        <v>611</v>
      </c>
      <c r="J557" s="7" t="s">
        <v>53</v>
      </c>
      <c r="K557" s="7" t="s">
        <v>612</v>
      </c>
      <c r="L557" s="7" t="s">
        <v>55</v>
      </c>
      <c r="M557" s="7">
        <v>4.0845840000000004</v>
      </c>
      <c r="N557" s="7">
        <v>9.7783510000000007</v>
      </c>
      <c r="O557" s="7" t="s">
        <v>613</v>
      </c>
      <c r="P557" s="3"/>
      <c r="Q557" s="3"/>
      <c r="R557" s="3"/>
    </row>
    <row r="558" spans="1:18" x14ac:dyDescent="0.25">
      <c r="A558" s="2">
        <v>714</v>
      </c>
      <c r="B558" s="7" t="s">
        <v>3605</v>
      </c>
      <c r="C558" s="7" t="s">
        <v>3606</v>
      </c>
      <c r="D558" s="7" t="s">
        <v>3605</v>
      </c>
      <c r="E558" s="7" t="s">
        <v>50</v>
      </c>
      <c r="F558" s="7" t="s">
        <v>3607</v>
      </c>
      <c r="G558" s="17" t="s">
        <v>7747</v>
      </c>
      <c r="H558" s="7" t="s">
        <v>28</v>
      </c>
      <c r="I558" s="7" t="s">
        <v>1516</v>
      </c>
      <c r="J558" s="7" t="s">
        <v>53</v>
      </c>
      <c r="K558" s="7" t="s">
        <v>612</v>
      </c>
      <c r="L558" s="7" t="s">
        <v>55</v>
      </c>
      <c r="M558" s="7">
        <v>4.0898500000000002</v>
      </c>
      <c r="N558" s="7">
        <v>9.7834800000000008</v>
      </c>
      <c r="O558" s="7" t="s">
        <v>23</v>
      </c>
      <c r="P558" s="3"/>
      <c r="Q558" s="3"/>
      <c r="R558" s="3"/>
    </row>
    <row r="559" spans="1:18" x14ac:dyDescent="0.25">
      <c r="A559" s="2">
        <v>715</v>
      </c>
      <c r="B559" s="7" t="s">
        <v>3608</v>
      </c>
      <c r="C559" s="7" t="s">
        <v>3609</v>
      </c>
      <c r="D559" s="7" t="s">
        <v>3608</v>
      </c>
      <c r="E559" s="7" t="s">
        <v>50</v>
      </c>
      <c r="F559" s="7" t="s">
        <v>3610</v>
      </c>
      <c r="G559" s="17" t="s">
        <v>7747</v>
      </c>
      <c r="H559" s="7" t="s">
        <v>19</v>
      </c>
      <c r="I559" s="7" t="s">
        <v>1329</v>
      </c>
      <c r="J559" s="7" t="s">
        <v>53</v>
      </c>
      <c r="K559" s="7" t="s">
        <v>54</v>
      </c>
      <c r="L559" s="7" t="s">
        <v>55</v>
      </c>
      <c r="M559" s="7">
        <v>4.0339169999999998</v>
      </c>
      <c r="N559" s="7">
        <v>9.7826939999999993</v>
      </c>
      <c r="O559" s="7" t="s">
        <v>613</v>
      </c>
      <c r="P559" s="3"/>
      <c r="Q559" s="3"/>
      <c r="R559" s="3"/>
    </row>
    <row r="560" spans="1:18" x14ac:dyDescent="0.25">
      <c r="A560" s="2">
        <v>716</v>
      </c>
      <c r="B560" s="7" t="s">
        <v>3665</v>
      </c>
      <c r="C560" s="7" t="s">
        <v>3666</v>
      </c>
      <c r="D560" s="7" t="s">
        <v>3665</v>
      </c>
      <c r="E560" s="7" t="s">
        <v>50</v>
      </c>
      <c r="F560" s="7" t="s">
        <v>3667</v>
      </c>
      <c r="G560" s="17" t="s">
        <v>7747</v>
      </c>
      <c r="H560" s="7" t="s">
        <v>28</v>
      </c>
      <c r="I560" s="7" t="s">
        <v>1471</v>
      </c>
      <c r="J560" s="7" t="s">
        <v>53</v>
      </c>
      <c r="K560" s="7" t="s">
        <v>612</v>
      </c>
      <c r="L560" s="7" t="s">
        <v>55</v>
      </c>
      <c r="M560" s="7">
        <v>4.0635560000000002</v>
      </c>
      <c r="N560" s="7">
        <v>9.7456940000000003</v>
      </c>
      <c r="O560" s="7" t="s">
        <v>23</v>
      </c>
      <c r="P560" s="3"/>
      <c r="Q560" s="3"/>
      <c r="R560" s="3"/>
    </row>
    <row r="561" spans="1:18" x14ac:dyDescent="0.25">
      <c r="A561" s="2">
        <v>717</v>
      </c>
      <c r="B561" s="7" t="s">
        <v>3673</v>
      </c>
      <c r="C561" s="7" t="s">
        <v>3674</v>
      </c>
      <c r="D561" s="7" t="s">
        <v>3673</v>
      </c>
      <c r="E561" s="7" t="s">
        <v>50</v>
      </c>
      <c r="F561" s="7" t="s">
        <v>3675</v>
      </c>
      <c r="G561" s="17" t="s">
        <v>7747</v>
      </c>
      <c r="H561" s="7" t="s">
        <v>28</v>
      </c>
      <c r="I561" s="7" t="s">
        <v>1471</v>
      </c>
      <c r="J561" s="7" t="s">
        <v>53</v>
      </c>
      <c r="K561" s="7" t="s">
        <v>612</v>
      </c>
      <c r="L561" s="7" t="s">
        <v>55</v>
      </c>
      <c r="M561" s="7">
        <v>4.0693890000000001</v>
      </c>
      <c r="N561" s="7">
        <v>9.7299439999999997</v>
      </c>
      <c r="O561" s="7" t="s">
        <v>613</v>
      </c>
      <c r="P561" s="3"/>
      <c r="Q561" s="3"/>
      <c r="R561" s="3"/>
    </row>
    <row r="562" spans="1:18" x14ac:dyDescent="0.25">
      <c r="A562" s="2">
        <v>718</v>
      </c>
      <c r="B562" s="7" t="s">
        <v>3686</v>
      </c>
      <c r="C562" s="7" t="s">
        <v>3687</v>
      </c>
      <c r="D562" s="7" t="s">
        <v>3686</v>
      </c>
      <c r="E562" s="7" t="s">
        <v>50</v>
      </c>
      <c r="F562" s="7" t="s">
        <v>3688</v>
      </c>
      <c r="G562" s="17" t="s">
        <v>7747</v>
      </c>
      <c r="H562" s="7" t="s">
        <v>28</v>
      </c>
      <c r="I562" s="7" t="s">
        <v>52</v>
      </c>
      <c r="J562" s="7" t="s">
        <v>53</v>
      </c>
      <c r="K562" s="7" t="s">
        <v>54</v>
      </c>
      <c r="L562" s="7" t="s">
        <v>55</v>
      </c>
      <c r="M562" s="7">
        <v>4.0212500000000002</v>
      </c>
      <c r="N562" s="7">
        <v>9.7739899999999995</v>
      </c>
      <c r="O562" s="7" t="s">
        <v>23</v>
      </c>
      <c r="P562" s="3"/>
      <c r="Q562" s="3"/>
      <c r="R562" s="3"/>
    </row>
    <row r="563" spans="1:18" x14ac:dyDescent="0.25">
      <c r="A563" s="2">
        <v>719</v>
      </c>
      <c r="B563" s="7" t="s">
        <v>3689</v>
      </c>
      <c r="C563" s="7" t="s">
        <v>3690</v>
      </c>
      <c r="D563" s="7" t="s">
        <v>3689</v>
      </c>
      <c r="E563" s="7" t="s">
        <v>50</v>
      </c>
      <c r="F563" s="7" t="s">
        <v>3691</v>
      </c>
      <c r="G563" s="17" t="s">
        <v>7747</v>
      </c>
      <c r="H563" s="7" t="s">
        <v>19</v>
      </c>
      <c r="I563" s="7" t="s">
        <v>1575</v>
      </c>
      <c r="J563" s="7" t="s">
        <v>53</v>
      </c>
      <c r="K563" s="7" t="s">
        <v>54</v>
      </c>
      <c r="L563" s="7" t="s">
        <v>55</v>
      </c>
      <c r="M563" s="7">
        <v>4.0233499999999998</v>
      </c>
      <c r="N563" s="7">
        <v>9.7637900000000002</v>
      </c>
      <c r="O563" s="7" t="s">
        <v>23</v>
      </c>
      <c r="P563" s="3"/>
      <c r="Q563" s="3"/>
      <c r="R563" s="3"/>
    </row>
    <row r="564" spans="1:18" x14ac:dyDescent="0.25">
      <c r="A564" s="2">
        <v>720</v>
      </c>
      <c r="B564" s="7" t="s">
        <v>3710</v>
      </c>
      <c r="C564" s="7" t="s">
        <v>3711</v>
      </c>
      <c r="D564" s="7" t="s">
        <v>3710</v>
      </c>
      <c r="E564" s="7" t="s">
        <v>34</v>
      </c>
      <c r="F564" s="7" t="s">
        <v>3712</v>
      </c>
      <c r="G564" s="8" t="s">
        <v>18</v>
      </c>
      <c r="H564" s="7" t="s">
        <v>28</v>
      </c>
      <c r="I564" s="7" t="s">
        <v>356</v>
      </c>
      <c r="J564" s="7" t="s">
        <v>152</v>
      </c>
      <c r="K564" s="7" t="s">
        <v>424</v>
      </c>
      <c r="L564" s="7" t="s">
        <v>55</v>
      </c>
      <c r="M564" s="7">
        <v>4.2341449999999998</v>
      </c>
      <c r="N564" s="7">
        <v>9.6163720000000001</v>
      </c>
      <c r="O564" s="7" t="s">
        <v>23</v>
      </c>
      <c r="P564" s="3"/>
      <c r="Q564" s="3"/>
      <c r="R564" s="3"/>
    </row>
    <row r="565" spans="1:18" x14ac:dyDescent="0.25">
      <c r="A565" s="2">
        <v>721</v>
      </c>
      <c r="B565" s="7" t="s">
        <v>3733</v>
      </c>
      <c r="C565" s="7" t="s">
        <v>3734</v>
      </c>
      <c r="D565" s="7" t="s">
        <v>3733</v>
      </c>
      <c r="E565" s="7" t="s">
        <v>50</v>
      </c>
      <c r="F565" s="7" t="s">
        <v>3735</v>
      </c>
      <c r="G565" s="17" t="s">
        <v>7747</v>
      </c>
      <c r="H565" s="7" t="s">
        <v>19</v>
      </c>
      <c r="I565" s="7" t="s">
        <v>627</v>
      </c>
      <c r="J565" s="7" t="s">
        <v>53</v>
      </c>
      <c r="K565" s="7" t="s">
        <v>628</v>
      </c>
      <c r="L565" s="7" t="s">
        <v>55</v>
      </c>
      <c r="M565" s="7">
        <v>4.0838999999999999</v>
      </c>
      <c r="N565" s="7">
        <v>9.6588499999999993</v>
      </c>
      <c r="O565" s="7" t="s">
        <v>23</v>
      </c>
      <c r="P565" s="3"/>
      <c r="Q565" s="3"/>
      <c r="R565" s="3"/>
    </row>
    <row r="566" spans="1:18" x14ac:dyDescent="0.25">
      <c r="A566" s="2">
        <v>722</v>
      </c>
      <c r="B566" s="7" t="s">
        <v>3736</v>
      </c>
      <c r="C566" s="7" t="s">
        <v>3737</v>
      </c>
      <c r="D566" s="7" t="s">
        <v>3736</v>
      </c>
      <c r="E566" s="7" t="s">
        <v>50</v>
      </c>
      <c r="F566" s="7" t="s">
        <v>3738</v>
      </c>
      <c r="G566" s="17" t="s">
        <v>7747</v>
      </c>
      <c r="H566" s="7" t="s">
        <v>28</v>
      </c>
      <c r="I566" s="7" t="s">
        <v>1478</v>
      </c>
      <c r="J566" s="7" t="s">
        <v>53</v>
      </c>
      <c r="K566" s="7" t="s">
        <v>612</v>
      </c>
      <c r="L566" s="7" t="s">
        <v>55</v>
      </c>
      <c r="M566" s="7">
        <v>4.0941200000000002</v>
      </c>
      <c r="N566" s="7">
        <v>9.7621199999999995</v>
      </c>
      <c r="O566" s="7" t="s">
        <v>613</v>
      </c>
      <c r="P566" s="3"/>
      <c r="Q566" s="3"/>
      <c r="R566" s="3"/>
    </row>
    <row r="567" spans="1:18" x14ac:dyDescent="0.25">
      <c r="A567" s="2">
        <v>723</v>
      </c>
      <c r="B567" s="7" t="s">
        <v>3760</v>
      </c>
      <c r="C567" s="7" t="s">
        <v>3761</v>
      </c>
      <c r="D567" s="7" t="s">
        <v>3760</v>
      </c>
      <c r="E567" s="7" t="s">
        <v>50</v>
      </c>
      <c r="F567" s="7" t="s">
        <v>3762</v>
      </c>
      <c r="G567" s="17" t="s">
        <v>7747</v>
      </c>
      <c r="H567" s="7" t="s">
        <v>19</v>
      </c>
      <c r="I567" s="7" t="s">
        <v>611</v>
      </c>
      <c r="J567" s="7" t="s">
        <v>53</v>
      </c>
      <c r="K567" s="7" t="s">
        <v>612</v>
      </c>
      <c r="L567" s="7" t="s">
        <v>55</v>
      </c>
      <c r="M567" s="7">
        <v>4.0822500000000002</v>
      </c>
      <c r="N567" s="7">
        <v>9.7552000000000003</v>
      </c>
      <c r="O567" s="7" t="s">
        <v>23</v>
      </c>
      <c r="P567" s="3"/>
      <c r="Q567" s="3"/>
      <c r="R567" s="3"/>
    </row>
    <row r="568" spans="1:18" x14ac:dyDescent="0.25">
      <c r="A568" s="2">
        <v>724</v>
      </c>
      <c r="B568" s="7" t="s">
        <v>3763</v>
      </c>
      <c r="C568" s="7" t="s">
        <v>3764</v>
      </c>
      <c r="D568" s="7" t="s">
        <v>3763</v>
      </c>
      <c r="E568" s="7" t="s">
        <v>50</v>
      </c>
      <c r="F568" s="7" t="s">
        <v>3765</v>
      </c>
      <c r="G568" s="17" t="s">
        <v>7747</v>
      </c>
      <c r="H568" s="7" t="s">
        <v>19</v>
      </c>
      <c r="I568" s="7" t="s">
        <v>2024</v>
      </c>
      <c r="J568" s="7" t="s">
        <v>53</v>
      </c>
      <c r="K568" s="7" t="s">
        <v>1404</v>
      </c>
      <c r="L568" s="7" t="s">
        <v>55</v>
      </c>
      <c r="M568" s="7">
        <v>4.0176639999999999</v>
      </c>
      <c r="N568" s="7">
        <v>9.7058579999999992</v>
      </c>
      <c r="O568" s="7" t="s">
        <v>613</v>
      </c>
      <c r="P568" s="3"/>
      <c r="Q568" s="3"/>
      <c r="R568" s="3"/>
    </row>
    <row r="569" spans="1:18" x14ac:dyDescent="0.25">
      <c r="A569" s="2">
        <v>725</v>
      </c>
      <c r="B569" s="7" t="s">
        <v>3766</v>
      </c>
      <c r="C569" s="7" t="s">
        <v>3767</v>
      </c>
      <c r="D569" s="7" t="s">
        <v>3766</v>
      </c>
      <c r="E569" s="7" t="s">
        <v>50</v>
      </c>
      <c r="F569" s="7" t="s">
        <v>3768</v>
      </c>
      <c r="G569" s="17" t="s">
        <v>7747</v>
      </c>
      <c r="H569" s="7" t="s">
        <v>19</v>
      </c>
      <c r="I569" s="7" t="s">
        <v>2024</v>
      </c>
      <c r="J569" s="7" t="s">
        <v>53</v>
      </c>
      <c r="K569" s="7" t="s">
        <v>2213</v>
      </c>
      <c r="L569" s="7" t="s">
        <v>55</v>
      </c>
      <c r="M569" s="7">
        <v>4.038475</v>
      </c>
      <c r="N569" s="7">
        <v>9.7119219999999995</v>
      </c>
      <c r="O569" s="7" t="s">
        <v>613</v>
      </c>
      <c r="P569" s="3"/>
      <c r="Q569" s="3"/>
      <c r="R569" s="3"/>
    </row>
    <row r="570" spans="1:18" x14ac:dyDescent="0.25">
      <c r="A570" s="2">
        <v>726</v>
      </c>
      <c r="B570" s="7" t="s">
        <v>3769</v>
      </c>
      <c r="C570" s="7" t="s">
        <v>3770</v>
      </c>
      <c r="D570" s="7" t="s">
        <v>3769</v>
      </c>
      <c r="E570" s="7" t="s">
        <v>50</v>
      </c>
      <c r="F570" s="7" t="s">
        <v>3771</v>
      </c>
      <c r="G570" s="17" t="s">
        <v>7747</v>
      </c>
      <c r="H570" s="7" t="s">
        <v>28</v>
      </c>
      <c r="I570" s="7" t="s">
        <v>1329</v>
      </c>
      <c r="J570" s="7" t="s">
        <v>53</v>
      </c>
      <c r="K570" s="7" t="s">
        <v>54</v>
      </c>
      <c r="L570" s="7" t="s">
        <v>55</v>
      </c>
      <c r="M570" s="7">
        <v>4.0439999999999996</v>
      </c>
      <c r="N570" s="7">
        <v>9.7477219999999996</v>
      </c>
      <c r="O570" s="7" t="s">
        <v>613</v>
      </c>
      <c r="P570" s="3"/>
      <c r="Q570" s="3"/>
      <c r="R570" s="3"/>
    </row>
    <row r="571" spans="1:18" x14ac:dyDescent="0.25">
      <c r="A571" s="2">
        <v>727</v>
      </c>
      <c r="B571" s="7" t="s">
        <v>3772</v>
      </c>
      <c r="C571" s="7" t="s">
        <v>3773</v>
      </c>
      <c r="D571" s="7" t="s">
        <v>3772</v>
      </c>
      <c r="E571" s="7" t="s">
        <v>50</v>
      </c>
      <c r="F571" s="7" t="s">
        <v>611</v>
      </c>
      <c r="G571" s="17" t="s">
        <v>7747</v>
      </c>
      <c r="H571" s="7" t="s">
        <v>19</v>
      </c>
      <c r="I571" s="7" t="s">
        <v>611</v>
      </c>
      <c r="J571" s="7" t="s">
        <v>53</v>
      </c>
      <c r="K571" s="7" t="s">
        <v>612</v>
      </c>
      <c r="L571" s="7" t="s">
        <v>55</v>
      </c>
      <c r="M571" s="7">
        <v>4.0643609999999999</v>
      </c>
      <c r="N571" s="7">
        <v>9.7677779999999998</v>
      </c>
      <c r="O571" s="7" t="s">
        <v>23</v>
      </c>
      <c r="P571" s="3"/>
      <c r="Q571" s="3"/>
      <c r="R571" s="3"/>
    </row>
    <row r="572" spans="1:18" x14ac:dyDescent="0.25">
      <c r="A572" s="2">
        <v>728</v>
      </c>
      <c r="B572" s="7" t="s">
        <v>3774</v>
      </c>
      <c r="C572" s="7" t="s">
        <v>3775</v>
      </c>
      <c r="D572" s="7" t="s">
        <v>3774</v>
      </c>
      <c r="E572" s="7" t="s">
        <v>50</v>
      </c>
      <c r="F572" s="7" t="s">
        <v>3776</v>
      </c>
      <c r="G572" s="17" t="s">
        <v>7747</v>
      </c>
      <c r="H572" s="7" t="s">
        <v>28</v>
      </c>
      <c r="I572" s="7" t="s">
        <v>611</v>
      </c>
      <c r="J572" s="7" t="s">
        <v>53</v>
      </c>
      <c r="K572" s="7" t="s">
        <v>612</v>
      </c>
      <c r="L572" s="7" t="s">
        <v>55</v>
      </c>
      <c r="M572" s="7">
        <v>4.0585000000000004</v>
      </c>
      <c r="N572" s="7">
        <v>9.7684440000000006</v>
      </c>
      <c r="O572" s="7" t="s">
        <v>23</v>
      </c>
      <c r="P572" s="3"/>
      <c r="Q572" s="3"/>
      <c r="R572" s="3"/>
    </row>
    <row r="573" spans="1:18" x14ac:dyDescent="0.25">
      <c r="A573" s="2">
        <v>729</v>
      </c>
      <c r="B573" s="7" t="s">
        <v>3780</v>
      </c>
      <c r="C573" s="7" t="s">
        <v>3781</v>
      </c>
      <c r="D573" s="7" t="s">
        <v>3780</v>
      </c>
      <c r="E573" s="7" t="s">
        <v>50</v>
      </c>
      <c r="F573" s="7" t="s">
        <v>3782</v>
      </c>
      <c r="G573" s="17" t="s">
        <v>7747</v>
      </c>
      <c r="H573" s="7" t="s">
        <v>28</v>
      </c>
      <c r="I573" s="7" t="s">
        <v>1958</v>
      </c>
      <c r="J573" s="7" t="s">
        <v>53</v>
      </c>
      <c r="K573" s="7" t="s">
        <v>612</v>
      </c>
      <c r="L573" s="7" t="s">
        <v>55</v>
      </c>
      <c r="M573" s="7">
        <v>4.0656670000000004</v>
      </c>
      <c r="N573" s="7">
        <v>9.7229720000000004</v>
      </c>
      <c r="O573" s="7" t="s">
        <v>613</v>
      </c>
      <c r="P573" s="3"/>
      <c r="Q573" s="3"/>
      <c r="R573" s="3"/>
    </row>
    <row r="574" spans="1:18" x14ac:dyDescent="0.25">
      <c r="A574" s="2">
        <v>730</v>
      </c>
      <c r="B574" s="7" t="s">
        <v>3789</v>
      </c>
      <c r="C574" s="7" t="s">
        <v>3790</v>
      </c>
      <c r="D574" s="7" t="s">
        <v>3789</v>
      </c>
      <c r="E574" s="7" t="s">
        <v>50</v>
      </c>
      <c r="F574" s="7" t="s">
        <v>1575</v>
      </c>
      <c r="G574" s="17" t="s">
        <v>7747</v>
      </c>
      <c r="H574" s="7" t="s">
        <v>28</v>
      </c>
      <c r="I574" s="7" t="s">
        <v>1575</v>
      </c>
      <c r="J574" s="7" t="s">
        <v>53</v>
      </c>
      <c r="K574" s="7" t="s">
        <v>54</v>
      </c>
      <c r="L574" s="7" t="s">
        <v>55</v>
      </c>
      <c r="M574" s="7">
        <v>4.0095320000000001</v>
      </c>
      <c r="N574" s="7">
        <v>9.7415260000000004</v>
      </c>
      <c r="O574" s="7" t="s">
        <v>613</v>
      </c>
      <c r="P574" s="3"/>
      <c r="Q574" s="3"/>
      <c r="R574" s="3"/>
    </row>
    <row r="575" spans="1:18" x14ac:dyDescent="0.25">
      <c r="A575" s="2">
        <v>731</v>
      </c>
      <c r="B575" s="7" t="s">
        <v>3799</v>
      </c>
      <c r="C575" s="7" t="s">
        <v>3800</v>
      </c>
      <c r="D575" s="7" t="s">
        <v>3799</v>
      </c>
      <c r="E575" s="7" t="s">
        <v>50</v>
      </c>
      <c r="F575" s="7" t="s">
        <v>3801</v>
      </c>
      <c r="G575" s="17" t="s">
        <v>7747</v>
      </c>
      <c r="H575" s="7" t="s">
        <v>19</v>
      </c>
      <c r="I575" s="7" t="s">
        <v>2024</v>
      </c>
      <c r="J575" s="7" t="s">
        <v>53</v>
      </c>
      <c r="K575" s="7" t="s">
        <v>2213</v>
      </c>
      <c r="L575" s="7" t="s">
        <v>55</v>
      </c>
      <c r="M575" s="7">
        <v>4.0411349999999997</v>
      </c>
      <c r="N575" s="7">
        <v>9.7169690000000006</v>
      </c>
      <c r="O575" s="7" t="s">
        <v>613</v>
      </c>
      <c r="P575" s="3"/>
      <c r="Q575" s="3"/>
      <c r="R575" s="3"/>
    </row>
    <row r="576" spans="1:18" x14ac:dyDescent="0.25">
      <c r="A576" s="2">
        <v>732</v>
      </c>
      <c r="B576" s="7" t="s">
        <v>3802</v>
      </c>
      <c r="C576" s="7" t="s">
        <v>3803</v>
      </c>
      <c r="D576" s="7" t="s">
        <v>3802</v>
      </c>
      <c r="E576" s="7" t="s">
        <v>50</v>
      </c>
      <c r="F576" s="7" t="s">
        <v>3804</v>
      </c>
      <c r="G576" s="17" t="s">
        <v>7747</v>
      </c>
      <c r="H576" s="7" t="s">
        <v>28</v>
      </c>
      <c r="I576" s="7" t="s">
        <v>1958</v>
      </c>
      <c r="J576" s="7" t="s">
        <v>53</v>
      </c>
      <c r="K576" s="7" t="s">
        <v>1404</v>
      </c>
      <c r="L576" s="7" t="s">
        <v>55</v>
      </c>
      <c r="M576" s="7">
        <v>4.0461689999999999</v>
      </c>
      <c r="N576" s="7">
        <v>9.7083919999999999</v>
      </c>
      <c r="O576" s="7" t="s">
        <v>613</v>
      </c>
      <c r="P576" s="3"/>
      <c r="Q576" s="3"/>
      <c r="R576" s="3"/>
    </row>
    <row r="577" spans="1:18" x14ac:dyDescent="0.25">
      <c r="A577" s="2">
        <v>733</v>
      </c>
      <c r="B577" s="7" t="s">
        <v>3812</v>
      </c>
      <c r="C577" s="7" t="s">
        <v>3813</v>
      </c>
      <c r="D577" s="7" t="s">
        <v>3812</v>
      </c>
      <c r="E577" s="7" t="s">
        <v>50</v>
      </c>
      <c r="F577" s="7" t="s">
        <v>3814</v>
      </c>
      <c r="G577" s="17" t="s">
        <v>7747</v>
      </c>
      <c r="H577" s="7" t="s">
        <v>28</v>
      </c>
      <c r="I577" s="7" t="s">
        <v>611</v>
      </c>
      <c r="J577" s="7" t="s">
        <v>53</v>
      </c>
      <c r="K577" s="7" t="s">
        <v>54</v>
      </c>
      <c r="L577" s="7" t="s">
        <v>55</v>
      </c>
      <c r="M577" s="7">
        <v>4.0291940000000004</v>
      </c>
      <c r="N577" s="7">
        <v>9.7558050000000005</v>
      </c>
      <c r="O577" s="7" t="s">
        <v>23</v>
      </c>
      <c r="P577" s="3"/>
      <c r="Q577" s="3"/>
      <c r="R577" s="3"/>
    </row>
    <row r="578" spans="1:18" x14ac:dyDescent="0.25">
      <c r="A578" s="2">
        <v>734</v>
      </c>
      <c r="B578" s="7" t="s">
        <v>3818</v>
      </c>
      <c r="C578" s="7" t="s">
        <v>3819</v>
      </c>
      <c r="D578" s="7" t="s">
        <v>3818</v>
      </c>
      <c r="E578" s="7" t="s">
        <v>50</v>
      </c>
      <c r="F578" s="7" t="s">
        <v>3820</v>
      </c>
      <c r="G578" s="17" t="s">
        <v>7747</v>
      </c>
      <c r="H578" s="7" t="s">
        <v>28</v>
      </c>
      <c r="I578" s="7" t="s">
        <v>611</v>
      </c>
      <c r="J578" s="7" t="s">
        <v>53</v>
      </c>
      <c r="K578" s="7" t="s">
        <v>612</v>
      </c>
      <c r="L578" s="7" t="s">
        <v>55</v>
      </c>
      <c r="M578" s="7">
        <v>4.0816689999999998</v>
      </c>
      <c r="N578" s="7">
        <v>9.7711500000000004</v>
      </c>
      <c r="O578" s="7" t="s">
        <v>613</v>
      </c>
      <c r="P578" s="3"/>
      <c r="Q578" s="3"/>
      <c r="R578" s="3"/>
    </row>
    <row r="579" spans="1:18" x14ac:dyDescent="0.25">
      <c r="A579" s="2">
        <v>735</v>
      </c>
      <c r="B579" s="7" t="s">
        <v>3823</v>
      </c>
      <c r="C579" s="7" t="s">
        <v>3824</v>
      </c>
      <c r="D579" s="7" t="s">
        <v>3823</v>
      </c>
      <c r="E579" s="7" t="s">
        <v>50</v>
      </c>
      <c r="F579" s="7" t="s">
        <v>3825</v>
      </c>
      <c r="G579" s="17" t="s">
        <v>7747</v>
      </c>
      <c r="H579" s="7" t="s">
        <v>28</v>
      </c>
      <c r="I579" s="7" t="s">
        <v>1958</v>
      </c>
      <c r="J579" s="7" t="s">
        <v>53</v>
      </c>
      <c r="K579" s="7" t="s">
        <v>1404</v>
      </c>
      <c r="L579" s="7" t="s">
        <v>55</v>
      </c>
      <c r="M579" s="7">
        <v>4.0710829999999998</v>
      </c>
      <c r="N579" s="7">
        <v>9.7142499999999998</v>
      </c>
      <c r="O579" s="7" t="s">
        <v>613</v>
      </c>
      <c r="P579" s="3"/>
      <c r="Q579" s="3"/>
      <c r="R579" s="3"/>
    </row>
    <row r="580" spans="1:18" x14ac:dyDescent="0.25">
      <c r="A580" s="2">
        <v>736</v>
      </c>
      <c r="B580" s="7" t="s">
        <v>3847</v>
      </c>
      <c r="C580" s="7" t="s">
        <v>3848</v>
      </c>
      <c r="D580" s="7" t="s">
        <v>3847</v>
      </c>
      <c r="E580" s="7" t="s">
        <v>50</v>
      </c>
      <c r="F580" s="7" t="s">
        <v>3849</v>
      </c>
      <c r="G580" s="17" t="s">
        <v>7747</v>
      </c>
      <c r="H580" s="7" t="s">
        <v>28</v>
      </c>
      <c r="I580" s="7" t="s">
        <v>1471</v>
      </c>
      <c r="J580" s="7" t="s">
        <v>53</v>
      </c>
      <c r="K580" s="7" t="s">
        <v>612</v>
      </c>
      <c r="L580" s="7" t="s">
        <v>55</v>
      </c>
      <c r="M580" s="7">
        <v>4.0541859999999996</v>
      </c>
      <c r="N580" s="7">
        <v>9.7456110000000002</v>
      </c>
      <c r="O580" s="7" t="s">
        <v>23</v>
      </c>
      <c r="P580" s="3"/>
      <c r="Q580" s="3"/>
      <c r="R580" s="3"/>
    </row>
    <row r="581" spans="1:18" x14ac:dyDescent="0.25">
      <c r="A581" s="2">
        <v>737</v>
      </c>
      <c r="B581" s="7" t="s">
        <v>3854</v>
      </c>
      <c r="C581" s="7" t="s">
        <v>3855</v>
      </c>
      <c r="D581" s="7" t="s">
        <v>3854</v>
      </c>
      <c r="E581" s="7" t="s">
        <v>50</v>
      </c>
      <c r="F581" s="7" t="s">
        <v>3856</v>
      </c>
      <c r="G581" s="17" t="s">
        <v>7747</v>
      </c>
      <c r="H581" s="7" t="s">
        <v>28</v>
      </c>
      <c r="I581" s="7" t="s">
        <v>960</v>
      </c>
      <c r="J581" s="7" t="s">
        <v>53</v>
      </c>
      <c r="K581" s="7" t="s">
        <v>628</v>
      </c>
      <c r="L581" s="7" t="s">
        <v>55</v>
      </c>
      <c r="M581" s="7">
        <v>4.0941029999999996</v>
      </c>
      <c r="N581" s="7">
        <v>9.6398580000000003</v>
      </c>
      <c r="O581" s="7" t="s">
        <v>23</v>
      </c>
      <c r="P581" s="3"/>
      <c r="Q581" s="3"/>
      <c r="R581" s="3"/>
    </row>
    <row r="582" spans="1:18" x14ac:dyDescent="0.25">
      <c r="A582" s="2">
        <v>738</v>
      </c>
      <c r="B582" s="7" t="s">
        <v>3857</v>
      </c>
      <c r="C582" s="7" t="s">
        <v>3858</v>
      </c>
      <c r="D582" s="7" t="s">
        <v>3857</v>
      </c>
      <c r="E582" s="7" t="s">
        <v>50</v>
      </c>
      <c r="F582" s="7" t="s">
        <v>3859</v>
      </c>
      <c r="G582" s="17" t="s">
        <v>7747</v>
      </c>
      <c r="H582" s="7" t="s">
        <v>28</v>
      </c>
      <c r="I582" s="7" t="s">
        <v>1471</v>
      </c>
      <c r="J582" s="7" t="s">
        <v>53</v>
      </c>
      <c r="K582" s="7" t="s">
        <v>612</v>
      </c>
      <c r="L582" s="7" t="s">
        <v>55</v>
      </c>
      <c r="M582" s="7">
        <v>4.0640689999999999</v>
      </c>
      <c r="N582" s="7">
        <v>9.7531099999999995</v>
      </c>
      <c r="O582" s="7" t="s">
        <v>613</v>
      </c>
      <c r="P582" s="3"/>
      <c r="Q582" s="3"/>
      <c r="R582" s="3"/>
    </row>
    <row r="583" spans="1:18" x14ac:dyDescent="0.25">
      <c r="A583" s="2">
        <v>739</v>
      </c>
      <c r="B583" s="7" t="s">
        <v>3860</v>
      </c>
      <c r="C583" s="7" t="s">
        <v>3861</v>
      </c>
      <c r="D583" s="7" t="s">
        <v>3860</v>
      </c>
      <c r="E583" s="7" t="s">
        <v>50</v>
      </c>
      <c r="F583" s="7" t="s">
        <v>3862</v>
      </c>
      <c r="G583" s="17" t="s">
        <v>7747</v>
      </c>
      <c r="H583" s="7" t="s">
        <v>19</v>
      </c>
      <c r="I583" s="7" t="s">
        <v>611</v>
      </c>
      <c r="J583" s="7" t="s">
        <v>53</v>
      </c>
      <c r="K583" s="7" t="s">
        <v>612</v>
      </c>
      <c r="L583" s="7" t="s">
        <v>55</v>
      </c>
      <c r="M583" s="7">
        <v>4.0518999999999998</v>
      </c>
      <c r="N583" s="7">
        <v>9.7609960000000004</v>
      </c>
      <c r="O583" s="7" t="s">
        <v>23</v>
      </c>
      <c r="P583" s="3"/>
      <c r="Q583" s="3"/>
      <c r="R583" s="3"/>
    </row>
    <row r="584" spans="1:18" x14ac:dyDescent="0.25">
      <c r="A584" s="2">
        <v>740</v>
      </c>
      <c r="B584" s="7" t="s">
        <v>3879</v>
      </c>
      <c r="C584" s="7" t="s">
        <v>3880</v>
      </c>
      <c r="D584" s="7" t="s">
        <v>3879</v>
      </c>
      <c r="E584" s="7" t="s">
        <v>50</v>
      </c>
      <c r="F584" s="7" t="s">
        <v>3168</v>
      </c>
      <c r="G584" s="17" t="s">
        <v>7747</v>
      </c>
      <c r="H584" s="7" t="s">
        <v>19</v>
      </c>
      <c r="I584" s="7" t="s">
        <v>611</v>
      </c>
      <c r="J584" s="7" t="s">
        <v>53</v>
      </c>
      <c r="K584" s="7" t="s">
        <v>54</v>
      </c>
      <c r="L584" s="7" t="s">
        <v>55</v>
      </c>
      <c r="M584" s="7">
        <v>4.0387500000000003</v>
      </c>
      <c r="N584" s="7">
        <v>9.7620559999999994</v>
      </c>
      <c r="O584" s="7" t="s">
        <v>613</v>
      </c>
      <c r="P584" s="3"/>
      <c r="Q584" s="3"/>
      <c r="R584" s="3"/>
    </row>
    <row r="585" spans="1:18" x14ac:dyDescent="0.25">
      <c r="A585" s="2">
        <v>741</v>
      </c>
      <c r="B585" s="7" t="s">
        <v>3881</v>
      </c>
      <c r="C585" s="7" t="s">
        <v>3882</v>
      </c>
      <c r="D585" s="7" t="s">
        <v>3881</v>
      </c>
      <c r="E585" s="7" t="s">
        <v>50</v>
      </c>
      <c r="F585" s="7" t="s">
        <v>3883</v>
      </c>
      <c r="G585" s="17" t="s">
        <v>7747</v>
      </c>
      <c r="H585" s="7" t="s">
        <v>28</v>
      </c>
      <c r="I585" s="7" t="s">
        <v>1958</v>
      </c>
      <c r="J585" s="7" t="s">
        <v>53</v>
      </c>
      <c r="K585" s="7" t="s">
        <v>612</v>
      </c>
      <c r="L585" s="7" t="s">
        <v>55</v>
      </c>
      <c r="M585" s="7">
        <v>4.0547709999999997</v>
      </c>
      <c r="N585" s="7">
        <v>9.7240490000000008</v>
      </c>
      <c r="O585" s="7" t="s">
        <v>613</v>
      </c>
      <c r="P585" s="3"/>
      <c r="Q585" s="3"/>
      <c r="R585" s="3"/>
    </row>
    <row r="586" spans="1:18" x14ac:dyDescent="0.25">
      <c r="A586" s="2">
        <v>742</v>
      </c>
      <c r="B586" s="7" t="s">
        <v>3884</v>
      </c>
      <c r="C586" s="7" t="s">
        <v>3885</v>
      </c>
      <c r="D586" s="7" t="s">
        <v>3884</v>
      </c>
      <c r="E586" s="7" t="s">
        <v>50</v>
      </c>
      <c r="F586" s="7" t="s">
        <v>3886</v>
      </c>
      <c r="G586" s="17" t="s">
        <v>7747</v>
      </c>
      <c r="H586" s="7" t="s">
        <v>19</v>
      </c>
      <c r="I586" s="7" t="s">
        <v>1516</v>
      </c>
      <c r="J586" s="7" t="s">
        <v>53</v>
      </c>
      <c r="K586" s="7" t="s">
        <v>612</v>
      </c>
      <c r="L586" s="7" t="s">
        <v>55</v>
      </c>
      <c r="M586" s="7">
        <v>4.1600149999999996</v>
      </c>
      <c r="N586" s="7">
        <v>9.8414950000000001</v>
      </c>
      <c r="O586" s="7" t="s">
        <v>23</v>
      </c>
      <c r="P586" s="3"/>
      <c r="Q586" s="3"/>
      <c r="R586" s="3"/>
    </row>
    <row r="587" spans="1:18" x14ac:dyDescent="0.25">
      <c r="A587" s="2">
        <v>743</v>
      </c>
      <c r="B587" s="7" t="s">
        <v>3887</v>
      </c>
      <c r="C587" s="7" t="s">
        <v>3888</v>
      </c>
      <c r="D587" s="7" t="s">
        <v>3887</v>
      </c>
      <c r="E587" s="7" t="s">
        <v>50</v>
      </c>
      <c r="F587" s="7" t="s">
        <v>3889</v>
      </c>
      <c r="G587" s="17" t="s">
        <v>7747</v>
      </c>
      <c r="H587" s="7" t="s">
        <v>19</v>
      </c>
      <c r="I587" s="7" t="s">
        <v>611</v>
      </c>
      <c r="J587" s="7" t="s">
        <v>53</v>
      </c>
      <c r="K587" s="7" t="s">
        <v>612</v>
      </c>
      <c r="L587" s="7" t="s">
        <v>55</v>
      </c>
      <c r="M587" s="7">
        <v>4.0724400000000003</v>
      </c>
      <c r="N587" s="7">
        <v>9.7696799999999993</v>
      </c>
      <c r="O587" s="7" t="s">
        <v>23</v>
      </c>
      <c r="P587" s="3"/>
      <c r="Q587" s="3"/>
      <c r="R587" s="3"/>
    </row>
    <row r="588" spans="1:18" x14ac:dyDescent="0.25">
      <c r="A588" s="2">
        <v>744</v>
      </c>
      <c r="B588" s="7" t="s">
        <v>3890</v>
      </c>
      <c r="C588" s="7" t="s">
        <v>3891</v>
      </c>
      <c r="D588" s="7" t="s">
        <v>3890</v>
      </c>
      <c r="E588" s="7" t="s">
        <v>50</v>
      </c>
      <c r="F588" s="7" t="s">
        <v>3892</v>
      </c>
      <c r="G588" s="17" t="s">
        <v>7747</v>
      </c>
      <c r="H588" s="7" t="s">
        <v>19</v>
      </c>
      <c r="I588" s="7" t="s">
        <v>1478</v>
      </c>
      <c r="J588" s="7" t="s">
        <v>53</v>
      </c>
      <c r="K588" s="7" t="s">
        <v>612</v>
      </c>
      <c r="L588" s="7" t="s">
        <v>55</v>
      </c>
      <c r="M588" s="7">
        <v>4.091183</v>
      </c>
      <c r="N588" s="7">
        <v>9.7359589999999994</v>
      </c>
      <c r="O588" s="7" t="s">
        <v>613</v>
      </c>
      <c r="P588" s="3"/>
      <c r="Q588" s="3"/>
      <c r="R588" s="3"/>
    </row>
    <row r="589" spans="1:18" x14ac:dyDescent="0.25">
      <c r="A589" s="2">
        <v>745</v>
      </c>
      <c r="B589" s="7" t="s">
        <v>3896</v>
      </c>
      <c r="C589" s="7" t="s">
        <v>3897</v>
      </c>
      <c r="D589" s="7" t="s">
        <v>3896</v>
      </c>
      <c r="E589" s="7" t="s">
        <v>50</v>
      </c>
      <c r="F589" s="7" t="s">
        <v>3898</v>
      </c>
      <c r="G589" s="17" t="s">
        <v>7747</v>
      </c>
      <c r="H589" s="7" t="s">
        <v>19</v>
      </c>
      <c r="I589" s="7" t="s">
        <v>1575</v>
      </c>
      <c r="J589" s="7" t="s">
        <v>53</v>
      </c>
      <c r="K589" s="7" t="s">
        <v>54</v>
      </c>
      <c r="L589" s="7" t="s">
        <v>55</v>
      </c>
      <c r="M589" s="7">
        <v>4.0032649999999999</v>
      </c>
      <c r="N589" s="7">
        <v>9.7485979999999994</v>
      </c>
      <c r="O589" s="7" t="s">
        <v>613</v>
      </c>
      <c r="P589" s="3"/>
      <c r="Q589" s="3"/>
      <c r="R589" s="3"/>
    </row>
    <row r="590" spans="1:18" x14ac:dyDescent="0.25">
      <c r="A590" s="2">
        <v>746</v>
      </c>
      <c r="B590" s="7" t="s">
        <v>3899</v>
      </c>
      <c r="C590" s="7" t="s">
        <v>3900</v>
      </c>
      <c r="D590" s="7" t="s">
        <v>3899</v>
      </c>
      <c r="E590" s="7" t="s">
        <v>50</v>
      </c>
      <c r="F590" s="7" t="s">
        <v>3901</v>
      </c>
      <c r="G590" s="17" t="s">
        <v>7747</v>
      </c>
      <c r="H590" s="7" t="s">
        <v>28</v>
      </c>
      <c r="I590" s="7" t="s">
        <v>611</v>
      </c>
      <c r="J590" s="7" t="s">
        <v>53</v>
      </c>
      <c r="K590" s="7" t="s">
        <v>612</v>
      </c>
      <c r="L590" s="7" t="s">
        <v>55</v>
      </c>
      <c r="M590" s="7">
        <v>4.0459719999999999</v>
      </c>
      <c r="N590" s="7">
        <v>9.7566109999999995</v>
      </c>
      <c r="O590" s="7" t="s">
        <v>23</v>
      </c>
      <c r="P590" s="3"/>
      <c r="Q590" s="3"/>
      <c r="R590" s="3"/>
    </row>
    <row r="591" spans="1:18" x14ac:dyDescent="0.25">
      <c r="A591" s="2">
        <v>747</v>
      </c>
      <c r="B591" s="7" t="s">
        <v>3935</v>
      </c>
      <c r="C591" s="7" t="s">
        <v>3936</v>
      </c>
      <c r="D591" s="7" t="s">
        <v>3935</v>
      </c>
      <c r="E591" s="7" t="s">
        <v>50</v>
      </c>
      <c r="F591" s="7" t="s">
        <v>3937</v>
      </c>
      <c r="G591" s="17" t="s">
        <v>7747</v>
      </c>
      <c r="H591" s="7" t="s">
        <v>28</v>
      </c>
      <c r="I591" s="7" t="s">
        <v>960</v>
      </c>
      <c r="J591" s="7" t="s">
        <v>53</v>
      </c>
      <c r="K591" s="7" t="s">
        <v>628</v>
      </c>
      <c r="L591" s="7" t="s">
        <v>55</v>
      </c>
      <c r="M591" s="7">
        <v>4.0983330000000002</v>
      </c>
      <c r="N591" s="7">
        <v>9.6417219999999997</v>
      </c>
      <c r="O591" s="7" t="s">
        <v>23</v>
      </c>
      <c r="P591" s="3"/>
      <c r="Q591" s="3"/>
      <c r="R591" s="3"/>
    </row>
    <row r="592" spans="1:18" x14ac:dyDescent="0.25">
      <c r="A592" s="2">
        <v>748</v>
      </c>
      <c r="B592" s="7" t="s">
        <v>3944</v>
      </c>
      <c r="C592" s="7" t="s">
        <v>3945</v>
      </c>
      <c r="D592" s="7" t="s">
        <v>3944</v>
      </c>
      <c r="E592" s="7" t="s">
        <v>50</v>
      </c>
      <c r="F592" s="7" t="s">
        <v>3946</v>
      </c>
      <c r="G592" s="17" t="s">
        <v>7747</v>
      </c>
      <c r="H592" s="7" t="s">
        <v>28</v>
      </c>
      <c r="I592" s="7" t="s">
        <v>1575</v>
      </c>
      <c r="J592" s="7" t="s">
        <v>53</v>
      </c>
      <c r="K592" s="7" t="s">
        <v>54</v>
      </c>
      <c r="L592" s="7" t="s">
        <v>55</v>
      </c>
      <c r="M592" s="7">
        <v>4.0085290000000002</v>
      </c>
      <c r="N592" s="7">
        <v>9.7568000000000001</v>
      </c>
      <c r="O592" s="7" t="s">
        <v>23</v>
      </c>
      <c r="P592" s="3"/>
      <c r="Q592" s="3"/>
      <c r="R592" s="3"/>
    </row>
    <row r="593" spans="1:18" x14ac:dyDescent="0.25">
      <c r="A593" s="2">
        <v>749</v>
      </c>
      <c r="B593" s="7" t="s">
        <v>3962</v>
      </c>
      <c r="C593" s="7" t="s">
        <v>3963</v>
      </c>
      <c r="D593" s="7" t="s">
        <v>3962</v>
      </c>
      <c r="E593" s="7" t="s">
        <v>50</v>
      </c>
      <c r="F593" s="7" t="s">
        <v>3964</v>
      </c>
      <c r="G593" s="17" t="s">
        <v>7747</v>
      </c>
      <c r="H593" s="7" t="s">
        <v>19</v>
      </c>
      <c r="I593" s="7" t="s">
        <v>611</v>
      </c>
      <c r="J593" s="7" t="s">
        <v>53</v>
      </c>
      <c r="K593" s="7" t="s">
        <v>612</v>
      </c>
      <c r="L593" s="7" t="s">
        <v>55</v>
      </c>
      <c r="M593" s="7">
        <v>4.0643060000000002</v>
      </c>
      <c r="N593" s="7">
        <v>9.739611</v>
      </c>
      <c r="O593" s="7" t="s">
        <v>23</v>
      </c>
      <c r="P593" s="3"/>
      <c r="Q593" s="3"/>
      <c r="R593" s="3"/>
    </row>
    <row r="594" spans="1:18" x14ac:dyDescent="0.25">
      <c r="A594" s="2">
        <v>750</v>
      </c>
      <c r="B594" s="7" t="s">
        <v>3965</v>
      </c>
      <c r="C594" s="7" t="s">
        <v>3966</v>
      </c>
      <c r="D594" s="7" t="s">
        <v>3965</v>
      </c>
      <c r="E594" s="7" t="s">
        <v>50</v>
      </c>
      <c r="F594" s="7" t="s">
        <v>1329</v>
      </c>
      <c r="G594" s="17" t="s">
        <v>7747</v>
      </c>
      <c r="H594" s="7" t="s">
        <v>19</v>
      </c>
      <c r="I594" s="7" t="s">
        <v>1471</v>
      </c>
      <c r="J594" s="7" t="s">
        <v>53</v>
      </c>
      <c r="K594" s="7" t="s">
        <v>612</v>
      </c>
      <c r="L594" s="7" t="s">
        <v>55</v>
      </c>
      <c r="M594" s="7">
        <v>4.0555199999999996</v>
      </c>
      <c r="N594" s="7">
        <v>9.7501899999999999</v>
      </c>
      <c r="O594" s="7" t="s">
        <v>23</v>
      </c>
      <c r="P594" s="3"/>
      <c r="Q594" s="3"/>
      <c r="R594" s="3"/>
    </row>
    <row r="595" spans="1:18" x14ac:dyDescent="0.25">
      <c r="A595" s="2">
        <v>751</v>
      </c>
      <c r="B595" s="7" t="s">
        <v>3967</v>
      </c>
      <c r="C595" s="7" t="s">
        <v>3968</v>
      </c>
      <c r="D595" s="7" t="s">
        <v>3967</v>
      </c>
      <c r="E595" s="7" t="s">
        <v>50</v>
      </c>
      <c r="F595" s="7" t="s">
        <v>3969</v>
      </c>
      <c r="G595" s="17" t="s">
        <v>7747</v>
      </c>
      <c r="H595" s="7" t="s">
        <v>28</v>
      </c>
      <c r="I595" s="7" t="s">
        <v>1471</v>
      </c>
      <c r="J595" s="7" t="s">
        <v>53</v>
      </c>
      <c r="K595" s="7" t="s">
        <v>612</v>
      </c>
      <c r="L595" s="7" t="s">
        <v>55</v>
      </c>
      <c r="M595" s="7">
        <v>4.0581670000000001</v>
      </c>
      <c r="N595" s="7">
        <v>9.7544439999999994</v>
      </c>
      <c r="O595" s="7" t="s">
        <v>23</v>
      </c>
      <c r="P595" s="3"/>
      <c r="Q595" s="3"/>
      <c r="R595" s="3"/>
    </row>
    <row r="596" spans="1:18" x14ac:dyDescent="0.25">
      <c r="A596" s="2">
        <v>752</v>
      </c>
      <c r="B596" s="7" t="s">
        <v>3970</v>
      </c>
      <c r="C596" s="7" t="s">
        <v>3971</v>
      </c>
      <c r="D596" s="7" t="s">
        <v>3970</v>
      </c>
      <c r="E596" s="7" t="s">
        <v>50</v>
      </c>
      <c r="F596" s="7" t="s">
        <v>3972</v>
      </c>
      <c r="G596" s="17" t="s">
        <v>7747</v>
      </c>
      <c r="H596" s="7" t="s">
        <v>19</v>
      </c>
      <c r="I596" s="7" t="s">
        <v>1471</v>
      </c>
      <c r="J596" s="7" t="s">
        <v>53</v>
      </c>
      <c r="K596" s="7" t="s">
        <v>612</v>
      </c>
      <c r="L596" s="7" t="s">
        <v>55</v>
      </c>
      <c r="M596" s="7">
        <v>4.0759999999999996</v>
      </c>
      <c r="N596" s="7">
        <v>9.7308800000000009</v>
      </c>
      <c r="O596" s="7" t="s">
        <v>23</v>
      </c>
      <c r="P596" s="3"/>
      <c r="Q596" s="3"/>
      <c r="R596" s="3"/>
    </row>
    <row r="597" spans="1:18" x14ac:dyDescent="0.25">
      <c r="A597" s="2">
        <v>753</v>
      </c>
      <c r="B597" s="7" t="s">
        <v>3973</v>
      </c>
      <c r="C597" s="7" t="s">
        <v>3974</v>
      </c>
      <c r="D597" s="7" t="s">
        <v>3973</v>
      </c>
      <c r="E597" s="7" t="s">
        <v>50</v>
      </c>
      <c r="F597" s="7" t="s">
        <v>3975</v>
      </c>
      <c r="G597" s="17" t="s">
        <v>7747</v>
      </c>
      <c r="H597" s="7" t="s">
        <v>28</v>
      </c>
      <c r="I597" s="7" t="s">
        <v>1329</v>
      </c>
      <c r="J597" s="7" t="s">
        <v>53</v>
      </c>
      <c r="K597" s="7" t="s">
        <v>54</v>
      </c>
      <c r="L597" s="7" t="s">
        <v>55</v>
      </c>
      <c r="M597" s="7">
        <v>4.0352699999999997</v>
      </c>
      <c r="N597" s="7">
        <v>9.7702600000000004</v>
      </c>
      <c r="O597" s="7" t="s">
        <v>23</v>
      </c>
      <c r="P597" s="3"/>
      <c r="Q597" s="3"/>
      <c r="R597" s="3"/>
    </row>
    <row r="598" spans="1:18" x14ac:dyDescent="0.25">
      <c r="A598" s="2">
        <v>754</v>
      </c>
      <c r="B598" s="7" t="s">
        <v>3979</v>
      </c>
      <c r="C598" s="7" t="s">
        <v>3980</v>
      </c>
      <c r="D598" s="7" t="s">
        <v>3979</v>
      </c>
      <c r="E598" s="7" t="s">
        <v>50</v>
      </c>
      <c r="F598" s="7" t="s">
        <v>3981</v>
      </c>
      <c r="G598" s="17" t="s">
        <v>7747</v>
      </c>
      <c r="H598" s="7" t="s">
        <v>19</v>
      </c>
      <c r="I598" s="7" t="s">
        <v>52</v>
      </c>
      <c r="J598" s="7" t="s">
        <v>53</v>
      </c>
      <c r="K598" s="7" t="s">
        <v>54</v>
      </c>
      <c r="L598" s="7" t="s">
        <v>55</v>
      </c>
      <c r="M598" s="7">
        <v>3.9927220000000001</v>
      </c>
      <c r="N598" s="7">
        <v>9.7871670000000002</v>
      </c>
      <c r="O598" s="7" t="s">
        <v>23</v>
      </c>
      <c r="P598" s="3"/>
      <c r="Q598" s="3"/>
      <c r="R598" s="3"/>
    </row>
    <row r="599" spans="1:18" x14ac:dyDescent="0.25">
      <c r="A599" s="2">
        <v>755</v>
      </c>
      <c r="B599" s="7" t="s">
        <v>3988</v>
      </c>
      <c r="C599" s="7" t="s">
        <v>3989</v>
      </c>
      <c r="D599" s="7" t="s">
        <v>3988</v>
      </c>
      <c r="E599" s="7" t="s">
        <v>50</v>
      </c>
      <c r="F599" s="7" t="s">
        <v>3990</v>
      </c>
      <c r="G599" s="17" t="s">
        <v>7747</v>
      </c>
      <c r="H599" s="7" t="s">
        <v>28</v>
      </c>
      <c r="I599" s="7" t="s">
        <v>1478</v>
      </c>
      <c r="J599" s="7" t="s">
        <v>53</v>
      </c>
      <c r="K599" s="7" t="s">
        <v>612</v>
      </c>
      <c r="L599" s="7" t="s">
        <v>55</v>
      </c>
      <c r="M599" s="7">
        <v>4.0889150000000001</v>
      </c>
      <c r="N599" s="7">
        <v>9.7425529999999991</v>
      </c>
      <c r="O599" s="7" t="s">
        <v>613</v>
      </c>
      <c r="P599" s="3"/>
      <c r="Q599" s="3"/>
      <c r="R599" s="3"/>
    </row>
    <row r="600" spans="1:18" x14ac:dyDescent="0.25">
      <c r="A600" s="2">
        <v>756</v>
      </c>
      <c r="B600" s="7" t="s">
        <v>3991</v>
      </c>
      <c r="C600" s="7" t="s">
        <v>3992</v>
      </c>
      <c r="D600" s="7" t="s">
        <v>3991</v>
      </c>
      <c r="E600" s="7" t="s">
        <v>50</v>
      </c>
      <c r="F600" s="7" t="s">
        <v>3993</v>
      </c>
      <c r="G600" s="17" t="s">
        <v>7747</v>
      </c>
      <c r="H600" s="7" t="s">
        <v>19</v>
      </c>
      <c r="I600" s="7" t="s">
        <v>1958</v>
      </c>
      <c r="J600" s="7" t="s">
        <v>53</v>
      </c>
      <c r="K600" s="7" t="s">
        <v>1404</v>
      </c>
      <c r="L600" s="7" t="s">
        <v>55</v>
      </c>
      <c r="M600" s="7">
        <v>4.0548900000000003</v>
      </c>
      <c r="N600" s="7">
        <v>9.7060499999999994</v>
      </c>
      <c r="O600" s="7" t="s">
        <v>613</v>
      </c>
      <c r="P600" s="3"/>
      <c r="Q600" s="3"/>
      <c r="R600" s="3"/>
    </row>
    <row r="601" spans="1:18" x14ac:dyDescent="0.25">
      <c r="A601" s="2">
        <v>757</v>
      </c>
      <c r="B601" s="7" t="s">
        <v>4052</v>
      </c>
      <c r="C601" s="7" t="s">
        <v>4053</v>
      </c>
      <c r="D601" s="7" t="s">
        <v>4052</v>
      </c>
      <c r="E601" s="7" t="s">
        <v>50</v>
      </c>
      <c r="F601" s="7" t="s">
        <v>4054</v>
      </c>
      <c r="G601" s="17" t="s">
        <v>7747</v>
      </c>
      <c r="H601" s="7" t="s">
        <v>28</v>
      </c>
      <c r="I601" s="7" t="s">
        <v>1516</v>
      </c>
      <c r="J601" s="7" t="s">
        <v>53</v>
      </c>
      <c r="K601" s="7" t="s">
        <v>54</v>
      </c>
      <c r="L601" s="7" t="s">
        <v>55</v>
      </c>
      <c r="M601" s="7">
        <v>4.0839749999999997</v>
      </c>
      <c r="N601" s="7">
        <v>9.7950949999999999</v>
      </c>
      <c r="O601" s="7" t="s">
        <v>613</v>
      </c>
      <c r="P601" s="3"/>
      <c r="Q601" s="3"/>
      <c r="R601" s="3"/>
    </row>
    <row r="602" spans="1:18" x14ac:dyDescent="0.25">
      <c r="A602" s="2">
        <v>758</v>
      </c>
      <c r="B602" s="7" t="s">
        <v>4191</v>
      </c>
      <c r="C602" s="7" t="s">
        <v>4192</v>
      </c>
      <c r="D602" s="7" t="s">
        <v>4191</v>
      </c>
      <c r="E602" s="7" t="s">
        <v>50</v>
      </c>
      <c r="F602" s="7" t="s">
        <v>4193</v>
      </c>
      <c r="G602" s="17" t="s">
        <v>7747</v>
      </c>
      <c r="H602" s="7" t="s">
        <v>28</v>
      </c>
      <c r="I602" s="7" t="s">
        <v>1575</v>
      </c>
      <c r="J602" s="7" t="s">
        <v>53</v>
      </c>
      <c r="K602" s="7" t="s">
        <v>54</v>
      </c>
      <c r="L602" s="7" t="s">
        <v>55</v>
      </c>
      <c r="M602" s="7">
        <v>4.0102320000000002</v>
      </c>
      <c r="N602" s="7">
        <v>9.7327320000000004</v>
      </c>
      <c r="O602" s="7" t="s">
        <v>613</v>
      </c>
      <c r="P602" s="3"/>
      <c r="Q602" s="3"/>
      <c r="R602" s="3"/>
    </row>
    <row r="603" spans="1:18" x14ac:dyDescent="0.25">
      <c r="A603" s="2">
        <v>759</v>
      </c>
      <c r="B603" s="7" t="s">
        <v>4194</v>
      </c>
      <c r="C603" s="7" t="s">
        <v>4195</v>
      </c>
      <c r="D603" s="7" t="s">
        <v>4194</v>
      </c>
      <c r="E603" s="7" t="s">
        <v>50</v>
      </c>
      <c r="F603" s="7" t="s">
        <v>4196</v>
      </c>
      <c r="G603" s="17" t="s">
        <v>7747</v>
      </c>
      <c r="H603" s="7" t="s">
        <v>19</v>
      </c>
      <c r="I603" s="7" t="s">
        <v>1958</v>
      </c>
      <c r="J603" s="7" t="s">
        <v>53</v>
      </c>
      <c r="K603" s="7" t="s">
        <v>1404</v>
      </c>
      <c r="L603" s="7" t="s">
        <v>55</v>
      </c>
      <c r="M603" s="7">
        <v>4.0474899999999998</v>
      </c>
      <c r="N603" s="7">
        <v>9.7120700000000006</v>
      </c>
      <c r="O603" s="7" t="s">
        <v>613</v>
      </c>
      <c r="P603" s="3"/>
      <c r="Q603" s="3"/>
      <c r="R603" s="3"/>
    </row>
    <row r="604" spans="1:18" x14ac:dyDescent="0.25">
      <c r="A604" s="2">
        <v>760</v>
      </c>
      <c r="B604" s="7" t="s">
        <v>4197</v>
      </c>
      <c r="C604" s="7" t="s">
        <v>4198</v>
      </c>
      <c r="D604" s="7" t="s">
        <v>4197</v>
      </c>
      <c r="E604" s="7" t="s">
        <v>50</v>
      </c>
      <c r="F604" s="7" t="s">
        <v>4199</v>
      </c>
      <c r="G604" s="17" t="s">
        <v>7747</v>
      </c>
      <c r="H604" s="7" t="s">
        <v>28</v>
      </c>
      <c r="I604" s="7" t="s">
        <v>960</v>
      </c>
      <c r="J604" s="7" t="s">
        <v>53</v>
      </c>
      <c r="K604" s="7" t="s">
        <v>628</v>
      </c>
      <c r="L604" s="7" t="s">
        <v>55</v>
      </c>
      <c r="M604" s="7">
        <v>4.1163660000000002</v>
      </c>
      <c r="N604" s="7">
        <v>9.6583240000000004</v>
      </c>
      <c r="O604" s="7" t="s">
        <v>23</v>
      </c>
      <c r="P604" s="3"/>
      <c r="Q604" s="3"/>
      <c r="R604" s="3"/>
    </row>
    <row r="605" spans="1:18" x14ac:dyDescent="0.25">
      <c r="A605" s="2">
        <v>761</v>
      </c>
      <c r="B605" s="7" t="s">
        <v>4200</v>
      </c>
      <c r="C605" s="7" t="s">
        <v>4201</v>
      </c>
      <c r="D605" s="7" t="s">
        <v>4200</v>
      </c>
      <c r="E605" s="7" t="s">
        <v>50</v>
      </c>
      <c r="F605" s="7" t="s">
        <v>4202</v>
      </c>
      <c r="G605" s="17" t="s">
        <v>7747</v>
      </c>
      <c r="H605" s="7" t="s">
        <v>28</v>
      </c>
      <c r="I605" s="7" t="s">
        <v>1478</v>
      </c>
      <c r="J605" s="7" t="s">
        <v>53</v>
      </c>
      <c r="K605" s="7" t="s">
        <v>612</v>
      </c>
      <c r="L605" s="7" t="s">
        <v>55</v>
      </c>
      <c r="M605" s="7">
        <v>4.0949210000000003</v>
      </c>
      <c r="N605" s="7">
        <v>9.7414900000000006</v>
      </c>
      <c r="O605" s="7" t="s">
        <v>613</v>
      </c>
      <c r="P605" s="3"/>
      <c r="Q605" s="3"/>
      <c r="R605" s="3"/>
    </row>
    <row r="606" spans="1:18" x14ac:dyDescent="0.25">
      <c r="A606" s="2">
        <v>762</v>
      </c>
      <c r="B606" s="7" t="s">
        <v>4203</v>
      </c>
      <c r="C606" s="7" t="s">
        <v>4204</v>
      </c>
      <c r="D606" s="7" t="s">
        <v>4203</v>
      </c>
      <c r="E606" s="7" t="s">
        <v>50</v>
      </c>
      <c r="F606" s="7" t="s">
        <v>1575</v>
      </c>
      <c r="G606" s="17" t="s">
        <v>7747</v>
      </c>
      <c r="H606" s="7" t="s">
        <v>28</v>
      </c>
      <c r="I606" s="7" t="s">
        <v>1575</v>
      </c>
      <c r="J606" s="7" t="s">
        <v>53</v>
      </c>
      <c r="K606" s="7" t="s">
        <v>54</v>
      </c>
      <c r="L606" s="7" t="s">
        <v>55</v>
      </c>
      <c r="M606" s="7">
        <v>4.0168900000000001</v>
      </c>
      <c r="N606" s="7">
        <v>9.7467419999999994</v>
      </c>
      <c r="O606" s="7" t="s">
        <v>613</v>
      </c>
      <c r="P606" s="3"/>
      <c r="Q606" s="3"/>
      <c r="R606" s="3"/>
    </row>
    <row r="607" spans="1:18" x14ac:dyDescent="0.25">
      <c r="A607" s="2">
        <v>763</v>
      </c>
      <c r="B607" s="7" t="s">
        <v>4208</v>
      </c>
      <c r="C607" s="7" t="s">
        <v>4209</v>
      </c>
      <c r="D607" s="7" t="s">
        <v>4208</v>
      </c>
      <c r="E607" s="7" t="s">
        <v>50</v>
      </c>
      <c r="F607" s="7" t="s">
        <v>4210</v>
      </c>
      <c r="G607" s="17" t="s">
        <v>7747</v>
      </c>
      <c r="H607" s="7" t="s">
        <v>28</v>
      </c>
      <c r="I607" s="7" t="s">
        <v>1329</v>
      </c>
      <c r="J607" s="7" t="s">
        <v>53</v>
      </c>
      <c r="K607" s="7" t="s">
        <v>54</v>
      </c>
      <c r="L607" s="7" t="s">
        <v>55</v>
      </c>
      <c r="M607" s="7">
        <v>4.0418060000000002</v>
      </c>
      <c r="N607" s="7">
        <v>9.7399170000000002</v>
      </c>
      <c r="O607" s="7" t="s">
        <v>23</v>
      </c>
      <c r="P607" s="3"/>
      <c r="Q607" s="3"/>
      <c r="R607" s="3"/>
    </row>
    <row r="608" spans="1:18" x14ac:dyDescent="0.25">
      <c r="A608" s="2">
        <v>764</v>
      </c>
      <c r="B608" s="7" t="s">
        <v>4211</v>
      </c>
      <c r="C608" s="7" t="s">
        <v>4212</v>
      </c>
      <c r="D608" s="7" t="s">
        <v>4211</v>
      </c>
      <c r="E608" s="7" t="s">
        <v>50</v>
      </c>
      <c r="F608" s="7" t="s">
        <v>4213</v>
      </c>
      <c r="G608" s="17" t="s">
        <v>7747</v>
      </c>
      <c r="H608" s="7" t="s">
        <v>28</v>
      </c>
      <c r="I608" s="7" t="s">
        <v>611</v>
      </c>
      <c r="J608" s="7" t="s">
        <v>53</v>
      </c>
      <c r="K608" s="7" t="s">
        <v>612</v>
      </c>
      <c r="L608" s="7" t="s">
        <v>55</v>
      </c>
      <c r="M608" s="7">
        <v>4.0797230000000004</v>
      </c>
      <c r="N608" s="7">
        <v>9.7656340000000004</v>
      </c>
      <c r="O608" s="7" t="s">
        <v>613</v>
      </c>
      <c r="P608" s="3"/>
      <c r="Q608" s="3"/>
      <c r="R608" s="3"/>
    </row>
    <row r="609" spans="1:18" x14ac:dyDescent="0.25">
      <c r="A609" s="2">
        <v>765</v>
      </c>
      <c r="B609" s="7" t="s">
        <v>4214</v>
      </c>
      <c r="C609" s="7" t="s">
        <v>4215</v>
      </c>
      <c r="D609" s="7" t="s">
        <v>4214</v>
      </c>
      <c r="E609" s="7" t="s">
        <v>50</v>
      </c>
      <c r="F609" s="7" t="s">
        <v>4216</v>
      </c>
      <c r="G609" s="17" t="s">
        <v>7747</v>
      </c>
      <c r="H609" s="7" t="s">
        <v>28</v>
      </c>
      <c r="I609" s="7" t="s">
        <v>611</v>
      </c>
      <c r="J609" s="7" t="s">
        <v>53</v>
      </c>
      <c r="K609" s="7" t="s">
        <v>612</v>
      </c>
      <c r="L609" s="7" t="s">
        <v>55</v>
      </c>
      <c r="M609" s="7">
        <v>4.0473889999999999</v>
      </c>
      <c r="N609" s="7">
        <v>9.7568330000000003</v>
      </c>
      <c r="O609" s="7" t="s">
        <v>23</v>
      </c>
      <c r="P609" s="3"/>
      <c r="Q609" s="3"/>
      <c r="R609" s="3"/>
    </row>
    <row r="610" spans="1:18" x14ac:dyDescent="0.25">
      <c r="A610" s="2">
        <v>766</v>
      </c>
      <c r="B610" s="7" t="s">
        <v>4217</v>
      </c>
      <c r="C610" s="7" t="s">
        <v>4218</v>
      </c>
      <c r="D610" s="7" t="s">
        <v>4217</v>
      </c>
      <c r="E610" s="7" t="s">
        <v>50</v>
      </c>
      <c r="F610" s="7" t="s">
        <v>4219</v>
      </c>
      <c r="G610" s="17" t="s">
        <v>7747</v>
      </c>
      <c r="H610" s="7" t="s">
        <v>28</v>
      </c>
      <c r="I610" s="7" t="s">
        <v>960</v>
      </c>
      <c r="J610" s="7" t="s">
        <v>53</v>
      </c>
      <c r="K610" s="7" t="s">
        <v>628</v>
      </c>
      <c r="L610" s="7" t="s">
        <v>55</v>
      </c>
      <c r="M610" s="7">
        <v>4.0861879999999999</v>
      </c>
      <c r="N610" s="7">
        <v>9.6639330000000001</v>
      </c>
      <c r="O610" s="7" t="s">
        <v>23</v>
      </c>
      <c r="P610" s="3"/>
      <c r="Q610" s="3"/>
      <c r="R610" s="3"/>
    </row>
    <row r="611" spans="1:18" x14ac:dyDescent="0.25">
      <c r="A611" s="2">
        <v>767</v>
      </c>
      <c r="B611" s="7" t="s">
        <v>4220</v>
      </c>
      <c r="C611" s="7" t="s">
        <v>4221</v>
      </c>
      <c r="D611" s="7" t="s">
        <v>4220</v>
      </c>
      <c r="E611" s="7" t="s">
        <v>50</v>
      </c>
      <c r="F611" s="7" t="s">
        <v>4222</v>
      </c>
      <c r="G611" s="17" t="s">
        <v>7747</v>
      </c>
      <c r="H611" s="7" t="s">
        <v>28</v>
      </c>
      <c r="I611" s="7" t="s">
        <v>1958</v>
      </c>
      <c r="J611" s="7" t="s">
        <v>53</v>
      </c>
      <c r="K611" s="7" t="s">
        <v>628</v>
      </c>
      <c r="L611" s="7" t="s">
        <v>55</v>
      </c>
      <c r="M611" s="7">
        <v>4.0706110000000004</v>
      </c>
      <c r="N611" s="7">
        <v>9.7181390000000007</v>
      </c>
      <c r="O611" s="7" t="s">
        <v>613</v>
      </c>
      <c r="P611" s="3"/>
      <c r="Q611" s="3"/>
      <c r="R611" s="3"/>
    </row>
    <row r="612" spans="1:18" x14ac:dyDescent="0.25">
      <c r="A612" s="2">
        <v>768</v>
      </c>
      <c r="B612" s="7" t="s">
        <v>4223</v>
      </c>
      <c r="C612" s="7" t="s">
        <v>4224</v>
      </c>
      <c r="D612" s="7" t="s">
        <v>4223</v>
      </c>
      <c r="E612" s="7" t="s">
        <v>50</v>
      </c>
      <c r="F612" s="7" t="s">
        <v>4225</v>
      </c>
      <c r="G612" s="17" t="s">
        <v>7747</v>
      </c>
      <c r="H612" s="7" t="s">
        <v>28</v>
      </c>
      <c r="I612" s="7" t="s">
        <v>1575</v>
      </c>
      <c r="J612" s="7" t="s">
        <v>53</v>
      </c>
      <c r="K612" s="7" t="s">
        <v>54</v>
      </c>
      <c r="L612" s="7" t="s">
        <v>55</v>
      </c>
      <c r="M612" s="7">
        <v>4.0024629999999997</v>
      </c>
      <c r="N612" s="7">
        <v>9.7451690000000006</v>
      </c>
      <c r="O612" s="7" t="s">
        <v>23</v>
      </c>
      <c r="P612" s="3"/>
      <c r="Q612" s="3"/>
      <c r="R612" s="3"/>
    </row>
    <row r="613" spans="1:18" x14ac:dyDescent="0.25">
      <c r="A613" s="2">
        <v>769</v>
      </c>
      <c r="B613" s="7" t="s">
        <v>4354</v>
      </c>
      <c r="C613" s="7" t="s">
        <v>4355</v>
      </c>
      <c r="D613" s="7" t="s">
        <v>4354</v>
      </c>
      <c r="E613" s="7" t="s">
        <v>50</v>
      </c>
      <c r="F613" s="7" t="s">
        <v>4356</v>
      </c>
      <c r="G613" s="17" t="s">
        <v>7747</v>
      </c>
      <c r="H613" s="7" t="s">
        <v>28</v>
      </c>
      <c r="I613" s="7" t="s">
        <v>52</v>
      </c>
      <c r="J613" s="7" t="s">
        <v>53</v>
      </c>
      <c r="K613" s="7" t="s">
        <v>54</v>
      </c>
      <c r="L613" s="7" t="s">
        <v>55</v>
      </c>
      <c r="M613" s="7">
        <v>3.9973610000000002</v>
      </c>
      <c r="N613" s="7">
        <v>9.7638060000000007</v>
      </c>
      <c r="O613" s="7" t="s">
        <v>23</v>
      </c>
      <c r="P613" s="3"/>
      <c r="Q613" s="3"/>
      <c r="R613" s="3"/>
    </row>
    <row r="614" spans="1:18" x14ac:dyDescent="0.25">
      <c r="A614" s="2">
        <v>770</v>
      </c>
      <c r="B614" s="7" t="s">
        <v>4357</v>
      </c>
      <c r="C614" s="7" t="s">
        <v>4358</v>
      </c>
      <c r="D614" s="7" t="s">
        <v>4357</v>
      </c>
      <c r="E614" s="7" t="s">
        <v>50</v>
      </c>
      <c r="F614" s="7" t="s">
        <v>4359</v>
      </c>
      <c r="G614" s="17" t="s">
        <v>7747</v>
      </c>
      <c r="H614" s="7" t="s">
        <v>19</v>
      </c>
      <c r="I614" s="7" t="s">
        <v>1575</v>
      </c>
      <c r="J614" s="7" t="s">
        <v>53</v>
      </c>
      <c r="K614" s="7" t="s">
        <v>54</v>
      </c>
      <c r="L614" s="7" t="s">
        <v>55</v>
      </c>
      <c r="M614" s="7">
        <v>4.0325100000000003</v>
      </c>
      <c r="N614" s="7">
        <v>9.7254339999999999</v>
      </c>
      <c r="O614" s="7" t="s">
        <v>613</v>
      </c>
      <c r="P614" s="3"/>
      <c r="Q614" s="3"/>
      <c r="R614" s="3"/>
    </row>
    <row r="615" spans="1:18" x14ac:dyDescent="0.25">
      <c r="A615" s="2">
        <v>771</v>
      </c>
      <c r="B615" s="7" t="s">
        <v>4360</v>
      </c>
      <c r="C615" s="7" t="s">
        <v>4361</v>
      </c>
      <c r="D615" s="7" t="s">
        <v>4360</v>
      </c>
      <c r="E615" s="7" t="s">
        <v>50</v>
      </c>
      <c r="F615" s="7" t="s">
        <v>4362</v>
      </c>
      <c r="G615" s="17" t="s">
        <v>7747</v>
      </c>
      <c r="H615" s="7" t="s">
        <v>28</v>
      </c>
      <c r="I615" s="7" t="s">
        <v>611</v>
      </c>
      <c r="J615" s="7" t="s">
        <v>53</v>
      </c>
      <c r="K615" s="7" t="s">
        <v>612</v>
      </c>
      <c r="L615" s="7" t="s">
        <v>55</v>
      </c>
      <c r="M615" s="7">
        <v>4.0866300000000004</v>
      </c>
      <c r="N615" s="7">
        <v>9.7660099999999996</v>
      </c>
      <c r="O615" s="7" t="s">
        <v>613</v>
      </c>
      <c r="P615" s="3"/>
      <c r="Q615" s="3"/>
      <c r="R615" s="3"/>
    </row>
    <row r="616" spans="1:18" x14ac:dyDescent="0.25">
      <c r="A616" s="2">
        <v>772</v>
      </c>
      <c r="B616" s="7" t="s">
        <v>4363</v>
      </c>
      <c r="C616" s="7" t="s">
        <v>4364</v>
      </c>
      <c r="D616" s="7" t="s">
        <v>4363</v>
      </c>
      <c r="E616" s="7" t="s">
        <v>50</v>
      </c>
      <c r="F616" s="7" t="s">
        <v>4365</v>
      </c>
      <c r="G616" s="17" t="s">
        <v>7747</v>
      </c>
      <c r="H616" s="7" t="s">
        <v>28</v>
      </c>
      <c r="I616" s="7" t="s">
        <v>1403</v>
      </c>
      <c r="J616" s="7" t="s">
        <v>53</v>
      </c>
      <c r="K616" s="7" t="s">
        <v>1404</v>
      </c>
      <c r="L616" s="7" t="s">
        <v>55</v>
      </c>
      <c r="M616" s="7">
        <v>4.0082870000000002</v>
      </c>
      <c r="N616" s="7">
        <v>9.7011719999999997</v>
      </c>
      <c r="O616" s="7" t="s">
        <v>23</v>
      </c>
      <c r="P616" s="3"/>
      <c r="Q616" s="3"/>
      <c r="R616" s="3"/>
    </row>
    <row r="617" spans="1:18" x14ac:dyDescent="0.25">
      <c r="A617" s="2">
        <v>773</v>
      </c>
      <c r="B617" s="7" t="s">
        <v>4366</v>
      </c>
      <c r="C617" s="7" t="s">
        <v>4367</v>
      </c>
      <c r="D617" s="7" t="s">
        <v>4366</v>
      </c>
      <c r="E617" s="7" t="s">
        <v>34</v>
      </c>
      <c r="F617" s="7" t="s">
        <v>1720</v>
      </c>
      <c r="G617" s="17" t="s">
        <v>7747</v>
      </c>
      <c r="H617" s="7" t="s">
        <v>28</v>
      </c>
      <c r="I617" s="7" t="s">
        <v>356</v>
      </c>
      <c r="J617" s="7" t="s">
        <v>152</v>
      </c>
      <c r="K617" s="7" t="s">
        <v>1721</v>
      </c>
      <c r="L617" s="7" t="s">
        <v>55</v>
      </c>
      <c r="M617" s="7">
        <v>4.1803800000000004</v>
      </c>
      <c r="N617" s="7">
        <v>9.662623</v>
      </c>
      <c r="O617" s="7" t="s">
        <v>23</v>
      </c>
      <c r="P617" s="3"/>
      <c r="Q617" s="3"/>
      <c r="R617" s="3"/>
    </row>
    <row r="618" spans="1:18" x14ac:dyDescent="0.25">
      <c r="A618" s="2">
        <v>774</v>
      </c>
      <c r="B618" s="7" t="s">
        <v>4382</v>
      </c>
      <c r="C618" s="7" t="s">
        <v>4383</v>
      </c>
      <c r="D618" s="7" t="s">
        <v>4382</v>
      </c>
      <c r="E618" s="7" t="s">
        <v>50</v>
      </c>
      <c r="F618" s="7" t="s">
        <v>4384</v>
      </c>
      <c r="G618" s="17" t="s">
        <v>7747</v>
      </c>
      <c r="H618" s="7" t="s">
        <v>19</v>
      </c>
      <c r="I618" s="7" t="s">
        <v>1329</v>
      </c>
      <c r="J618" s="7" t="s">
        <v>53</v>
      </c>
      <c r="K618" s="7" t="s">
        <v>4385</v>
      </c>
      <c r="L618" s="7" t="s">
        <v>55</v>
      </c>
      <c r="M618" s="7">
        <v>4.0344439999999997</v>
      </c>
      <c r="N618" s="7">
        <v>9.7480279999999997</v>
      </c>
      <c r="O618" s="7" t="s">
        <v>23</v>
      </c>
      <c r="P618" s="3"/>
      <c r="Q618" s="3"/>
      <c r="R618" s="3"/>
    </row>
    <row r="619" spans="1:18" x14ac:dyDescent="0.25">
      <c r="A619" s="2">
        <v>775</v>
      </c>
      <c r="B619" s="7" t="s">
        <v>4403</v>
      </c>
      <c r="C619" s="7" t="s">
        <v>4404</v>
      </c>
      <c r="D619" s="7" t="s">
        <v>4403</v>
      </c>
      <c r="E619" s="7" t="s">
        <v>50</v>
      </c>
      <c r="F619" s="7" t="s">
        <v>4405</v>
      </c>
      <c r="G619" s="17" t="s">
        <v>7747</v>
      </c>
      <c r="H619" s="7" t="s">
        <v>28</v>
      </c>
      <c r="I619" s="7" t="s">
        <v>1329</v>
      </c>
      <c r="J619" s="7" t="s">
        <v>53</v>
      </c>
      <c r="K619" s="7" t="s">
        <v>54</v>
      </c>
      <c r="L619" s="7" t="s">
        <v>55</v>
      </c>
      <c r="M619" s="7">
        <v>4.0383420000000001</v>
      </c>
      <c r="N619" s="7">
        <v>9.7410110000000003</v>
      </c>
      <c r="O619" s="7" t="s">
        <v>23</v>
      </c>
      <c r="P619" s="3"/>
      <c r="Q619" s="3"/>
      <c r="R619" s="3"/>
    </row>
    <row r="620" spans="1:18" x14ac:dyDescent="0.25">
      <c r="A620" s="2">
        <v>776</v>
      </c>
      <c r="B620" s="7" t="s">
        <v>4415</v>
      </c>
      <c r="C620" s="7" t="s">
        <v>4416</v>
      </c>
      <c r="D620" s="7" t="s">
        <v>4415</v>
      </c>
      <c r="E620" s="7" t="s">
        <v>50</v>
      </c>
      <c r="F620" s="7" t="s">
        <v>4417</v>
      </c>
      <c r="G620" s="17" t="s">
        <v>7747</v>
      </c>
      <c r="H620" s="7" t="s">
        <v>28</v>
      </c>
      <c r="I620" s="7" t="s">
        <v>1958</v>
      </c>
      <c r="J620" s="7" t="s">
        <v>53</v>
      </c>
      <c r="K620" s="7" t="s">
        <v>54</v>
      </c>
      <c r="L620" s="7" t="s">
        <v>55</v>
      </c>
      <c r="M620" s="7">
        <v>4.0565559999999996</v>
      </c>
      <c r="N620" s="7">
        <v>9.7115279999999995</v>
      </c>
      <c r="O620" s="7" t="s">
        <v>613</v>
      </c>
      <c r="P620" s="3"/>
      <c r="Q620" s="3"/>
      <c r="R620" s="3"/>
    </row>
    <row r="621" spans="1:18" x14ac:dyDescent="0.25">
      <c r="A621" s="2">
        <v>777</v>
      </c>
      <c r="B621" s="7" t="s">
        <v>4425</v>
      </c>
      <c r="C621" s="7" t="s">
        <v>4426</v>
      </c>
      <c r="D621" s="7" t="s">
        <v>4425</v>
      </c>
      <c r="E621" s="7" t="s">
        <v>50</v>
      </c>
      <c r="F621" s="7" t="s">
        <v>4427</v>
      </c>
      <c r="G621" s="17" t="s">
        <v>7747</v>
      </c>
      <c r="H621" s="7" t="s">
        <v>28</v>
      </c>
      <c r="I621" s="7" t="s">
        <v>627</v>
      </c>
      <c r="J621" s="7" t="s">
        <v>53</v>
      </c>
      <c r="K621" s="7" t="s">
        <v>628</v>
      </c>
      <c r="L621" s="7" t="s">
        <v>55</v>
      </c>
      <c r="M621" s="7">
        <v>4.0744999999999996</v>
      </c>
      <c r="N621" s="7">
        <v>9.6761599999999994</v>
      </c>
      <c r="O621" s="7" t="s">
        <v>23</v>
      </c>
      <c r="P621" s="3"/>
      <c r="Q621" s="3"/>
      <c r="R621" s="3"/>
    </row>
    <row r="622" spans="1:18" x14ac:dyDescent="0.25">
      <c r="A622" s="2">
        <v>778</v>
      </c>
      <c r="B622" s="7" t="s">
        <v>4450</v>
      </c>
      <c r="C622" s="7" t="s">
        <v>4451</v>
      </c>
      <c r="D622" s="7" t="s">
        <v>4450</v>
      </c>
      <c r="E622" s="7" t="s">
        <v>50</v>
      </c>
      <c r="F622" s="7" t="s">
        <v>4452</v>
      </c>
      <c r="G622" s="17" t="s">
        <v>7747</v>
      </c>
      <c r="H622" s="7" t="s">
        <v>28</v>
      </c>
      <c r="I622" s="7" t="s">
        <v>2024</v>
      </c>
      <c r="J622" s="7" t="s">
        <v>53</v>
      </c>
      <c r="K622" s="7" t="s">
        <v>2213</v>
      </c>
      <c r="L622" s="7" t="s">
        <v>55</v>
      </c>
      <c r="M622" s="7">
        <v>4.0422399999999996</v>
      </c>
      <c r="N622" s="7">
        <v>9.7153299999999998</v>
      </c>
      <c r="O622" s="7" t="s">
        <v>613</v>
      </c>
      <c r="P622" s="3"/>
      <c r="Q622" s="3"/>
      <c r="R622" s="3"/>
    </row>
    <row r="623" spans="1:18" x14ac:dyDescent="0.25">
      <c r="A623" s="2">
        <v>779</v>
      </c>
      <c r="B623" s="7" t="s">
        <v>4459</v>
      </c>
      <c r="C623" s="7" t="s">
        <v>4460</v>
      </c>
      <c r="D623" s="7" t="s">
        <v>4459</v>
      </c>
      <c r="E623" s="7" t="s">
        <v>50</v>
      </c>
      <c r="F623" s="7" t="s">
        <v>4461</v>
      </c>
      <c r="G623" s="17" t="s">
        <v>7747</v>
      </c>
      <c r="H623" s="7" t="s">
        <v>28</v>
      </c>
      <c r="I623" s="7" t="s">
        <v>1471</v>
      </c>
      <c r="J623" s="7" t="s">
        <v>53</v>
      </c>
      <c r="K623" s="7" t="s">
        <v>612</v>
      </c>
      <c r="L623" s="7" t="s">
        <v>55</v>
      </c>
      <c r="M623" s="7">
        <v>4.0772599999999999</v>
      </c>
      <c r="N623" s="7">
        <v>9.7233499999999999</v>
      </c>
      <c r="O623" s="7" t="s">
        <v>613</v>
      </c>
      <c r="P623" s="3"/>
      <c r="Q623" s="3"/>
      <c r="R623" s="3"/>
    </row>
    <row r="624" spans="1:18" x14ac:dyDescent="0.25">
      <c r="A624" s="2">
        <v>780</v>
      </c>
      <c r="B624" s="7" t="s">
        <v>4468</v>
      </c>
      <c r="C624" s="7" t="s">
        <v>4469</v>
      </c>
      <c r="D624" s="7" t="s">
        <v>4468</v>
      </c>
      <c r="E624" s="7" t="s">
        <v>50</v>
      </c>
      <c r="F624" s="7" t="s">
        <v>4470</v>
      </c>
      <c r="G624" s="17" t="s">
        <v>7747</v>
      </c>
      <c r="H624" s="7" t="s">
        <v>28</v>
      </c>
      <c r="I624" s="7" t="s">
        <v>1575</v>
      </c>
      <c r="J624" s="7" t="s">
        <v>53</v>
      </c>
      <c r="K624" s="7" t="s">
        <v>54</v>
      </c>
      <c r="L624" s="7" t="s">
        <v>55</v>
      </c>
      <c r="M624" s="7">
        <v>4.0169300000000003</v>
      </c>
      <c r="N624" s="7">
        <v>9.7304499999999994</v>
      </c>
      <c r="O624" s="7" t="s">
        <v>23</v>
      </c>
      <c r="P624" s="3"/>
      <c r="Q624" s="3"/>
      <c r="R624" s="3"/>
    </row>
    <row r="625" spans="1:18" x14ac:dyDescent="0.25">
      <c r="A625" s="2">
        <v>781</v>
      </c>
      <c r="B625" s="7" t="s">
        <v>4485</v>
      </c>
      <c r="C625" s="7" t="s">
        <v>4486</v>
      </c>
      <c r="D625" s="7" t="s">
        <v>4485</v>
      </c>
      <c r="E625" s="7" t="s">
        <v>50</v>
      </c>
      <c r="F625" s="7" t="s">
        <v>4487</v>
      </c>
      <c r="G625" s="17" t="s">
        <v>7747</v>
      </c>
      <c r="H625" s="7" t="s">
        <v>28</v>
      </c>
      <c r="I625" s="7" t="s">
        <v>1958</v>
      </c>
      <c r="J625" s="7" t="s">
        <v>53</v>
      </c>
      <c r="K625" s="7" t="s">
        <v>612</v>
      </c>
      <c r="L625" s="7" t="s">
        <v>55</v>
      </c>
      <c r="M625" s="7">
        <v>4.0490399999999998</v>
      </c>
      <c r="N625" s="7">
        <v>9.74</v>
      </c>
      <c r="O625" s="7" t="s">
        <v>613</v>
      </c>
      <c r="P625" s="3"/>
      <c r="Q625" s="3"/>
      <c r="R625" s="3"/>
    </row>
    <row r="626" spans="1:18" x14ac:dyDescent="0.25">
      <c r="A626" s="2">
        <v>782</v>
      </c>
      <c r="B626" s="7" t="s">
        <v>4488</v>
      </c>
      <c r="C626" s="7" t="s">
        <v>4489</v>
      </c>
      <c r="D626" s="7" t="s">
        <v>4488</v>
      </c>
      <c r="E626" s="7" t="s">
        <v>50</v>
      </c>
      <c r="F626" s="7" t="s">
        <v>4490</v>
      </c>
      <c r="G626" s="17" t="s">
        <v>7747</v>
      </c>
      <c r="H626" s="7" t="s">
        <v>28</v>
      </c>
      <c r="I626" s="7" t="s">
        <v>1329</v>
      </c>
      <c r="J626" s="7" t="s">
        <v>53</v>
      </c>
      <c r="K626" s="7" t="s">
        <v>54</v>
      </c>
      <c r="L626" s="7" t="s">
        <v>55</v>
      </c>
      <c r="M626" s="7">
        <v>4.0239050000000001</v>
      </c>
      <c r="N626" s="7">
        <v>9.7802600000000002</v>
      </c>
      <c r="O626" s="7" t="s">
        <v>23</v>
      </c>
      <c r="P626" s="3"/>
      <c r="Q626" s="3"/>
      <c r="R626" s="3"/>
    </row>
    <row r="627" spans="1:18" x14ac:dyDescent="0.25">
      <c r="A627" s="2">
        <v>783</v>
      </c>
      <c r="B627" s="7" t="s">
        <v>4528</v>
      </c>
      <c r="C627" s="7" t="s">
        <v>4529</v>
      </c>
      <c r="D627" s="7" t="s">
        <v>4528</v>
      </c>
      <c r="E627" s="7" t="s">
        <v>50</v>
      </c>
      <c r="F627" s="7" t="s">
        <v>4530</v>
      </c>
      <c r="G627" s="17" t="s">
        <v>7747</v>
      </c>
      <c r="H627" s="7" t="s">
        <v>28</v>
      </c>
      <c r="I627" s="7" t="s">
        <v>52</v>
      </c>
      <c r="J627" s="7" t="s">
        <v>53</v>
      </c>
      <c r="K627" s="7" t="s">
        <v>54</v>
      </c>
      <c r="L627" s="7" t="s">
        <v>55</v>
      </c>
      <c r="M627" s="7">
        <v>3.996</v>
      </c>
      <c r="N627" s="7">
        <v>9.7754999999999992</v>
      </c>
      <c r="O627" s="7" t="s">
        <v>23</v>
      </c>
      <c r="P627" s="3"/>
      <c r="Q627" s="3"/>
      <c r="R627" s="3"/>
    </row>
    <row r="628" spans="1:18" x14ac:dyDescent="0.25">
      <c r="A628" s="2">
        <v>784</v>
      </c>
      <c r="B628" s="7" t="s">
        <v>4569</v>
      </c>
      <c r="C628" s="7" t="s">
        <v>4570</v>
      </c>
      <c r="D628" s="7" t="s">
        <v>4569</v>
      </c>
      <c r="E628" s="7" t="s">
        <v>34</v>
      </c>
      <c r="F628" s="7" t="s">
        <v>4571</v>
      </c>
      <c r="G628" s="17" t="s">
        <v>7747</v>
      </c>
      <c r="H628" s="7" t="s">
        <v>19</v>
      </c>
      <c r="I628" s="7" t="s">
        <v>356</v>
      </c>
      <c r="J628" s="7" t="s">
        <v>152</v>
      </c>
      <c r="K628" s="7" t="s">
        <v>2475</v>
      </c>
      <c r="L628" s="7" t="s">
        <v>55</v>
      </c>
      <c r="M628" s="7">
        <v>4.3446670000000003</v>
      </c>
      <c r="N628" s="7">
        <v>9.5813330000000008</v>
      </c>
      <c r="O628" s="7" t="s">
        <v>23</v>
      </c>
      <c r="P628" s="3"/>
      <c r="Q628" s="3"/>
      <c r="R628" s="3"/>
    </row>
    <row r="629" spans="1:18" x14ac:dyDescent="0.25">
      <c r="A629" s="2">
        <v>785</v>
      </c>
      <c r="B629" s="7" t="s">
        <v>4584</v>
      </c>
      <c r="C629" s="7" t="s">
        <v>4585</v>
      </c>
      <c r="D629" s="7" t="s">
        <v>4584</v>
      </c>
      <c r="E629" s="7" t="s">
        <v>34</v>
      </c>
      <c r="F629" s="7" t="s">
        <v>4586</v>
      </c>
      <c r="G629" s="17" t="s">
        <v>7747</v>
      </c>
      <c r="H629" s="7" t="s">
        <v>19</v>
      </c>
      <c r="I629" s="7" t="s">
        <v>356</v>
      </c>
      <c r="J629" s="7" t="s">
        <v>152</v>
      </c>
      <c r="K629" s="7" t="s">
        <v>1721</v>
      </c>
      <c r="L629" s="7" t="s">
        <v>55</v>
      </c>
      <c r="M629" s="7">
        <v>4.1654970000000002</v>
      </c>
      <c r="N629" s="7">
        <v>9.6001010000000004</v>
      </c>
      <c r="O629" s="7" t="s">
        <v>23</v>
      </c>
      <c r="P629" s="3"/>
      <c r="Q629" s="3"/>
      <c r="R629" s="3"/>
    </row>
    <row r="630" spans="1:18" x14ac:dyDescent="0.25">
      <c r="A630" s="2">
        <v>786</v>
      </c>
      <c r="B630" s="7" t="s">
        <v>4596</v>
      </c>
      <c r="C630" s="7" t="s">
        <v>4597</v>
      </c>
      <c r="D630" s="7" t="s">
        <v>4596</v>
      </c>
      <c r="E630" s="7" t="s">
        <v>50</v>
      </c>
      <c r="F630" s="7" t="s">
        <v>4598</v>
      </c>
      <c r="G630" s="17" t="s">
        <v>7747</v>
      </c>
      <c r="H630" s="7" t="s">
        <v>19</v>
      </c>
      <c r="I630" s="7" t="s">
        <v>1516</v>
      </c>
      <c r="J630" s="7" t="s">
        <v>4599</v>
      </c>
      <c r="K630" s="7" t="s">
        <v>153</v>
      </c>
      <c r="L630" s="7" t="s">
        <v>55</v>
      </c>
      <c r="M630" s="7">
        <v>4.4548170000000002</v>
      </c>
      <c r="N630" s="7">
        <v>9.9791899999999991</v>
      </c>
      <c r="O630" s="7" t="s">
        <v>23</v>
      </c>
      <c r="P630" s="3"/>
      <c r="Q630" s="3"/>
      <c r="R630" s="3"/>
    </row>
    <row r="631" spans="1:18" x14ac:dyDescent="0.25">
      <c r="A631" s="2">
        <v>787</v>
      </c>
      <c r="B631" s="7" t="s">
        <v>4600</v>
      </c>
      <c r="C631" s="7" t="s">
        <v>4601</v>
      </c>
      <c r="D631" s="7" t="s">
        <v>4600</v>
      </c>
      <c r="E631" s="7" t="s">
        <v>50</v>
      </c>
      <c r="F631" s="7" t="s">
        <v>4598</v>
      </c>
      <c r="G631" s="17" t="s">
        <v>7747</v>
      </c>
      <c r="H631" s="7" t="s">
        <v>19</v>
      </c>
      <c r="I631" s="7" t="s">
        <v>1516</v>
      </c>
      <c r="J631" s="7" t="s">
        <v>4599</v>
      </c>
      <c r="K631" s="7" t="s">
        <v>153</v>
      </c>
      <c r="L631" s="7" t="s">
        <v>55</v>
      </c>
      <c r="M631" s="7">
        <v>4.454923</v>
      </c>
      <c r="N631" s="7">
        <v>9.9785629999999994</v>
      </c>
      <c r="O631" s="7" t="s">
        <v>23</v>
      </c>
      <c r="P631" s="3"/>
      <c r="Q631" s="3"/>
      <c r="R631" s="3"/>
    </row>
    <row r="632" spans="1:18" x14ac:dyDescent="0.25">
      <c r="A632" s="2">
        <v>788</v>
      </c>
      <c r="B632" s="7" t="s">
        <v>4658</v>
      </c>
      <c r="C632" s="7" t="s">
        <v>4659</v>
      </c>
      <c r="D632" s="7" t="s">
        <v>4658</v>
      </c>
      <c r="E632" s="7" t="s">
        <v>34</v>
      </c>
      <c r="F632" s="7" t="s">
        <v>4660</v>
      </c>
      <c r="G632" s="8" t="s">
        <v>18</v>
      </c>
      <c r="H632" s="7" t="s">
        <v>19</v>
      </c>
      <c r="I632" s="7" t="s">
        <v>356</v>
      </c>
      <c r="J632" s="7" t="s">
        <v>152</v>
      </c>
      <c r="K632" s="7" t="s">
        <v>4661</v>
      </c>
      <c r="L632" s="7" t="s">
        <v>55</v>
      </c>
      <c r="M632" s="7">
        <v>4.2418649999999998</v>
      </c>
      <c r="N632" s="7">
        <v>9.6093740000000007</v>
      </c>
      <c r="O632" s="7" t="s">
        <v>23</v>
      </c>
      <c r="P632" s="3"/>
      <c r="Q632" s="3"/>
      <c r="R632" s="3"/>
    </row>
    <row r="633" spans="1:18" x14ac:dyDescent="0.25">
      <c r="A633" s="2">
        <v>789</v>
      </c>
      <c r="B633" s="7" t="s">
        <v>4702</v>
      </c>
      <c r="C633" s="7" t="s">
        <v>4703</v>
      </c>
      <c r="D633" s="7" t="s">
        <v>4702</v>
      </c>
      <c r="E633" s="7" t="s">
        <v>50</v>
      </c>
      <c r="F633" s="7" t="s">
        <v>4461</v>
      </c>
      <c r="G633" s="17" t="s">
        <v>7747</v>
      </c>
      <c r="H633" s="7" t="s">
        <v>19</v>
      </c>
      <c r="I633" s="7" t="s">
        <v>1471</v>
      </c>
      <c r="J633" s="7" t="s">
        <v>53</v>
      </c>
      <c r="K633" s="7" t="s">
        <v>612</v>
      </c>
      <c r="L633" s="7" t="s">
        <v>55</v>
      </c>
      <c r="M633" s="7">
        <v>4.0762499999999999</v>
      </c>
      <c r="N633" s="7">
        <v>9.7217780000000005</v>
      </c>
      <c r="O633" s="7" t="s">
        <v>613</v>
      </c>
      <c r="P633" s="3"/>
      <c r="Q633" s="3"/>
      <c r="R633" s="3"/>
    </row>
    <row r="634" spans="1:18" x14ac:dyDescent="0.25">
      <c r="A634" s="2">
        <v>790</v>
      </c>
      <c r="B634" s="7" t="s">
        <v>4704</v>
      </c>
      <c r="C634" s="7" t="s">
        <v>4705</v>
      </c>
      <c r="D634" s="7" t="s">
        <v>4704</v>
      </c>
      <c r="E634" s="7" t="s">
        <v>50</v>
      </c>
      <c r="F634" s="7" t="s">
        <v>4706</v>
      </c>
      <c r="G634" s="17" t="s">
        <v>7747</v>
      </c>
      <c r="H634" s="7" t="s">
        <v>28</v>
      </c>
      <c r="I634" s="7" t="s">
        <v>1478</v>
      </c>
      <c r="J634" s="7" t="s">
        <v>53</v>
      </c>
      <c r="K634" s="7" t="s">
        <v>1404</v>
      </c>
      <c r="L634" s="7" t="s">
        <v>55</v>
      </c>
      <c r="M634" s="7">
        <v>4.10168</v>
      </c>
      <c r="N634" s="7">
        <v>9.7352129999999999</v>
      </c>
      <c r="O634" s="7" t="s">
        <v>613</v>
      </c>
      <c r="P634" s="3"/>
      <c r="Q634" s="3"/>
      <c r="R634" s="3"/>
    </row>
    <row r="635" spans="1:18" x14ac:dyDescent="0.25">
      <c r="A635" s="2">
        <v>791</v>
      </c>
      <c r="B635" s="7" t="s">
        <v>4707</v>
      </c>
      <c r="C635" s="7" t="s">
        <v>4708</v>
      </c>
      <c r="D635" s="7" t="s">
        <v>4707</v>
      </c>
      <c r="E635" s="7" t="s">
        <v>50</v>
      </c>
      <c r="F635" s="7" t="s">
        <v>4709</v>
      </c>
      <c r="G635" s="17" t="s">
        <v>7747</v>
      </c>
      <c r="H635" s="7" t="s">
        <v>28</v>
      </c>
      <c r="I635" s="7" t="s">
        <v>627</v>
      </c>
      <c r="J635" s="7" t="s">
        <v>53</v>
      </c>
      <c r="K635" s="7" t="s">
        <v>628</v>
      </c>
      <c r="L635" s="7" t="s">
        <v>55</v>
      </c>
      <c r="M635" s="7">
        <v>4.0794980000000001</v>
      </c>
      <c r="N635" s="7">
        <v>9.6787600000000005</v>
      </c>
      <c r="O635" s="7" t="s">
        <v>613</v>
      </c>
      <c r="P635" s="3"/>
      <c r="Q635" s="3"/>
      <c r="R635" s="3"/>
    </row>
    <row r="636" spans="1:18" x14ac:dyDescent="0.25">
      <c r="A636" s="2">
        <v>792</v>
      </c>
      <c r="B636" s="7" t="s">
        <v>4710</v>
      </c>
      <c r="C636" s="7" t="s">
        <v>4711</v>
      </c>
      <c r="D636" s="7" t="s">
        <v>4710</v>
      </c>
      <c r="E636" s="7" t="s">
        <v>50</v>
      </c>
      <c r="F636" s="7" t="s">
        <v>4712</v>
      </c>
      <c r="G636" s="17" t="s">
        <v>7747</v>
      </c>
      <c r="H636" s="7" t="s">
        <v>19</v>
      </c>
      <c r="I636" s="7" t="s">
        <v>627</v>
      </c>
      <c r="J636" s="7" t="s">
        <v>53</v>
      </c>
      <c r="K636" s="7" t="s">
        <v>628</v>
      </c>
      <c r="L636" s="7" t="s">
        <v>55</v>
      </c>
      <c r="M636" s="7">
        <v>4.0966940000000003</v>
      </c>
      <c r="N636" s="7">
        <v>9.6676389999999994</v>
      </c>
      <c r="O636" s="7" t="s">
        <v>613</v>
      </c>
      <c r="P636" s="3"/>
      <c r="Q636" s="3"/>
      <c r="R636" s="3"/>
    </row>
    <row r="637" spans="1:18" x14ac:dyDescent="0.25">
      <c r="A637" s="2">
        <v>793</v>
      </c>
      <c r="B637" s="7" t="s">
        <v>4713</v>
      </c>
      <c r="C637" s="7" t="s">
        <v>4714</v>
      </c>
      <c r="D637" s="7" t="s">
        <v>4713</v>
      </c>
      <c r="E637" s="7" t="s">
        <v>50</v>
      </c>
      <c r="F637" s="7" t="s">
        <v>4715</v>
      </c>
      <c r="G637" s="17" t="s">
        <v>7747</v>
      </c>
      <c r="H637" s="7" t="s">
        <v>28</v>
      </c>
      <c r="I637" s="7" t="s">
        <v>1471</v>
      </c>
      <c r="J637" s="7" t="s">
        <v>53</v>
      </c>
      <c r="K637" s="7" t="s">
        <v>54</v>
      </c>
      <c r="L637" s="7" t="s">
        <v>55</v>
      </c>
      <c r="M637" s="7">
        <v>4.0593399999999997</v>
      </c>
      <c r="N637" s="7">
        <v>9.73766</v>
      </c>
      <c r="O637" s="7" t="s">
        <v>613</v>
      </c>
      <c r="P637" s="3"/>
      <c r="Q637" s="3"/>
      <c r="R637" s="3"/>
    </row>
    <row r="638" spans="1:18" x14ac:dyDescent="0.25">
      <c r="A638" s="2">
        <v>794</v>
      </c>
      <c r="B638" s="7" t="s">
        <v>4716</v>
      </c>
      <c r="C638" s="7" t="s">
        <v>4717</v>
      </c>
      <c r="D638" s="7" t="s">
        <v>4716</v>
      </c>
      <c r="E638" s="7" t="s">
        <v>50</v>
      </c>
      <c r="F638" s="7" t="s">
        <v>1478</v>
      </c>
      <c r="G638" s="17" t="s">
        <v>7747</v>
      </c>
      <c r="H638" s="7" t="s">
        <v>4718</v>
      </c>
      <c r="I638" s="7" t="s">
        <v>1478</v>
      </c>
      <c r="J638" s="7" t="s">
        <v>53</v>
      </c>
      <c r="K638" s="7" t="s">
        <v>612</v>
      </c>
      <c r="L638" s="7" t="s">
        <v>55</v>
      </c>
      <c r="M638" s="7">
        <v>4.0929339999999996</v>
      </c>
      <c r="N638" s="7">
        <v>9.7504030000000004</v>
      </c>
      <c r="O638" s="7" t="s">
        <v>98</v>
      </c>
      <c r="P638" s="3"/>
      <c r="Q638" s="3"/>
      <c r="R638" s="3"/>
    </row>
    <row r="639" spans="1:18" x14ac:dyDescent="0.25">
      <c r="A639" s="2">
        <v>795</v>
      </c>
      <c r="B639" s="7" t="s">
        <v>4726</v>
      </c>
      <c r="C639" s="7" t="s">
        <v>4727</v>
      </c>
      <c r="D639" s="7" t="s">
        <v>4726</v>
      </c>
      <c r="E639" s="7" t="s">
        <v>50</v>
      </c>
      <c r="F639" s="7" t="s">
        <v>3892</v>
      </c>
      <c r="G639" s="17" t="s">
        <v>7747</v>
      </c>
      <c r="H639" s="7" t="s">
        <v>28</v>
      </c>
      <c r="I639" s="7" t="s">
        <v>1478</v>
      </c>
      <c r="J639" s="7" t="s">
        <v>53</v>
      </c>
      <c r="K639" s="7" t="s">
        <v>612</v>
      </c>
      <c r="L639" s="7" t="s">
        <v>55</v>
      </c>
      <c r="M639" s="7">
        <v>4.0927049999999996</v>
      </c>
      <c r="N639" s="7">
        <v>9.7349599999999992</v>
      </c>
      <c r="O639" s="7" t="s">
        <v>613</v>
      </c>
      <c r="P639" s="3"/>
      <c r="Q639" s="3"/>
      <c r="R639" s="3"/>
    </row>
    <row r="640" spans="1:18" x14ac:dyDescent="0.25">
      <c r="A640" s="2">
        <v>796</v>
      </c>
      <c r="B640" s="7" t="s">
        <v>4728</v>
      </c>
      <c r="C640" s="7" t="s">
        <v>4729</v>
      </c>
      <c r="D640" s="7" t="s">
        <v>4728</v>
      </c>
      <c r="E640" s="7" t="s">
        <v>50</v>
      </c>
      <c r="F640" s="7" t="s">
        <v>4730</v>
      </c>
      <c r="G640" s="17" t="s">
        <v>7747</v>
      </c>
      <c r="H640" s="7" t="s">
        <v>28</v>
      </c>
      <c r="I640" s="7" t="s">
        <v>1516</v>
      </c>
      <c r="J640" s="7" t="s">
        <v>53</v>
      </c>
      <c r="K640" s="7" t="s">
        <v>54</v>
      </c>
      <c r="L640" s="7" t="s">
        <v>55</v>
      </c>
      <c r="M640" s="7">
        <v>4.042306</v>
      </c>
      <c r="N640" s="7">
        <v>9.7739999999999991</v>
      </c>
      <c r="O640" s="7" t="s">
        <v>23</v>
      </c>
      <c r="P640" s="3"/>
      <c r="Q640" s="3"/>
      <c r="R640" s="3"/>
    </row>
    <row r="641" spans="1:18" x14ac:dyDescent="0.25">
      <c r="A641" s="2">
        <v>797</v>
      </c>
      <c r="B641" s="7" t="s">
        <v>4731</v>
      </c>
      <c r="C641" s="7" t="s">
        <v>4732</v>
      </c>
      <c r="D641" s="7" t="s">
        <v>4731</v>
      </c>
      <c r="E641" s="7" t="s">
        <v>50</v>
      </c>
      <c r="F641" s="7" t="s">
        <v>4733</v>
      </c>
      <c r="G641" s="17" t="s">
        <v>7747</v>
      </c>
      <c r="H641" s="7" t="s">
        <v>28</v>
      </c>
      <c r="I641" s="7" t="s">
        <v>1478</v>
      </c>
      <c r="J641" s="7" t="s">
        <v>53</v>
      </c>
      <c r="K641" s="7" t="s">
        <v>612</v>
      </c>
      <c r="L641" s="7" t="s">
        <v>55</v>
      </c>
      <c r="M641" s="7">
        <v>4.0748030000000002</v>
      </c>
      <c r="N641" s="7">
        <v>9.7468610000000009</v>
      </c>
      <c r="O641" s="7" t="s">
        <v>23</v>
      </c>
      <c r="P641" s="3"/>
      <c r="Q641" s="3"/>
      <c r="R641" s="3"/>
    </row>
    <row r="642" spans="1:18" x14ac:dyDescent="0.25">
      <c r="A642" s="2">
        <v>798</v>
      </c>
      <c r="B642" s="7" t="s">
        <v>4734</v>
      </c>
      <c r="C642" s="7" t="s">
        <v>4735</v>
      </c>
      <c r="D642" s="7" t="s">
        <v>4734</v>
      </c>
      <c r="E642" s="7" t="s">
        <v>50</v>
      </c>
      <c r="F642" s="7" t="s">
        <v>4736</v>
      </c>
      <c r="G642" s="17" t="s">
        <v>7747</v>
      </c>
      <c r="H642" s="7" t="s">
        <v>28</v>
      </c>
      <c r="I642" s="7" t="s">
        <v>1575</v>
      </c>
      <c r="J642" s="7" t="s">
        <v>53</v>
      </c>
      <c r="K642" s="7" t="s">
        <v>54</v>
      </c>
      <c r="L642" s="7" t="s">
        <v>55</v>
      </c>
      <c r="M642" s="7">
        <v>4.0166459999999997</v>
      </c>
      <c r="N642" s="7">
        <v>9.7269869999999994</v>
      </c>
      <c r="O642" s="7" t="s">
        <v>613</v>
      </c>
      <c r="P642" s="3"/>
      <c r="Q642" s="3"/>
      <c r="R642" s="3"/>
    </row>
    <row r="643" spans="1:18" x14ac:dyDescent="0.25">
      <c r="A643" s="2">
        <v>799</v>
      </c>
      <c r="B643" s="7" t="s">
        <v>4737</v>
      </c>
      <c r="C643" s="7" t="s">
        <v>4738</v>
      </c>
      <c r="D643" s="7" t="s">
        <v>4737</v>
      </c>
      <c r="E643" s="7" t="s">
        <v>50</v>
      </c>
      <c r="F643" s="7" t="s">
        <v>4739</v>
      </c>
      <c r="G643" s="17" t="s">
        <v>7747</v>
      </c>
      <c r="H643" s="7" t="s">
        <v>28</v>
      </c>
      <c r="I643" s="7" t="s">
        <v>1329</v>
      </c>
      <c r="J643" s="7" t="s">
        <v>53</v>
      </c>
      <c r="K643" s="7" t="s">
        <v>54</v>
      </c>
      <c r="L643" s="7" t="s">
        <v>55</v>
      </c>
      <c r="M643" s="7">
        <v>4.0519990000000004</v>
      </c>
      <c r="N643" s="7">
        <v>9.7324719999999996</v>
      </c>
      <c r="O643" s="7" t="s">
        <v>613</v>
      </c>
      <c r="P643" s="3"/>
      <c r="Q643" s="3"/>
      <c r="R643" s="3"/>
    </row>
    <row r="644" spans="1:18" x14ac:dyDescent="0.25">
      <c r="A644" s="2">
        <v>800</v>
      </c>
      <c r="B644" s="7" t="s">
        <v>4740</v>
      </c>
      <c r="C644" s="7" t="s">
        <v>4741</v>
      </c>
      <c r="D644" s="7" t="s">
        <v>4740</v>
      </c>
      <c r="E644" s="7" t="s">
        <v>50</v>
      </c>
      <c r="F644" s="7" t="s">
        <v>4742</v>
      </c>
      <c r="G644" s="17" t="s">
        <v>7747</v>
      </c>
      <c r="H644" s="7" t="s">
        <v>19</v>
      </c>
      <c r="I644" s="7" t="s">
        <v>960</v>
      </c>
      <c r="J644" s="7" t="s">
        <v>53</v>
      </c>
      <c r="K644" s="7" t="s">
        <v>628</v>
      </c>
      <c r="L644" s="7" t="s">
        <v>55</v>
      </c>
      <c r="M644" s="7">
        <v>4.0861219999999996</v>
      </c>
      <c r="N644" s="7">
        <v>9.6542929999999991</v>
      </c>
      <c r="O644" s="7" t="s">
        <v>23</v>
      </c>
      <c r="P644" s="3"/>
      <c r="Q644" s="3"/>
      <c r="R644" s="3"/>
    </row>
    <row r="645" spans="1:18" x14ac:dyDescent="0.25">
      <c r="A645" s="2">
        <v>801</v>
      </c>
      <c r="B645" s="7" t="s">
        <v>4743</v>
      </c>
      <c r="C645" s="7" t="s">
        <v>4744</v>
      </c>
      <c r="D645" s="7" t="s">
        <v>4743</v>
      </c>
      <c r="E645" s="7" t="s">
        <v>50</v>
      </c>
      <c r="F645" s="7" t="s">
        <v>4745</v>
      </c>
      <c r="G645" s="17" t="s">
        <v>7747</v>
      </c>
      <c r="H645" s="7" t="s">
        <v>19</v>
      </c>
      <c r="I645" s="7" t="s">
        <v>960</v>
      </c>
      <c r="J645" s="7" t="s">
        <v>53</v>
      </c>
      <c r="K645" s="7" t="s">
        <v>628</v>
      </c>
      <c r="L645" s="7" t="s">
        <v>55</v>
      </c>
      <c r="M645" s="7">
        <v>4.1166109999999998</v>
      </c>
      <c r="N645" s="7">
        <v>9.6568389999999997</v>
      </c>
      <c r="O645" s="7" t="s">
        <v>23</v>
      </c>
      <c r="P645" s="3"/>
      <c r="Q645" s="3"/>
      <c r="R645" s="3"/>
    </row>
    <row r="646" spans="1:18" x14ac:dyDescent="0.25">
      <c r="A646" s="2">
        <v>802</v>
      </c>
      <c r="B646" s="7" t="s">
        <v>4746</v>
      </c>
      <c r="C646" s="7" t="s">
        <v>4747</v>
      </c>
      <c r="D646" s="7" t="s">
        <v>4746</v>
      </c>
      <c r="E646" s="7" t="s">
        <v>50</v>
      </c>
      <c r="F646" s="7" t="s">
        <v>4748</v>
      </c>
      <c r="G646" s="17" t="s">
        <v>7747</v>
      </c>
      <c r="H646" s="7" t="s">
        <v>28</v>
      </c>
      <c r="I646" s="7" t="s">
        <v>1478</v>
      </c>
      <c r="J646" s="7" t="s">
        <v>53</v>
      </c>
      <c r="K646" s="7" t="s">
        <v>612</v>
      </c>
      <c r="L646" s="7" t="s">
        <v>55</v>
      </c>
      <c r="M646" s="7">
        <v>4.0758299999999998</v>
      </c>
      <c r="N646" s="7">
        <v>9.7463899999999999</v>
      </c>
      <c r="O646" s="7" t="s">
        <v>613</v>
      </c>
      <c r="P646" s="3"/>
      <c r="Q646" s="3"/>
      <c r="R646" s="3"/>
    </row>
    <row r="647" spans="1:18" x14ac:dyDescent="0.25">
      <c r="A647" s="2">
        <v>803</v>
      </c>
      <c r="B647" s="7" t="s">
        <v>4753</v>
      </c>
      <c r="C647" s="7" t="s">
        <v>4754</v>
      </c>
      <c r="D647" s="7" t="s">
        <v>4753</v>
      </c>
      <c r="E647" s="7" t="s">
        <v>50</v>
      </c>
      <c r="F647" s="7" t="s">
        <v>4712</v>
      </c>
      <c r="G647" s="17" t="s">
        <v>7747</v>
      </c>
      <c r="H647" s="7" t="s">
        <v>28</v>
      </c>
      <c r="I647" s="7" t="s">
        <v>960</v>
      </c>
      <c r="J647" s="7" t="s">
        <v>53</v>
      </c>
      <c r="K647" s="7" t="s">
        <v>628</v>
      </c>
      <c r="L647" s="7" t="s">
        <v>55</v>
      </c>
      <c r="M647" s="7">
        <v>4.0888850000000003</v>
      </c>
      <c r="N647" s="7">
        <v>9.6698970000000006</v>
      </c>
      <c r="O647" s="7" t="s">
        <v>613</v>
      </c>
      <c r="P647" s="3"/>
      <c r="Q647" s="3"/>
      <c r="R647" s="3"/>
    </row>
    <row r="648" spans="1:18" x14ac:dyDescent="0.25">
      <c r="A648" s="2">
        <v>804</v>
      </c>
      <c r="B648" s="7" t="s">
        <v>4755</v>
      </c>
      <c r="C648" s="7" t="s">
        <v>4756</v>
      </c>
      <c r="D648" s="7" t="s">
        <v>4755</v>
      </c>
      <c r="E648" s="7" t="s">
        <v>50</v>
      </c>
      <c r="F648" s="7" t="s">
        <v>4757</v>
      </c>
      <c r="G648" s="17" t="s">
        <v>7747</v>
      </c>
      <c r="H648" s="7" t="s">
        <v>19</v>
      </c>
      <c r="I648" s="7" t="s">
        <v>2024</v>
      </c>
      <c r="J648" s="7" t="s">
        <v>53</v>
      </c>
      <c r="K648" s="7" t="s">
        <v>54</v>
      </c>
      <c r="L648" s="7" t="s">
        <v>55</v>
      </c>
      <c r="M648" s="7">
        <v>4.0352959999999998</v>
      </c>
      <c r="N648" s="7">
        <v>9.7329969999999992</v>
      </c>
      <c r="O648" s="7" t="s">
        <v>613</v>
      </c>
      <c r="P648" s="3"/>
      <c r="Q648" s="3"/>
      <c r="R648" s="3"/>
    </row>
    <row r="649" spans="1:18" x14ac:dyDescent="0.25">
      <c r="A649" s="2">
        <v>805</v>
      </c>
      <c r="B649" s="7" t="s">
        <v>4772</v>
      </c>
      <c r="C649" s="7" t="s">
        <v>4773</v>
      </c>
      <c r="D649" s="7" t="s">
        <v>4772</v>
      </c>
      <c r="E649" s="7" t="s">
        <v>50</v>
      </c>
      <c r="F649" s="7" t="s">
        <v>4774</v>
      </c>
      <c r="G649" s="17" t="s">
        <v>7747</v>
      </c>
      <c r="H649" s="7" t="s">
        <v>19</v>
      </c>
      <c r="I649" s="7" t="s">
        <v>1958</v>
      </c>
      <c r="J649" s="7" t="s">
        <v>53</v>
      </c>
      <c r="K649" s="7" t="s">
        <v>628</v>
      </c>
      <c r="L649" s="7" t="s">
        <v>55</v>
      </c>
      <c r="M649" s="7">
        <v>4.0659720000000004</v>
      </c>
      <c r="N649" s="7">
        <v>9.7063330000000008</v>
      </c>
      <c r="O649" s="7" t="s">
        <v>613</v>
      </c>
      <c r="P649" s="3"/>
      <c r="Q649" s="3"/>
      <c r="R649" s="3"/>
    </row>
    <row r="650" spans="1:18" x14ac:dyDescent="0.25">
      <c r="A650" s="2">
        <v>806</v>
      </c>
      <c r="B650" s="7" t="s">
        <v>4778</v>
      </c>
      <c r="C650" s="7" t="s">
        <v>4779</v>
      </c>
      <c r="D650" s="7" t="s">
        <v>4778</v>
      </c>
      <c r="E650" s="7" t="s">
        <v>34</v>
      </c>
      <c r="F650" s="7" t="s">
        <v>4780</v>
      </c>
      <c r="G650" s="8" t="s">
        <v>18</v>
      </c>
      <c r="H650" s="7" t="s">
        <v>28</v>
      </c>
      <c r="I650" s="7" t="s">
        <v>356</v>
      </c>
      <c r="J650" s="7" t="s">
        <v>152</v>
      </c>
      <c r="K650" s="7" t="s">
        <v>4661</v>
      </c>
      <c r="L650" s="7" t="s">
        <v>55</v>
      </c>
      <c r="M650" s="7">
        <v>4.3582799999999997</v>
      </c>
      <c r="N650" s="7">
        <v>9.7448999999999995</v>
      </c>
      <c r="O650" s="7" t="s">
        <v>23</v>
      </c>
      <c r="P650" s="3"/>
      <c r="Q650" s="3"/>
      <c r="R650" s="3"/>
    </row>
    <row r="651" spans="1:18" x14ac:dyDescent="0.25">
      <c r="A651" s="2">
        <v>807</v>
      </c>
      <c r="B651" s="7" t="s">
        <v>4870</v>
      </c>
      <c r="C651" s="7" t="s">
        <v>4871</v>
      </c>
      <c r="D651" s="7" t="s">
        <v>4870</v>
      </c>
      <c r="E651" s="7" t="s">
        <v>34</v>
      </c>
      <c r="F651" s="7" t="s">
        <v>4872</v>
      </c>
      <c r="G651" s="17" t="s">
        <v>7747</v>
      </c>
      <c r="H651" s="7" t="s">
        <v>28</v>
      </c>
      <c r="I651" s="7" t="s">
        <v>356</v>
      </c>
      <c r="J651" s="7" t="s">
        <v>152</v>
      </c>
      <c r="K651" s="7" t="s">
        <v>4661</v>
      </c>
      <c r="L651" s="7" t="s">
        <v>55</v>
      </c>
      <c r="M651" s="7">
        <v>4.3405630000000004</v>
      </c>
      <c r="N651" s="7">
        <v>9.7368079999999999</v>
      </c>
      <c r="O651" s="7" t="s">
        <v>23</v>
      </c>
      <c r="P651" s="3"/>
      <c r="Q651" s="3"/>
      <c r="R651" s="3"/>
    </row>
    <row r="652" spans="1:18" x14ac:dyDescent="0.25">
      <c r="A652" s="2">
        <v>808</v>
      </c>
      <c r="B652" s="7" t="s">
        <v>4904</v>
      </c>
      <c r="C652" s="7" t="s">
        <v>4905</v>
      </c>
      <c r="D652" s="7" t="s">
        <v>4904</v>
      </c>
      <c r="E652" s="7" t="s">
        <v>50</v>
      </c>
      <c r="F652" s="7" t="s">
        <v>4906</v>
      </c>
      <c r="G652" s="17" t="s">
        <v>7747</v>
      </c>
      <c r="H652" s="7" t="s">
        <v>19</v>
      </c>
      <c r="I652" s="7" t="s">
        <v>52</v>
      </c>
      <c r="J652" s="7" t="s">
        <v>53</v>
      </c>
      <c r="K652" s="7" t="s">
        <v>54</v>
      </c>
      <c r="L652" s="7" t="s">
        <v>55</v>
      </c>
      <c r="M652" s="7">
        <v>4.0231669999999999</v>
      </c>
      <c r="N652" s="7">
        <v>9.7919999999999998</v>
      </c>
      <c r="O652" s="7" t="s">
        <v>23</v>
      </c>
      <c r="P652" s="3"/>
      <c r="Q652" s="3"/>
      <c r="R652" s="3"/>
    </row>
    <row r="653" spans="1:18" x14ac:dyDescent="0.25">
      <c r="A653" s="2">
        <v>809</v>
      </c>
      <c r="B653" s="7" t="s">
        <v>4916</v>
      </c>
      <c r="C653" s="7" t="s">
        <v>4917</v>
      </c>
      <c r="D653" s="7" t="s">
        <v>4916</v>
      </c>
      <c r="E653" s="7" t="s">
        <v>50</v>
      </c>
      <c r="F653" s="7" t="s">
        <v>4918</v>
      </c>
      <c r="G653" s="17" t="s">
        <v>7747</v>
      </c>
      <c r="H653" s="7" t="s">
        <v>28</v>
      </c>
      <c r="I653" s="7" t="s">
        <v>1478</v>
      </c>
      <c r="J653" s="7" t="s">
        <v>53</v>
      </c>
      <c r="K653" s="7" t="s">
        <v>612</v>
      </c>
      <c r="L653" s="7" t="s">
        <v>55</v>
      </c>
      <c r="M653" s="7">
        <v>4.0932050000000002</v>
      </c>
      <c r="N653" s="7">
        <v>9.7515619999999998</v>
      </c>
      <c r="O653" s="7" t="s">
        <v>23</v>
      </c>
      <c r="P653" s="3"/>
      <c r="Q653" s="3"/>
      <c r="R653" s="3"/>
    </row>
    <row r="654" spans="1:18" x14ac:dyDescent="0.25">
      <c r="A654" s="2">
        <v>810</v>
      </c>
      <c r="B654" s="7" t="s">
        <v>4922</v>
      </c>
      <c r="C654" s="7" t="s">
        <v>4923</v>
      </c>
      <c r="D654" s="7" t="s">
        <v>4922</v>
      </c>
      <c r="E654" s="7" t="s">
        <v>50</v>
      </c>
      <c r="F654" s="7" t="s">
        <v>4924</v>
      </c>
      <c r="G654" s="17" t="s">
        <v>7747</v>
      </c>
      <c r="H654" s="7" t="s">
        <v>28</v>
      </c>
      <c r="I654" s="7" t="s">
        <v>52</v>
      </c>
      <c r="J654" s="7" t="s">
        <v>53</v>
      </c>
      <c r="K654" s="7" t="s">
        <v>54</v>
      </c>
      <c r="L654" s="7" t="s">
        <v>55</v>
      </c>
      <c r="M654" s="7">
        <v>4.0125000000000002</v>
      </c>
      <c r="N654" s="7">
        <v>9.7781699999999994</v>
      </c>
      <c r="O654" s="7" t="s">
        <v>23</v>
      </c>
      <c r="P654" s="3"/>
      <c r="Q654" s="3"/>
      <c r="R654" s="3"/>
    </row>
    <row r="655" spans="1:18" x14ac:dyDescent="0.25">
      <c r="A655" s="2">
        <v>811</v>
      </c>
      <c r="B655" s="7" t="s">
        <v>4925</v>
      </c>
      <c r="C655" s="7" t="s">
        <v>4926</v>
      </c>
      <c r="D655" s="7" t="s">
        <v>4925</v>
      </c>
      <c r="E655" s="7" t="s">
        <v>50</v>
      </c>
      <c r="F655" s="7" t="s">
        <v>4927</v>
      </c>
      <c r="G655" s="17" t="s">
        <v>7747</v>
      </c>
      <c r="H655" s="7" t="s">
        <v>28</v>
      </c>
      <c r="I655" s="7" t="s">
        <v>1516</v>
      </c>
      <c r="J655" s="7" t="s">
        <v>53</v>
      </c>
      <c r="K655" s="7" t="s">
        <v>54</v>
      </c>
      <c r="L655" s="7" t="s">
        <v>55</v>
      </c>
      <c r="M655" s="7">
        <v>4.1215089999999996</v>
      </c>
      <c r="N655" s="7">
        <v>9.8290939999999996</v>
      </c>
      <c r="O655" s="7" t="s">
        <v>23</v>
      </c>
      <c r="P655" s="3"/>
      <c r="Q655" s="3"/>
      <c r="R655" s="3"/>
    </row>
    <row r="656" spans="1:18" x14ac:dyDescent="0.25">
      <c r="A656" s="2">
        <v>812</v>
      </c>
      <c r="B656" s="7" t="s">
        <v>4935</v>
      </c>
      <c r="C656" s="7" t="s">
        <v>4936</v>
      </c>
      <c r="D656" s="7" t="s">
        <v>4935</v>
      </c>
      <c r="E656" s="7" t="s">
        <v>50</v>
      </c>
      <c r="F656" s="7" t="s">
        <v>4937</v>
      </c>
      <c r="G656" s="17" t="s">
        <v>7747</v>
      </c>
      <c r="H656" s="7" t="s">
        <v>28</v>
      </c>
      <c r="I656" s="7" t="s">
        <v>52</v>
      </c>
      <c r="J656" s="7" t="s">
        <v>53</v>
      </c>
      <c r="K656" s="7" t="s">
        <v>54</v>
      </c>
      <c r="L656" s="7" t="s">
        <v>55</v>
      </c>
      <c r="M656" s="7">
        <v>4.0285679999999999</v>
      </c>
      <c r="N656" s="7">
        <v>9.7970000000000006</v>
      </c>
      <c r="O656" s="7" t="s">
        <v>23</v>
      </c>
      <c r="P656" s="3"/>
      <c r="Q656" s="3"/>
      <c r="R656" s="3"/>
    </row>
    <row r="657" spans="1:18" x14ac:dyDescent="0.25">
      <c r="A657" s="2">
        <v>813</v>
      </c>
      <c r="B657" s="7" t="s">
        <v>4941</v>
      </c>
      <c r="C657" s="7" t="s">
        <v>4942</v>
      </c>
      <c r="D657" s="7" t="s">
        <v>4941</v>
      </c>
      <c r="E657" s="7" t="s">
        <v>50</v>
      </c>
      <c r="F657" s="7" t="s">
        <v>4943</v>
      </c>
      <c r="G657" s="17" t="s">
        <v>7747</v>
      </c>
      <c r="H657" s="7" t="s">
        <v>28</v>
      </c>
      <c r="I657" s="7" t="s">
        <v>960</v>
      </c>
      <c r="J657" s="7" t="s">
        <v>53</v>
      </c>
      <c r="K657" s="7" t="s">
        <v>628</v>
      </c>
      <c r="L657" s="7" t="s">
        <v>55</v>
      </c>
      <c r="M657" s="7">
        <v>4.0890700000000004</v>
      </c>
      <c r="N657" s="7">
        <v>9.6189129999999992</v>
      </c>
      <c r="O657" s="7" t="s">
        <v>23</v>
      </c>
      <c r="P657" s="3"/>
      <c r="Q657" s="3"/>
      <c r="R657" s="3"/>
    </row>
    <row r="658" spans="1:18" x14ac:dyDescent="0.25">
      <c r="A658" s="2">
        <v>814</v>
      </c>
      <c r="B658" s="7" t="s">
        <v>4977</v>
      </c>
      <c r="C658" s="7" t="s">
        <v>4978</v>
      </c>
      <c r="D658" s="7" t="s">
        <v>4977</v>
      </c>
      <c r="E658" s="7" t="s">
        <v>50</v>
      </c>
      <c r="F658" s="7" t="s">
        <v>4979</v>
      </c>
      <c r="G658" s="17" t="s">
        <v>7747</v>
      </c>
      <c r="H658" s="7" t="s">
        <v>19</v>
      </c>
      <c r="I658" s="7" t="s">
        <v>52</v>
      </c>
      <c r="J658" s="7" t="s">
        <v>53</v>
      </c>
      <c r="K658" s="7" t="s">
        <v>54</v>
      </c>
      <c r="L658" s="7" t="s">
        <v>55</v>
      </c>
      <c r="M658" s="7">
        <v>4.0004850000000003</v>
      </c>
      <c r="N658" s="7">
        <v>9.8147830000000003</v>
      </c>
      <c r="O658" s="7" t="s">
        <v>23</v>
      </c>
      <c r="P658" s="3"/>
      <c r="Q658" s="3"/>
      <c r="R658" s="3"/>
    </row>
    <row r="659" spans="1:18" x14ac:dyDescent="0.25">
      <c r="A659" s="2">
        <v>815</v>
      </c>
      <c r="B659" s="7" t="s">
        <v>4988</v>
      </c>
      <c r="C659" s="7" t="s">
        <v>4989</v>
      </c>
      <c r="D659" s="7" t="s">
        <v>4988</v>
      </c>
      <c r="E659" s="7" t="s">
        <v>50</v>
      </c>
      <c r="F659" s="7" t="s">
        <v>4990</v>
      </c>
      <c r="G659" s="17" t="s">
        <v>7747</v>
      </c>
      <c r="H659" s="7" t="s">
        <v>28</v>
      </c>
      <c r="I659" s="7" t="s">
        <v>1516</v>
      </c>
      <c r="J659" s="7" t="s">
        <v>53</v>
      </c>
      <c r="K659" s="7" t="s">
        <v>54</v>
      </c>
      <c r="L659" s="7" t="s">
        <v>55</v>
      </c>
      <c r="M659" s="7">
        <v>4.0475370000000002</v>
      </c>
      <c r="N659" s="7">
        <v>9.7701969999999996</v>
      </c>
      <c r="O659" s="7" t="s">
        <v>613</v>
      </c>
      <c r="P659" s="3"/>
      <c r="Q659" s="3"/>
      <c r="R659" s="3"/>
    </row>
    <row r="660" spans="1:18" x14ac:dyDescent="0.25">
      <c r="A660" s="2">
        <v>816</v>
      </c>
      <c r="B660" s="7" t="s">
        <v>5026</v>
      </c>
      <c r="C660" s="7" t="s">
        <v>5027</v>
      </c>
      <c r="D660" s="7" t="s">
        <v>5026</v>
      </c>
      <c r="E660" s="7" t="s">
        <v>50</v>
      </c>
      <c r="F660" s="7" t="s">
        <v>5028</v>
      </c>
      <c r="G660" s="17" t="s">
        <v>7747</v>
      </c>
      <c r="H660" s="7" t="s">
        <v>19</v>
      </c>
      <c r="I660" s="7" t="s">
        <v>1403</v>
      </c>
      <c r="J660" s="7" t="s">
        <v>53</v>
      </c>
      <c r="K660" s="7" t="s">
        <v>2213</v>
      </c>
      <c r="L660" s="7" t="s">
        <v>55</v>
      </c>
      <c r="M660" s="7">
        <v>4.0223800000000001</v>
      </c>
      <c r="N660" s="7">
        <v>9.7097599999999993</v>
      </c>
      <c r="O660" s="7" t="s">
        <v>613</v>
      </c>
      <c r="P660" s="3"/>
      <c r="Q660" s="3"/>
      <c r="R660" s="3"/>
    </row>
    <row r="661" spans="1:18" x14ac:dyDescent="0.25">
      <c r="A661" s="2">
        <v>817</v>
      </c>
      <c r="B661" s="7" t="s">
        <v>5029</v>
      </c>
      <c r="C661" s="7" t="s">
        <v>5030</v>
      </c>
      <c r="D661" s="7" t="s">
        <v>5029</v>
      </c>
      <c r="E661" s="7" t="s">
        <v>50</v>
      </c>
      <c r="F661" s="7" t="s">
        <v>5031</v>
      </c>
      <c r="G661" s="17" t="s">
        <v>7747</v>
      </c>
      <c r="H661" s="7" t="s">
        <v>28</v>
      </c>
      <c r="I661" s="7" t="s">
        <v>627</v>
      </c>
      <c r="J661" s="7" t="s">
        <v>53</v>
      </c>
      <c r="K661" s="7" t="s">
        <v>628</v>
      </c>
      <c r="L661" s="7" t="s">
        <v>55</v>
      </c>
      <c r="M661" s="7">
        <v>4.0759299999999996</v>
      </c>
      <c r="N661" s="7">
        <v>9.6732800000000001</v>
      </c>
      <c r="O661" s="7" t="s">
        <v>613</v>
      </c>
      <c r="P661" s="3"/>
      <c r="Q661" s="3"/>
      <c r="R661" s="3"/>
    </row>
    <row r="662" spans="1:18" x14ac:dyDescent="0.25">
      <c r="A662" s="2">
        <v>818</v>
      </c>
      <c r="B662" s="7" t="s">
        <v>5032</v>
      </c>
      <c r="C662" s="7" t="s">
        <v>5033</v>
      </c>
      <c r="D662" s="7" t="s">
        <v>5032</v>
      </c>
      <c r="E662" s="7" t="s">
        <v>50</v>
      </c>
      <c r="F662" s="7" t="s">
        <v>5034</v>
      </c>
      <c r="G662" s="17" t="s">
        <v>7747</v>
      </c>
      <c r="H662" s="7" t="s">
        <v>28</v>
      </c>
      <c r="I662" s="7" t="s">
        <v>2024</v>
      </c>
      <c r="J662" s="7" t="s">
        <v>53</v>
      </c>
      <c r="K662" s="7" t="s">
        <v>2213</v>
      </c>
      <c r="L662" s="7" t="s">
        <v>55</v>
      </c>
      <c r="M662" s="7">
        <v>4.0338500000000002</v>
      </c>
      <c r="N662" s="7">
        <v>9.7121600000000008</v>
      </c>
      <c r="O662" s="7" t="s">
        <v>613</v>
      </c>
      <c r="P662" s="3"/>
      <c r="Q662" s="3"/>
      <c r="R662" s="3"/>
    </row>
    <row r="663" spans="1:18" x14ac:dyDescent="0.25">
      <c r="A663" s="2">
        <v>819</v>
      </c>
      <c r="B663" s="7" t="s">
        <v>5038</v>
      </c>
      <c r="C663" s="7" t="s">
        <v>5039</v>
      </c>
      <c r="D663" s="7" t="s">
        <v>5038</v>
      </c>
      <c r="E663" s="7" t="s">
        <v>50</v>
      </c>
      <c r="F663" s="7" t="s">
        <v>5040</v>
      </c>
      <c r="G663" s="17" t="s">
        <v>7747</v>
      </c>
      <c r="H663" s="7" t="s">
        <v>19</v>
      </c>
      <c r="I663" s="7" t="s">
        <v>1403</v>
      </c>
      <c r="J663" s="7" t="s">
        <v>53</v>
      </c>
      <c r="K663" s="7" t="s">
        <v>1404</v>
      </c>
      <c r="L663" s="7" t="s">
        <v>55</v>
      </c>
      <c r="M663" s="7">
        <v>4.0353329999999996</v>
      </c>
      <c r="N663" s="7">
        <v>9.6918889999999998</v>
      </c>
      <c r="O663" s="7" t="s">
        <v>613</v>
      </c>
      <c r="P663" s="3"/>
      <c r="Q663" s="3"/>
      <c r="R663" s="3"/>
    </row>
    <row r="664" spans="1:18" x14ac:dyDescent="0.25">
      <c r="A664" s="2">
        <v>820</v>
      </c>
      <c r="B664" s="7" t="s">
        <v>5056</v>
      </c>
      <c r="C664" s="7" t="s">
        <v>5057</v>
      </c>
      <c r="D664" s="7" t="s">
        <v>5056</v>
      </c>
      <c r="E664" s="7" t="s">
        <v>50</v>
      </c>
      <c r="F664" s="7" t="s">
        <v>5058</v>
      </c>
      <c r="G664" s="17" t="s">
        <v>7747</v>
      </c>
      <c r="H664" s="7" t="s">
        <v>19</v>
      </c>
      <c r="I664" s="7" t="s">
        <v>1403</v>
      </c>
      <c r="J664" s="7" t="s">
        <v>53</v>
      </c>
      <c r="K664" s="7" t="s">
        <v>1404</v>
      </c>
      <c r="L664" s="7" t="s">
        <v>55</v>
      </c>
      <c r="M664" s="7">
        <v>4.0478399999999999</v>
      </c>
      <c r="N664" s="7">
        <v>9.6926600000000001</v>
      </c>
      <c r="O664" s="7" t="s">
        <v>613</v>
      </c>
      <c r="P664" s="3"/>
      <c r="Q664" s="3"/>
      <c r="R664" s="3"/>
    </row>
    <row r="665" spans="1:18" x14ac:dyDescent="0.25">
      <c r="A665" s="2">
        <v>821</v>
      </c>
      <c r="B665" s="7" t="s">
        <v>5059</v>
      </c>
      <c r="C665" s="7" t="s">
        <v>5060</v>
      </c>
      <c r="D665" s="7" t="s">
        <v>5059</v>
      </c>
      <c r="E665" s="7" t="s">
        <v>50</v>
      </c>
      <c r="F665" s="7" t="s">
        <v>5061</v>
      </c>
      <c r="G665" s="17" t="s">
        <v>7747</v>
      </c>
      <c r="H665" s="7" t="s">
        <v>19</v>
      </c>
      <c r="I665" s="7" t="s">
        <v>1403</v>
      </c>
      <c r="J665" s="7" t="s">
        <v>53</v>
      </c>
      <c r="K665" s="7" t="s">
        <v>1404</v>
      </c>
      <c r="L665" s="7" t="s">
        <v>55</v>
      </c>
      <c r="M665" s="7">
        <v>4.0467500000000003</v>
      </c>
      <c r="N665" s="7">
        <v>9.6989169999999998</v>
      </c>
      <c r="O665" s="7" t="s">
        <v>613</v>
      </c>
      <c r="P665" s="3"/>
      <c r="Q665" s="3"/>
      <c r="R665" s="3"/>
    </row>
    <row r="666" spans="1:18" x14ac:dyDescent="0.25">
      <c r="A666" s="2">
        <v>822</v>
      </c>
      <c r="B666" s="7" t="s">
        <v>5065</v>
      </c>
      <c r="C666" s="7" t="s">
        <v>5066</v>
      </c>
      <c r="D666" s="7" t="s">
        <v>5065</v>
      </c>
      <c r="E666" s="7" t="s">
        <v>50</v>
      </c>
      <c r="F666" s="7" t="s">
        <v>5067</v>
      </c>
      <c r="G666" s="17" t="s">
        <v>7747</v>
      </c>
      <c r="H666" s="7" t="s">
        <v>19</v>
      </c>
      <c r="I666" s="7" t="s">
        <v>1575</v>
      </c>
      <c r="J666" s="7" t="s">
        <v>53</v>
      </c>
      <c r="K666" s="7" t="s">
        <v>54</v>
      </c>
      <c r="L666" s="7" t="s">
        <v>55</v>
      </c>
      <c r="M666" s="7">
        <v>4.0113599999999998</v>
      </c>
      <c r="N666" s="7">
        <v>9.7212300000000003</v>
      </c>
      <c r="O666" s="7" t="s">
        <v>613</v>
      </c>
      <c r="P666" s="3"/>
      <c r="Q666" s="3"/>
      <c r="R666" s="3"/>
    </row>
    <row r="667" spans="1:18" x14ac:dyDescent="0.25">
      <c r="A667" s="2">
        <v>823</v>
      </c>
      <c r="B667" s="7" t="s">
        <v>5071</v>
      </c>
      <c r="C667" s="7" t="s">
        <v>5072</v>
      </c>
      <c r="D667" s="7" t="s">
        <v>5071</v>
      </c>
      <c r="E667" s="7" t="s">
        <v>50</v>
      </c>
      <c r="F667" s="7" t="s">
        <v>5073</v>
      </c>
      <c r="G667" s="17" t="s">
        <v>7747</v>
      </c>
      <c r="H667" s="7" t="s">
        <v>19</v>
      </c>
      <c r="I667" s="7" t="s">
        <v>960</v>
      </c>
      <c r="J667" s="7" t="s">
        <v>53</v>
      </c>
      <c r="K667" s="7" t="s">
        <v>628</v>
      </c>
      <c r="L667" s="7" t="s">
        <v>55</v>
      </c>
      <c r="M667" s="7">
        <v>4.0796700000000001</v>
      </c>
      <c r="N667" s="7">
        <v>9.6706730000000007</v>
      </c>
      <c r="O667" s="7" t="s">
        <v>613</v>
      </c>
      <c r="P667" s="3"/>
      <c r="Q667" s="3"/>
      <c r="R667" s="3"/>
    </row>
    <row r="668" spans="1:18" x14ac:dyDescent="0.25">
      <c r="A668" s="2">
        <v>824</v>
      </c>
      <c r="B668" s="7" t="s">
        <v>5074</v>
      </c>
      <c r="C668" s="7" t="s">
        <v>5075</v>
      </c>
      <c r="D668" s="7" t="s">
        <v>5074</v>
      </c>
      <c r="E668" s="7" t="s">
        <v>50</v>
      </c>
      <c r="F668" s="7" t="s">
        <v>5076</v>
      </c>
      <c r="G668" s="17" t="s">
        <v>7747</v>
      </c>
      <c r="H668" s="7" t="s">
        <v>19</v>
      </c>
      <c r="I668" s="7" t="s">
        <v>611</v>
      </c>
      <c r="J668" s="7" t="s">
        <v>53</v>
      </c>
      <c r="K668" s="7" t="s">
        <v>612</v>
      </c>
      <c r="L668" s="7" t="s">
        <v>55</v>
      </c>
      <c r="M668" s="7">
        <v>4.0769979999999997</v>
      </c>
      <c r="N668" s="7">
        <v>9.7588069999999991</v>
      </c>
      <c r="O668" s="7" t="s">
        <v>23</v>
      </c>
      <c r="P668" s="3"/>
      <c r="Q668" s="3"/>
      <c r="R668" s="3"/>
    </row>
    <row r="669" spans="1:18" x14ac:dyDescent="0.25">
      <c r="A669" s="2">
        <v>825</v>
      </c>
      <c r="B669" s="7" t="s">
        <v>5077</v>
      </c>
      <c r="C669" s="7" t="s">
        <v>5078</v>
      </c>
      <c r="D669" s="7" t="s">
        <v>5077</v>
      </c>
      <c r="E669" s="7" t="s">
        <v>50</v>
      </c>
      <c r="F669" s="7" t="s">
        <v>5079</v>
      </c>
      <c r="G669" s="17" t="s">
        <v>7747</v>
      </c>
      <c r="H669" s="7" t="s">
        <v>19</v>
      </c>
      <c r="I669" s="7" t="s">
        <v>1958</v>
      </c>
      <c r="J669" s="7" t="s">
        <v>53</v>
      </c>
      <c r="K669" s="7" t="s">
        <v>1404</v>
      </c>
      <c r="L669" s="7" t="s">
        <v>55</v>
      </c>
      <c r="M669" s="7">
        <v>4.0523759999999998</v>
      </c>
      <c r="N669" s="7">
        <v>9.6939060000000001</v>
      </c>
      <c r="O669" s="7" t="s">
        <v>613</v>
      </c>
      <c r="P669" s="3"/>
      <c r="Q669" s="3"/>
      <c r="R669" s="3"/>
    </row>
    <row r="670" spans="1:18" x14ac:dyDescent="0.25">
      <c r="A670" s="2">
        <v>826</v>
      </c>
      <c r="B670" s="7" t="s">
        <v>5080</v>
      </c>
      <c r="C670" s="7" t="s">
        <v>5081</v>
      </c>
      <c r="D670" s="7" t="s">
        <v>5080</v>
      </c>
      <c r="E670" s="7" t="s">
        <v>50</v>
      </c>
      <c r="F670" s="7" t="s">
        <v>5082</v>
      </c>
      <c r="G670" s="17" t="s">
        <v>7747</v>
      </c>
      <c r="H670" s="7" t="s">
        <v>19</v>
      </c>
      <c r="I670" s="7" t="s">
        <v>1403</v>
      </c>
      <c r="J670" s="7" t="s">
        <v>53</v>
      </c>
      <c r="K670" s="7" t="s">
        <v>1404</v>
      </c>
      <c r="L670" s="7" t="s">
        <v>55</v>
      </c>
      <c r="M670" s="7">
        <v>4.0370559999999998</v>
      </c>
      <c r="N670" s="7">
        <v>9.6960560000000005</v>
      </c>
      <c r="O670" s="7" t="s">
        <v>613</v>
      </c>
      <c r="P670" s="3"/>
      <c r="Q670" s="3"/>
      <c r="R670" s="3"/>
    </row>
    <row r="671" spans="1:18" x14ac:dyDescent="0.25">
      <c r="A671" s="2">
        <v>827</v>
      </c>
      <c r="B671" s="7" t="s">
        <v>5083</v>
      </c>
      <c r="C671" s="7" t="s">
        <v>5084</v>
      </c>
      <c r="D671" s="7" t="s">
        <v>5083</v>
      </c>
      <c r="E671" s="7" t="s">
        <v>50</v>
      </c>
      <c r="F671" s="7" t="s">
        <v>5085</v>
      </c>
      <c r="G671" s="17" t="s">
        <v>7747</v>
      </c>
      <c r="H671" s="7" t="s">
        <v>28</v>
      </c>
      <c r="I671" s="7" t="s">
        <v>1403</v>
      </c>
      <c r="J671" s="7" t="s">
        <v>53</v>
      </c>
      <c r="K671" s="7" t="s">
        <v>1404</v>
      </c>
      <c r="L671" s="7" t="s">
        <v>55</v>
      </c>
      <c r="M671" s="7">
        <v>4.0367559999999996</v>
      </c>
      <c r="N671" s="7">
        <v>9.69754</v>
      </c>
      <c r="O671" s="7" t="s">
        <v>613</v>
      </c>
      <c r="P671" s="3"/>
      <c r="Q671" s="3"/>
      <c r="R671" s="3"/>
    </row>
    <row r="672" spans="1:18" x14ac:dyDescent="0.25">
      <c r="A672" s="2">
        <v>828</v>
      </c>
      <c r="B672" s="7" t="s">
        <v>5086</v>
      </c>
      <c r="C672" s="7" t="s">
        <v>5087</v>
      </c>
      <c r="D672" s="7" t="s">
        <v>5086</v>
      </c>
      <c r="E672" s="7" t="s">
        <v>50</v>
      </c>
      <c r="F672" s="7" t="s">
        <v>5088</v>
      </c>
      <c r="G672" s="17" t="s">
        <v>7747</v>
      </c>
      <c r="H672" s="7" t="s">
        <v>28</v>
      </c>
      <c r="I672" s="7" t="s">
        <v>1403</v>
      </c>
      <c r="J672" s="7" t="s">
        <v>53</v>
      </c>
      <c r="K672" s="7" t="s">
        <v>1404</v>
      </c>
      <c r="L672" s="7" t="s">
        <v>55</v>
      </c>
      <c r="M672" s="7">
        <v>4.0245100000000003</v>
      </c>
      <c r="N672" s="7">
        <v>9.6954100000000007</v>
      </c>
      <c r="O672" s="7" t="s">
        <v>613</v>
      </c>
      <c r="P672" s="3"/>
      <c r="Q672" s="3"/>
      <c r="R672" s="3"/>
    </row>
    <row r="673" spans="1:18" x14ac:dyDescent="0.25">
      <c r="A673" s="2">
        <v>829</v>
      </c>
      <c r="B673" s="7" t="s">
        <v>5092</v>
      </c>
      <c r="C673" s="7" t="s">
        <v>5093</v>
      </c>
      <c r="D673" s="7" t="s">
        <v>5092</v>
      </c>
      <c r="E673" s="7" t="s">
        <v>50</v>
      </c>
      <c r="F673" s="7" t="s">
        <v>5094</v>
      </c>
      <c r="G673" s="17" t="s">
        <v>7747</v>
      </c>
      <c r="H673" s="7" t="s">
        <v>19</v>
      </c>
      <c r="I673" s="7" t="s">
        <v>1958</v>
      </c>
      <c r="J673" s="7" t="s">
        <v>53</v>
      </c>
      <c r="K673" s="7" t="s">
        <v>1404</v>
      </c>
      <c r="L673" s="7" t="s">
        <v>55</v>
      </c>
      <c r="M673" s="7">
        <v>4.0526999999999997</v>
      </c>
      <c r="N673" s="7">
        <v>9.7003000000000004</v>
      </c>
      <c r="O673" s="7" t="s">
        <v>613</v>
      </c>
      <c r="P673" s="3"/>
      <c r="Q673" s="3"/>
      <c r="R673" s="3"/>
    </row>
    <row r="674" spans="1:18" x14ac:dyDescent="0.25">
      <c r="A674" s="2">
        <v>830</v>
      </c>
      <c r="B674" s="7" t="s">
        <v>5095</v>
      </c>
      <c r="C674" s="7" t="s">
        <v>5096</v>
      </c>
      <c r="D674" s="7" t="s">
        <v>5095</v>
      </c>
      <c r="E674" s="7" t="s">
        <v>50</v>
      </c>
      <c r="F674" s="7" t="s">
        <v>5097</v>
      </c>
      <c r="G674" s="17" t="s">
        <v>7747</v>
      </c>
      <c r="H674" s="7" t="s">
        <v>19</v>
      </c>
      <c r="I674" s="7" t="s">
        <v>1958</v>
      </c>
      <c r="J674" s="7" t="s">
        <v>53</v>
      </c>
      <c r="K674" s="7" t="s">
        <v>1404</v>
      </c>
      <c r="L674" s="7" t="s">
        <v>55</v>
      </c>
      <c r="M674" s="7">
        <v>4.0408860000000004</v>
      </c>
      <c r="N674" s="7">
        <v>9.6990060000000007</v>
      </c>
      <c r="O674" s="7" t="s">
        <v>613</v>
      </c>
      <c r="P674" s="3"/>
      <c r="Q674" s="3"/>
      <c r="R674" s="3"/>
    </row>
    <row r="675" spans="1:18" x14ac:dyDescent="0.25">
      <c r="A675" s="2">
        <v>831</v>
      </c>
      <c r="B675" s="7" t="s">
        <v>5098</v>
      </c>
      <c r="C675" s="7" t="s">
        <v>5099</v>
      </c>
      <c r="D675" s="7" t="s">
        <v>5098</v>
      </c>
      <c r="E675" s="7" t="s">
        <v>50</v>
      </c>
      <c r="F675" s="7" t="s">
        <v>5100</v>
      </c>
      <c r="G675" s="17" t="s">
        <v>7747</v>
      </c>
      <c r="H675" s="7" t="s">
        <v>19</v>
      </c>
      <c r="I675" s="7" t="s">
        <v>1403</v>
      </c>
      <c r="J675" s="7" t="s">
        <v>53</v>
      </c>
      <c r="K675" s="7" t="s">
        <v>1404</v>
      </c>
      <c r="L675" s="7" t="s">
        <v>55</v>
      </c>
      <c r="M675" s="7">
        <v>4.0334050000000001</v>
      </c>
      <c r="N675" s="7">
        <v>9.6994900000000008</v>
      </c>
      <c r="O675" s="7" t="s">
        <v>613</v>
      </c>
      <c r="P675" s="3"/>
      <c r="Q675" s="3"/>
      <c r="R675" s="3"/>
    </row>
    <row r="676" spans="1:18" x14ac:dyDescent="0.25">
      <c r="A676" s="2">
        <v>832</v>
      </c>
      <c r="B676" s="7" t="s">
        <v>5101</v>
      </c>
      <c r="C676" s="7" t="s">
        <v>5102</v>
      </c>
      <c r="D676" s="7" t="s">
        <v>5101</v>
      </c>
      <c r="E676" s="7" t="s">
        <v>50</v>
      </c>
      <c r="F676" s="7" t="s">
        <v>5103</v>
      </c>
      <c r="G676" s="17" t="s">
        <v>7747</v>
      </c>
      <c r="H676" s="7" t="s">
        <v>19</v>
      </c>
      <c r="I676" s="7" t="s">
        <v>1958</v>
      </c>
      <c r="J676" s="7" t="s">
        <v>53</v>
      </c>
      <c r="K676" s="7" t="s">
        <v>612</v>
      </c>
      <c r="L676" s="7" t="s">
        <v>55</v>
      </c>
      <c r="M676" s="7">
        <v>4.0703060000000004</v>
      </c>
      <c r="N676" s="7">
        <v>9.7196390000000008</v>
      </c>
      <c r="O676" s="7" t="s">
        <v>613</v>
      </c>
      <c r="P676" s="3"/>
      <c r="Q676" s="3"/>
      <c r="R676" s="3"/>
    </row>
    <row r="677" spans="1:18" x14ac:dyDescent="0.25">
      <c r="A677" s="2">
        <v>833</v>
      </c>
      <c r="B677" s="7" t="s">
        <v>5110</v>
      </c>
      <c r="C677" s="7" t="s">
        <v>5111</v>
      </c>
      <c r="D677" s="7" t="s">
        <v>5110</v>
      </c>
      <c r="E677" s="7" t="s">
        <v>50</v>
      </c>
      <c r="F677" s="7" t="s">
        <v>5112</v>
      </c>
      <c r="G677" s="17" t="s">
        <v>7747</v>
      </c>
      <c r="H677" s="7" t="s">
        <v>28</v>
      </c>
      <c r="I677" s="7" t="s">
        <v>1958</v>
      </c>
      <c r="J677" s="7" t="s">
        <v>53</v>
      </c>
      <c r="K677" s="7" t="s">
        <v>1404</v>
      </c>
      <c r="L677" s="7" t="s">
        <v>55</v>
      </c>
      <c r="M677" s="7">
        <v>4.0415609999999997</v>
      </c>
      <c r="N677" s="7">
        <v>9.6941849999999992</v>
      </c>
      <c r="O677" s="7" t="s">
        <v>613</v>
      </c>
      <c r="P677" s="3"/>
      <c r="Q677" s="3"/>
      <c r="R677" s="3"/>
    </row>
    <row r="678" spans="1:18" x14ac:dyDescent="0.25">
      <c r="A678" s="2">
        <v>834</v>
      </c>
      <c r="B678" s="7" t="s">
        <v>5129</v>
      </c>
      <c r="C678" s="7" t="s">
        <v>5130</v>
      </c>
      <c r="D678" s="7" t="s">
        <v>5129</v>
      </c>
      <c r="E678" s="7" t="s">
        <v>50</v>
      </c>
      <c r="F678" s="7" t="s">
        <v>5131</v>
      </c>
      <c r="G678" s="17" t="s">
        <v>7747</v>
      </c>
      <c r="H678" s="7" t="s">
        <v>19</v>
      </c>
      <c r="I678" s="7" t="s">
        <v>1403</v>
      </c>
      <c r="J678" s="7" t="s">
        <v>53</v>
      </c>
      <c r="K678" s="7" t="s">
        <v>2213</v>
      </c>
      <c r="L678" s="7" t="s">
        <v>55</v>
      </c>
      <c r="M678" s="7">
        <v>4.0343059999999999</v>
      </c>
      <c r="N678" s="7">
        <v>9.7063889999999997</v>
      </c>
      <c r="O678" s="7" t="s">
        <v>613</v>
      </c>
      <c r="P678" s="3"/>
      <c r="Q678" s="3"/>
      <c r="R678" s="3"/>
    </row>
    <row r="679" spans="1:18" x14ac:dyDescent="0.25">
      <c r="A679" s="2">
        <v>835</v>
      </c>
      <c r="B679" s="7" t="s">
        <v>5135</v>
      </c>
      <c r="C679" s="7" t="s">
        <v>5136</v>
      </c>
      <c r="D679" s="7" t="s">
        <v>5135</v>
      </c>
      <c r="E679" s="7" t="s">
        <v>50</v>
      </c>
      <c r="F679" s="7" t="s">
        <v>5137</v>
      </c>
      <c r="G679" s="17" t="s">
        <v>7747</v>
      </c>
      <c r="H679" s="7" t="s">
        <v>28</v>
      </c>
      <c r="I679" s="7" t="s">
        <v>1478</v>
      </c>
      <c r="J679" s="7" t="s">
        <v>53</v>
      </c>
      <c r="K679" s="7" t="s">
        <v>612</v>
      </c>
      <c r="L679" s="7" t="s">
        <v>55</v>
      </c>
      <c r="M679" s="7">
        <v>4.0919999999999996</v>
      </c>
      <c r="N679" s="7">
        <v>9.7296940000000003</v>
      </c>
      <c r="O679" s="7" t="s">
        <v>613</v>
      </c>
      <c r="P679" s="3"/>
      <c r="Q679" s="3"/>
      <c r="R679" s="3"/>
    </row>
    <row r="680" spans="1:18" x14ac:dyDescent="0.25">
      <c r="A680" s="2">
        <v>836</v>
      </c>
      <c r="B680" s="7" t="s">
        <v>5138</v>
      </c>
      <c r="C680" s="7" t="s">
        <v>5139</v>
      </c>
      <c r="D680" s="7" t="s">
        <v>5138</v>
      </c>
      <c r="E680" s="7" t="s">
        <v>50</v>
      </c>
      <c r="F680" s="7" t="s">
        <v>5140</v>
      </c>
      <c r="G680" s="17" t="s">
        <v>7747</v>
      </c>
      <c r="H680" s="7" t="s">
        <v>28</v>
      </c>
      <c r="I680" s="7" t="s">
        <v>1329</v>
      </c>
      <c r="J680" s="7" t="s">
        <v>53</v>
      </c>
      <c r="K680" s="7" t="s">
        <v>612</v>
      </c>
      <c r="L680" s="7" t="s">
        <v>55</v>
      </c>
      <c r="M680" s="7">
        <v>4.0596110000000003</v>
      </c>
      <c r="N680" s="7">
        <v>9.7435279999999995</v>
      </c>
      <c r="O680" s="7" t="s">
        <v>613</v>
      </c>
      <c r="P680" s="3"/>
      <c r="Q680" s="3"/>
      <c r="R680" s="3"/>
    </row>
    <row r="681" spans="1:18" x14ac:dyDescent="0.25">
      <c r="A681" s="2">
        <v>837</v>
      </c>
      <c r="B681" s="7" t="s">
        <v>5141</v>
      </c>
      <c r="C681" s="7" t="s">
        <v>5142</v>
      </c>
      <c r="D681" s="7" t="s">
        <v>5141</v>
      </c>
      <c r="E681" s="7" t="s">
        <v>50</v>
      </c>
      <c r="F681" s="7" t="s">
        <v>5143</v>
      </c>
      <c r="G681" s="17" t="s">
        <v>7747</v>
      </c>
      <c r="H681" s="7" t="s">
        <v>28</v>
      </c>
      <c r="I681" s="7" t="s">
        <v>1403</v>
      </c>
      <c r="J681" s="7" t="s">
        <v>53</v>
      </c>
      <c r="K681" s="7" t="s">
        <v>1404</v>
      </c>
      <c r="L681" s="7" t="s">
        <v>55</v>
      </c>
      <c r="M681" s="7">
        <v>4.0302220000000002</v>
      </c>
      <c r="N681" s="7">
        <v>9.6936699999999991</v>
      </c>
      <c r="O681" s="7" t="s">
        <v>613</v>
      </c>
      <c r="P681" s="3"/>
      <c r="Q681" s="3"/>
      <c r="R681" s="3"/>
    </row>
    <row r="682" spans="1:18" x14ac:dyDescent="0.25">
      <c r="A682" s="2">
        <v>838</v>
      </c>
      <c r="B682" s="7" t="s">
        <v>5156</v>
      </c>
      <c r="C682" s="7" t="s">
        <v>5157</v>
      </c>
      <c r="D682" s="7" t="s">
        <v>5156</v>
      </c>
      <c r="E682" s="7" t="s">
        <v>50</v>
      </c>
      <c r="F682" s="7" t="s">
        <v>5158</v>
      </c>
      <c r="G682" s="17" t="s">
        <v>7747</v>
      </c>
      <c r="H682" s="7" t="s">
        <v>28</v>
      </c>
      <c r="I682" s="7" t="s">
        <v>2024</v>
      </c>
      <c r="J682" s="7" t="s">
        <v>53</v>
      </c>
      <c r="K682" s="7" t="s">
        <v>2213</v>
      </c>
      <c r="L682" s="7" t="s">
        <v>55</v>
      </c>
      <c r="M682" s="7">
        <v>4.03477</v>
      </c>
      <c r="N682" s="7">
        <v>9.7192799999999995</v>
      </c>
      <c r="O682" s="7" t="s">
        <v>613</v>
      </c>
      <c r="P682" s="3"/>
      <c r="Q682" s="3"/>
      <c r="R682" s="3"/>
    </row>
    <row r="683" spans="1:18" x14ac:dyDescent="0.25">
      <c r="A683" s="2">
        <v>839</v>
      </c>
      <c r="B683" s="7" t="s">
        <v>5165</v>
      </c>
      <c r="C683" s="7" t="s">
        <v>5166</v>
      </c>
      <c r="D683" s="7" t="s">
        <v>5165</v>
      </c>
      <c r="E683" s="7" t="s">
        <v>50</v>
      </c>
      <c r="F683" s="7" t="s">
        <v>5167</v>
      </c>
      <c r="G683" s="17" t="s">
        <v>7747</v>
      </c>
      <c r="H683" s="7" t="s">
        <v>28</v>
      </c>
      <c r="I683" s="7" t="s">
        <v>1471</v>
      </c>
      <c r="J683" s="7" t="s">
        <v>53</v>
      </c>
      <c r="K683" s="7" t="s">
        <v>628</v>
      </c>
      <c r="L683" s="7" t="s">
        <v>55</v>
      </c>
      <c r="M683" s="7">
        <v>4.0596670000000001</v>
      </c>
      <c r="N683" s="7">
        <v>9.7501669999999994</v>
      </c>
      <c r="O683" s="7" t="s">
        <v>613</v>
      </c>
      <c r="P683" s="3"/>
      <c r="Q683" s="3"/>
      <c r="R683" s="3"/>
    </row>
    <row r="684" spans="1:18" x14ac:dyDescent="0.25">
      <c r="A684" s="2">
        <v>840</v>
      </c>
      <c r="B684" s="7" t="s">
        <v>5168</v>
      </c>
      <c r="C684" s="7" t="s">
        <v>5169</v>
      </c>
      <c r="D684" s="7" t="s">
        <v>5168</v>
      </c>
      <c r="E684" s="7" t="s">
        <v>50</v>
      </c>
      <c r="F684" s="7" t="s">
        <v>5170</v>
      </c>
      <c r="G684" s="17" t="s">
        <v>7747</v>
      </c>
      <c r="H684" s="7" t="s">
        <v>28</v>
      </c>
      <c r="I684" s="7" t="s">
        <v>2024</v>
      </c>
      <c r="J684" s="7" t="s">
        <v>53</v>
      </c>
      <c r="K684" s="7" t="s">
        <v>2213</v>
      </c>
      <c r="L684" s="7" t="s">
        <v>55</v>
      </c>
      <c r="M684" s="7">
        <v>4.0400830000000001</v>
      </c>
      <c r="N684" s="7">
        <v>9.7061060000000001</v>
      </c>
      <c r="O684" s="7" t="s">
        <v>613</v>
      </c>
      <c r="P684" s="3"/>
      <c r="Q684" s="3"/>
      <c r="R684" s="3"/>
    </row>
    <row r="685" spans="1:18" x14ac:dyDescent="0.25">
      <c r="A685" s="2">
        <v>841</v>
      </c>
      <c r="B685" s="7" t="s">
        <v>5174</v>
      </c>
      <c r="C685" s="7" t="s">
        <v>5175</v>
      </c>
      <c r="D685" s="7" t="s">
        <v>5174</v>
      </c>
      <c r="E685" s="7" t="s">
        <v>50</v>
      </c>
      <c r="F685" s="7" t="s">
        <v>5176</v>
      </c>
      <c r="G685" s="17" t="s">
        <v>7747</v>
      </c>
      <c r="H685" s="7" t="s">
        <v>19</v>
      </c>
      <c r="I685" s="7" t="s">
        <v>1575</v>
      </c>
      <c r="J685" s="7" t="s">
        <v>53</v>
      </c>
      <c r="K685" s="7" t="s">
        <v>54</v>
      </c>
      <c r="L685" s="7" t="s">
        <v>55</v>
      </c>
      <c r="M685" s="7">
        <v>4.0286949999999999</v>
      </c>
      <c r="N685" s="7">
        <v>9.7256789999999995</v>
      </c>
      <c r="O685" s="7" t="s">
        <v>613</v>
      </c>
      <c r="P685" s="3"/>
      <c r="Q685" s="3"/>
      <c r="R685" s="3"/>
    </row>
    <row r="686" spans="1:18" x14ac:dyDescent="0.25">
      <c r="A686" s="2">
        <v>842</v>
      </c>
      <c r="B686" s="7" t="s">
        <v>5180</v>
      </c>
      <c r="C686" s="7" t="s">
        <v>5181</v>
      </c>
      <c r="D686" s="7" t="s">
        <v>5180</v>
      </c>
      <c r="E686" s="7" t="s">
        <v>50</v>
      </c>
      <c r="F686" s="7" t="s">
        <v>5182</v>
      </c>
      <c r="G686" s="17" t="s">
        <v>7747</v>
      </c>
      <c r="H686" s="7" t="s">
        <v>19</v>
      </c>
      <c r="I686" s="7" t="s">
        <v>1478</v>
      </c>
      <c r="J686" s="7" t="s">
        <v>53</v>
      </c>
      <c r="K686" s="7" t="s">
        <v>612</v>
      </c>
      <c r="L686" s="7" t="s">
        <v>55</v>
      </c>
      <c r="M686" s="7">
        <v>4.1005279999999997</v>
      </c>
      <c r="N686" s="7">
        <v>9.7364999999999995</v>
      </c>
      <c r="O686" s="7" t="s">
        <v>613</v>
      </c>
      <c r="P686" s="3"/>
      <c r="Q686" s="3"/>
      <c r="R686" s="3"/>
    </row>
    <row r="687" spans="1:18" x14ac:dyDescent="0.25">
      <c r="A687" s="2">
        <v>843</v>
      </c>
      <c r="B687" s="7" t="s">
        <v>5189</v>
      </c>
      <c r="C687" s="7" t="s">
        <v>5190</v>
      </c>
      <c r="D687" s="7" t="s">
        <v>5189</v>
      </c>
      <c r="E687" s="7" t="s">
        <v>50</v>
      </c>
      <c r="F687" s="7" t="s">
        <v>5191</v>
      </c>
      <c r="G687" s="17" t="s">
        <v>7747</v>
      </c>
      <c r="H687" s="7" t="s">
        <v>19</v>
      </c>
      <c r="I687" s="7" t="s">
        <v>1958</v>
      </c>
      <c r="J687" s="7" t="s">
        <v>53</v>
      </c>
      <c r="K687" s="7" t="s">
        <v>612</v>
      </c>
      <c r="L687" s="7" t="s">
        <v>55</v>
      </c>
      <c r="M687" s="7">
        <v>4.053242</v>
      </c>
      <c r="N687" s="7">
        <v>9.720853</v>
      </c>
      <c r="O687" s="7" t="s">
        <v>613</v>
      </c>
      <c r="P687" s="3"/>
      <c r="Q687" s="3"/>
      <c r="R687" s="3"/>
    </row>
    <row r="688" spans="1:18" x14ac:dyDescent="0.25">
      <c r="A688" s="2">
        <v>844</v>
      </c>
      <c r="B688" s="7" t="s">
        <v>5192</v>
      </c>
      <c r="C688" s="7" t="s">
        <v>5193</v>
      </c>
      <c r="D688" s="7" t="s">
        <v>5192</v>
      </c>
      <c r="E688" s="7" t="s">
        <v>50</v>
      </c>
      <c r="F688" s="7" t="s">
        <v>5194</v>
      </c>
      <c r="G688" s="17" t="s">
        <v>7747</v>
      </c>
      <c r="H688" s="7" t="s">
        <v>19</v>
      </c>
      <c r="I688" s="7" t="s">
        <v>1329</v>
      </c>
      <c r="J688" s="7" t="s">
        <v>53</v>
      </c>
      <c r="K688" s="7" t="s">
        <v>54</v>
      </c>
      <c r="L688" s="7" t="s">
        <v>55</v>
      </c>
      <c r="M688" s="7">
        <v>4.0536110000000001</v>
      </c>
      <c r="N688" s="7">
        <v>9.7302780000000002</v>
      </c>
      <c r="O688" s="7" t="s">
        <v>613</v>
      </c>
      <c r="P688" s="3"/>
      <c r="Q688" s="3"/>
      <c r="R688" s="3"/>
    </row>
    <row r="689" spans="1:18" x14ac:dyDescent="0.25">
      <c r="A689" s="2">
        <v>845</v>
      </c>
      <c r="B689" s="7" t="s">
        <v>5207</v>
      </c>
      <c r="C689" s="7" t="s">
        <v>5208</v>
      </c>
      <c r="D689" s="7" t="s">
        <v>5207</v>
      </c>
      <c r="E689" s="7" t="s">
        <v>50</v>
      </c>
      <c r="F689" s="7" t="s">
        <v>5209</v>
      </c>
      <c r="G689" s="17" t="s">
        <v>7747</v>
      </c>
      <c r="H689" s="7" t="s">
        <v>28</v>
      </c>
      <c r="I689" s="7" t="s">
        <v>1478</v>
      </c>
      <c r="J689" s="7" t="s">
        <v>53</v>
      </c>
      <c r="K689" s="7" t="s">
        <v>612</v>
      </c>
      <c r="L689" s="7" t="s">
        <v>55</v>
      </c>
      <c r="M689" s="7">
        <v>4.0886670000000001</v>
      </c>
      <c r="N689" s="7">
        <v>9.7464999999999993</v>
      </c>
      <c r="O689" s="7" t="s">
        <v>613</v>
      </c>
      <c r="P689" s="3"/>
      <c r="Q689" s="3"/>
      <c r="R689" s="3"/>
    </row>
    <row r="690" spans="1:18" x14ac:dyDescent="0.25">
      <c r="A690" s="2">
        <v>846</v>
      </c>
      <c r="B690" s="7" t="s">
        <v>5213</v>
      </c>
      <c r="C690" s="7" t="s">
        <v>5214</v>
      </c>
      <c r="D690" s="7" t="s">
        <v>5213</v>
      </c>
      <c r="E690" s="7" t="s">
        <v>50</v>
      </c>
      <c r="F690" s="7" t="s">
        <v>5215</v>
      </c>
      <c r="G690" s="17" t="s">
        <v>7747</v>
      </c>
      <c r="H690" s="7" t="s">
        <v>28</v>
      </c>
      <c r="I690" s="7" t="s">
        <v>2024</v>
      </c>
      <c r="J690" s="7" t="s">
        <v>53</v>
      </c>
      <c r="K690" s="7" t="s">
        <v>2213</v>
      </c>
      <c r="L690" s="7" t="s">
        <v>55</v>
      </c>
      <c r="M690" s="7">
        <v>4.0320739999999997</v>
      </c>
      <c r="N690" s="7">
        <v>9.7092729999999996</v>
      </c>
      <c r="O690" s="7" t="s">
        <v>613</v>
      </c>
      <c r="P690" s="3"/>
      <c r="Q690" s="3"/>
      <c r="R690" s="3"/>
    </row>
    <row r="691" spans="1:18" x14ac:dyDescent="0.25">
      <c r="A691" s="2">
        <v>847</v>
      </c>
      <c r="B691" s="7" t="s">
        <v>5229</v>
      </c>
      <c r="C691" s="7" t="s">
        <v>5230</v>
      </c>
      <c r="D691" s="7" t="s">
        <v>5229</v>
      </c>
      <c r="E691" s="7" t="s">
        <v>50</v>
      </c>
      <c r="F691" s="7" t="s">
        <v>5231</v>
      </c>
      <c r="G691" s="17" t="s">
        <v>7747</v>
      </c>
      <c r="H691" s="7" t="s">
        <v>28</v>
      </c>
      <c r="I691" s="7" t="s">
        <v>1471</v>
      </c>
      <c r="J691" s="7" t="s">
        <v>53</v>
      </c>
      <c r="K691" s="7" t="s">
        <v>612</v>
      </c>
      <c r="L691" s="7" t="s">
        <v>55</v>
      </c>
      <c r="M691" s="7">
        <v>4.0668610000000003</v>
      </c>
      <c r="N691" s="7">
        <v>9.7258890000000005</v>
      </c>
      <c r="O691" s="7" t="s">
        <v>613</v>
      </c>
      <c r="P691" s="3"/>
      <c r="Q691" s="3"/>
      <c r="R691" s="3"/>
    </row>
    <row r="692" spans="1:18" x14ac:dyDescent="0.25">
      <c r="A692" s="2">
        <v>848</v>
      </c>
      <c r="B692" s="7" t="s">
        <v>5232</v>
      </c>
      <c r="C692" s="7" t="s">
        <v>5233</v>
      </c>
      <c r="D692" s="7" t="s">
        <v>5232</v>
      </c>
      <c r="E692" s="7" t="s">
        <v>50</v>
      </c>
      <c r="F692" s="7" t="s">
        <v>5234</v>
      </c>
      <c r="G692" s="17" t="s">
        <v>7747</v>
      </c>
      <c r="H692" s="7" t="s">
        <v>28</v>
      </c>
      <c r="I692" s="7" t="s">
        <v>1575</v>
      </c>
      <c r="J692" s="7" t="s">
        <v>53</v>
      </c>
      <c r="K692" s="7" t="s">
        <v>54</v>
      </c>
      <c r="L692" s="7" t="s">
        <v>55</v>
      </c>
      <c r="M692" s="7">
        <v>4.0194970000000003</v>
      </c>
      <c r="N692" s="7">
        <v>9.7439149999999994</v>
      </c>
      <c r="O692" s="7" t="s">
        <v>613</v>
      </c>
      <c r="P692" s="3"/>
      <c r="Q692" s="3"/>
      <c r="R692" s="3"/>
    </row>
    <row r="693" spans="1:18" x14ac:dyDescent="0.25">
      <c r="A693" s="2">
        <v>849</v>
      </c>
      <c r="B693" s="7" t="s">
        <v>5244</v>
      </c>
      <c r="C693" s="7" t="s">
        <v>5245</v>
      </c>
      <c r="D693" s="7" t="s">
        <v>5244</v>
      </c>
      <c r="E693" s="7" t="s">
        <v>50</v>
      </c>
      <c r="F693" s="7" t="s">
        <v>5246</v>
      </c>
      <c r="G693" s="17" t="s">
        <v>7747</v>
      </c>
      <c r="H693" s="7" t="s">
        <v>28</v>
      </c>
      <c r="I693" s="7" t="s">
        <v>1958</v>
      </c>
      <c r="J693" s="7" t="s">
        <v>53</v>
      </c>
      <c r="K693" s="7" t="s">
        <v>1404</v>
      </c>
      <c r="L693" s="7" t="s">
        <v>55</v>
      </c>
      <c r="M693" s="7">
        <v>4.0446939999999998</v>
      </c>
      <c r="N693" s="7">
        <v>9.7034719999999997</v>
      </c>
      <c r="O693" s="7" t="s">
        <v>613</v>
      </c>
      <c r="P693" s="3"/>
      <c r="Q693" s="3"/>
      <c r="R693" s="3"/>
    </row>
    <row r="694" spans="1:18" x14ac:dyDescent="0.25">
      <c r="A694" s="2">
        <v>850</v>
      </c>
      <c r="B694" s="7" t="s">
        <v>5247</v>
      </c>
      <c r="C694" s="7" t="s">
        <v>5248</v>
      </c>
      <c r="D694" s="7" t="s">
        <v>5247</v>
      </c>
      <c r="E694" s="7" t="s">
        <v>50</v>
      </c>
      <c r="F694" s="7" t="s">
        <v>5249</v>
      </c>
      <c r="G694" s="17" t="s">
        <v>7747</v>
      </c>
      <c r="H694" s="7" t="s">
        <v>19</v>
      </c>
      <c r="I694" s="7" t="s">
        <v>1471</v>
      </c>
      <c r="J694" s="7" t="s">
        <v>53</v>
      </c>
      <c r="K694" s="7" t="s">
        <v>612</v>
      </c>
      <c r="L694" s="7" t="s">
        <v>55</v>
      </c>
      <c r="M694" s="7">
        <v>4.0713889999999999</v>
      </c>
      <c r="N694" s="7">
        <v>9.729139</v>
      </c>
      <c r="O694" s="7" t="s">
        <v>613</v>
      </c>
      <c r="P694" s="3"/>
      <c r="Q694" s="3"/>
      <c r="R694" s="3"/>
    </row>
    <row r="695" spans="1:18" x14ac:dyDescent="0.25">
      <c r="A695" s="2">
        <v>851</v>
      </c>
      <c r="B695" s="7" t="s">
        <v>5256</v>
      </c>
      <c r="C695" s="7" t="s">
        <v>5257</v>
      </c>
      <c r="D695" s="7" t="s">
        <v>5256</v>
      </c>
      <c r="E695" s="7" t="s">
        <v>50</v>
      </c>
      <c r="F695" s="7" t="s">
        <v>5258</v>
      </c>
      <c r="G695" s="17" t="s">
        <v>7747</v>
      </c>
      <c r="H695" s="7" t="s">
        <v>28</v>
      </c>
      <c r="I695" s="7" t="s">
        <v>1958</v>
      </c>
      <c r="J695" s="7" t="s">
        <v>53</v>
      </c>
      <c r="K695" s="7" t="s">
        <v>1404</v>
      </c>
      <c r="L695" s="7" t="s">
        <v>55</v>
      </c>
      <c r="M695" s="7">
        <v>4.063917</v>
      </c>
      <c r="N695" s="7">
        <v>9.7100829999999991</v>
      </c>
      <c r="O695" s="7" t="s">
        <v>613</v>
      </c>
      <c r="P695" s="3"/>
      <c r="Q695" s="3"/>
      <c r="R695" s="3"/>
    </row>
    <row r="696" spans="1:18" x14ac:dyDescent="0.25">
      <c r="A696" s="2">
        <v>852</v>
      </c>
      <c r="B696" s="7" t="s">
        <v>5264</v>
      </c>
      <c r="C696" s="7" t="s">
        <v>5265</v>
      </c>
      <c r="D696" s="7" t="s">
        <v>5264</v>
      </c>
      <c r="E696" s="7" t="s">
        <v>50</v>
      </c>
      <c r="F696" s="7" t="s">
        <v>5266</v>
      </c>
      <c r="G696" s="17" t="s">
        <v>7747</v>
      </c>
      <c r="H696" s="7" t="s">
        <v>28</v>
      </c>
      <c r="I696" s="7" t="s">
        <v>2024</v>
      </c>
      <c r="J696" s="7" t="s">
        <v>53</v>
      </c>
      <c r="K696" s="7" t="s">
        <v>2213</v>
      </c>
      <c r="L696" s="7" t="s">
        <v>55</v>
      </c>
      <c r="M696" s="7">
        <v>4.0412710000000001</v>
      </c>
      <c r="N696" s="7">
        <v>9.7123679999999997</v>
      </c>
      <c r="O696" s="7" t="s">
        <v>613</v>
      </c>
      <c r="P696" s="3"/>
      <c r="Q696" s="3"/>
      <c r="R696" s="3"/>
    </row>
    <row r="697" spans="1:18" x14ac:dyDescent="0.25">
      <c r="A697" s="2">
        <v>853</v>
      </c>
      <c r="B697" s="7" t="s">
        <v>5273</v>
      </c>
      <c r="C697" s="7" t="s">
        <v>5274</v>
      </c>
      <c r="D697" s="7" t="s">
        <v>5273</v>
      </c>
      <c r="E697" s="7" t="s">
        <v>50</v>
      </c>
      <c r="F697" s="7" t="s">
        <v>4222</v>
      </c>
      <c r="G697" s="17" t="s">
        <v>7747</v>
      </c>
      <c r="H697" s="7" t="s">
        <v>28</v>
      </c>
      <c r="I697" s="7" t="s">
        <v>1958</v>
      </c>
      <c r="J697" s="7" t="s">
        <v>53</v>
      </c>
      <c r="K697" s="7" t="s">
        <v>1404</v>
      </c>
      <c r="L697" s="7" t="s">
        <v>55</v>
      </c>
      <c r="M697" s="7">
        <v>4.0564749999999998</v>
      </c>
      <c r="N697" s="7">
        <v>9.7048860000000001</v>
      </c>
      <c r="O697" s="7" t="s">
        <v>613</v>
      </c>
      <c r="P697" s="3"/>
      <c r="Q697" s="3"/>
      <c r="R697" s="3"/>
    </row>
    <row r="698" spans="1:18" x14ac:dyDescent="0.25">
      <c r="A698" s="2">
        <v>854</v>
      </c>
      <c r="B698" s="7" t="s">
        <v>5275</v>
      </c>
      <c r="C698" s="7" t="s">
        <v>5276</v>
      </c>
      <c r="D698" s="7" t="s">
        <v>5275</v>
      </c>
      <c r="E698" s="7" t="s">
        <v>50</v>
      </c>
      <c r="F698" s="7" t="s">
        <v>5277</v>
      </c>
      <c r="G698" s="17" t="s">
        <v>7747</v>
      </c>
      <c r="H698" s="7" t="s">
        <v>28</v>
      </c>
      <c r="I698" s="7" t="s">
        <v>1958</v>
      </c>
      <c r="J698" s="7" t="s">
        <v>53</v>
      </c>
      <c r="K698" s="7" t="s">
        <v>1404</v>
      </c>
      <c r="L698" s="7" t="s">
        <v>55</v>
      </c>
      <c r="M698" s="7">
        <v>4.0446109999999997</v>
      </c>
      <c r="N698" s="7">
        <v>9.7006680000000003</v>
      </c>
      <c r="O698" s="7" t="s">
        <v>613</v>
      </c>
      <c r="P698" s="3"/>
      <c r="Q698" s="3"/>
      <c r="R698" s="3"/>
    </row>
    <row r="699" spans="1:18" x14ac:dyDescent="0.25">
      <c r="A699" s="2">
        <v>855</v>
      </c>
      <c r="B699" s="7" t="s">
        <v>5278</v>
      </c>
      <c r="C699" s="7" t="s">
        <v>5279</v>
      </c>
      <c r="D699" s="7" t="s">
        <v>5278</v>
      </c>
      <c r="E699" s="7" t="s">
        <v>50</v>
      </c>
      <c r="F699" s="7" t="s">
        <v>5280</v>
      </c>
      <c r="G699" s="17" t="s">
        <v>7747</v>
      </c>
      <c r="H699" s="7" t="s">
        <v>28</v>
      </c>
      <c r="I699" s="7" t="s">
        <v>1478</v>
      </c>
      <c r="J699" s="7" t="s">
        <v>53</v>
      </c>
      <c r="K699" s="7" t="s">
        <v>612</v>
      </c>
      <c r="L699" s="7" t="s">
        <v>55</v>
      </c>
      <c r="M699" s="7">
        <v>4.0792190000000002</v>
      </c>
      <c r="N699" s="7">
        <v>9.7533689999999993</v>
      </c>
      <c r="O699" s="7" t="s">
        <v>613</v>
      </c>
      <c r="P699" s="3"/>
      <c r="Q699" s="3"/>
      <c r="R699" s="3"/>
    </row>
    <row r="700" spans="1:18" x14ac:dyDescent="0.25">
      <c r="A700" s="2">
        <v>856</v>
      </c>
      <c r="B700" s="7" t="s">
        <v>5281</v>
      </c>
      <c r="C700" s="7" t="s">
        <v>5282</v>
      </c>
      <c r="D700" s="7" t="s">
        <v>5281</v>
      </c>
      <c r="E700" s="7" t="s">
        <v>50</v>
      </c>
      <c r="F700" s="7" t="s">
        <v>5283</v>
      </c>
      <c r="G700" s="17" t="s">
        <v>7747</v>
      </c>
      <c r="H700" s="7" t="s">
        <v>28</v>
      </c>
      <c r="I700" s="7" t="s">
        <v>1958</v>
      </c>
      <c r="J700" s="7" t="s">
        <v>53</v>
      </c>
      <c r="K700" s="7" t="s">
        <v>54</v>
      </c>
      <c r="L700" s="7" t="s">
        <v>55</v>
      </c>
      <c r="M700" s="7">
        <v>4.048972</v>
      </c>
      <c r="N700" s="7">
        <v>9.7344720000000002</v>
      </c>
      <c r="O700" s="7" t="s">
        <v>613</v>
      </c>
      <c r="P700" s="3"/>
      <c r="Q700" s="3"/>
      <c r="R700" s="3"/>
    </row>
    <row r="701" spans="1:18" x14ac:dyDescent="0.25">
      <c r="A701" s="2">
        <v>857</v>
      </c>
      <c r="B701" s="7" t="s">
        <v>5287</v>
      </c>
      <c r="C701" s="7" t="s">
        <v>5288</v>
      </c>
      <c r="D701" s="7" t="s">
        <v>5287</v>
      </c>
      <c r="E701" s="7" t="s">
        <v>50</v>
      </c>
      <c r="F701" s="7" t="s">
        <v>5289</v>
      </c>
      <c r="G701" s="17" t="s">
        <v>7747</v>
      </c>
      <c r="H701" s="7" t="s">
        <v>19</v>
      </c>
      <c r="I701" s="7" t="s">
        <v>1403</v>
      </c>
      <c r="J701" s="7" t="s">
        <v>53</v>
      </c>
      <c r="K701" s="7" t="s">
        <v>1404</v>
      </c>
      <c r="L701" s="7" t="s">
        <v>55</v>
      </c>
      <c r="M701" s="7">
        <v>4.0423099999999996</v>
      </c>
      <c r="N701" s="7">
        <v>9.6884300000000003</v>
      </c>
      <c r="O701" s="7" t="s">
        <v>613</v>
      </c>
      <c r="P701" s="3"/>
      <c r="Q701" s="3"/>
      <c r="R701" s="3"/>
    </row>
    <row r="702" spans="1:18" x14ac:dyDescent="0.25">
      <c r="A702" s="2">
        <v>858</v>
      </c>
      <c r="B702" s="7" t="s">
        <v>5293</v>
      </c>
      <c r="C702" s="7" t="s">
        <v>5294</v>
      </c>
      <c r="D702" s="7" t="s">
        <v>5293</v>
      </c>
      <c r="E702" s="7" t="s">
        <v>50</v>
      </c>
      <c r="F702" s="7" t="s">
        <v>5295</v>
      </c>
      <c r="G702" s="17" t="s">
        <v>7747</v>
      </c>
      <c r="H702" s="7" t="s">
        <v>28</v>
      </c>
      <c r="I702" s="7" t="s">
        <v>627</v>
      </c>
      <c r="J702" s="7" t="s">
        <v>53</v>
      </c>
      <c r="K702" s="7" t="s">
        <v>628</v>
      </c>
      <c r="L702" s="7" t="s">
        <v>55</v>
      </c>
      <c r="M702" s="7">
        <v>4.0746599999999997</v>
      </c>
      <c r="N702" s="7">
        <v>9.6806800000000006</v>
      </c>
      <c r="O702" s="7" t="s">
        <v>613</v>
      </c>
      <c r="P702" s="3"/>
      <c r="Q702" s="3"/>
      <c r="R702" s="3"/>
    </row>
    <row r="703" spans="1:18" x14ac:dyDescent="0.25">
      <c r="A703" s="2">
        <v>859</v>
      </c>
      <c r="B703" s="7" t="s">
        <v>5302</v>
      </c>
      <c r="C703" s="7" t="s">
        <v>5303</v>
      </c>
      <c r="D703" s="7" t="s">
        <v>5302</v>
      </c>
      <c r="E703" s="7" t="s">
        <v>50</v>
      </c>
      <c r="F703" s="7" t="s">
        <v>5304</v>
      </c>
      <c r="G703" s="17" t="s">
        <v>7747</v>
      </c>
      <c r="H703" s="7" t="s">
        <v>28</v>
      </c>
      <c r="I703" s="7" t="s">
        <v>1471</v>
      </c>
      <c r="J703" s="7" t="s">
        <v>53</v>
      </c>
      <c r="K703" s="7" t="s">
        <v>612</v>
      </c>
      <c r="L703" s="7" t="s">
        <v>55</v>
      </c>
      <c r="M703" s="7">
        <v>4.0668389999999999</v>
      </c>
      <c r="N703" s="7">
        <v>9.7289829999999995</v>
      </c>
      <c r="O703" s="7" t="s">
        <v>613</v>
      </c>
      <c r="P703" s="3"/>
      <c r="Q703" s="3"/>
      <c r="R703" s="3"/>
    </row>
    <row r="704" spans="1:18" x14ac:dyDescent="0.25">
      <c r="A704" s="2">
        <v>860</v>
      </c>
      <c r="B704" s="7" t="s">
        <v>5305</v>
      </c>
      <c r="C704" s="7" t="s">
        <v>5306</v>
      </c>
      <c r="D704" s="7" t="s">
        <v>5305</v>
      </c>
      <c r="E704" s="7" t="s">
        <v>50</v>
      </c>
      <c r="F704" s="7" t="s">
        <v>5307</v>
      </c>
      <c r="G704" s="17" t="s">
        <v>7747</v>
      </c>
      <c r="H704" s="7" t="s">
        <v>28</v>
      </c>
      <c r="I704" s="7" t="s">
        <v>1329</v>
      </c>
      <c r="J704" s="7" t="s">
        <v>53</v>
      </c>
      <c r="K704" s="7" t="s">
        <v>2213</v>
      </c>
      <c r="L704" s="7" t="s">
        <v>55</v>
      </c>
      <c r="M704" s="7">
        <v>4.04176</v>
      </c>
      <c r="N704" s="7">
        <v>9.7284699999999997</v>
      </c>
      <c r="O704" s="7" t="s">
        <v>613</v>
      </c>
      <c r="P704" s="3"/>
      <c r="Q704" s="3"/>
      <c r="R704" s="3"/>
    </row>
    <row r="705" spans="1:18" x14ac:dyDescent="0.25">
      <c r="A705" s="2">
        <v>861</v>
      </c>
      <c r="B705" s="7" t="s">
        <v>5311</v>
      </c>
      <c r="C705" s="7" t="s">
        <v>5312</v>
      </c>
      <c r="D705" s="7" t="s">
        <v>5311</v>
      </c>
      <c r="E705" s="7" t="s">
        <v>50</v>
      </c>
      <c r="F705" s="7" t="s">
        <v>5313</v>
      </c>
      <c r="G705" s="17" t="s">
        <v>7747</v>
      </c>
      <c r="H705" s="7" t="s">
        <v>28</v>
      </c>
      <c r="I705" s="7" t="s">
        <v>1329</v>
      </c>
      <c r="J705" s="7" t="s">
        <v>53</v>
      </c>
      <c r="K705" s="7" t="s">
        <v>54</v>
      </c>
      <c r="L705" s="7" t="s">
        <v>55</v>
      </c>
      <c r="M705" s="7">
        <v>4.0526549999999997</v>
      </c>
      <c r="N705" s="7">
        <v>9.7337209999999992</v>
      </c>
      <c r="O705" s="7" t="s">
        <v>613</v>
      </c>
      <c r="P705" s="3"/>
      <c r="Q705" s="3"/>
      <c r="R705" s="3"/>
    </row>
    <row r="706" spans="1:18" x14ac:dyDescent="0.25">
      <c r="A706" s="2">
        <v>862</v>
      </c>
      <c r="B706" s="7" t="s">
        <v>5314</v>
      </c>
      <c r="C706" s="7" t="s">
        <v>5315</v>
      </c>
      <c r="D706" s="7" t="s">
        <v>5314</v>
      </c>
      <c r="E706" s="7" t="s">
        <v>50</v>
      </c>
      <c r="F706" s="7" t="s">
        <v>5316</v>
      </c>
      <c r="G706" s="17" t="s">
        <v>7747</v>
      </c>
      <c r="H706" s="7" t="s">
        <v>28</v>
      </c>
      <c r="I706" s="7" t="s">
        <v>2024</v>
      </c>
      <c r="J706" s="7" t="s">
        <v>53</v>
      </c>
      <c r="K706" s="7" t="s">
        <v>2213</v>
      </c>
      <c r="L706" s="7" t="s">
        <v>55</v>
      </c>
      <c r="M706" s="7">
        <v>4.0475000000000003</v>
      </c>
      <c r="N706" s="7">
        <v>9.7257499999999997</v>
      </c>
      <c r="O706" s="7" t="s">
        <v>613</v>
      </c>
      <c r="P706" s="3"/>
      <c r="Q706" s="3"/>
      <c r="R706" s="3"/>
    </row>
    <row r="707" spans="1:18" x14ac:dyDescent="0.25">
      <c r="A707" s="2">
        <v>863</v>
      </c>
      <c r="B707" s="7" t="s">
        <v>5329</v>
      </c>
      <c r="C707" s="7" t="s">
        <v>5330</v>
      </c>
      <c r="D707" s="7" t="s">
        <v>5329</v>
      </c>
      <c r="E707" s="7" t="s">
        <v>50</v>
      </c>
      <c r="F707" s="7" t="s">
        <v>5331</v>
      </c>
      <c r="G707" s="17" t="s">
        <v>7747</v>
      </c>
      <c r="H707" s="7" t="s">
        <v>19</v>
      </c>
      <c r="I707" s="7" t="s">
        <v>1403</v>
      </c>
      <c r="J707" s="7" t="s">
        <v>53</v>
      </c>
      <c r="K707" s="7" t="s">
        <v>1404</v>
      </c>
      <c r="L707" s="7" t="s">
        <v>55</v>
      </c>
      <c r="M707" s="7">
        <v>4.0449999999999999</v>
      </c>
      <c r="N707" s="7">
        <v>9.6935000000000002</v>
      </c>
      <c r="O707" s="7" t="s">
        <v>613</v>
      </c>
      <c r="P707" s="3"/>
      <c r="Q707" s="3"/>
      <c r="R707" s="3"/>
    </row>
    <row r="708" spans="1:18" x14ac:dyDescent="0.25">
      <c r="A708" s="2">
        <v>864</v>
      </c>
      <c r="B708" s="7" t="s">
        <v>5338</v>
      </c>
      <c r="C708" s="7" t="s">
        <v>5339</v>
      </c>
      <c r="D708" s="7" t="s">
        <v>5338</v>
      </c>
      <c r="E708" s="7" t="s">
        <v>50</v>
      </c>
      <c r="F708" s="7" t="s">
        <v>5340</v>
      </c>
      <c r="G708" s="17" t="s">
        <v>7747</v>
      </c>
      <c r="H708" s="7" t="s">
        <v>28</v>
      </c>
      <c r="I708" s="7" t="s">
        <v>1478</v>
      </c>
      <c r="J708" s="7" t="s">
        <v>53</v>
      </c>
      <c r="K708" s="7" t="s">
        <v>612</v>
      </c>
      <c r="L708" s="7" t="s">
        <v>55</v>
      </c>
      <c r="M708" s="7">
        <v>4.1004779999999998</v>
      </c>
      <c r="N708" s="7">
        <v>9.7535279999999993</v>
      </c>
      <c r="O708" s="7" t="s">
        <v>613</v>
      </c>
      <c r="P708" s="3"/>
      <c r="Q708" s="3"/>
      <c r="R708" s="3"/>
    </row>
    <row r="709" spans="1:18" x14ac:dyDescent="0.25">
      <c r="A709" s="2">
        <v>865</v>
      </c>
      <c r="B709" s="7" t="s">
        <v>5347</v>
      </c>
      <c r="C709" s="7" t="s">
        <v>5348</v>
      </c>
      <c r="D709" s="7" t="s">
        <v>5347</v>
      </c>
      <c r="E709" s="7" t="s">
        <v>50</v>
      </c>
      <c r="F709" s="7" t="s">
        <v>5349</v>
      </c>
      <c r="G709" s="17" t="s">
        <v>7747</v>
      </c>
      <c r="H709" s="7" t="s">
        <v>28</v>
      </c>
      <c r="I709" s="7" t="s">
        <v>1478</v>
      </c>
      <c r="J709" s="7" t="s">
        <v>53</v>
      </c>
      <c r="K709" s="7" t="s">
        <v>612</v>
      </c>
      <c r="L709" s="7" t="s">
        <v>55</v>
      </c>
      <c r="M709" s="7">
        <v>4.0937999999999999</v>
      </c>
      <c r="N709" s="7">
        <v>9.7415000000000003</v>
      </c>
      <c r="O709" s="7" t="s">
        <v>613</v>
      </c>
      <c r="P709" s="3"/>
      <c r="Q709" s="3"/>
      <c r="R709" s="3"/>
    </row>
    <row r="710" spans="1:18" x14ac:dyDescent="0.25">
      <c r="A710" s="2">
        <v>866</v>
      </c>
      <c r="B710" s="7" t="s">
        <v>5350</v>
      </c>
      <c r="C710" s="7" t="s">
        <v>5351</v>
      </c>
      <c r="D710" s="7" t="s">
        <v>5350</v>
      </c>
      <c r="E710" s="7" t="s">
        <v>50</v>
      </c>
      <c r="F710" s="7" t="s">
        <v>5352</v>
      </c>
      <c r="G710" s="17" t="s">
        <v>7747</v>
      </c>
      <c r="H710" s="7" t="s">
        <v>28</v>
      </c>
      <c r="I710" s="7" t="s">
        <v>1471</v>
      </c>
      <c r="J710" s="7" t="s">
        <v>53</v>
      </c>
      <c r="K710" s="7" t="s">
        <v>612</v>
      </c>
      <c r="L710" s="7" t="s">
        <v>55</v>
      </c>
      <c r="M710" s="7">
        <v>4.0582529999999997</v>
      </c>
      <c r="N710" s="7">
        <v>9.7333090000000002</v>
      </c>
      <c r="O710" s="7" t="s">
        <v>613</v>
      </c>
      <c r="P710" s="3"/>
      <c r="Q710" s="3"/>
      <c r="R710" s="3"/>
    </row>
    <row r="711" spans="1:18" x14ac:dyDescent="0.25">
      <c r="A711" s="2">
        <v>867</v>
      </c>
      <c r="B711" s="7" t="s">
        <v>5368</v>
      </c>
      <c r="C711" s="7" t="s">
        <v>5369</v>
      </c>
      <c r="D711" s="7" t="s">
        <v>5368</v>
      </c>
      <c r="E711" s="7" t="s">
        <v>50</v>
      </c>
      <c r="F711" s="7" t="s">
        <v>5370</v>
      </c>
      <c r="G711" s="17" t="s">
        <v>7747</v>
      </c>
      <c r="H711" s="7" t="s">
        <v>28</v>
      </c>
      <c r="I711" s="7" t="s">
        <v>1478</v>
      </c>
      <c r="J711" s="7" t="s">
        <v>53</v>
      </c>
      <c r="K711" s="7" t="s">
        <v>612</v>
      </c>
      <c r="L711" s="7" t="s">
        <v>55</v>
      </c>
      <c r="M711" s="7">
        <v>4.0871870000000001</v>
      </c>
      <c r="N711" s="7">
        <v>9.7427340000000004</v>
      </c>
      <c r="O711" s="7" t="s">
        <v>613</v>
      </c>
      <c r="P711" s="3"/>
      <c r="Q711" s="3"/>
      <c r="R711" s="3"/>
    </row>
    <row r="712" spans="1:18" x14ac:dyDescent="0.25">
      <c r="A712" s="2">
        <v>868</v>
      </c>
      <c r="B712" s="7" t="s">
        <v>5371</v>
      </c>
      <c r="C712" s="7" t="s">
        <v>5372</v>
      </c>
      <c r="D712" s="7" t="s">
        <v>5371</v>
      </c>
      <c r="E712" s="7" t="s">
        <v>50</v>
      </c>
      <c r="F712" s="7" t="s">
        <v>5373</v>
      </c>
      <c r="G712" s="17" t="s">
        <v>7747</v>
      </c>
      <c r="H712" s="7" t="s">
        <v>19</v>
      </c>
      <c r="I712" s="7" t="s">
        <v>2024</v>
      </c>
      <c r="J712" s="7" t="s">
        <v>53</v>
      </c>
      <c r="K712" s="7" t="s">
        <v>2213</v>
      </c>
      <c r="L712" s="7" t="s">
        <v>55</v>
      </c>
      <c r="M712" s="7">
        <v>4.0376000000000003</v>
      </c>
      <c r="N712" s="7">
        <v>9.7116399999999992</v>
      </c>
      <c r="O712" s="7" t="s">
        <v>613</v>
      </c>
      <c r="P712" s="3"/>
      <c r="Q712" s="3"/>
      <c r="R712" s="3"/>
    </row>
    <row r="713" spans="1:18" x14ac:dyDescent="0.25">
      <c r="A713" s="2">
        <v>869</v>
      </c>
      <c r="B713" s="7" t="s">
        <v>5383</v>
      </c>
      <c r="C713" s="7" t="s">
        <v>5384</v>
      </c>
      <c r="D713" s="7" t="s">
        <v>5383</v>
      </c>
      <c r="E713" s="7" t="s">
        <v>50</v>
      </c>
      <c r="F713" s="7" t="s">
        <v>5385</v>
      </c>
      <c r="G713" s="17" t="s">
        <v>7747</v>
      </c>
      <c r="H713" s="7" t="s">
        <v>19</v>
      </c>
      <c r="I713" s="7" t="s">
        <v>1329</v>
      </c>
      <c r="J713" s="7" t="s">
        <v>53</v>
      </c>
      <c r="K713" s="7" t="s">
        <v>612</v>
      </c>
      <c r="L713" s="7" t="s">
        <v>55</v>
      </c>
      <c r="M713" s="7">
        <v>4.0477499999999997</v>
      </c>
      <c r="N713" s="7">
        <v>9.7501390000000008</v>
      </c>
      <c r="O713" s="7" t="s">
        <v>613</v>
      </c>
      <c r="P713" s="3"/>
      <c r="Q713" s="3"/>
      <c r="R713" s="3"/>
    </row>
    <row r="714" spans="1:18" x14ac:dyDescent="0.25">
      <c r="A714" s="2">
        <v>870</v>
      </c>
      <c r="B714" s="7" t="s">
        <v>5386</v>
      </c>
      <c r="C714" s="7" t="s">
        <v>5387</v>
      </c>
      <c r="D714" s="7" t="s">
        <v>5386</v>
      </c>
      <c r="E714" s="7" t="s">
        <v>50</v>
      </c>
      <c r="F714" s="7" t="s">
        <v>5388</v>
      </c>
      <c r="G714" s="17" t="s">
        <v>7747</v>
      </c>
      <c r="H714" s="7" t="s">
        <v>19</v>
      </c>
      <c r="I714" s="7" t="s">
        <v>1471</v>
      </c>
      <c r="J714" s="7" t="s">
        <v>53</v>
      </c>
      <c r="K714" s="7" t="s">
        <v>54</v>
      </c>
      <c r="L714" s="7" t="s">
        <v>55</v>
      </c>
      <c r="M714" s="7">
        <v>4.0529999999999999</v>
      </c>
      <c r="N714" s="7">
        <v>9.7373060000000002</v>
      </c>
      <c r="O714" s="7" t="s">
        <v>613</v>
      </c>
      <c r="P714" s="3"/>
      <c r="Q714" s="3"/>
      <c r="R714" s="3"/>
    </row>
    <row r="715" spans="1:18" x14ac:dyDescent="0.25">
      <c r="A715" s="2">
        <v>871</v>
      </c>
      <c r="B715" s="7" t="s">
        <v>5392</v>
      </c>
      <c r="C715" s="7" t="s">
        <v>5393</v>
      </c>
      <c r="D715" s="7" t="s">
        <v>5392</v>
      </c>
      <c r="E715" s="7" t="s">
        <v>50</v>
      </c>
      <c r="F715" s="7" t="s">
        <v>5394</v>
      </c>
      <c r="G715" s="17" t="s">
        <v>7747</v>
      </c>
      <c r="H715" s="7" t="s">
        <v>28</v>
      </c>
      <c r="I715" s="7" t="s">
        <v>1575</v>
      </c>
      <c r="J715" s="7" t="s">
        <v>53</v>
      </c>
      <c r="K715" s="7" t="s">
        <v>54</v>
      </c>
      <c r="L715" s="7" t="s">
        <v>55</v>
      </c>
      <c r="M715" s="7">
        <v>4.0231199999999996</v>
      </c>
      <c r="N715" s="7">
        <v>9.72255</v>
      </c>
      <c r="O715" s="7" t="s">
        <v>613</v>
      </c>
      <c r="P715" s="3"/>
      <c r="Q715" s="3"/>
      <c r="R715" s="3"/>
    </row>
    <row r="716" spans="1:18" x14ac:dyDescent="0.25">
      <c r="A716" s="2">
        <v>872</v>
      </c>
      <c r="B716" s="7" t="s">
        <v>5398</v>
      </c>
      <c r="C716" s="7" t="s">
        <v>5399</v>
      </c>
      <c r="D716" s="7" t="s">
        <v>5398</v>
      </c>
      <c r="E716" s="7" t="s">
        <v>50</v>
      </c>
      <c r="F716" s="7" t="s">
        <v>5400</v>
      </c>
      <c r="G716" s="17" t="s">
        <v>7747</v>
      </c>
      <c r="H716" s="7" t="s">
        <v>28</v>
      </c>
      <c r="I716" s="7" t="s">
        <v>1958</v>
      </c>
      <c r="J716" s="7" t="s">
        <v>53</v>
      </c>
      <c r="K716" s="7" t="s">
        <v>612</v>
      </c>
      <c r="L716" s="7" t="s">
        <v>55</v>
      </c>
      <c r="M716" s="7">
        <v>4.0679439999999998</v>
      </c>
      <c r="N716" s="7">
        <v>9.7177220000000002</v>
      </c>
      <c r="O716" s="7" t="s">
        <v>613</v>
      </c>
      <c r="P716" s="3"/>
      <c r="Q716" s="3"/>
      <c r="R716" s="3"/>
    </row>
    <row r="717" spans="1:18" x14ac:dyDescent="0.25">
      <c r="A717" s="2">
        <v>873</v>
      </c>
      <c r="B717" s="7" t="s">
        <v>5401</v>
      </c>
      <c r="C717" s="7" t="s">
        <v>5402</v>
      </c>
      <c r="D717" s="7" t="s">
        <v>5401</v>
      </c>
      <c r="E717" s="7" t="s">
        <v>50</v>
      </c>
      <c r="F717" s="7" t="s">
        <v>5403</v>
      </c>
      <c r="G717" s="17" t="s">
        <v>7747</v>
      </c>
      <c r="H717" s="7" t="s">
        <v>28</v>
      </c>
      <c r="I717" s="7" t="s">
        <v>1403</v>
      </c>
      <c r="J717" s="7" t="s">
        <v>53</v>
      </c>
      <c r="K717" s="7" t="s">
        <v>1404</v>
      </c>
      <c r="L717" s="7" t="s">
        <v>55</v>
      </c>
      <c r="M717" s="7">
        <v>4.0294439999999998</v>
      </c>
      <c r="N717" s="7">
        <v>9.6864170000000005</v>
      </c>
      <c r="O717" s="7" t="s">
        <v>613</v>
      </c>
      <c r="P717" s="3"/>
      <c r="Q717" s="3"/>
      <c r="R717" s="3"/>
    </row>
    <row r="718" spans="1:18" x14ac:dyDescent="0.25">
      <c r="A718" s="2">
        <v>874</v>
      </c>
      <c r="B718" s="7" t="s">
        <v>5404</v>
      </c>
      <c r="C718" s="7" t="s">
        <v>5405</v>
      </c>
      <c r="D718" s="7" t="s">
        <v>5404</v>
      </c>
      <c r="E718" s="7" t="s">
        <v>50</v>
      </c>
      <c r="F718" s="7" t="s">
        <v>5406</v>
      </c>
      <c r="G718" s="17" t="s">
        <v>7747</v>
      </c>
      <c r="H718" s="7" t="s">
        <v>28</v>
      </c>
      <c r="I718" s="7" t="s">
        <v>2024</v>
      </c>
      <c r="J718" s="7" t="s">
        <v>53</v>
      </c>
      <c r="K718" s="7" t="s">
        <v>2213</v>
      </c>
      <c r="L718" s="7" t="s">
        <v>55</v>
      </c>
      <c r="M718" s="7">
        <v>4.0410510000000004</v>
      </c>
      <c r="N718" s="7">
        <v>9.7086559999999995</v>
      </c>
      <c r="O718" s="7" t="s">
        <v>613</v>
      </c>
      <c r="P718" s="3"/>
      <c r="Q718" s="3"/>
      <c r="R718" s="3"/>
    </row>
    <row r="719" spans="1:18" x14ac:dyDescent="0.25">
      <c r="A719" s="2">
        <v>875</v>
      </c>
      <c r="B719" s="7" t="s">
        <v>5407</v>
      </c>
      <c r="C719" s="7" t="s">
        <v>5408</v>
      </c>
      <c r="D719" s="7" t="s">
        <v>5407</v>
      </c>
      <c r="E719" s="7" t="s">
        <v>50</v>
      </c>
      <c r="F719" s="7" t="s">
        <v>5409</v>
      </c>
      <c r="G719" s="17" t="s">
        <v>7747</v>
      </c>
      <c r="H719" s="7" t="s">
        <v>28</v>
      </c>
      <c r="I719" s="7" t="s">
        <v>2024</v>
      </c>
      <c r="J719" s="7" t="s">
        <v>53</v>
      </c>
      <c r="K719" s="7" t="s">
        <v>2213</v>
      </c>
      <c r="L719" s="7" t="s">
        <v>55</v>
      </c>
      <c r="M719" s="7">
        <v>4.0376940000000001</v>
      </c>
      <c r="N719" s="7">
        <v>9.7180549999999997</v>
      </c>
      <c r="O719" s="7" t="s">
        <v>613</v>
      </c>
      <c r="P719" s="3"/>
      <c r="Q719" s="3"/>
      <c r="R719" s="3"/>
    </row>
    <row r="720" spans="1:18" x14ac:dyDescent="0.25">
      <c r="A720" s="2">
        <v>876</v>
      </c>
      <c r="B720" s="7" t="s">
        <v>5410</v>
      </c>
      <c r="C720" s="7" t="s">
        <v>5411</v>
      </c>
      <c r="D720" s="7" t="s">
        <v>5410</v>
      </c>
      <c r="E720" s="7" t="s">
        <v>50</v>
      </c>
      <c r="F720" s="7" t="s">
        <v>5412</v>
      </c>
      <c r="G720" s="17" t="s">
        <v>7747</v>
      </c>
      <c r="H720" s="7" t="s">
        <v>28</v>
      </c>
      <c r="I720" s="7" t="s">
        <v>2024</v>
      </c>
      <c r="J720" s="7" t="s">
        <v>53</v>
      </c>
      <c r="K720" s="7" t="s">
        <v>2213</v>
      </c>
      <c r="L720" s="7" t="s">
        <v>55</v>
      </c>
      <c r="M720" s="7">
        <v>4.0376500000000002</v>
      </c>
      <c r="N720" s="7">
        <v>9.7243390000000005</v>
      </c>
      <c r="O720" s="7" t="s">
        <v>613</v>
      </c>
      <c r="P720" s="3"/>
      <c r="Q720" s="3"/>
      <c r="R720" s="3"/>
    </row>
    <row r="721" spans="1:18" x14ac:dyDescent="0.25">
      <c r="A721" s="2">
        <v>877</v>
      </c>
      <c r="B721" s="7" t="s">
        <v>5433</v>
      </c>
      <c r="C721" s="7" t="s">
        <v>5434</v>
      </c>
      <c r="D721" s="7" t="s">
        <v>5433</v>
      </c>
      <c r="E721" s="7" t="s">
        <v>50</v>
      </c>
      <c r="F721" s="7" t="s">
        <v>5435</v>
      </c>
      <c r="G721" s="17" t="s">
        <v>7747</v>
      </c>
      <c r="H721" s="7" t="s">
        <v>28</v>
      </c>
      <c r="I721" s="7" t="s">
        <v>1471</v>
      </c>
      <c r="J721" s="7" t="s">
        <v>53</v>
      </c>
      <c r="K721" s="7" t="s">
        <v>612</v>
      </c>
      <c r="L721" s="7" t="s">
        <v>55</v>
      </c>
      <c r="M721" s="7">
        <v>4.0764199999999997</v>
      </c>
      <c r="N721" s="7">
        <v>9.7170299999999994</v>
      </c>
      <c r="O721" s="7" t="s">
        <v>613</v>
      </c>
      <c r="P721" s="3"/>
      <c r="Q721" s="3"/>
      <c r="R721" s="3"/>
    </row>
    <row r="722" spans="1:18" x14ac:dyDescent="0.25">
      <c r="A722" s="2">
        <v>878</v>
      </c>
      <c r="B722" s="7" t="s">
        <v>5436</v>
      </c>
      <c r="C722" s="7" t="s">
        <v>5437</v>
      </c>
      <c r="D722" s="7" t="s">
        <v>5436</v>
      </c>
      <c r="E722" s="7" t="s">
        <v>50</v>
      </c>
      <c r="F722" s="7" t="s">
        <v>5438</v>
      </c>
      <c r="G722" s="17" t="s">
        <v>7747</v>
      </c>
      <c r="H722" s="7" t="s">
        <v>28</v>
      </c>
      <c r="I722" s="7" t="s">
        <v>627</v>
      </c>
      <c r="J722" s="7" t="s">
        <v>53</v>
      </c>
      <c r="K722" s="7" t="s">
        <v>628</v>
      </c>
      <c r="L722" s="7" t="s">
        <v>55</v>
      </c>
      <c r="M722" s="7">
        <v>4.0824129999999998</v>
      </c>
      <c r="N722" s="7">
        <v>9.6728690000000004</v>
      </c>
      <c r="O722" s="7" t="s">
        <v>613</v>
      </c>
      <c r="P722" s="3"/>
      <c r="Q722" s="3"/>
      <c r="R722" s="3"/>
    </row>
    <row r="723" spans="1:18" x14ac:dyDescent="0.25">
      <c r="A723" s="2">
        <v>879</v>
      </c>
      <c r="B723" s="7" t="s">
        <v>5439</v>
      </c>
      <c r="C723" s="7" t="s">
        <v>5440</v>
      </c>
      <c r="D723" s="7" t="s">
        <v>5439</v>
      </c>
      <c r="E723" s="7" t="s">
        <v>50</v>
      </c>
      <c r="F723" s="7" t="s">
        <v>5441</v>
      </c>
      <c r="G723" s="17" t="s">
        <v>7747</v>
      </c>
      <c r="H723" s="7" t="s">
        <v>28</v>
      </c>
      <c r="I723" s="7" t="s">
        <v>1403</v>
      </c>
      <c r="J723" s="7" t="s">
        <v>53</v>
      </c>
      <c r="K723" s="7" t="s">
        <v>1404</v>
      </c>
      <c r="L723" s="7" t="s">
        <v>55</v>
      </c>
      <c r="M723" s="7">
        <v>4.0409220000000001</v>
      </c>
      <c r="N723" s="7">
        <v>9.693797</v>
      </c>
      <c r="O723" s="7" t="s">
        <v>613</v>
      </c>
      <c r="P723" s="3"/>
      <c r="Q723" s="3"/>
      <c r="R723" s="3"/>
    </row>
    <row r="724" spans="1:18" x14ac:dyDescent="0.25">
      <c r="A724" s="2">
        <v>880</v>
      </c>
      <c r="B724" s="7" t="s">
        <v>5448</v>
      </c>
      <c r="C724" s="7" t="s">
        <v>5449</v>
      </c>
      <c r="D724" s="7" t="s">
        <v>5448</v>
      </c>
      <c r="E724" s="7" t="s">
        <v>50</v>
      </c>
      <c r="F724" s="7" t="s">
        <v>5450</v>
      </c>
      <c r="G724" s="17" t="s">
        <v>7747</v>
      </c>
      <c r="H724" s="7" t="s">
        <v>19</v>
      </c>
      <c r="I724" s="7" t="s">
        <v>1471</v>
      </c>
      <c r="J724" s="7" t="s">
        <v>53</v>
      </c>
      <c r="K724" s="7" t="s">
        <v>612</v>
      </c>
      <c r="L724" s="7" t="s">
        <v>55</v>
      </c>
      <c r="M724" s="7">
        <v>4.0650560000000002</v>
      </c>
      <c r="N724" s="7">
        <v>9.7316389999999995</v>
      </c>
      <c r="O724" s="7" t="s">
        <v>613</v>
      </c>
      <c r="P724" s="3"/>
      <c r="Q724" s="3"/>
      <c r="R724" s="3"/>
    </row>
    <row r="725" spans="1:18" x14ac:dyDescent="0.25">
      <c r="A725" s="2">
        <v>881</v>
      </c>
      <c r="B725" s="7" t="s">
        <v>5451</v>
      </c>
      <c r="C725" s="7" t="s">
        <v>5452</v>
      </c>
      <c r="D725" s="7" t="s">
        <v>5451</v>
      </c>
      <c r="E725" s="7" t="s">
        <v>50</v>
      </c>
      <c r="F725" s="7" t="s">
        <v>5453</v>
      </c>
      <c r="G725" s="17" t="s">
        <v>7747</v>
      </c>
      <c r="H725" s="7" t="s">
        <v>19</v>
      </c>
      <c r="I725" s="7" t="s">
        <v>2024</v>
      </c>
      <c r="J725" s="7" t="s">
        <v>53</v>
      </c>
      <c r="K725" s="7" t="s">
        <v>2213</v>
      </c>
      <c r="L725" s="7" t="s">
        <v>55</v>
      </c>
      <c r="M725" s="7">
        <v>4.0270279999999996</v>
      </c>
      <c r="N725" s="7">
        <v>9.7101389999999999</v>
      </c>
      <c r="O725" s="7" t="s">
        <v>613</v>
      </c>
      <c r="P725" s="3"/>
      <c r="Q725" s="3"/>
      <c r="R725" s="3"/>
    </row>
    <row r="726" spans="1:18" x14ac:dyDescent="0.25">
      <c r="A726" s="2">
        <v>882</v>
      </c>
      <c r="B726" s="7" t="s">
        <v>5454</v>
      </c>
      <c r="C726" s="7" t="s">
        <v>5455</v>
      </c>
      <c r="D726" s="7" t="s">
        <v>5454</v>
      </c>
      <c r="E726" s="7" t="s">
        <v>50</v>
      </c>
      <c r="F726" s="7" t="s">
        <v>5456</v>
      </c>
      <c r="G726" s="17" t="s">
        <v>7747</v>
      </c>
      <c r="H726" s="7" t="s">
        <v>19</v>
      </c>
      <c r="I726" s="7" t="s">
        <v>1471</v>
      </c>
      <c r="J726" s="7" t="s">
        <v>53</v>
      </c>
      <c r="K726" s="7" t="s">
        <v>612</v>
      </c>
      <c r="L726" s="7" t="s">
        <v>55</v>
      </c>
      <c r="M726" s="7">
        <v>4.0840750000000003</v>
      </c>
      <c r="N726" s="7">
        <v>9.7210579999999993</v>
      </c>
      <c r="O726" s="7" t="s">
        <v>613</v>
      </c>
      <c r="P726" s="3"/>
      <c r="Q726" s="3"/>
      <c r="R726" s="3"/>
    </row>
    <row r="727" spans="1:18" x14ac:dyDescent="0.25">
      <c r="A727" s="2">
        <v>883</v>
      </c>
      <c r="B727" s="7" t="s">
        <v>5457</v>
      </c>
      <c r="C727" s="7" t="s">
        <v>5458</v>
      </c>
      <c r="D727" s="7" t="s">
        <v>5457</v>
      </c>
      <c r="E727" s="7" t="s">
        <v>50</v>
      </c>
      <c r="F727" s="7" t="s">
        <v>5459</v>
      </c>
      <c r="G727" s="17" t="s">
        <v>7747</v>
      </c>
      <c r="H727" s="7" t="s">
        <v>19</v>
      </c>
      <c r="I727" s="7" t="s">
        <v>627</v>
      </c>
      <c r="J727" s="7" t="s">
        <v>53</v>
      </c>
      <c r="K727" s="7" t="s">
        <v>628</v>
      </c>
      <c r="L727" s="7" t="s">
        <v>55</v>
      </c>
      <c r="M727" s="7">
        <v>4.0862569999999998</v>
      </c>
      <c r="N727" s="7">
        <v>9.672523</v>
      </c>
      <c r="O727" s="7" t="s">
        <v>613</v>
      </c>
      <c r="P727" s="3"/>
      <c r="Q727" s="3"/>
      <c r="R727" s="3"/>
    </row>
    <row r="728" spans="1:18" x14ac:dyDescent="0.25">
      <c r="A728" s="2">
        <v>884</v>
      </c>
      <c r="B728" s="7" t="s">
        <v>5460</v>
      </c>
      <c r="C728" s="7" t="s">
        <v>5461</v>
      </c>
      <c r="D728" s="7" t="s">
        <v>5460</v>
      </c>
      <c r="E728" s="7" t="s">
        <v>50</v>
      </c>
      <c r="F728" s="7" t="s">
        <v>5462</v>
      </c>
      <c r="G728" s="17" t="s">
        <v>7747</v>
      </c>
      <c r="H728" s="7" t="s">
        <v>28</v>
      </c>
      <c r="I728" s="7" t="s">
        <v>1958</v>
      </c>
      <c r="J728" s="7" t="s">
        <v>53</v>
      </c>
      <c r="K728" s="7" t="s">
        <v>1404</v>
      </c>
      <c r="L728" s="7" t="s">
        <v>55</v>
      </c>
      <c r="M728" s="7">
        <v>4.0465600000000004</v>
      </c>
      <c r="N728" s="7">
        <v>9.7160299999999999</v>
      </c>
      <c r="O728" s="7" t="s">
        <v>613</v>
      </c>
      <c r="P728" s="3"/>
      <c r="Q728" s="3"/>
      <c r="R728" s="3"/>
    </row>
    <row r="729" spans="1:18" x14ac:dyDescent="0.25">
      <c r="A729" s="2">
        <v>885</v>
      </c>
      <c r="B729" s="7" t="s">
        <v>5463</v>
      </c>
      <c r="C729" s="7" t="s">
        <v>5464</v>
      </c>
      <c r="D729" s="7" t="s">
        <v>5463</v>
      </c>
      <c r="E729" s="7" t="s">
        <v>50</v>
      </c>
      <c r="F729" s="7" t="s">
        <v>5465</v>
      </c>
      <c r="G729" s="17" t="s">
        <v>7747</v>
      </c>
      <c r="H729" s="7" t="s">
        <v>28</v>
      </c>
      <c r="I729" s="7" t="s">
        <v>1958</v>
      </c>
      <c r="J729" s="7" t="s">
        <v>53</v>
      </c>
      <c r="K729" s="7" t="s">
        <v>1404</v>
      </c>
      <c r="L729" s="7" t="s">
        <v>55</v>
      </c>
      <c r="M729" s="7">
        <v>4.0442499999999999</v>
      </c>
      <c r="N729" s="7">
        <v>9.6972500000000004</v>
      </c>
      <c r="O729" s="7" t="s">
        <v>613</v>
      </c>
      <c r="P729" s="3"/>
      <c r="Q729" s="3"/>
      <c r="R729" s="3"/>
    </row>
    <row r="730" spans="1:18" x14ac:dyDescent="0.25">
      <c r="A730" s="2">
        <v>886</v>
      </c>
      <c r="B730" s="7" t="s">
        <v>5466</v>
      </c>
      <c r="C730" s="7" t="s">
        <v>5467</v>
      </c>
      <c r="D730" s="7" t="s">
        <v>5466</v>
      </c>
      <c r="E730" s="7" t="s">
        <v>50</v>
      </c>
      <c r="F730" s="7" t="s">
        <v>5468</v>
      </c>
      <c r="G730" s="17" t="s">
        <v>7747</v>
      </c>
      <c r="H730" s="7" t="s">
        <v>19</v>
      </c>
      <c r="I730" s="7" t="s">
        <v>1403</v>
      </c>
      <c r="J730" s="7" t="s">
        <v>53</v>
      </c>
      <c r="K730" s="7" t="s">
        <v>1404</v>
      </c>
      <c r="L730" s="7" t="s">
        <v>55</v>
      </c>
      <c r="M730" s="7">
        <v>4.0339999999999998</v>
      </c>
      <c r="N730" s="7">
        <v>9.6866099999999999</v>
      </c>
      <c r="O730" s="7" t="s">
        <v>613</v>
      </c>
      <c r="P730" s="3"/>
      <c r="Q730" s="3"/>
      <c r="R730" s="3"/>
    </row>
    <row r="731" spans="1:18" x14ac:dyDescent="0.25">
      <c r="A731" s="2">
        <v>887</v>
      </c>
      <c r="B731" s="7" t="s">
        <v>5469</v>
      </c>
      <c r="C731" s="7" t="s">
        <v>5470</v>
      </c>
      <c r="D731" s="7" t="s">
        <v>5469</v>
      </c>
      <c r="E731" s="7" t="s">
        <v>50</v>
      </c>
      <c r="F731" s="7" t="s">
        <v>5471</v>
      </c>
      <c r="G731" s="17" t="s">
        <v>7747</v>
      </c>
      <c r="H731" s="7" t="s">
        <v>19</v>
      </c>
      <c r="I731" s="7" t="s">
        <v>1403</v>
      </c>
      <c r="J731" s="7" t="s">
        <v>53</v>
      </c>
      <c r="K731" s="7" t="s">
        <v>2213</v>
      </c>
      <c r="L731" s="7" t="s">
        <v>55</v>
      </c>
      <c r="M731" s="7">
        <v>4.0268300000000004</v>
      </c>
      <c r="N731" s="7">
        <v>9.7061499999999992</v>
      </c>
      <c r="O731" s="7" t="s">
        <v>613</v>
      </c>
      <c r="P731" s="3"/>
      <c r="Q731" s="3"/>
      <c r="R731" s="3"/>
    </row>
    <row r="732" spans="1:18" x14ac:dyDescent="0.25">
      <c r="A732" s="2">
        <v>888</v>
      </c>
      <c r="B732" s="7" t="s">
        <v>5472</v>
      </c>
      <c r="C732" s="7" t="s">
        <v>5473</v>
      </c>
      <c r="D732" s="7" t="s">
        <v>5472</v>
      </c>
      <c r="E732" s="7" t="s">
        <v>50</v>
      </c>
      <c r="F732" s="7" t="s">
        <v>5474</v>
      </c>
      <c r="G732" s="17" t="s">
        <v>7747</v>
      </c>
      <c r="H732" s="7" t="s">
        <v>28</v>
      </c>
      <c r="I732" s="7" t="s">
        <v>1403</v>
      </c>
      <c r="J732" s="7" t="s">
        <v>53</v>
      </c>
      <c r="K732" s="7" t="s">
        <v>1404</v>
      </c>
      <c r="L732" s="7" t="s">
        <v>55</v>
      </c>
      <c r="M732" s="7">
        <v>4.0381669999999996</v>
      </c>
      <c r="N732" s="7">
        <v>9.6990829999999999</v>
      </c>
      <c r="O732" s="7" t="s">
        <v>613</v>
      </c>
      <c r="P732" s="3"/>
      <c r="Q732" s="3"/>
      <c r="R732" s="3"/>
    </row>
    <row r="733" spans="1:18" x14ac:dyDescent="0.25">
      <c r="A733" s="2">
        <v>889</v>
      </c>
      <c r="B733" s="7" t="s">
        <v>5481</v>
      </c>
      <c r="C733" s="7" t="s">
        <v>5482</v>
      </c>
      <c r="D733" s="7" t="s">
        <v>5481</v>
      </c>
      <c r="E733" s="7" t="s">
        <v>50</v>
      </c>
      <c r="F733" s="7" t="s">
        <v>5483</v>
      </c>
      <c r="G733" s="17" t="s">
        <v>7747</v>
      </c>
      <c r="H733" s="7" t="s">
        <v>28</v>
      </c>
      <c r="I733" s="7" t="s">
        <v>1403</v>
      </c>
      <c r="J733" s="7" t="s">
        <v>53</v>
      </c>
      <c r="K733" s="7" t="s">
        <v>2213</v>
      </c>
      <c r="L733" s="7" t="s">
        <v>55</v>
      </c>
      <c r="M733" s="7">
        <v>4.0283329999999999</v>
      </c>
      <c r="N733" s="7">
        <v>9.7051390000000008</v>
      </c>
      <c r="O733" s="7" t="s">
        <v>613</v>
      </c>
      <c r="P733" s="3"/>
      <c r="Q733" s="3"/>
      <c r="R733" s="3"/>
    </row>
    <row r="734" spans="1:18" x14ac:dyDescent="0.25">
      <c r="A734" s="2">
        <v>890</v>
      </c>
      <c r="B734" s="7" t="s">
        <v>5487</v>
      </c>
      <c r="C734" s="7" t="s">
        <v>5488</v>
      </c>
      <c r="D734" s="7" t="s">
        <v>5487</v>
      </c>
      <c r="E734" s="7" t="s">
        <v>50</v>
      </c>
      <c r="F734" s="7" t="s">
        <v>5489</v>
      </c>
      <c r="G734" s="17" t="s">
        <v>7747</v>
      </c>
      <c r="H734" s="7" t="s">
        <v>28</v>
      </c>
      <c r="I734" s="7" t="s">
        <v>1403</v>
      </c>
      <c r="J734" s="7" t="s">
        <v>53</v>
      </c>
      <c r="K734" s="7" t="s">
        <v>1404</v>
      </c>
      <c r="L734" s="7" t="s">
        <v>55</v>
      </c>
      <c r="M734" s="7">
        <v>4.0260480000000003</v>
      </c>
      <c r="N734" s="7">
        <v>9.6902799999999996</v>
      </c>
      <c r="O734" s="7" t="s">
        <v>613</v>
      </c>
      <c r="P734" s="3"/>
      <c r="Q734" s="3"/>
      <c r="R734" s="3"/>
    </row>
    <row r="735" spans="1:18" x14ac:dyDescent="0.25">
      <c r="A735" s="2">
        <v>891</v>
      </c>
      <c r="B735" s="7" t="s">
        <v>5490</v>
      </c>
      <c r="C735" s="7" t="s">
        <v>5491</v>
      </c>
      <c r="D735" s="7" t="s">
        <v>5490</v>
      </c>
      <c r="E735" s="7" t="s">
        <v>50</v>
      </c>
      <c r="F735" s="7" t="s">
        <v>5492</v>
      </c>
      <c r="G735" s="17" t="s">
        <v>7747</v>
      </c>
      <c r="H735" s="7" t="s">
        <v>28</v>
      </c>
      <c r="I735" s="7" t="s">
        <v>1575</v>
      </c>
      <c r="J735" s="7" t="s">
        <v>53</v>
      </c>
      <c r="K735" s="7" t="s">
        <v>54</v>
      </c>
      <c r="L735" s="7" t="s">
        <v>55</v>
      </c>
      <c r="M735" s="7">
        <v>4.0108769999999998</v>
      </c>
      <c r="N735" s="7">
        <v>9.7485420000000005</v>
      </c>
      <c r="O735" s="7" t="s">
        <v>23</v>
      </c>
      <c r="P735" s="3"/>
      <c r="Q735" s="3"/>
      <c r="R735" s="3"/>
    </row>
    <row r="736" spans="1:18" x14ac:dyDescent="0.25">
      <c r="A736" s="2">
        <v>892</v>
      </c>
      <c r="B736" s="7" t="s">
        <v>5499</v>
      </c>
      <c r="C736" s="7" t="s">
        <v>5500</v>
      </c>
      <c r="D736" s="7" t="s">
        <v>5499</v>
      </c>
      <c r="E736" s="7" t="s">
        <v>50</v>
      </c>
      <c r="F736" s="7" t="s">
        <v>5501</v>
      </c>
      <c r="G736" s="17" t="s">
        <v>7747</v>
      </c>
      <c r="H736" s="7" t="s">
        <v>28</v>
      </c>
      <c r="I736" s="7" t="s">
        <v>1403</v>
      </c>
      <c r="J736" s="7" t="s">
        <v>53</v>
      </c>
      <c r="K736" s="7" t="s">
        <v>1404</v>
      </c>
      <c r="L736" s="7" t="s">
        <v>55</v>
      </c>
      <c r="M736" s="7">
        <v>4.0445270000000004</v>
      </c>
      <c r="N736" s="7">
        <v>9.6872380000000007</v>
      </c>
      <c r="O736" s="7" t="s">
        <v>613</v>
      </c>
      <c r="P736" s="3"/>
      <c r="Q736" s="3"/>
      <c r="R736" s="3"/>
    </row>
    <row r="737" spans="1:18" x14ac:dyDescent="0.25">
      <c r="A737" s="2">
        <v>893</v>
      </c>
      <c r="B737" s="7" t="s">
        <v>5502</v>
      </c>
      <c r="C737" s="7" t="s">
        <v>5503</v>
      </c>
      <c r="D737" s="7" t="s">
        <v>5502</v>
      </c>
      <c r="E737" s="7" t="s">
        <v>50</v>
      </c>
      <c r="F737" s="7" t="s">
        <v>5504</v>
      </c>
      <c r="G737" s="17" t="s">
        <v>7747</v>
      </c>
      <c r="H737" s="7" t="s">
        <v>28</v>
      </c>
      <c r="I737" s="7" t="s">
        <v>1958</v>
      </c>
      <c r="J737" s="7" t="s">
        <v>53</v>
      </c>
      <c r="K737" s="7" t="s">
        <v>1404</v>
      </c>
      <c r="L737" s="7" t="s">
        <v>55</v>
      </c>
      <c r="M737" s="7">
        <v>4.063758</v>
      </c>
      <c r="N737" s="7">
        <v>9.7094079999999998</v>
      </c>
      <c r="O737" s="7" t="s">
        <v>613</v>
      </c>
      <c r="P737" s="3"/>
      <c r="Q737" s="3"/>
      <c r="R737" s="3"/>
    </row>
    <row r="738" spans="1:18" x14ac:dyDescent="0.25">
      <c r="A738" s="2">
        <v>894</v>
      </c>
      <c r="B738" s="7" t="s">
        <v>5508</v>
      </c>
      <c r="C738" s="7" t="s">
        <v>5509</v>
      </c>
      <c r="D738" s="7" t="s">
        <v>5508</v>
      </c>
      <c r="E738" s="7" t="s">
        <v>50</v>
      </c>
      <c r="F738" s="7" t="s">
        <v>5510</v>
      </c>
      <c r="G738" s="17" t="s">
        <v>7747</v>
      </c>
      <c r="H738" s="7" t="s">
        <v>28</v>
      </c>
      <c r="I738" s="7" t="s">
        <v>611</v>
      </c>
      <c r="J738" s="7" t="s">
        <v>53</v>
      </c>
      <c r="K738" s="7" t="s">
        <v>54</v>
      </c>
      <c r="L738" s="7" t="s">
        <v>55</v>
      </c>
      <c r="M738" s="7">
        <v>4.0540209999999997</v>
      </c>
      <c r="N738" s="7">
        <v>9.7676459999999992</v>
      </c>
      <c r="O738" s="7" t="s">
        <v>613</v>
      </c>
      <c r="P738" s="3"/>
      <c r="Q738" s="3"/>
      <c r="R738" s="3"/>
    </row>
    <row r="739" spans="1:18" x14ac:dyDescent="0.25">
      <c r="A739" s="2">
        <v>895</v>
      </c>
      <c r="B739" s="7" t="s">
        <v>5514</v>
      </c>
      <c r="C739" s="7" t="s">
        <v>5515</v>
      </c>
      <c r="D739" s="7" t="s">
        <v>5514</v>
      </c>
      <c r="E739" s="7" t="s">
        <v>50</v>
      </c>
      <c r="F739" s="7" t="s">
        <v>5516</v>
      </c>
      <c r="G739" s="17" t="s">
        <v>7747</v>
      </c>
      <c r="H739" s="7" t="s">
        <v>28</v>
      </c>
      <c r="I739" s="7" t="s">
        <v>1478</v>
      </c>
      <c r="J739" s="7" t="s">
        <v>53</v>
      </c>
      <c r="K739" s="7" t="s">
        <v>612</v>
      </c>
      <c r="L739" s="7" t="s">
        <v>55</v>
      </c>
      <c r="M739" s="7">
        <v>4.0973170000000003</v>
      </c>
      <c r="N739" s="7">
        <v>9.7433879999999995</v>
      </c>
      <c r="O739" s="7" t="s">
        <v>613</v>
      </c>
      <c r="P739" s="3"/>
      <c r="Q739" s="3"/>
      <c r="R739" s="3"/>
    </row>
    <row r="740" spans="1:18" x14ac:dyDescent="0.25">
      <c r="A740" s="2">
        <v>896</v>
      </c>
      <c r="B740" s="7" t="s">
        <v>5517</v>
      </c>
      <c r="C740" s="7" t="s">
        <v>5518</v>
      </c>
      <c r="D740" s="7" t="s">
        <v>5517</v>
      </c>
      <c r="E740" s="7" t="s">
        <v>50</v>
      </c>
      <c r="F740" s="7" t="s">
        <v>5519</v>
      </c>
      <c r="G740" s="17" t="s">
        <v>7747</v>
      </c>
      <c r="H740" s="7" t="s">
        <v>28</v>
      </c>
      <c r="I740" s="7" t="s">
        <v>1516</v>
      </c>
      <c r="J740" s="7" t="s">
        <v>53</v>
      </c>
      <c r="K740" s="7" t="s">
        <v>612</v>
      </c>
      <c r="L740" s="7" t="s">
        <v>55</v>
      </c>
      <c r="M740" s="7">
        <v>4.0502149999999997</v>
      </c>
      <c r="N740" s="7">
        <v>9.7719050000000003</v>
      </c>
      <c r="O740" s="7" t="s">
        <v>613</v>
      </c>
      <c r="P740" s="3"/>
      <c r="Q740" s="3"/>
      <c r="R740" s="3"/>
    </row>
    <row r="741" spans="1:18" x14ac:dyDescent="0.25">
      <c r="A741" s="2">
        <v>897</v>
      </c>
      <c r="B741" s="7" t="s">
        <v>5520</v>
      </c>
      <c r="C741" s="7" t="s">
        <v>5521</v>
      </c>
      <c r="D741" s="7" t="s">
        <v>5520</v>
      </c>
      <c r="E741" s="7" t="s">
        <v>50</v>
      </c>
      <c r="F741" s="7" t="s">
        <v>5522</v>
      </c>
      <c r="G741" s="17" t="s">
        <v>7747</v>
      </c>
      <c r="H741" s="7" t="s">
        <v>28</v>
      </c>
      <c r="I741" s="7" t="s">
        <v>1958</v>
      </c>
      <c r="J741" s="7" t="s">
        <v>53</v>
      </c>
      <c r="K741" s="7" t="s">
        <v>1404</v>
      </c>
      <c r="L741" s="7" t="s">
        <v>55</v>
      </c>
      <c r="M741" s="7">
        <v>4.0595829999999999</v>
      </c>
      <c r="N741" s="7">
        <v>9.7043330000000001</v>
      </c>
      <c r="O741" s="7" t="s">
        <v>613</v>
      </c>
      <c r="P741" s="3"/>
      <c r="Q741" s="3"/>
      <c r="R741" s="3"/>
    </row>
    <row r="742" spans="1:18" x14ac:dyDescent="0.25">
      <c r="A742" s="2">
        <v>898</v>
      </c>
      <c r="B742" s="7" t="s">
        <v>5531</v>
      </c>
      <c r="C742" s="7" t="s">
        <v>5532</v>
      </c>
      <c r="D742" s="7" t="s">
        <v>5531</v>
      </c>
      <c r="E742" s="7" t="s">
        <v>50</v>
      </c>
      <c r="F742" s="7" t="s">
        <v>5533</v>
      </c>
      <c r="G742" s="17" t="s">
        <v>7747</v>
      </c>
      <c r="H742" s="7" t="s">
        <v>28</v>
      </c>
      <c r="I742" s="7" t="s">
        <v>1403</v>
      </c>
      <c r="J742" s="7" t="s">
        <v>53</v>
      </c>
      <c r="K742" s="7" t="s">
        <v>1404</v>
      </c>
      <c r="L742" s="7" t="s">
        <v>55</v>
      </c>
      <c r="M742" s="7">
        <v>4.0495229999999998</v>
      </c>
      <c r="N742" s="7">
        <v>9.6983470000000001</v>
      </c>
      <c r="O742" s="7" t="s">
        <v>613</v>
      </c>
      <c r="P742" s="3"/>
      <c r="Q742" s="3"/>
      <c r="R742" s="3"/>
    </row>
    <row r="743" spans="1:18" x14ac:dyDescent="0.25">
      <c r="A743" s="2">
        <v>899</v>
      </c>
      <c r="B743" s="7" t="s">
        <v>5534</v>
      </c>
      <c r="C743" s="7" t="s">
        <v>5535</v>
      </c>
      <c r="D743" s="7" t="s">
        <v>5534</v>
      </c>
      <c r="E743" s="7" t="s">
        <v>50</v>
      </c>
      <c r="F743" s="7" t="s">
        <v>5536</v>
      </c>
      <c r="G743" s="17" t="s">
        <v>7747</v>
      </c>
      <c r="H743" s="7" t="s">
        <v>28</v>
      </c>
      <c r="I743" s="7" t="s">
        <v>611</v>
      </c>
      <c r="J743" s="7" t="s">
        <v>53</v>
      </c>
      <c r="K743" s="7" t="s">
        <v>54</v>
      </c>
      <c r="L743" s="7" t="s">
        <v>55</v>
      </c>
      <c r="M743" s="7">
        <v>4.0434999999999999</v>
      </c>
      <c r="N743" s="7">
        <v>9.7615829999999999</v>
      </c>
      <c r="O743" s="7" t="s">
        <v>613</v>
      </c>
      <c r="P743" s="3"/>
      <c r="Q743" s="3"/>
      <c r="R743" s="3"/>
    </row>
    <row r="744" spans="1:18" x14ac:dyDescent="0.25">
      <c r="A744" s="2">
        <v>900</v>
      </c>
      <c r="B744" s="7" t="s">
        <v>5537</v>
      </c>
      <c r="C744" s="7" t="s">
        <v>5538</v>
      </c>
      <c r="D744" s="7" t="s">
        <v>5537</v>
      </c>
      <c r="E744" s="7" t="s">
        <v>50</v>
      </c>
      <c r="F744" s="7" t="s">
        <v>5539</v>
      </c>
      <c r="G744" s="17" t="s">
        <v>7747</v>
      </c>
      <c r="H744" s="7" t="s">
        <v>28</v>
      </c>
      <c r="I744" s="7" t="s">
        <v>1403</v>
      </c>
      <c r="J744" s="7" t="s">
        <v>53</v>
      </c>
      <c r="K744" s="7" t="s">
        <v>1404</v>
      </c>
      <c r="L744" s="7" t="s">
        <v>55</v>
      </c>
      <c r="M744" s="7">
        <v>4.0382670000000003</v>
      </c>
      <c r="N744" s="7">
        <v>9.6858330000000006</v>
      </c>
      <c r="O744" s="7" t="s">
        <v>613</v>
      </c>
      <c r="P744" s="3"/>
      <c r="Q744" s="3"/>
      <c r="R744" s="3"/>
    </row>
    <row r="745" spans="1:18" x14ac:dyDescent="0.25">
      <c r="A745" s="2">
        <v>901</v>
      </c>
      <c r="B745" s="7" t="s">
        <v>5543</v>
      </c>
      <c r="C745" s="7" t="s">
        <v>5544</v>
      </c>
      <c r="D745" s="7" t="s">
        <v>5543</v>
      </c>
      <c r="E745" s="7" t="s">
        <v>50</v>
      </c>
      <c r="F745" s="7" t="s">
        <v>5317</v>
      </c>
      <c r="G745" s="17" t="s">
        <v>7747</v>
      </c>
      <c r="H745" s="7" t="s">
        <v>19</v>
      </c>
      <c r="I745" s="7" t="s">
        <v>1958</v>
      </c>
      <c r="J745" s="7" t="s">
        <v>53</v>
      </c>
      <c r="K745" s="7" t="s">
        <v>54</v>
      </c>
      <c r="L745" s="7" t="s">
        <v>55</v>
      </c>
      <c r="M745" s="7">
        <v>4.0463060000000004</v>
      </c>
      <c r="N745" s="7">
        <v>9.7304440000000003</v>
      </c>
      <c r="O745" s="7" t="s">
        <v>613</v>
      </c>
      <c r="P745" s="3"/>
      <c r="Q745" s="3"/>
      <c r="R745" s="3"/>
    </row>
    <row r="746" spans="1:18" x14ac:dyDescent="0.25">
      <c r="A746" s="2">
        <v>902</v>
      </c>
      <c r="B746" s="7" t="s">
        <v>5548</v>
      </c>
      <c r="C746" s="7" t="s">
        <v>5549</v>
      </c>
      <c r="D746" s="7" t="s">
        <v>5548</v>
      </c>
      <c r="E746" s="7" t="s">
        <v>50</v>
      </c>
      <c r="F746" s="7" t="s">
        <v>5550</v>
      </c>
      <c r="G746" s="17" t="s">
        <v>7747</v>
      </c>
      <c r="H746" s="7" t="s">
        <v>19</v>
      </c>
      <c r="I746" s="7" t="s">
        <v>1403</v>
      </c>
      <c r="J746" s="7" t="s">
        <v>53</v>
      </c>
      <c r="K746" s="7" t="s">
        <v>2213</v>
      </c>
      <c r="L746" s="7" t="s">
        <v>55</v>
      </c>
      <c r="M746" s="7">
        <v>4.023917</v>
      </c>
      <c r="N746" s="7">
        <v>9.7068060000000003</v>
      </c>
      <c r="O746" s="7" t="s">
        <v>613</v>
      </c>
      <c r="P746" s="3"/>
      <c r="Q746" s="3"/>
      <c r="R746" s="3"/>
    </row>
    <row r="747" spans="1:18" x14ac:dyDescent="0.25">
      <c r="A747" s="2">
        <v>903</v>
      </c>
      <c r="B747" s="7" t="s">
        <v>5551</v>
      </c>
      <c r="C747" s="7" t="s">
        <v>5552</v>
      </c>
      <c r="D747" s="7" t="s">
        <v>5551</v>
      </c>
      <c r="E747" s="7" t="s">
        <v>50</v>
      </c>
      <c r="F747" s="7" t="s">
        <v>5553</v>
      </c>
      <c r="G747" s="17" t="s">
        <v>7747</v>
      </c>
      <c r="H747" s="7" t="s">
        <v>28</v>
      </c>
      <c r="I747" s="7" t="s">
        <v>1478</v>
      </c>
      <c r="J747" s="7" t="s">
        <v>53</v>
      </c>
      <c r="K747" s="7" t="s">
        <v>612</v>
      </c>
      <c r="L747" s="7" t="s">
        <v>55</v>
      </c>
      <c r="M747" s="7">
        <v>4.083056</v>
      </c>
      <c r="N747" s="7">
        <v>9.7288890000000006</v>
      </c>
      <c r="O747" s="7" t="s">
        <v>23</v>
      </c>
      <c r="P747" s="3"/>
      <c r="Q747" s="3"/>
      <c r="R747" s="3"/>
    </row>
    <row r="748" spans="1:18" x14ac:dyDescent="0.25">
      <c r="A748" s="2">
        <v>904</v>
      </c>
      <c r="B748" s="7" t="s">
        <v>5560</v>
      </c>
      <c r="C748" s="7" t="s">
        <v>5561</v>
      </c>
      <c r="D748" s="7" t="s">
        <v>5560</v>
      </c>
      <c r="E748" s="7" t="s">
        <v>50</v>
      </c>
      <c r="F748" s="7" t="s">
        <v>5562</v>
      </c>
      <c r="G748" s="17" t="s">
        <v>7747</v>
      </c>
      <c r="H748" s="7" t="s">
        <v>19</v>
      </c>
      <c r="I748" s="7" t="s">
        <v>1958</v>
      </c>
      <c r="J748" s="7" t="s">
        <v>53</v>
      </c>
      <c r="K748" s="7" t="s">
        <v>1404</v>
      </c>
      <c r="L748" s="7" t="s">
        <v>55</v>
      </c>
      <c r="M748" s="7">
        <v>4.0482500000000003</v>
      </c>
      <c r="N748" s="7">
        <v>9.7045560000000002</v>
      </c>
      <c r="O748" s="7" t="s">
        <v>613</v>
      </c>
      <c r="P748" s="3"/>
      <c r="Q748" s="3"/>
      <c r="R748" s="3"/>
    </row>
    <row r="749" spans="1:18" x14ac:dyDescent="0.25">
      <c r="A749" s="2">
        <v>905</v>
      </c>
      <c r="B749" s="7" t="s">
        <v>5574</v>
      </c>
      <c r="C749" s="7" t="s">
        <v>5575</v>
      </c>
      <c r="D749" s="7" t="s">
        <v>5574</v>
      </c>
      <c r="E749" s="7" t="s">
        <v>50</v>
      </c>
      <c r="F749" s="7" t="s">
        <v>5576</v>
      </c>
      <c r="G749" s="17" t="s">
        <v>7747</v>
      </c>
      <c r="H749" s="7" t="s">
        <v>28</v>
      </c>
      <c r="I749" s="7" t="s">
        <v>1958</v>
      </c>
      <c r="J749" s="7" t="s">
        <v>53</v>
      </c>
      <c r="K749" s="7" t="s">
        <v>1404</v>
      </c>
      <c r="L749" s="7" t="s">
        <v>55</v>
      </c>
      <c r="M749" s="7">
        <v>4.0591390000000001</v>
      </c>
      <c r="N749" s="7">
        <v>9.7117780000000007</v>
      </c>
      <c r="O749" s="7" t="s">
        <v>613</v>
      </c>
      <c r="P749" s="3"/>
      <c r="Q749" s="3"/>
      <c r="R749" s="3"/>
    </row>
    <row r="750" spans="1:18" x14ac:dyDescent="0.25">
      <c r="A750" s="2">
        <v>906</v>
      </c>
      <c r="B750" s="7" t="s">
        <v>5577</v>
      </c>
      <c r="C750" s="7" t="s">
        <v>5578</v>
      </c>
      <c r="D750" s="7" t="s">
        <v>5577</v>
      </c>
      <c r="E750" s="7" t="s">
        <v>50</v>
      </c>
      <c r="F750" s="7" t="s">
        <v>5579</v>
      </c>
      <c r="G750" s="17" t="s">
        <v>7747</v>
      </c>
      <c r="H750" s="7" t="s">
        <v>19</v>
      </c>
      <c r="I750" s="7" t="s">
        <v>1403</v>
      </c>
      <c r="J750" s="7" t="s">
        <v>53</v>
      </c>
      <c r="K750" s="7" t="s">
        <v>1404</v>
      </c>
      <c r="L750" s="7" t="s">
        <v>55</v>
      </c>
      <c r="M750" s="7">
        <v>4.0201200000000004</v>
      </c>
      <c r="N750" s="7">
        <v>9.6992100000000008</v>
      </c>
      <c r="O750" s="7" t="s">
        <v>613</v>
      </c>
      <c r="P750" s="3"/>
      <c r="Q750" s="3"/>
      <c r="R750" s="3"/>
    </row>
    <row r="751" spans="1:18" x14ac:dyDescent="0.25">
      <c r="A751" s="2">
        <v>907</v>
      </c>
      <c r="B751" s="7" t="s">
        <v>5580</v>
      </c>
      <c r="C751" s="7" t="s">
        <v>5581</v>
      </c>
      <c r="D751" s="7" t="s">
        <v>5580</v>
      </c>
      <c r="E751" s="7" t="s">
        <v>50</v>
      </c>
      <c r="F751" s="7" t="s">
        <v>5582</v>
      </c>
      <c r="G751" s="17" t="s">
        <v>7747</v>
      </c>
      <c r="H751" s="7" t="s">
        <v>28</v>
      </c>
      <c r="I751" s="7" t="s">
        <v>1958</v>
      </c>
      <c r="J751" s="7" t="s">
        <v>53</v>
      </c>
      <c r="K751" s="7" t="s">
        <v>1404</v>
      </c>
      <c r="L751" s="7" t="s">
        <v>55</v>
      </c>
      <c r="M751" s="7">
        <v>4.0634100000000002</v>
      </c>
      <c r="N751" s="7">
        <v>9.7180800000000005</v>
      </c>
      <c r="O751" s="7" t="s">
        <v>613</v>
      </c>
      <c r="P751" s="3"/>
      <c r="Q751" s="3"/>
      <c r="R751" s="3"/>
    </row>
    <row r="752" spans="1:18" x14ac:dyDescent="0.25">
      <c r="A752" s="2">
        <v>908</v>
      </c>
      <c r="B752" s="7" t="s">
        <v>5583</v>
      </c>
      <c r="C752" s="7" t="s">
        <v>5584</v>
      </c>
      <c r="D752" s="7" t="s">
        <v>5583</v>
      </c>
      <c r="E752" s="7" t="s">
        <v>50</v>
      </c>
      <c r="F752" s="7" t="s">
        <v>5585</v>
      </c>
      <c r="G752" s="17" t="s">
        <v>7747</v>
      </c>
      <c r="H752" s="7" t="s">
        <v>19</v>
      </c>
      <c r="I752" s="7" t="s">
        <v>1575</v>
      </c>
      <c r="J752" s="7" t="s">
        <v>53</v>
      </c>
      <c r="K752" s="7" t="s">
        <v>54</v>
      </c>
      <c r="L752" s="7" t="s">
        <v>55</v>
      </c>
      <c r="M752" s="7">
        <v>4.0161600000000002</v>
      </c>
      <c r="N752" s="7">
        <v>9.7386499999999998</v>
      </c>
      <c r="O752" s="7" t="s">
        <v>613</v>
      </c>
      <c r="P752" s="3"/>
      <c r="Q752" s="3"/>
      <c r="R752" s="3"/>
    </row>
    <row r="753" spans="1:18" x14ac:dyDescent="0.25">
      <c r="A753" s="2">
        <v>909</v>
      </c>
      <c r="B753" s="7" t="s">
        <v>5589</v>
      </c>
      <c r="C753" s="7" t="s">
        <v>5590</v>
      </c>
      <c r="D753" s="7" t="s">
        <v>5589</v>
      </c>
      <c r="E753" s="7" t="s">
        <v>50</v>
      </c>
      <c r="F753" s="7" t="s">
        <v>5097</v>
      </c>
      <c r="G753" s="17" t="s">
        <v>7747</v>
      </c>
      <c r="H753" s="7" t="s">
        <v>28</v>
      </c>
      <c r="I753" s="7" t="s">
        <v>1403</v>
      </c>
      <c r="J753" s="7" t="s">
        <v>53</v>
      </c>
      <c r="K753" s="7" t="s">
        <v>1404</v>
      </c>
      <c r="L753" s="7" t="s">
        <v>55</v>
      </c>
      <c r="M753" s="7">
        <v>4.0401300000000004</v>
      </c>
      <c r="N753" s="7">
        <v>9.6978200000000001</v>
      </c>
      <c r="O753" s="7" t="s">
        <v>613</v>
      </c>
      <c r="P753" s="3"/>
      <c r="Q753" s="3"/>
      <c r="R753" s="3"/>
    </row>
    <row r="754" spans="1:18" x14ac:dyDescent="0.25">
      <c r="A754" s="2">
        <v>910</v>
      </c>
      <c r="B754" s="7" t="s">
        <v>5591</v>
      </c>
      <c r="C754" s="7" t="s">
        <v>5592</v>
      </c>
      <c r="D754" s="7" t="s">
        <v>5591</v>
      </c>
      <c r="E754" s="7" t="s">
        <v>50</v>
      </c>
      <c r="F754" s="7" t="s">
        <v>4365</v>
      </c>
      <c r="G754" s="17" t="s">
        <v>7747</v>
      </c>
      <c r="H754" s="7" t="s">
        <v>28</v>
      </c>
      <c r="I754" s="7" t="s">
        <v>1403</v>
      </c>
      <c r="J754" s="7" t="s">
        <v>53</v>
      </c>
      <c r="K754" s="7" t="s">
        <v>1404</v>
      </c>
      <c r="L754" s="7" t="s">
        <v>55</v>
      </c>
      <c r="M754" s="7">
        <v>4.0092319999999999</v>
      </c>
      <c r="N754" s="7">
        <v>9.6984480000000008</v>
      </c>
      <c r="O754" s="7" t="s">
        <v>613</v>
      </c>
      <c r="P754" s="3"/>
      <c r="Q754" s="3"/>
      <c r="R754" s="3"/>
    </row>
    <row r="755" spans="1:18" x14ac:dyDescent="0.25">
      <c r="A755" s="2">
        <v>911</v>
      </c>
      <c r="B755" s="7" t="s">
        <v>5593</v>
      </c>
      <c r="C755" s="7" t="s">
        <v>5594</v>
      </c>
      <c r="D755" s="7" t="s">
        <v>5593</v>
      </c>
      <c r="E755" s="7" t="s">
        <v>50</v>
      </c>
      <c r="F755" s="7" t="s">
        <v>5595</v>
      </c>
      <c r="G755" s="17" t="s">
        <v>7747</v>
      </c>
      <c r="H755" s="7" t="s">
        <v>28</v>
      </c>
      <c r="I755" s="7" t="s">
        <v>1958</v>
      </c>
      <c r="J755" s="7" t="s">
        <v>53</v>
      </c>
      <c r="K755" s="7" t="s">
        <v>1404</v>
      </c>
      <c r="L755" s="7" t="s">
        <v>55</v>
      </c>
      <c r="M755" s="7">
        <v>4.0636799999999997</v>
      </c>
      <c r="N755" s="7">
        <v>9.7070000000000007</v>
      </c>
      <c r="O755" s="7" t="s">
        <v>613</v>
      </c>
      <c r="P755" s="3"/>
      <c r="Q755" s="3"/>
      <c r="R755" s="3"/>
    </row>
    <row r="756" spans="1:18" x14ac:dyDescent="0.25">
      <c r="A756" s="2">
        <v>912</v>
      </c>
      <c r="B756" s="7" t="s">
        <v>5596</v>
      </c>
      <c r="C756" s="7" t="s">
        <v>5597</v>
      </c>
      <c r="D756" s="7" t="s">
        <v>5596</v>
      </c>
      <c r="E756" s="7" t="s">
        <v>50</v>
      </c>
      <c r="F756" s="7" t="s">
        <v>5598</v>
      </c>
      <c r="G756" s="17" t="s">
        <v>7747</v>
      </c>
      <c r="H756" s="7" t="s">
        <v>28</v>
      </c>
      <c r="I756" s="7" t="s">
        <v>1403</v>
      </c>
      <c r="J756" s="7" t="s">
        <v>53</v>
      </c>
      <c r="K756" s="7" t="s">
        <v>1404</v>
      </c>
      <c r="L756" s="7" t="s">
        <v>55</v>
      </c>
      <c r="M756" s="7">
        <v>4.050281</v>
      </c>
      <c r="N756" s="7">
        <v>9.6939060000000001</v>
      </c>
      <c r="O756" s="7" t="s">
        <v>613</v>
      </c>
      <c r="P756" s="3"/>
      <c r="Q756" s="3"/>
      <c r="R756" s="3"/>
    </row>
    <row r="757" spans="1:18" x14ac:dyDescent="0.25">
      <c r="A757" s="2">
        <v>913</v>
      </c>
      <c r="B757" s="7" t="s">
        <v>5617</v>
      </c>
      <c r="C757" s="7" t="s">
        <v>5618</v>
      </c>
      <c r="D757" s="7" t="s">
        <v>5617</v>
      </c>
      <c r="E757" s="7" t="s">
        <v>50</v>
      </c>
      <c r="F757" s="7" t="s">
        <v>5619</v>
      </c>
      <c r="G757" s="17" t="s">
        <v>7747</v>
      </c>
      <c r="H757" s="7" t="s">
        <v>28</v>
      </c>
      <c r="I757" s="7" t="s">
        <v>1403</v>
      </c>
      <c r="J757" s="7" t="s">
        <v>53</v>
      </c>
      <c r="K757" s="7" t="s">
        <v>1404</v>
      </c>
      <c r="L757" s="7" t="s">
        <v>55</v>
      </c>
      <c r="M757" s="7">
        <v>4.0382220000000002</v>
      </c>
      <c r="N757" s="7">
        <v>9.6926109999999994</v>
      </c>
      <c r="O757" s="7" t="s">
        <v>23</v>
      </c>
      <c r="P757" s="3"/>
      <c r="Q757" s="3"/>
      <c r="R757" s="3"/>
    </row>
    <row r="758" spans="1:18" x14ac:dyDescent="0.25">
      <c r="A758" s="2">
        <v>914</v>
      </c>
      <c r="B758" s="7" t="s">
        <v>5632</v>
      </c>
      <c r="C758" s="7" t="s">
        <v>5633</v>
      </c>
      <c r="D758" s="7" t="s">
        <v>5632</v>
      </c>
      <c r="E758" s="7" t="s">
        <v>50</v>
      </c>
      <c r="F758" s="7" t="s">
        <v>5634</v>
      </c>
      <c r="G758" s="17" t="s">
        <v>7747</v>
      </c>
      <c r="H758" s="7" t="s">
        <v>28</v>
      </c>
      <c r="I758" s="7" t="s">
        <v>1478</v>
      </c>
      <c r="J758" s="7" t="s">
        <v>53</v>
      </c>
      <c r="K758" s="7" t="s">
        <v>612</v>
      </c>
      <c r="L758" s="7" t="s">
        <v>55</v>
      </c>
      <c r="M758" s="7">
        <v>4.0978729999999999</v>
      </c>
      <c r="N758" s="7">
        <v>9.7487949999999994</v>
      </c>
      <c r="O758" s="7" t="s">
        <v>613</v>
      </c>
      <c r="P758" s="3"/>
      <c r="Q758" s="3"/>
      <c r="R758" s="3"/>
    </row>
    <row r="759" spans="1:18" x14ac:dyDescent="0.25">
      <c r="A759" s="2">
        <v>915</v>
      </c>
      <c r="B759" s="7" t="s">
        <v>5635</v>
      </c>
      <c r="C759" s="7" t="s">
        <v>5636</v>
      </c>
      <c r="D759" s="7" t="s">
        <v>5635</v>
      </c>
      <c r="E759" s="7" t="s">
        <v>50</v>
      </c>
      <c r="F759" s="7" t="s">
        <v>5637</v>
      </c>
      <c r="G759" s="17" t="s">
        <v>7747</v>
      </c>
      <c r="H759" s="7" t="s">
        <v>19</v>
      </c>
      <c r="I759" s="7" t="s">
        <v>1403</v>
      </c>
      <c r="J759" s="7" t="s">
        <v>53</v>
      </c>
      <c r="K759" s="7" t="s">
        <v>2213</v>
      </c>
      <c r="L759" s="7" t="s">
        <v>55</v>
      </c>
      <c r="M759" s="7">
        <v>4.0373900000000003</v>
      </c>
      <c r="N759" s="7">
        <v>9.7046899999999994</v>
      </c>
      <c r="O759" s="7" t="s">
        <v>613</v>
      </c>
      <c r="P759" s="3"/>
      <c r="Q759" s="3"/>
      <c r="R759" s="3"/>
    </row>
    <row r="760" spans="1:18" x14ac:dyDescent="0.25">
      <c r="A760" s="2">
        <v>916</v>
      </c>
      <c r="B760" s="7" t="s">
        <v>5644</v>
      </c>
      <c r="C760" s="7" t="s">
        <v>5645</v>
      </c>
      <c r="D760" s="7" t="s">
        <v>5644</v>
      </c>
      <c r="E760" s="7" t="s">
        <v>50</v>
      </c>
      <c r="F760" s="7" t="s">
        <v>5646</v>
      </c>
      <c r="G760" s="17" t="s">
        <v>7747</v>
      </c>
      <c r="H760" s="7" t="s">
        <v>19</v>
      </c>
      <c r="I760" s="7" t="s">
        <v>1403</v>
      </c>
      <c r="J760" s="7" t="s">
        <v>53</v>
      </c>
      <c r="K760" s="7" t="s">
        <v>1404</v>
      </c>
      <c r="L760" s="7" t="s">
        <v>55</v>
      </c>
      <c r="M760" s="7">
        <v>4.0462499999999997</v>
      </c>
      <c r="N760" s="7">
        <v>9.6881939999999993</v>
      </c>
      <c r="O760" s="7" t="s">
        <v>613</v>
      </c>
      <c r="P760" s="3"/>
      <c r="Q760" s="3"/>
      <c r="R760" s="3"/>
    </row>
    <row r="761" spans="1:18" x14ac:dyDescent="0.25">
      <c r="A761" s="2">
        <v>917</v>
      </c>
      <c r="B761" s="7" t="s">
        <v>5668</v>
      </c>
      <c r="C761" s="7" t="s">
        <v>5669</v>
      </c>
      <c r="D761" s="7" t="s">
        <v>5668</v>
      </c>
      <c r="E761" s="7" t="s">
        <v>50</v>
      </c>
      <c r="F761" s="7" t="s">
        <v>5670</v>
      </c>
      <c r="G761" s="17" t="s">
        <v>7747</v>
      </c>
      <c r="H761" s="7" t="s">
        <v>28</v>
      </c>
      <c r="I761" s="7" t="s">
        <v>1403</v>
      </c>
      <c r="J761" s="7" t="s">
        <v>53</v>
      </c>
      <c r="K761" s="7" t="s">
        <v>1404</v>
      </c>
      <c r="L761" s="7" t="s">
        <v>55</v>
      </c>
      <c r="M761" s="7">
        <v>4.0406589999999998</v>
      </c>
      <c r="N761" s="7">
        <v>9.6898420000000005</v>
      </c>
      <c r="O761" s="7" t="s">
        <v>613</v>
      </c>
      <c r="P761" s="3"/>
      <c r="Q761" s="3"/>
      <c r="R761" s="3"/>
    </row>
    <row r="762" spans="1:18" x14ac:dyDescent="0.25">
      <c r="A762" s="2">
        <v>918</v>
      </c>
      <c r="B762" s="7" t="s">
        <v>5674</v>
      </c>
      <c r="C762" s="7" t="s">
        <v>5675</v>
      </c>
      <c r="D762" s="7" t="s">
        <v>5674</v>
      </c>
      <c r="E762" s="7" t="s">
        <v>50</v>
      </c>
      <c r="F762" s="7" t="s">
        <v>5676</v>
      </c>
      <c r="G762" s="17" t="s">
        <v>7747</v>
      </c>
      <c r="H762" s="7" t="s">
        <v>19</v>
      </c>
      <c r="I762" s="7" t="s">
        <v>1958</v>
      </c>
      <c r="J762" s="7" t="s">
        <v>53</v>
      </c>
      <c r="K762" s="7" t="s">
        <v>612</v>
      </c>
      <c r="L762" s="7" t="s">
        <v>55</v>
      </c>
      <c r="M762" s="7">
        <v>4.0668699999999998</v>
      </c>
      <c r="N762" s="7">
        <v>9.7125540000000008</v>
      </c>
      <c r="O762" s="7" t="s">
        <v>613</v>
      </c>
      <c r="P762" s="3"/>
      <c r="Q762" s="3"/>
      <c r="R762" s="3"/>
    </row>
    <row r="763" spans="1:18" x14ac:dyDescent="0.25">
      <c r="A763" s="2">
        <v>919</v>
      </c>
      <c r="B763" s="7" t="s">
        <v>5677</v>
      </c>
      <c r="C763" s="7" t="s">
        <v>5678</v>
      </c>
      <c r="D763" s="7" t="s">
        <v>5677</v>
      </c>
      <c r="E763" s="7" t="s">
        <v>50</v>
      </c>
      <c r="F763" s="7" t="s">
        <v>4359</v>
      </c>
      <c r="G763" s="17" t="s">
        <v>7747</v>
      </c>
      <c r="H763" s="7" t="s">
        <v>19</v>
      </c>
      <c r="I763" s="7" t="s">
        <v>1575</v>
      </c>
      <c r="J763" s="7" t="s">
        <v>53</v>
      </c>
      <c r="K763" s="7" t="s">
        <v>54</v>
      </c>
      <c r="L763" s="7" t="s">
        <v>55</v>
      </c>
      <c r="M763" s="7">
        <v>4.0234199999999998</v>
      </c>
      <c r="N763" s="7">
        <v>9.7271400000000003</v>
      </c>
      <c r="O763" s="7" t="s">
        <v>613</v>
      </c>
      <c r="P763" s="3"/>
      <c r="Q763" s="3"/>
      <c r="R763" s="3"/>
    </row>
    <row r="764" spans="1:18" x14ac:dyDescent="0.25">
      <c r="A764" s="2">
        <v>920</v>
      </c>
      <c r="B764" s="7" t="s">
        <v>5679</v>
      </c>
      <c r="C764" s="7" t="s">
        <v>5680</v>
      </c>
      <c r="D764" s="7" t="s">
        <v>5679</v>
      </c>
      <c r="E764" s="7" t="s">
        <v>50</v>
      </c>
      <c r="F764" s="7" t="s">
        <v>5681</v>
      </c>
      <c r="G764" s="17" t="s">
        <v>7747</v>
      </c>
      <c r="H764" s="7" t="s">
        <v>19</v>
      </c>
      <c r="I764" s="7" t="s">
        <v>1403</v>
      </c>
      <c r="J764" s="7" t="s">
        <v>53</v>
      </c>
      <c r="K764" s="7" t="s">
        <v>1404</v>
      </c>
      <c r="L764" s="7" t="s">
        <v>55</v>
      </c>
      <c r="M764" s="7">
        <v>4.0340040000000004</v>
      </c>
      <c r="N764" s="7">
        <v>9.683897</v>
      </c>
      <c r="O764" s="7" t="s">
        <v>613</v>
      </c>
      <c r="P764" s="3"/>
      <c r="Q764" s="3"/>
      <c r="R764" s="3"/>
    </row>
    <row r="765" spans="1:18" x14ac:dyDescent="0.25">
      <c r="A765" s="2">
        <v>921</v>
      </c>
      <c r="B765" s="7" t="s">
        <v>5682</v>
      </c>
      <c r="C765" s="7" t="s">
        <v>5683</v>
      </c>
      <c r="D765" s="7" t="s">
        <v>5682</v>
      </c>
      <c r="E765" s="7" t="s">
        <v>50</v>
      </c>
      <c r="F765" s="7" t="s">
        <v>5684</v>
      </c>
      <c r="G765" s="17" t="s">
        <v>7747</v>
      </c>
      <c r="H765" s="7" t="s">
        <v>19</v>
      </c>
      <c r="I765" s="7" t="s">
        <v>1403</v>
      </c>
      <c r="J765" s="7" t="s">
        <v>53</v>
      </c>
      <c r="K765" s="7" t="s">
        <v>1404</v>
      </c>
      <c r="L765" s="7" t="s">
        <v>55</v>
      </c>
      <c r="M765" s="7">
        <v>4.0374720000000002</v>
      </c>
      <c r="N765" s="7">
        <v>9.6880559999999996</v>
      </c>
      <c r="O765" s="7" t="s">
        <v>613</v>
      </c>
      <c r="P765" s="3"/>
      <c r="Q765" s="3"/>
      <c r="R765" s="3"/>
    </row>
    <row r="766" spans="1:18" x14ac:dyDescent="0.25">
      <c r="A766" s="2">
        <v>922</v>
      </c>
      <c r="B766" s="7" t="s">
        <v>5693</v>
      </c>
      <c r="C766" s="7" t="s">
        <v>5694</v>
      </c>
      <c r="D766" s="7" t="s">
        <v>5693</v>
      </c>
      <c r="E766" s="7" t="s">
        <v>50</v>
      </c>
      <c r="F766" s="7" t="s">
        <v>5695</v>
      </c>
      <c r="G766" s="17" t="s">
        <v>7747</v>
      </c>
      <c r="H766" s="7" t="s">
        <v>19</v>
      </c>
      <c r="I766" s="7" t="s">
        <v>2024</v>
      </c>
      <c r="J766" s="7" t="s">
        <v>53</v>
      </c>
      <c r="K766" s="7" t="s">
        <v>2213</v>
      </c>
      <c r="L766" s="7" t="s">
        <v>55</v>
      </c>
      <c r="M766" s="7">
        <v>4.0393330000000001</v>
      </c>
      <c r="N766" s="7">
        <v>9.7235279999999999</v>
      </c>
      <c r="O766" s="7" t="s">
        <v>613</v>
      </c>
      <c r="P766" s="3"/>
      <c r="Q766" s="3"/>
      <c r="R766" s="3"/>
    </row>
    <row r="767" spans="1:18" x14ac:dyDescent="0.25">
      <c r="A767" s="2">
        <v>923</v>
      </c>
      <c r="B767" s="7" t="s">
        <v>5710</v>
      </c>
      <c r="C767" s="7" t="s">
        <v>5711</v>
      </c>
      <c r="D767" s="7" t="s">
        <v>5710</v>
      </c>
      <c r="E767" s="7" t="s">
        <v>50</v>
      </c>
      <c r="F767" s="7" t="s">
        <v>5712</v>
      </c>
      <c r="G767" s="17" t="s">
        <v>7747</v>
      </c>
      <c r="H767" s="7" t="s">
        <v>28</v>
      </c>
      <c r="I767" s="7" t="s">
        <v>1329</v>
      </c>
      <c r="J767" s="7" t="s">
        <v>53</v>
      </c>
      <c r="K767" s="7" t="s">
        <v>54</v>
      </c>
      <c r="L767" s="7" t="s">
        <v>55</v>
      </c>
      <c r="M767" s="7">
        <v>4.0325280000000001</v>
      </c>
      <c r="N767" s="7">
        <v>9.7599169999999997</v>
      </c>
      <c r="O767" s="7" t="s">
        <v>613</v>
      </c>
      <c r="P767" s="3"/>
      <c r="Q767" s="3"/>
      <c r="R767" s="3"/>
    </row>
    <row r="768" spans="1:18" x14ac:dyDescent="0.25">
      <c r="A768" s="2">
        <v>924</v>
      </c>
      <c r="B768" s="7" t="s">
        <v>5716</v>
      </c>
      <c r="C768" s="7" t="s">
        <v>5717</v>
      </c>
      <c r="D768" s="7" t="s">
        <v>5716</v>
      </c>
      <c r="E768" s="7" t="s">
        <v>50</v>
      </c>
      <c r="F768" s="7" t="s">
        <v>3610</v>
      </c>
      <c r="G768" s="17" t="s">
        <v>7747</v>
      </c>
      <c r="H768" s="7" t="s">
        <v>19</v>
      </c>
      <c r="I768" s="7" t="s">
        <v>1329</v>
      </c>
      <c r="J768" s="7" t="s">
        <v>53</v>
      </c>
      <c r="K768" s="7" t="s">
        <v>54</v>
      </c>
      <c r="L768" s="7" t="s">
        <v>55</v>
      </c>
      <c r="M768" s="7">
        <v>4.0349719999999998</v>
      </c>
      <c r="N768" s="7">
        <v>9.7806940000000004</v>
      </c>
      <c r="O768" s="7" t="s">
        <v>613</v>
      </c>
      <c r="P768" s="3"/>
      <c r="Q768" s="3"/>
      <c r="R768" s="3"/>
    </row>
    <row r="769" spans="1:18" x14ac:dyDescent="0.25">
      <c r="A769" s="2">
        <v>925</v>
      </c>
      <c r="B769" s="7" t="s">
        <v>5748</v>
      </c>
      <c r="C769" s="7" t="s">
        <v>5749</v>
      </c>
      <c r="D769" s="7" t="s">
        <v>5748</v>
      </c>
      <c r="E769" s="7" t="s">
        <v>50</v>
      </c>
      <c r="F769" s="7" t="s">
        <v>5750</v>
      </c>
      <c r="G769" s="17" t="s">
        <v>7747</v>
      </c>
      <c r="H769" s="7" t="s">
        <v>28</v>
      </c>
      <c r="I769" s="7" t="s">
        <v>611</v>
      </c>
      <c r="J769" s="7" t="s">
        <v>53</v>
      </c>
      <c r="K769" s="7" t="s">
        <v>54</v>
      </c>
      <c r="L769" s="7" t="s">
        <v>55</v>
      </c>
      <c r="M769" s="7">
        <v>4.0431100000000004</v>
      </c>
      <c r="N769" s="7">
        <v>9.7545400000000004</v>
      </c>
      <c r="O769" s="7" t="s">
        <v>613</v>
      </c>
      <c r="P769" s="3"/>
      <c r="Q769" s="3"/>
      <c r="R769" s="3"/>
    </row>
    <row r="770" spans="1:18" x14ac:dyDescent="0.25">
      <c r="A770" s="2">
        <v>926</v>
      </c>
      <c r="B770" s="7" t="s">
        <v>5757</v>
      </c>
      <c r="C770" s="7" t="s">
        <v>5758</v>
      </c>
      <c r="D770" s="7" t="s">
        <v>5757</v>
      </c>
      <c r="E770" s="7" t="s">
        <v>50</v>
      </c>
      <c r="F770" s="7" t="s">
        <v>5759</v>
      </c>
      <c r="G770" s="17" t="s">
        <v>7747</v>
      </c>
      <c r="H770" s="7" t="s">
        <v>28</v>
      </c>
      <c r="I770" s="7" t="s">
        <v>611</v>
      </c>
      <c r="J770" s="7" t="s">
        <v>53</v>
      </c>
      <c r="K770" s="7" t="s">
        <v>612</v>
      </c>
      <c r="L770" s="7" t="s">
        <v>55</v>
      </c>
      <c r="M770" s="7">
        <v>4.0726610000000001</v>
      </c>
      <c r="N770" s="7">
        <v>9.7426809999999993</v>
      </c>
      <c r="O770" s="7" t="s">
        <v>613</v>
      </c>
      <c r="P770" s="3"/>
      <c r="Q770" s="3"/>
      <c r="R770" s="3"/>
    </row>
    <row r="771" spans="1:18" x14ac:dyDescent="0.25">
      <c r="A771" s="2">
        <v>927</v>
      </c>
      <c r="B771" s="7" t="s">
        <v>5760</v>
      </c>
      <c r="C771" s="7" t="s">
        <v>5761</v>
      </c>
      <c r="D771" s="7" t="s">
        <v>5760</v>
      </c>
      <c r="E771" s="7" t="s">
        <v>50</v>
      </c>
      <c r="F771" s="7" t="s">
        <v>5762</v>
      </c>
      <c r="G771" s="17" t="s">
        <v>7747</v>
      </c>
      <c r="H771" s="7" t="s">
        <v>28</v>
      </c>
      <c r="I771" s="7" t="s">
        <v>611</v>
      </c>
      <c r="J771" s="7" t="s">
        <v>53</v>
      </c>
      <c r="K771" s="7" t="s">
        <v>612</v>
      </c>
      <c r="L771" s="7" t="s">
        <v>55</v>
      </c>
      <c r="M771" s="7">
        <v>4.0818669999999999</v>
      </c>
      <c r="N771" s="7">
        <v>9.7568249999999992</v>
      </c>
      <c r="O771" s="7" t="s">
        <v>613</v>
      </c>
      <c r="P771" s="3"/>
      <c r="Q771" s="3"/>
      <c r="R771" s="3"/>
    </row>
    <row r="772" spans="1:18" x14ac:dyDescent="0.25">
      <c r="A772" s="2">
        <v>928</v>
      </c>
      <c r="B772" s="7" t="s">
        <v>5763</v>
      </c>
      <c r="C772" s="7" t="s">
        <v>5764</v>
      </c>
      <c r="D772" s="7" t="s">
        <v>5763</v>
      </c>
      <c r="E772" s="7" t="s">
        <v>50</v>
      </c>
      <c r="F772" s="7" t="s">
        <v>5765</v>
      </c>
      <c r="G772" s="17" t="s">
        <v>7747</v>
      </c>
      <c r="H772" s="7" t="s">
        <v>19</v>
      </c>
      <c r="I772" s="7" t="s">
        <v>1575</v>
      </c>
      <c r="J772" s="7" t="s">
        <v>53</v>
      </c>
      <c r="K772" s="7" t="s">
        <v>54</v>
      </c>
      <c r="L772" s="7" t="s">
        <v>55</v>
      </c>
      <c r="M772" s="7">
        <v>4.0136859999999999</v>
      </c>
      <c r="N772" s="7">
        <v>9.715484</v>
      </c>
      <c r="O772" s="7" t="s">
        <v>613</v>
      </c>
      <c r="P772" s="3"/>
      <c r="Q772" s="3"/>
      <c r="R772" s="3"/>
    </row>
    <row r="773" spans="1:18" x14ac:dyDescent="0.25">
      <c r="A773" s="2">
        <v>929</v>
      </c>
      <c r="B773" s="7" t="s">
        <v>5766</v>
      </c>
      <c r="C773" s="7" t="s">
        <v>5767</v>
      </c>
      <c r="D773" s="7" t="s">
        <v>5766</v>
      </c>
      <c r="E773" s="7" t="s">
        <v>50</v>
      </c>
      <c r="F773" s="7" t="s">
        <v>5768</v>
      </c>
      <c r="G773" s="17" t="s">
        <v>7747</v>
      </c>
      <c r="H773" s="7" t="s">
        <v>28</v>
      </c>
      <c r="I773" s="7" t="s">
        <v>1403</v>
      </c>
      <c r="J773" s="7" t="s">
        <v>53</v>
      </c>
      <c r="K773" s="7" t="s">
        <v>1404</v>
      </c>
      <c r="L773" s="7" t="s">
        <v>55</v>
      </c>
      <c r="M773" s="7">
        <v>4.0353250000000003</v>
      </c>
      <c r="N773" s="7">
        <v>9.6829850000000004</v>
      </c>
      <c r="O773" s="7" t="s">
        <v>613</v>
      </c>
      <c r="P773" s="3"/>
      <c r="Q773" s="3"/>
      <c r="R773" s="3"/>
    </row>
    <row r="774" spans="1:18" x14ac:dyDescent="0.25">
      <c r="A774" s="2">
        <v>930</v>
      </c>
      <c r="B774" s="7" t="s">
        <v>5769</v>
      </c>
      <c r="C774" s="7" t="s">
        <v>5770</v>
      </c>
      <c r="D774" s="7" t="s">
        <v>5769</v>
      </c>
      <c r="E774" s="7" t="s">
        <v>50</v>
      </c>
      <c r="F774" s="7" t="s">
        <v>5771</v>
      </c>
      <c r="G774" s="17" t="s">
        <v>7747</v>
      </c>
      <c r="H774" s="7" t="s">
        <v>19</v>
      </c>
      <c r="I774" s="7" t="s">
        <v>1958</v>
      </c>
      <c r="J774" s="7" t="s">
        <v>53</v>
      </c>
      <c r="K774" s="7" t="s">
        <v>1404</v>
      </c>
      <c r="L774" s="7" t="s">
        <v>55</v>
      </c>
      <c r="M774" s="7">
        <v>4.0524440000000004</v>
      </c>
      <c r="N774" s="7">
        <v>9.7023890000000002</v>
      </c>
      <c r="O774" s="7" t="s">
        <v>613</v>
      </c>
      <c r="P774" s="3"/>
      <c r="Q774" s="3"/>
      <c r="R774" s="3"/>
    </row>
    <row r="775" spans="1:18" x14ac:dyDescent="0.25">
      <c r="A775" s="2">
        <v>931</v>
      </c>
      <c r="B775" s="7" t="s">
        <v>5772</v>
      </c>
      <c r="C775" s="7" t="s">
        <v>5773</v>
      </c>
      <c r="D775" s="7" t="s">
        <v>5772</v>
      </c>
      <c r="E775" s="7" t="s">
        <v>50</v>
      </c>
      <c r="F775" s="7" t="s">
        <v>5774</v>
      </c>
      <c r="G775" s="17" t="s">
        <v>7747</v>
      </c>
      <c r="H775" s="7" t="s">
        <v>19</v>
      </c>
      <c r="I775" s="7" t="s">
        <v>1958</v>
      </c>
      <c r="J775" s="7" t="s">
        <v>53</v>
      </c>
      <c r="K775" s="7" t="s">
        <v>1404</v>
      </c>
      <c r="L775" s="7" t="s">
        <v>55</v>
      </c>
      <c r="M775" s="7">
        <v>4.0431939999999997</v>
      </c>
      <c r="N775" s="7">
        <v>9.7078889999999998</v>
      </c>
      <c r="O775" s="7" t="s">
        <v>613</v>
      </c>
      <c r="P775" s="3"/>
      <c r="Q775" s="3"/>
      <c r="R775" s="3"/>
    </row>
    <row r="776" spans="1:18" x14ac:dyDescent="0.25">
      <c r="A776" s="2">
        <v>932</v>
      </c>
      <c r="B776" s="7" t="s">
        <v>5775</v>
      </c>
      <c r="C776" s="7" t="s">
        <v>5776</v>
      </c>
      <c r="D776" s="7" t="s">
        <v>5775</v>
      </c>
      <c r="E776" s="7" t="s">
        <v>50</v>
      </c>
      <c r="F776" s="7" t="s">
        <v>5777</v>
      </c>
      <c r="G776" s="17" t="s">
        <v>7747</v>
      </c>
      <c r="H776" s="7" t="s">
        <v>28</v>
      </c>
      <c r="I776" s="7" t="s">
        <v>1403</v>
      </c>
      <c r="J776" s="7" t="s">
        <v>53</v>
      </c>
      <c r="K776" s="7" t="s">
        <v>1404</v>
      </c>
      <c r="L776" s="7" t="s">
        <v>55</v>
      </c>
      <c r="M776" s="7">
        <v>4.0456799999999999</v>
      </c>
      <c r="N776" s="7">
        <v>9.6867300000000007</v>
      </c>
      <c r="O776" s="7" t="s">
        <v>613</v>
      </c>
      <c r="P776" s="3"/>
      <c r="Q776" s="3"/>
      <c r="R776" s="3"/>
    </row>
    <row r="777" spans="1:18" x14ac:dyDescent="0.25">
      <c r="A777" s="2">
        <v>933</v>
      </c>
      <c r="B777" s="7" t="s">
        <v>5801</v>
      </c>
      <c r="C777" s="7" t="s">
        <v>5802</v>
      </c>
      <c r="D777" s="7" t="s">
        <v>5801</v>
      </c>
      <c r="E777" s="7" t="s">
        <v>50</v>
      </c>
      <c r="F777" s="7" t="s">
        <v>5803</v>
      </c>
      <c r="G777" s="17" t="s">
        <v>7747</v>
      </c>
      <c r="H777" s="7" t="s">
        <v>28</v>
      </c>
      <c r="I777" s="7" t="s">
        <v>1958</v>
      </c>
      <c r="J777" s="7" t="s">
        <v>53</v>
      </c>
      <c r="K777" s="7" t="s">
        <v>2213</v>
      </c>
      <c r="L777" s="7" t="s">
        <v>55</v>
      </c>
      <c r="M777" s="7">
        <v>4.0545</v>
      </c>
      <c r="N777" s="7">
        <v>9.6948889999999999</v>
      </c>
      <c r="O777" s="7" t="s">
        <v>613</v>
      </c>
      <c r="P777" s="3"/>
      <c r="Q777" s="3"/>
      <c r="R777" s="3"/>
    </row>
    <row r="778" spans="1:18" x14ac:dyDescent="0.25">
      <c r="A778" s="2">
        <v>934</v>
      </c>
      <c r="B778" s="7" t="s">
        <v>5804</v>
      </c>
      <c r="C778" s="7" t="s">
        <v>5805</v>
      </c>
      <c r="D778" s="7" t="s">
        <v>5804</v>
      </c>
      <c r="E778" s="7" t="s">
        <v>50</v>
      </c>
      <c r="F778" s="7" t="s">
        <v>5806</v>
      </c>
      <c r="G778" s="17" t="s">
        <v>7747</v>
      </c>
      <c r="H778" s="7" t="s">
        <v>28</v>
      </c>
      <c r="I778" s="7" t="s">
        <v>52</v>
      </c>
      <c r="J778" s="7" t="s">
        <v>53</v>
      </c>
      <c r="K778" s="7" t="s">
        <v>54</v>
      </c>
      <c r="L778" s="7" t="s">
        <v>55</v>
      </c>
      <c r="M778" s="7">
        <v>4.030278</v>
      </c>
      <c r="N778" s="7">
        <v>9.7674079999999996</v>
      </c>
      <c r="O778" s="7" t="s">
        <v>23</v>
      </c>
      <c r="P778" s="3"/>
      <c r="Q778" s="3"/>
      <c r="R778" s="3"/>
    </row>
    <row r="779" spans="1:18" x14ac:dyDescent="0.25">
      <c r="A779" s="2">
        <v>935</v>
      </c>
      <c r="B779" s="7" t="s">
        <v>5816</v>
      </c>
      <c r="C779" s="7" t="s">
        <v>5817</v>
      </c>
      <c r="D779" s="7" t="s">
        <v>5816</v>
      </c>
      <c r="E779" s="7" t="s">
        <v>50</v>
      </c>
      <c r="F779" s="7" t="s">
        <v>5818</v>
      </c>
      <c r="G779" s="17" t="s">
        <v>7747</v>
      </c>
      <c r="H779" s="7" t="s">
        <v>28</v>
      </c>
      <c r="I779" s="7" t="s">
        <v>1958</v>
      </c>
      <c r="J779" s="7" t="s">
        <v>53</v>
      </c>
      <c r="K779" s="7" t="s">
        <v>1404</v>
      </c>
      <c r="L779" s="7" t="s">
        <v>55</v>
      </c>
      <c r="M779" s="7">
        <v>4.0680829999999997</v>
      </c>
      <c r="N779" s="7">
        <v>9.7100000000000009</v>
      </c>
      <c r="O779" s="7" t="s">
        <v>613</v>
      </c>
      <c r="P779" s="3"/>
      <c r="Q779" s="3"/>
      <c r="R779" s="3"/>
    </row>
    <row r="780" spans="1:18" x14ac:dyDescent="0.25">
      <c r="A780" s="2">
        <v>936</v>
      </c>
      <c r="B780" s="7" t="s">
        <v>5822</v>
      </c>
      <c r="C780" s="7" t="s">
        <v>5823</v>
      </c>
      <c r="D780" s="7" t="s">
        <v>5822</v>
      </c>
      <c r="E780" s="7" t="s">
        <v>50</v>
      </c>
      <c r="F780" s="7" t="s">
        <v>5824</v>
      </c>
      <c r="G780" s="17" t="s">
        <v>7747</v>
      </c>
      <c r="H780" s="7" t="s">
        <v>28</v>
      </c>
      <c r="I780" s="7" t="s">
        <v>1958</v>
      </c>
      <c r="J780" s="7" t="s">
        <v>53</v>
      </c>
      <c r="K780" s="7" t="s">
        <v>1404</v>
      </c>
      <c r="L780" s="7" t="s">
        <v>55</v>
      </c>
      <c r="M780" s="7">
        <v>4.0473330000000001</v>
      </c>
      <c r="N780" s="7">
        <v>9.6961390000000005</v>
      </c>
      <c r="O780" s="7" t="s">
        <v>613</v>
      </c>
      <c r="P780" s="3"/>
      <c r="Q780" s="3"/>
      <c r="R780" s="3"/>
    </row>
    <row r="781" spans="1:18" x14ac:dyDescent="0.25">
      <c r="A781" s="2">
        <v>937</v>
      </c>
      <c r="B781" s="7" t="s">
        <v>5825</v>
      </c>
      <c r="C781" s="7" t="s">
        <v>5826</v>
      </c>
      <c r="D781" s="7" t="s">
        <v>5825</v>
      </c>
      <c r="E781" s="7" t="s">
        <v>50</v>
      </c>
      <c r="F781" s="7" t="s">
        <v>5827</v>
      </c>
      <c r="G781" s="17" t="s">
        <v>7747</v>
      </c>
      <c r="H781" s="7" t="s">
        <v>28</v>
      </c>
      <c r="I781" s="7" t="s">
        <v>1958</v>
      </c>
      <c r="J781" s="7" t="s">
        <v>53</v>
      </c>
      <c r="K781" s="7" t="s">
        <v>1404</v>
      </c>
      <c r="L781" s="7" t="s">
        <v>55</v>
      </c>
      <c r="M781" s="7">
        <v>4.0547709999999997</v>
      </c>
      <c r="N781" s="7">
        <v>9.7240490000000008</v>
      </c>
      <c r="O781" s="7" t="s">
        <v>613</v>
      </c>
      <c r="P781" s="3"/>
      <c r="Q781" s="3"/>
      <c r="R781" s="3"/>
    </row>
    <row r="782" spans="1:18" x14ac:dyDescent="0.25">
      <c r="A782" s="2">
        <v>938</v>
      </c>
      <c r="B782" s="7" t="s">
        <v>5833</v>
      </c>
      <c r="C782" s="7" t="s">
        <v>5834</v>
      </c>
      <c r="D782" s="7" t="s">
        <v>5833</v>
      </c>
      <c r="E782" s="7" t="s">
        <v>50</v>
      </c>
      <c r="F782" s="7" t="s">
        <v>5835</v>
      </c>
      <c r="G782" s="17" t="s">
        <v>7747</v>
      </c>
      <c r="H782" s="7" t="s">
        <v>28</v>
      </c>
      <c r="I782" s="7" t="s">
        <v>1958</v>
      </c>
      <c r="J782" s="7" t="s">
        <v>53</v>
      </c>
      <c r="K782" s="7" t="s">
        <v>1404</v>
      </c>
      <c r="L782" s="7" t="s">
        <v>55</v>
      </c>
      <c r="M782" s="7">
        <v>4.0544500000000001</v>
      </c>
      <c r="N782" s="7">
        <v>9.6953689999999995</v>
      </c>
      <c r="O782" s="7" t="s">
        <v>613</v>
      </c>
      <c r="P782" s="3"/>
      <c r="Q782" s="3"/>
      <c r="R782" s="3"/>
    </row>
    <row r="783" spans="1:18" x14ac:dyDescent="0.25">
      <c r="A783" s="2">
        <v>939</v>
      </c>
      <c r="B783" s="7" t="s">
        <v>5836</v>
      </c>
      <c r="C783" s="7" t="s">
        <v>5837</v>
      </c>
      <c r="D783" s="7" t="s">
        <v>5836</v>
      </c>
      <c r="E783" s="7" t="s">
        <v>50</v>
      </c>
      <c r="F783" s="7" t="s">
        <v>5838</v>
      </c>
      <c r="G783" s="17" t="s">
        <v>7747</v>
      </c>
      <c r="H783" s="7" t="s">
        <v>28</v>
      </c>
      <c r="I783" s="7" t="s">
        <v>1478</v>
      </c>
      <c r="J783" s="7" t="s">
        <v>53</v>
      </c>
      <c r="K783" s="7" t="s">
        <v>612</v>
      </c>
      <c r="L783" s="7" t="s">
        <v>55</v>
      </c>
      <c r="M783" s="7">
        <v>4.0835319999999999</v>
      </c>
      <c r="N783" s="7">
        <v>9.7380650000000006</v>
      </c>
      <c r="O783" s="7" t="s">
        <v>613</v>
      </c>
      <c r="P783" s="3"/>
      <c r="Q783" s="3"/>
      <c r="R783" s="3"/>
    </row>
    <row r="784" spans="1:18" x14ac:dyDescent="0.25">
      <c r="A784" s="2">
        <v>940</v>
      </c>
      <c r="B784" s="7" t="s">
        <v>5848</v>
      </c>
      <c r="C784" s="7" t="s">
        <v>5849</v>
      </c>
      <c r="D784" s="7" t="s">
        <v>5848</v>
      </c>
      <c r="E784" s="7" t="s">
        <v>50</v>
      </c>
      <c r="F784" s="7" t="s">
        <v>5850</v>
      </c>
      <c r="G784" s="17" t="s">
        <v>7747</v>
      </c>
      <c r="H784" s="7" t="s">
        <v>28</v>
      </c>
      <c r="I784" s="7" t="s">
        <v>161</v>
      </c>
      <c r="J784" s="7" t="s">
        <v>159</v>
      </c>
      <c r="K784" s="7" t="s">
        <v>4388</v>
      </c>
      <c r="L784" s="7" t="s">
        <v>55</v>
      </c>
      <c r="M784" s="7">
        <v>3.6675620000000002</v>
      </c>
      <c r="N784" s="7">
        <v>9.6445489999999996</v>
      </c>
      <c r="O784" s="7" t="s">
        <v>23</v>
      </c>
      <c r="P784" s="3"/>
      <c r="Q784" s="3"/>
      <c r="R784" s="3"/>
    </row>
    <row r="785" spans="1:18" x14ac:dyDescent="0.25">
      <c r="A785" s="2">
        <v>941</v>
      </c>
      <c r="B785" s="7" t="s">
        <v>5942</v>
      </c>
      <c r="C785" s="7" t="s">
        <v>5943</v>
      </c>
      <c r="D785" s="7" t="s">
        <v>5942</v>
      </c>
      <c r="E785" s="7" t="s">
        <v>50</v>
      </c>
      <c r="F785" s="7" t="s">
        <v>5944</v>
      </c>
      <c r="G785" s="17" t="s">
        <v>7747</v>
      </c>
      <c r="H785" s="7" t="s">
        <v>28</v>
      </c>
      <c r="I785" s="7" t="s">
        <v>161</v>
      </c>
      <c r="J785" s="7" t="s">
        <v>159</v>
      </c>
      <c r="K785" s="7" t="s">
        <v>4388</v>
      </c>
      <c r="L785" s="7" t="s">
        <v>55</v>
      </c>
      <c r="M785" s="7">
        <v>3.8674119999999998</v>
      </c>
      <c r="N785" s="7">
        <v>9.8615270000000006</v>
      </c>
      <c r="O785" s="7" t="s">
        <v>23</v>
      </c>
      <c r="P785" s="3"/>
      <c r="Q785" s="3"/>
      <c r="R785" s="3"/>
    </row>
    <row r="786" spans="1:18" x14ac:dyDescent="0.25">
      <c r="A786" s="2">
        <v>942</v>
      </c>
      <c r="B786" s="7" t="s">
        <v>6271</v>
      </c>
      <c r="C786" s="7" t="s">
        <v>6272</v>
      </c>
      <c r="D786" s="7" t="s">
        <v>6271</v>
      </c>
      <c r="E786" s="7" t="s">
        <v>50</v>
      </c>
      <c r="F786" s="7" t="s">
        <v>6273</v>
      </c>
      <c r="G786" s="17" t="s">
        <v>7747</v>
      </c>
      <c r="H786" s="7" t="s">
        <v>28</v>
      </c>
      <c r="I786" s="7" t="s">
        <v>161</v>
      </c>
      <c r="J786" s="7" t="s">
        <v>159</v>
      </c>
      <c r="K786" s="7" t="s">
        <v>200</v>
      </c>
      <c r="L786" s="7" t="s">
        <v>55</v>
      </c>
      <c r="M786" s="7">
        <v>4.004486</v>
      </c>
      <c r="N786" s="7">
        <v>9.8810780000000005</v>
      </c>
      <c r="O786" s="7" t="s">
        <v>23</v>
      </c>
      <c r="P786" s="3"/>
      <c r="Q786" s="3"/>
      <c r="R786" s="3"/>
    </row>
    <row r="787" spans="1:18" x14ac:dyDescent="0.25">
      <c r="A787" s="2">
        <v>943</v>
      </c>
      <c r="B787" s="7" t="s">
        <v>6337</v>
      </c>
      <c r="C787" s="7" t="s">
        <v>6338</v>
      </c>
      <c r="D787" s="7" t="s">
        <v>6337</v>
      </c>
      <c r="E787" s="7" t="s">
        <v>50</v>
      </c>
      <c r="F787" s="7" t="s">
        <v>6339</v>
      </c>
      <c r="G787" s="17" t="s">
        <v>7747</v>
      </c>
      <c r="H787" s="7" t="s">
        <v>28</v>
      </c>
      <c r="I787" s="7" t="s">
        <v>1403</v>
      </c>
      <c r="J787" s="7" t="s">
        <v>53</v>
      </c>
      <c r="K787" s="7" t="s">
        <v>6340</v>
      </c>
      <c r="L787" s="7" t="s">
        <v>55</v>
      </c>
      <c r="M787" s="7">
        <v>3.865523</v>
      </c>
      <c r="N787" s="7">
        <v>9.6270399999999992</v>
      </c>
      <c r="O787" s="7" t="s">
        <v>23</v>
      </c>
      <c r="P787" s="3"/>
      <c r="Q787" s="3"/>
      <c r="R787" s="3"/>
    </row>
    <row r="788" spans="1:18" x14ac:dyDescent="0.25">
      <c r="A788" s="2">
        <v>944</v>
      </c>
      <c r="B788" s="7" t="s">
        <v>6526</v>
      </c>
      <c r="C788" s="7" t="s">
        <v>6527</v>
      </c>
      <c r="D788" s="7" t="s">
        <v>6526</v>
      </c>
      <c r="E788" s="7" t="s">
        <v>50</v>
      </c>
      <c r="F788" s="7" t="s">
        <v>6528</v>
      </c>
      <c r="G788" s="17" t="s">
        <v>7747</v>
      </c>
      <c r="H788" s="7" t="s">
        <v>28</v>
      </c>
      <c r="I788" s="7" t="s">
        <v>1516</v>
      </c>
      <c r="J788" s="7" t="s">
        <v>5331</v>
      </c>
      <c r="K788" s="7" t="s">
        <v>153</v>
      </c>
      <c r="L788" s="7" t="s">
        <v>55</v>
      </c>
      <c r="M788" s="7">
        <v>4.1524070000000002</v>
      </c>
      <c r="N788" s="7">
        <v>9.9989399999999993</v>
      </c>
      <c r="O788" s="7" t="s">
        <v>23</v>
      </c>
      <c r="P788" s="3"/>
      <c r="Q788" s="3"/>
      <c r="R788" s="3"/>
    </row>
    <row r="789" spans="1:18" x14ac:dyDescent="0.25">
      <c r="A789" s="2">
        <v>945</v>
      </c>
      <c r="B789" s="7" t="s">
        <v>6652</v>
      </c>
      <c r="C789" s="7" t="s">
        <v>6653</v>
      </c>
      <c r="D789" s="7" t="s">
        <v>6652</v>
      </c>
      <c r="E789" s="7" t="s">
        <v>50</v>
      </c>
      <c r="F789" s="7" t="s">
        <v>6654</v>
      </c>
      <c r="G789" s="17" t="s">
        <v>7747</v>
      </c>
      <c r="H789" s="7" t="s">
        <v>19</v>
      </c>
      <c r="I789" s="7" t="s">
        <v>1403</v>
      </c>
      <c r="J789" s="7" t="s">
        <v>53</v>
      </c>
      <c r="K789" s="7" t="s">
        <v>1404</v>
      </c>
      <c r="L789" s="7" t="s">
        <v>55</v>
      </c>
      <c r="M789" s="7">
        <v>4.0308999999999999</v>
      </c>
      <c r="N789" s="7">
        <v>9.6997999999999998</v>
      </c>
      <c r="O789" s="7" t="s">
        <v>23</v>
      </c>
      <c r="P789" s="3"/>
      <c r="Q789" s="3"/>
      <c r="R789" s="3"/>
    </row>
    <row r="790" spans="1:18" x14ac:dyDescent="0.25">
      <c r="A790" s="2">
        <v>946</v>
      </c>
      <c r="B790" s="7" t="s">
        <v>6658</v>
      </c>
      <c r="C790" s="7" t="s">
        <v>6659</v>
      </c>
      <c r="D790" s="7" t="s">
        <v>6658</v>
      </c>
      <c r="E790" s="7" t="s">
        <v>50</v>
      </c>
      <c r="F790" s="7" t="s">
        <v>6660</v>
      </c>
      <c r="G790" s="17" t="s">
        <v>7747</v>
      </c>
      <c r="H790" s="7" t="s">
        <v>28</v>
      </c>
      <c r="I790" s="7" t="s">
        <v>1516</v>
      </c>
      <c r="J790" s="7" t="s">
        <v>53</v>
      </c>
      <c r="K790" s="7" t="s">
        <v>54</v>
      </c>
      <c r="L790" s="7" t="s">
        <v>55</v>
      </c>
      <c r="M790" s="7">
        <v>4.049658</v>
      </c>
      <c r="N790" s="7">
        <v>9.7772520000000007</v>
      </c>
      <c r="O790" s="7" t="s">
        <v>23</v>
      </c>
      <c r="P790" s="3"/>
      <c r="Q790" s="3"/>
      <c r="R790" s="3"/>
    </row>
    <row r="791" spans="1:18" x14ac:dyDescent="0.25">
      <c r="A791" s="2">
        <v>947</v>
      </c>
      <c r="B791" s="7" t="s">
        <v>6668</v>
      </c>
      <c r="C791" s="7" t="s">
        <v>6669</v>
      </c>
      <c r="D791" s="7" t="s">
        <v>6668</v>
      </c>
      <c r="E791" s="7" t="s">
        <v>50</v>
      </c>
      <c r="F791" s="7" t="s">
        <v>6670</v>
      </c>
      <c r="G791" s="17" t="s">
        <v>7747</v>
      </c>
      <c r="H791" s="7" t="s">
        <v>19</v>
      </c>
      <c r="I791" s="7" t="s">
        <v>627</v>
      </c>
      <c r="J791" s="7" t="s">
        <v>53</v>
      </c>
      <c r="K791" s="7" t="s">
        <v>628</v>
      </c>
      <c r="L791" s="7" t="s">
        <v>55</v>
      </c>
      <c r="M791" s="7">
        <v>4.0726380000000004</v>
      </c>
      <c r="N791" s="7">
        <v>9.6862399999999997</v>
      </c>
      <c r="O791" s="7" t="s">
        <v>23</v>
      </c>
      <c r="P791" s="3"/>
      <c r="Q791" s="3"/>
      <c r="R791" s="3"/>
    </row>
    <row r="792" spans="1:18" x14ac:dyDescent="0.25">
      <c r="A792" s="2">
        <v>948</v>
      </c>
      <c r="B792" s="7" t="s">
        <v>6692</v>
      </c>
      <c r="C792" s="7" t="s">
        <v>6693</v>
      </c>
      <c r="D792" s="7" t="s">
        <v>6692</v>
      </c>
      <c r="E792" s="7" t="s">
        <v>50</v>
      </c>
      <c r="F792" s="7" t="s">
        <v>6694</v>
      </c>
      <c r="G792" s="17" t="s">
        <v>7747</v>
      </c>
      <c r="H792" s="7" t="s">
        <v>28</v>
      </c>
      <c r="I792" s="7" t="s">
        <v>1575</v>
      </c>
      <c r="J792" s="7" t="s">
        <v>53</v>
      </c>
      <c r="K792" s="7" t="s">
        <v>54</v>
      </c>
      <c r="L792" s="7" t="s">
        <v>55</v>
      </c>
      <c r="M792" s="7">
        <v>4.0047499999999996</v>
      </c>
      <c r="N792" s="7">
        <v>9.7518709999999995</v>
      </c>
      <c r="O792" s="7" t="s">
        <v>613</v>
      </c>
      <c r="P792" s="3"/>
      <c r="Q792" s="3"/>
      <c r="R792" s="3"/>
    </row>
    <row r="793" spans="1:18" x14ac:dyDescent="0.25">
      <c r="A793" s="2">
        <v>949</v>
      </c>
      <c r="B793" s="7" t="s">
        <v>6748</v>
      </c>
      <c r="C793" s="7" t="s">
        <v>6749</v>
      </c>
      <c r="D793" s="7" t="s">
        <v>6748</v>
      </c>
      <c r="E793" s="7" t="s">
        <v>50</v>
      </c>
      <c r="F793" s="7" t="s">
        <v>6750</v>
      </c>
      <c r="G793" s="17" t="s">
        <v>7747</v>
      </c>
      <c r="H793" s="7" t="s">
        <v>28</v>
      </c>
      <c r="I793" s="7" t="s">
        <v>1478</v>
      </c>
      <c r="J793" s="7" t="s">
        <v>53</v>
      </c>
      <c r="K793" s="7" t="s">
        <v>612</v>
      </c>
      <c r="L793" s="7" t="s">
        <v>55</v>
      </c>
      <c r="M793" s="7">
        <v>4.0868270000000004</v>
      </c>
      <c r="N793" s="7">
        <v>9.7337100000000003</v>
      </c>
      <c r="O793" s="7" t="s">
        <v>613</v>
      </c>
      <c r="P793" s="3"/>
      <c r="Q793" s="3"/>
      <c r="R793" s="3"/>
    </row>
    <row r="794" spans="1:18" x14ac:dyDescent="0.25">
      <c r="A794" s="2">
        <v>950</v>
      </c>
      <c r="B794" s="7" t="s">
        <v>6758</v>
      </c>
      <c r="C794" s="7" t="s">
        <v>6759</v>
      </c>
      <c r="D794" s="7" t="s">
        <v>6758</v>
      </c>
      <c r="E794" s="7" t="s">
        <v>50</v>
      </c>
      <c r="F794" s="7" t="s">
        <v>6760</v>
      </c>
      <c r="G794" s="17" t="s">
        <v>7747</v>
      </c>
      <c r="H794" s="7" t="s">
        <v>28</v>
      </c>
      <c r="I794" s="7" t="s">
        <v>52</v>
      </c>
      <c r="J794" s="7" t="s">
        <v>53</v>
      </c>
      <c r="K794" s="7" t="s">
        <v>54</v>
      </c>
      <c r="L794" s="7" t="s">
        <v>55</v>
      </c>
      <c r="M794" s="7">
        <v>3.9888330000000001</v>
      </c>
      <c r="N794" s="7">
        <v>9.7732500000000009</v>
      </c>
      <c r="O794" s="7" t="s">
        <v>613</v>
      </c>
      <c r="P794" s="3"/>
      <c r="Q794" s="3"/>
      <c r="R794" s="3"/>
    </row>
    <row r="795" spans="1:18" x14ac:dyDescent="0.25">
      <c r="A795" s="2">
        <v>951</v>
      </c>
      <c r="B795" s="7" t="s">
        <v>6801</v>
      </c>
      <c r="C795" s="7" t="s">
        <v>6802</v>
      </c>
      <c r="D795" s="7" t="s">
        <v>6801</v>
      </c>
      <c r="E795" s="7" t="s">
        <v>50</v>
      </c>
      <c r="F795" s="7" t="s">
        <v>6803</v>
      </c>
      <c r="G795" s="17" t="s">
        <v>7747</v>
      </c>
      <c r="H795" s="7" t="s">
        <v>28</v>
      </c>
      <c r="I795" s="7" t="s">
        <v>161</v>
      </c>
      <c r="J795" s="7" t="s">
        <v>159</v>
      </c>
      <c r="K795" s="7" t="s">
        <v>4388</v>
      </c>
      <c r="L795" s="7" t="s">
        <v>55</v>
      </c>
      <c r="M795" s="7">
        <v>3.5921110000000001</v>
      </c>
      <c r="N795" s="7">
        <v>9.7025559999999995</v>
      </c>
      <c r="O795" s="7" t="s">
        <v>23</v>
      </c>
      <c r="P795" s="3"/>
      <c r="Q795" s="3"/>
      <c r="R795" s="3"/>
    </row>
    <row r="796" spans="1:18" x14ac:dyDescent="0.25">
      <c r="A796" s="2">
        <v>952</v>
      </c>
      <c r="B796" s="7" t="s">
        <v>6863</v>
      </c>
      <c r="C796" s="7" t="s">
        <v>6864</v>
      </c>
      <c r="D796" s="7" t="s">
        <v>6863</v>
      </c>
      <c r="E796" s="7" t="s">
        <v>34</v>
      </c>
      <c r="F796" s="7" t="s">
        <v>6865</v>
      </c>
      <c r="G796" s="8" t="s">
        <v>18</v>
      </c>
      <c r="H796" s="7" t="s">
        <v>28</v>
      </c>
      <c r="I796" s="7" t="s">
        <v>441</v>
      </c>
      <c r="J796" s="7" t="s">
        <v>38</v>
      </c>
      <c r="K796" s="7" t="s">
        <v>442</v>
      </c>
      <c r="L796" s="7" t="s">
        <v>55</v>
      </c>
      <c r="M796" s="7">
        <v>4.1619000000000002</v>
      </c>
      <c r="N796" s="7">
        <v>9.5037690000000001</v>
      </c>
      <c r="O796" s="7" t="s">
        <v>23</v>
      </c>
      <c r="P796" s="3"/>
      <c r="Q796" s="3"/>
      <c r="R796" s="3"/>
    </row>
    <row r="797" spans="1:18" x14ac:dyDescent="0.25">
      <c r="A797" s="2">
        <v>953</v>
      </c>
      <c r="B797" s="7" t="s">
        <v>6881</v>
      </c>
      <c r="C797" s="7" t="s">
        <v>6882</v>
      </c>
      <c r="D797" s="7" t="s">
        <v>6881</v>
      </c>
      <c r="E797" s="7" t="s">
        <v>50</v>
      </c>
      <c r="F797" s="7" t="s">
        <v>6883</v>
      </c>
      <c r="G797" s="17" t="s">
        <v>7747</v>
      </c>
      <c r="H797" s="7" t="s">
        <v>28</v>
      </c>
      <c r="I797" s="7" t="s">
        <v>52</v>
      </c>
      <c r="J797" s="7" t="s">
        <v>53</v>
      </c>
      <c r="K797" s="7" t="s">
        <v>54</v>
      </c>
      <c r="L797" s="7" t="s">
        <v>55</v>
      </c>
      <c r="M797" s="7">
        <v>3.9894720000000001</v>
      </c>
      <c r="N797" s="7">
        <v>9.7596939999999996</v>
      </c>
      <c r="O797" s="7" t="s">
        <v>23</v>
      </c>
      <c r="P797" s="3"/>
      <c r="Q797" s="3"/>
      <c r="R797" s="3"/>
    </row>
    <row r="798" spans="1:18" x14ac:dyDescent="0.25">
      <c r="A798" s="2">
        <v>954</v>
      </c>
      <c r="B798" s="7" t="s">
        <v>6884</v>
      </c>
      <c r="C798" s="7" t="s">
        <v>6885</v>
      </c>
      <c r="D798" s="7" t="s">
        <v>6884</v>
      </c>
      <c r="E798" s="7" t="s">
        <v>50</v>
      </c>
      <c r="F798" s="7" t="s">
        <v>6886</v>
      </c>
      <c r="G798" s="17" t="s">
        <v>7747</v>
      </c>
      <c r="H798" s="7" t="s">
        <v>28</v>
      </c>
      <c r="I798" s="7" t="s">
        <v>1958</v>
      </c>
      <c r="J798" s="7" t="s">
        <v>53</v>
      </c>
      <c r="K798" s="7" t="s">
        <v>1404</v>
      </c>
      <c r="L798" s="7" t="s">
        <v>55</v>
      </c>
      <c r="M798" s="7">
        <v>4.0544539999999998</v>
      </c>
      <c r="N798" s="7">
        <v>9.6981210000000004</v>
      </c>
      <c r="O798" s="7" t="s">
        <v>23</v>
      </c>
      <c r="P798" s="3"/>
      <c r="Q798" s="3"/>
      <c r="R798" s="3"/>
    </row>
    <row r="799" spans="1:18" x14ac:dyDescent="0.25">
      <c r="A799" s="2">
        <v>955</v>
      </c>
      <c r="B799" s="7" t="s">
        <v>6890</v>
      </c>
      <c r="C799" s="7" t="s">
        <v>6891</v>
      </c>
      <c r="D799" s="7" t="s">
        <v>6890</v>
      </c>
      <c r="E799" s="7" t="s">
        <v>50</v>
      </c>
      <c r="F799" s="7" t="s">
        <v>6892</v>
      </c>
      <c r="G799" s="17" t="s">
        <v>7747</v>
      </c>
      <c r="H799" s="7" t="s">
        <v>28</v>
      </c>
      <c r="I799" s="7" t="s">
        <v>1403</v>
      </c>
      <c r="J799" s="7" t="s">
        <v>53</v>
      </c>
      <c r="K799" s="7" t="s">
        <v>1404</v>
      </c>
      <c r="L799" s="7" t="s">
        <v>55</v>
      </c>
      <c r="M799" s="7">
        <v>4.0003890000000002</v>
      </c>
      <c r="N799" s="7">
        <v>9.7211110000000005</v>
      </c>
      <c r="O799" s="7" t="s">
        <v>23</v>
      </c>
      <c r="P799" s="3"/>
      <c r="Q799" s="3"/>
      <c r="R799" s="3"/>
    </row>
    <row r="800" spans="1:18" x14ac:dyDescent="0.25">
      <c r="A800" s="2">
        <v>956</v>
      </c>
      <c r="B800" s="7" t="s">
        <v>6896</v>
      </c>
      <c r="C800" s="7" t="s">
        <v>6897</v>
      </c>
      <c r="D800" s="7" t="s">
        <v>6896</v>
      </c>
      <c r="E800" s="7" t="s">
        <v>50</v>
      </c>
      <c r="F800" s="7" t="s">
        <v>6898</v>
      </c>
      <c r="G800" s="17" t="s">
        <v>7747</v>
      </c>
      <c r="H800" s="7" t="s">
        <v>28</v>
      </c>
      <c r="I800" s="7" t="s">
        <v>1403</v>
      </c>
      <c r="J800" s="7" t="s">
        <v>53</v>
      </c>
      <c r="K800" s="7" t="s">
        <v>1404</v>
      </c>
      <c r="L800" s="7" t="s">
        <v>55</v>
      </c>
      <c r="M800" s="7">
        <v>4.0283720000000001</v>
      </c>
      <c r="N800" s="7">
        <v>9.6973500000000001</v>
      </c>
      <c r="O800" s="7" t="s">
        <v>613</v>
      </c>
      <c r="P800" s="3"/>
      <c r="Q800" s="3"/>
      <c r="R800" s="3"/>
    </row>
    <row r="801" spans="1:18" x14ac:dyDescent="0.25">
      <c r="A801" s="2">
        <v>957</v>
      </c>
      <c r="B801" s="7" t="s">
        <v>6906</v>
      </c>
      <c r="C801" s="7" t="s">
        <v>6907</v>
      </c>
      <c r="D801" s="7" t="s">
        <v>6906</v>
      </c>
      <c r="E801" s="7" t="s">
        <v>50</v>
      </c>
      <c r="F801" s="7" t="s">
        <v>6908</v>
      </c>
      <c r="G801" s="17" t="s">
        <v>7747</v>
      </c>
      <c r="H801" s="7" t="s">
        <v>28</v>
      </c>
      <c r="I801" s="7" t="s">
        <v>960</v>
      </c>
      <c r="J801" s="7" t="s">
        <v>53</v>
      </c>
      <c r="K801" s="7" t="s">
        <v>628</v>
      </c>
      <c r="L801" s="7" t="s">
        <v>55</v>
      </c>
      <c r="M801" s="7">
        <v>4.112158</v>
      </c>
      <c r="N801" s="7">
        <v>9.6340470000000007</v>
      </c>
      <c r="O801" s="7" t="s">
        <v>23</v>
      </c>
      <c r="P801" s="3"/>
      <c r="Q801" s="3"/>
      <c r="R801" s="3"/>
    </row>
    <row r="802" spans="1:18" x14ac:dyDescent="0.25">
      <c r="A802" s="2">
        <v>958</v>
      </c>
      <c r="B802" s="7" t="s">
        <v>6909</v>
      </c>
      <c r="C802" s="7" t="s">
        <v>6910</v>
      </c>
      <c r="D802" s="7" t="s">
        <v>6909</v>
      </c>
      <c r="E802" s="7" t="s">
        <v>50</v>
      </c>
      <c r="F802" s="7" t="s">
        <v>6911</v>
      </c>
      <c r="G802" s="17" t="s">
        <v>7747</v>
      </c>
      <c r="H802" s="7" t="s">
        <v>28</v>
      </c>
      <c r="I802" s="7" t="s">
        <v>960</v>
      </c>
      <c r="J802" s="7" t="s">
        <v>53</v>
      </c>
      <c r="K802" s="7" t="s">
        <v>628</v>
      </c>
      <c r="L802" s="7" t="s">
        <v>55</v>
      </c>
      <c r="M802" s="7">
        <v>4.0994469999999996</v>
      </c>
      <c r="N802" s="7">
        <v>9.6102469999999993</v>
      </c>
      <c r="O802" s="7" t="s">
        <v>23</v>
      </c>
      <c r="P802" s="3"/>
      <c r="Q802" s="3"/>
      <c r="R802" s="3"/>
    </row>
    <row r="803" spans="1:18" x14ac:dyDescent="0.25">
      <c r="A803" s="2">
        <v>959</v>
      </c>
      <c r="B803" s="7" t="s">
        <v>6920</v>
      </c>
      <c r="C803" s="7" t="s">
        <v>6921</v>
      </c>
      <c r="D803" s="7" t="s">
        <v>6920</v>
      </c>
      <c r="E803" s="7" t="s">
        <v>50</v>
      </c>
      <c r="F803" s="7" t="s">
        <v>6922</v>
      </c>
      <c r="G803" s="17" t="s">
        <v>7747</v>
      </c>
      <c r="H803" s="7" t="s">
        <v>28</v>
      </c>
      <c r="I803" s="7" t="s">
        <v>1403</v>
      </c>
      <c r="J803" s="7" t="s">
        <v>53</v>
      </c>
      <c r="K803" s="7" t="s">
        <v>1404</v>
      </c>
      <c r="L803" s="7" t="s">
        <v>55</v>
      </c>
      <c r="M803" s="7">
        <v>4.0413100000000002</v>
      </c>
      <c r="N803" s="7">
        <v>9.6856559999999998</v>
      </c>
      <c r="O803" s="7" t="s">
        <v>613</v>
      </c>
      <c r="P803" s="3"/>
      <c r="Q803" s="3"/>
      <c r="R803" s="3"/>
    </row>
    <row r="804" spans="1:18" x14ac:dyDescent="0.25">
      <c r="A804" s="2">
        <v>960</v>
      </c>
      <c r="B804" s="7" t="s">
        <v>6936</v>
      </c>
      <c r="C804" s="7" t="s">
        <v>6937</v>
      </c>
      <c r="D804" s="7" t="s">
        <v>6936</v>
      </c>
      <c r="E804" s="7" t="s">
        <v>34</v>
      </c>
      <c r="F804" s="7" t="s">
        <v>6938</v>
      </c>
      <c r="G804" s="17" t="s">
        <v>7747</v>
      </c>
      <c r="H804" s="7" t="s">
        <v>28</v>
      </c>
      <c r="I804" s="7" t="s">
        <v>356</v>
      </c>
      <c r="J804" s="7" t="s">
        <v>152</v>
      </c>
      <c r="K804" s="7" t="s">
        <v>6935</v>
      </c>
      <c r="L804" s="7" t="s">
        <v>55</v>
      </c>
      <c r="M804" s="7">
        <v>4.3118249999999998</v>
      </c>
      <c r="N804" s="7">
        <v>9.5982230000000008</v>
      </c>
      <c r="O804" s="7" t="s">
        <v>23</v>
      </c>
      <c r="P804" s="3"/>
      <c r="Q804" s="3"/>
      <c r="R804" s="3"/>
    </row>
    <row r="805" spans="1:18" x14ac:dyDescent="0.25">
      <c r="A805" s="2">
        <v>961</v>
      </c>
      <c r="B805" s="7" t="s">
        <v>6943</v>
      </c>
      <c r="C805" s="7" t="s">
        <v>6944</v>
      </c>
      <c r="D805" s="7" t="s">
        <v>6943</v>
      </c>
      <c r="E805" s="7" t="s">
        <v>50</v>
      </c>
      <c r="F805" s="7" t="s">
        <v>6945</v>
      </c>
      <c r="G805" s="17" t="s">
        <v>7747</v>
      </c>
      <c r="H805" s="7" t="s">
        <v>28</v>
      </c>
      <c r="I805" s="7" t="s">
        <v>1958</v>
      </c>
      <c r="J805" s="7" t="s">
        <v>53</v>
      </c>
      <c r="K805" s="7" t="s">
        <v>2213</v>
      </c>
      <c r="L805" s="7" t="s">
        <v>55</v>
      </c>
      <c r="M805" s="7">
        <v>4.0449590000000004</v>
      </c>
      <c r="N805" s="7">
        <v>9.7136099999999992</v>
      </c>
      <c r="O805" s="7" t="s">
        <v>613</v>
      </c>
      <c r="P805" s="3"/>
      <c r="Q805" s="3"/>
      <c r="R805" s="3"/>
    </row>
    <row r="806" spans="1:18" x14ac:dyDescent="0.25">
      <c r="A806" s="2">
        <v>962</v>
      </c>
      <c r="B806" s="7" t="s">
        <v>6978</v>
      </c>
      <c r="C806" s="7" t="s">
        <v>6979</v>
      </c>
      <c r="D806" s="7" t="s">
        <v>6978</v>
      </c>
      <c r="E806" s="7" t="s">
        <v>50</v>
      </c>
      <c r="F806" s="7" t="s">
        <v>6980</v>
      </c>
      <c r="G806" s="17" t="s">
        <v>7747</v>
      </c>
      <c r="H806" s="7" t="s">
        <v>28</v>
      </c>
      <c r="I806" s="7" t="s">
        <v>1516</v>
      </c>
      <c r="J806" s="7" t="s">
        <v>53</v>
      </c>
      <c r="K806" s="7" t="s">
        <v>54</v>
      </c>
      <c r="L806" s="7" t="s">
        <v>55</v>
      </c>
      <c r="M806" s="7">
        <v>4.095135</v>
      </c>
      <c r="N806" s="7">
        <v>9.7918880000000001</v>
      </c>
      <c r="O806" s="7" t="s">
        <v>23</v>
      </c>
      <c r="P806" s="3"/>
      <c r="Q806" s="3"/>
      <c r="R806" s="3"/>
    </row>
    <row r="807" spans="1:18" x14ac:dyDescent="0.25">
      <c r="A807" s="2">
        <v>963</v>
      </c>
      <c r="B807" s="7" t="s">
        <v>6981</v>
      </c>
      <c r="C807" s="7" t="s">
        <v>6982</v>
      </c>
      <c r="D807" s="7" t="s">
        <v>6981</v>
      </c>
      <c r="E807" s="7" t="s">
        <v>50</v>
      </c>
      <c r="F807" s="7" t="s">
        <v>6983</v>
      </c>
      <c r="G807" s="17" t="s">
        <v>7747</v>
      </c>
      <c r="H807" s="7" t="s">
        <v>28</v>
      </c>
      <c r="I807" s="7" t="s">
        <v>960</v>
      </c>
      <c r="J807" s="7" t="s">
        <v>53</v>
      </c>
      <c r="K807" s="7" t="s">
        <v>628</v>
      </c>
      <c r="L807" s="7" t="s">
        <v>55</v>
      </c>
      <c r="M807" s="7">
        <v>4.0930999999999997</v>
      </c>
      <c r="N807" s="7">
        <v>9.6288</v>
      </c>
      <c r="O807" s="7" t="s">
        <v>23</v>
      </c>
      <c r="P807" s="3"/>
      <c r="Q807" s="3"/>
      <c r="R807" s="3"/>
    </row>
    <row r="808" spans="1:18" x14ac:dyDescent="0.25">
      <c r="A808" s="2">
        <v>964</v>
      </c>
      <c r="B808" s="7" t="s">
        <v>6984</v>
      </c>
      <c r="C808" s="7" t="s">
        <v>6985</v>
      </c>
      <c r="D808" s="7" t="s">
        <v>6984</v>
      </c>
      <c r="E808" s="7" t="s">
        <v>50</v>
      </c>
      <c r="F808" s="7" t="s">
        <v>6986</v>
      </c>
      <c r="G808" s="17" t="s">
        <v>7747</v>
      </c>
      <c r="H808" s="7" t="s">
        <v>28</v>
      </c>
      <c r="I808" s="7" t="s">
        <v>52</v>
      </c>
      <c r="J808" s="7" t="s">
        <v>53</v>
      </c>
      <c r="K808" s="7" t="s">
        <v>54</v>
      </c>
      <c r="L808" s="7" t="s">
        <v>55</v>
      </c>
      <c r="M808" s="7">
        <v>4.0104360000000003</v>
      </c>
      <c r="N808" s="7">
        <v>9.8082189999999994</v>
      </c>
      <c r="O808" s="7" t="s">
        <v>23</v>
      </c>
      <c r="P808" s="3"/>
      <c r="Q808" s="3"/>
      <c r="R808" s="3"/>
    </row>
    <row r="809" spans="1:18" x14ac:dyDescent="0.25">
      <c r="A809" s="2">
        <v>965</v>
      </c>
      <c r="B809" s="7" t="s">
        <v>6987</v>
      </c>
      <c r="C809" s="7" t="s">
        <v>6988</v>
      </c>
      <c r="D809" s="7" t="s">
        <v>6987</v>
      </c>
      <c r="E809" s="7" t="s">
        <v>50</v>
      </c>
      <c r="F809" s="7" t="s">
        <v>6989</v>
      </c>
      <c r="G809" s="17" t="s">
        <v>7747</v>
      </c>
      <c r="H809" s="7" t="s">
        <v>28</v>
      </c>
      <c r="I809" s="7" t="s">
        <v>1478</v>
      </c>
      <c r="J809" s="7" t="s">
        <v>53</v>
      </c>
      <c r="K809" s="7" t="s">
        <v>1404</v>
      </c>
      <c r="L809" s="7" t="s">
        <v>55</v>
      </c>
      <c r="M809" s="7">
        <v>4.0726380000000004</v>
      </c>
      <c r="N809" s="7">
        <v>9.7485379999999999</v>
      </c>
      <c r="O809" s="7" t="s">
        <v>613</v>
      </c>
      <c r="P809" s="3"/>
      <c r="Q809" s="3"/>
      <c r="R809" s="3"/>
    </row>
    <row r="810" spans="1:18" x14ac:dyDescent="0.25">
      <c r="A810" s="2">
        <v>966</v>
      </c>
      <c r="B810" s="7" t="s">
        <v>6990</v>
      </c>
      <c r="C810" s="7" t="s">
        <v>6991</v>
      </c>
      <c r="D810" s="7" t="s">
        <v>6990</v>
      </c>
      <c r="E810" s="7" t="s">
        <v>50</v>
      </c>
      <c r="F810" s="7" t="s">
        <v>6992</v>
      </c>
      <c r="G810" s="17" t="s">
        <v>7747</v>
      </c>
      <c r="H810" s="7" t="s">
        <v>28</v>
      </c>
      <c r="I810" s="7" t="s">
        <v>960</v>
      </c>
      <c r="J810" s="7" t="s">
        <v>53</v>
      </c>
      <c r="K810" s="7" t="s">
        <v>628</v>
      </c>
      <c r="L810" s="7" t="s">
        <v>55</v>
      </c>
      <c r="M810" s="7">
        <v>4.1082890000000001</v>
      </c>
      <c r="N810" s="7">
        <v>9.6275580000000005</v>
      </c>
      <c r="O810" s="7" t="s">
        <v>613</v>
      </c>
      <c r="P810" s="3"/>
      <c r="Q810" s="3"/>
      <c r="R810" s="3"/>
    </row>
    <row r="811" spans="1:18" x14ac:dyDescent="0.25">
      <c r="A811" s="2">
        <v>967</v>
      </c>
      <c r="B811" s="7" t="s">
        <v>6993</v>
      </c>
      <c r="C811" s="7" t="s">
        <v>6994</v>
      </c>
      <c r="D811" s="7" t="s">
        <v>6993</v>
      </c>
      <c r="E811" s="7" t="s">
        <v>50</v>
      </c>
      <c r="F811" s="7" t="s">
        <v>6995</v>
      </c>
      <c r="G811" s="17" t="s">
        <v>7747</v>
      </c>
      <c r="H811" s="7" t="s">
        <v>28</v>
      </c>
      <c r="I811" s="7" t="s">
        <v>52</v>
      </c>
      <c r="J811" s="7" t="s">
        <v>53</v>
      </c>
      <c r="K811" s="7" t="s">
        <v>54</v>
      </c>
      <c r="L811" s="7" t="s">
        <v>55</v>
      </c>
      <c r="M811" s="7">
        <v>3.9911699999999999</v>
      </c>
      <c r="N811" s="7">
        <v>9.7952279999999998</v>
      </c>
      <c r="O811" s="7" t="s">
        <v>613</v>
      </c>
      <c r="P811" s="3"/>
      <c r="Q811" s="3"/>
      <c r="R811" s="3"/>
    </row>
    <row r="812" spans="1:18" x14ac:dyDescent="0.25">
      <c r="A812" s="2">
        <v>968</v>
      </c>
      <c r="B812" s="7" t="s">
        <v>6996</v>
      </c>
      <c r="C812" s="7" t="s">
        <v>6997</v>
      </c>
      <c r="D812" s="7" t="s">
        <v>6996</v>
      </c>
      <c r="E812" s="7" t="s">
        <v>50</v>
      </c>
      <c r="F812" s="7" t="s">
        <v>6998</v>
      </c>
      <c r="G812" s="17" t="s">
        <v>7747</v>
      </c>
      <c r="H812" s="7" t="s">
        <v>28</v>
      </c>
      <c r="I812" s="7" t="s">
        <v>611</v>
      </c>
      <c r="J812" s="7" t="s">
        <v>53</v>
      </c>
      <c r="K812" s="7" t="s">
        <v>54</v>
      </c>
      <c r="L812" s="7" t="s">
        <v>55</v>
      </c>
      <c r="M812" s="7">
        <v>4.1068600000000002</v>
      </c>
      <c r="N812" s="7">
        <v>9.7528509999999997</v>
      </c>
      <c r="O812" s="7" t="s">
        <v>613</v>
      </c>
      <c r="P812" s="3"/>
      <c r="Q812" s="3"/>
      <c r="R812" s="3"/>
    </row>
    <row r="813" spans="1:18" x14ac:dyDescent="0.25">
      <c r="A813" s="2">
        <v>969</v>
      </c>
      <c r="B813" s="7" t="s">
        <v>6999</v>
      </c>
      <c r="C813" s="7" t="s">
        <v>7000</v>
      </c>
      <c r="D813" s="7" t="s">
        <v>6999</v>
      </c>
      <c r="E813" s="7" t="s">
        <v>50</v>
      </c>
      <c r="F813" s="7" t="s">
        <v>7001</v>
      </c>
      <c r="G813" s="17" t="s">
        <v>7747</v>
      </c>
      <c r="H813" s="7" t="s">
        <v>28</v>
      </c>
      <c r="I813" s="7" t="s">
        <v>960</v>
      </c>
      <c r="J813" s="7" t="s">
        <v>53</v>
      </c>
      <c r="K813" s="7" t="s">
        <v>628</v>
      </c>
      <c r="L813" s="7" t="s">
        <v>55</v>
      </c>
      <c r="M813" s="7">
        <v>4.1082700000000001</v>
      </c>
      <c r="N813" s="7">
        <v>9.6088679999999993</v>
      </c>
      <c r="O813" s="7" t="s">
        <v>613</v>
      </c>
      <c r="P813" s="3"/>
      <c r="Q813" s="3"/>
      <c r="R813" s="3"/>
    </row>
    <row r="814" spans="1:18" x14ac:dyDescent="0.25">
      <c r="A814" s="2">
        <v>970</v>
      </c>
      <c r="B814" s="7" t="s">
        <v>7002</v>
      </c>
      <c r="C814" s="7" t="s">
        <v>7003</v>
      </c>
      <c r="D814" s="7" t="s">
        <v>7002</v>
      </c>
      <c r="E814" s="7" t="s">
        <v>50</v>
      </c>
      <c r="F814" s="7" t="s">
        <v>7004</v>
      </c>
      <c r="G814" s="17" t="s">
        <v>7747</v>
      </c>
      <c r="H814" s="7" t="s">
        <v>28</v>
      </c>
      <c r="I814" s="7" t="s">
        <v>1329</v>
      </c>
      <c r="J814" s="7" t="s">
        <v>53</v>
      </c>
      <c r="K814" s="7" t="s">
        <v>612</v>
      </c>
      <c r="L814" s="7" t="s">
        <v>55</v>
      </c>
      <c r="M814" s="7">
        <v>4.0638370000000004</v>
      </c>
      <c r="N814" s="7">
        <v>9.7354470000000006</v>
      </c>
      <c r="O814" s="7" t="s">
        <v>613</v>
      </c>
      <c r="P814" s="3"/>
      <c r="Q814" s="3"/>
      <c r="R814" s="3"/>
    </row>
    <row r="815" spans="1:18" x14ac:dyDescent="0.25">
      <c r="A815" s="2">
        <v>971</v>
      </c>
      <c r="B815" s="7" t="s">
        <v>7009</v>
      </c>
      <c r="C815" s="7" t="s">
        <v>7010</v>
      </c>
      <c r="D815" s="7" t="s">
        <v>7009</v>
      </c>
      <c r="E815" s="7" t="s">
        <v>50</v>
      </c>
      <c r="F815" s="7" t="s">
        <v>7011</v>
      </c>
      <c r="G815" s="17" t="s">
        <v>7747</v>
      </c>
      <c r="H815" s="7" t="s">
        <v>28</v>
      </c>
      <c r="I815" s="7" t="s">
        <v>627</v>
      </c>
      <c r="J815" s="7" t="s">
        <v>53</v>
      </c>
      <c r="K815" s="7" t="s">
        <v>628</v>
      </c>
      <c r="L815" s="7" t="s">
        <v>55</v>
      </c>
      <c r="M815" s="7">
        <v>4.0857999999999999</v>
      </c>
      <c r="N815" s="7">
        <v>9.6753</v>
      </c>
      <c r="O815" s="7" t="s">
        <v>613</v>
      </c>
      <c r="P815" s="3"/>
      <c r="Q815" s="3"/>
      <c r="R815" s="3"/>
    </row>
    <row r="816" spans="1:18" x14ac:dyDescent="0.25">
      <c r="A816" s="2">
        <v>972</v>
      </c>
      <c r="B816" s="7" t="s">
        <v>7025</v>
      </c>
      <c r="C816" s="7" t="s">
        <v>7026</v>
      </c>
      <c r="D816" s="7" t="s">
        <v>7025</v>
      </c>
      <c r="E816" s="7" t="s">
        <v>50</v>
      </c>
      <c r="F816" s="7" t="s">
        <v>7027</v>
      </c>
      <c r="G816" s="17" t="s">
        <v>7747</v>
      </c>
      <c r="H816" s="7" t="s">
        <v>28</v>
      </c>
      <c r="I816" s="7" t="s">
        <v>627</v>
      </c>
      <c r="J816" s="7" t="s">
        <v>53</v>
      </c>
      <c r="K816" s="7" t="s">
        <v>628</v>
      </c>
      <c r="L816" s="7" t="s">
        <v>55</v>
      </c>
      <c r="M816" s="7">
        <v>4.0909979999999999</v>
      </c>
      <c r="N816" s="7">
        <v>9.6568229999999993</v>
      </c>
      <c r="O816" s="7" t="s">
        <v>613</v>
      </c>
      <c r="P816" s="3"/>
      <c r="Q816" s="3"/>
      <c r="R816" s="3"/>
    </row>
    <row r="817" spans="1:18" x14ac:dyDescent="0.25">
      <c r="A817" s="2">
        <v>973</v>
      </c>
      <c r="B817" s="7" t="s">
        <v>7031</v>
      </c>
      <c r="C817" s="7" t="s">
        <v>7032</v>
      </c>
      <c r="D817" s="7" t="s">
        <v>7031</v>
      </c>
      <c r="E817" s="7" t="s">
        <v>50</v>
      </c>
      <c r="F817" s="7" t="s">
        <v>7033</v>
      </c>
      <c r="G817" s="17" t="s">
        <v>7747</v>
      </c>
      <c r="H817" s="7" t="s">
        <v>28</v>
      </c>
      <c r="I817" s="7" t="s">
        <v>2024</v>
      </c>
      <c r="J817" s="7" t="s">
        <v>53</v>
      </c>
      <c r="K817" s="7" t="s">
        <v>2213</v>
      </c>
      <c r="L817" s="7" t="s">
        <v>55</v>
      </c>
      <c r="M817" s="7">
        <v>4.036778</v>
      </c>
      <c r="N817" s="7">
        <v>9.7058890000000009</v>
      </c>
      <c r="O817" s="7" t="s">
        <v>23</v>
      </c>
      <c r="P817" s="3"/>
      <c r="Q817" s="3"/>
      <c r="R817" s="3"/>
    </row>
    <row r="818" spans="1:18" x14ac:dyDescent="0.25">
      <c r="A818" s="2">
        <v>974</v>
      </c>
      <c r="B818" s="7" t="s">
        <v>7057</v>
      </c>
      <c r="C818" s="7" t="s">
        <v>7058</v>
      </c>
      <c r="D818" s="7" t="s">
        <v>7057</v>
      </c>
      <c r="E818" s="7" t="s">
        <v>50</v>
      </c>
      <c r="F818" s="7" t="s">
        <v>7059</v>
      </c>
      <c r="G818" s="17" t="s">
        <v>7747</v>
      </c>
      <c r="H818" s="7" t="s">
        <v>28</v>
      </c>
      <c r="I818" s="7" t="s">
        <v>52</v>
      </c>
      <c r="J818" s="7" t="s">
        <v>53</v>
      </c>
      <c r="K818" s="7" t="s">
        <v>54</v>
      </c>
      <c r="L818" s="7" t="s">
        <v>55</v>
      </c>
      <c r="M818" s="7">
        <v>3.9845000000000002</v>
      </c>
      <c r="N818" s="7">
        <v>9.8217999999999996</v>
      </c>
      <c r="O818" s="7" t="s">
        <v>23</v>
      </c>
      <c r="P818" s="3"/>
      <c r="Q818" s="3"/>
      <c r="R818" s="3"/>
    </row>
    <row r="819" spans="1:18" x14ac:dyDescent="0.25">
      <c r="A819" s="2">
        <v>975</v>
      </c>
      <c r="B819" s="7" t="s">
        <v>7065</v>
      </c>
      <c r="C819" s="7" t="s">
        <v>7066</v>
      </c>
      <c r="D819" s="7" t="s">
        <v>7065</v>
      </c>
      <c r="E819" s="7" t="s">
        <v>50</v>
      </c>
      <c r="F819" s="7" t="s">
        <v>7067</v>
      </c>
      <c r="G819" s="17" t="s">
        <v>7747</v>
      </c>
      <c r="H819" s="7" t="s">
        <v>28</v>
      </c>
      <c r="I819" s="7" t="s">
        <v>52</v>
      </c>
      <c r="J819" s="7" t="s">
        <v>53</v>
      </c>
      <c r="K819" s="7" t="s">
        <v>54</v>
      </c>
      <c r="L819" s="7" t="s">
        <v>55</v>
      </c>
      <c r="M819" s="7">
        <v>4.0225</v>
      </c>
      <c r="N819" s="7">
        <v>9.8127999999999993</v>
      </c>
      <c r="O819" s="7" t="s">
        <v>23</v>
      </c>
      <c r="P819" s="3"/>
      <c r="Q819" s="3"/>
      <c r="R819" s="3"/>
    </row>
    <row r="820" spans="1:18" x14ac:dyDescent="0.25">
      <c r="A820" s="2">
        <v>976</v>
      </c>
      <c r="B820" s="7" t="s">
        <v>7071</v>
      </c>
      <c r="C820" s="7" t="s">
        <v>7072</v>
      </c>
      <c r="D820" s="7" t="s">
        <v>7071</v>
      </c>
      <c r="E820" s="7" t="s">
        <v>34</v>
      </c>
      <c r="F820" s="7" t="s">
        <v>7073</v>
      </c>
      <c r="G820" s="17" t="s">
        <v>7747</v>
      </c>
      <c r="H820" s="7" t="s">
        <v>28</v>
      </c>
      <c r="I820" s="7" t="s">
        <v>356</v>
      </c>
      <c r="J820" s="7" t="s">
        <v>53</v>
      </c>
      <c r="K820" s="7" t="s">
        <v>1721</v>
      </c>
      <c r="L820" s="7" t="s">
        <v>55</v>
      </c>
      <c r="M820" s="7">
        <v>4.1519899999999996</v>
      </c>
      <c r="N820" s="7">
        <v>9.5601590000000005</v>
      </c>
      <c r="O820" s="7" t="s">
        <v>23</v>
      </c>
      <c r="P820" s="3"/>
      <c r="Q820" s="3"/>
      <c r="R820" s="3"/>
    </row>
    <row r="821" spans="1:18" x14ac:dyDescent="0.25">
      <c r="A821" s="2">
        <v>977</v>
      </c>
      <c r="B821" s="7" t="s">
        <v>7074</v>
      </c>
      <c r="C821" s="7" t="s">
        <v>7075</v>
      </c>
      <c r="D821" s="7" t="s">
        <v>7074</v>
      </c>
      <c r="E821" s="7" t="s">
        <v>34</v>
      </c>
      <c r="F821" s="7" t="s">
        <v>7076</v>
      </c>
      <c r="G821" s="17" t="s">
        <v>7747</v>
      </c>
      <c r="H821" s="7" t="s">
        <v>28</v>
      </c>
      <c r="I821" s="7" t="s">
        <v>356</v>
      </c>
      <c r="J821" s="7" t="s">
        <v>53</v>
      </c>
      <c r="K821" s="7" t="s">
        <v>628</v>
      </c>
      <c r="L821" s="7" t="s">
        <v>55</v>
      </c>
      <c r="M821" s="7">
        <v>4.1465560000000004</v>
      </c>
      <c r="N821" s="7">
        <v>9.5904100000000003</v>
      </c>
      <c r="O821" s="7" t="s">
        <v>23</v>
      </c>
      <c r="P821" s="3"/>
      <c r="Q821" s="3"/>
      <c r="R821" s="3"/>
    </row>
    <row r="822" spans="1:18" x14ac:dyDescent="0.25">
      <c r="A822" s="2">
        <v>978</v>
      </c>
      <c r="B822" s="7" t="s">
        <v>7097</v>
      </c>
      <c r="C822" s="7" t="s">
        <v>7098</v>
      </c>
      <c r="D822" s="7" t="s">
        <v>7097</v>
      </c>
      <c r="E822" s="7" t="s">
        <v>50</v>
      </c>
      <c r="F822" s="7" t="s">
        <v>7099</v>
      </c>
      <c r="G822" s="17" t="s">
        <v>7747</v>
      </c>
      <c r="H822" s="7" t="s">
        <v>28</v>
      </c>
      <c r="I822" s="7" t="s">
        <v>1575</v>
      </c>
      <c r="J822" s="7" t="s">
        <v>53</v>
      </c>
      <c r="K822" s="7" t="s">
        <v>54</v>
      </c>
      <c r="L822" s="7" t="s">
        <v>55</v>
      </c>
      <c r="M822" s="7">
        <v>3.9951028000000002</v>
      </c>
      <c r="N822" s="7">
        <v>9.7481667000000005</v>
      </c>
      <c r="O822" s="7" t="s">
        <v>613</v>
      </c>
      <c r="P822" s="3"/>
      <c r="Q822" s="3"/>
      <c r="R822" s="3"/>
    </row>
    <row r="823" spans="1:18" x14ac:dyDescent="0.25">
      <c r="A823" s="2">
        <v>979</v>
      </c>
      <c r="B823" s="7" t="s">
        <v>7142</v>
      </c>
      <c r="C823" s="7" t="s">
        <v>7143</v>
      </c>
      <c r="D823" s="7" t="s">
        <v>7142</v>
      </c>
      <c r="E823" s="7" t="s">
        <v>50</v>
      </c>
      <c r="F823" s="7" t="s">
        <v>7144</v>
      </c>
      <c r="G823" s="17" t="s">
        <v>7747</v>
      </c>
      <c r="H823" s="7" t="s">
        <v>28</v>
      </c>
      <c r="I823" s="7" t="s">
        <v>1958</v>
      </c>
      <c r="J823" s="7" t="s">
        <v>53</v>
      </c>
      <c r="K823" s="7" t="s">
        <v>612</v>
      </c>
      <c r="L823" s="7" t="s">
        <v>55</v>
      </c>
      <c r="M823" s="7">
        <v>4.0574640000000004</v>
      </c>
      <c r="N823" s="7">
        <v>9.7213429999999992</v>
      </c>
      <c r="O823" s="7" t="s">
        <v>613</v>
      </c>
      <c r="P823" s="3"/>
      <c r="Q823" s="3"/>
      <c r="R823" s="3"/>
    </row>
    <row r="824" spans="1:18" x14ac:dyDescent="0.25">
      <c r="A824" s="2">
        <v>980</v>
      </c>
      <c r="B824" s="7" t="s">
        <v>7148</v>
      </c>
      <c r="C824" s="7" t="s">
        <v>7149</v>
      </c>
      <c r="D824" s="7" t="s">
        <v>7148</v>
      </c>
      <c r="E824" s="7" t="s">
        <v>50</v>
      </c>
      <c r="F824" s="7" t="s">
        <v>7150</v>
      </c>
      <c r="G824" s="17" t="s">
        <v>7747</v>
      </c>
      <c r="H824" s="7" t="s">
        <v>28</v>
      </c>
      <c r="I824" s="7" t="s">
        <v>1478</v>
      </c>
      <c r="J824" s="7" t="s">
        <v>53</v>
      </c>
      <c r="K824" s="7" t="s">
        <v>612</v>
      </c>
      <c r="L824" s="7" t="s">
        <v>55</v>
      </c>
      <c r="M824" s="7">
        <v>4.0981899999999998</v>
      </c>
      <c r="N824" s="7">
        <v>9.7387200000000007</v>
      </c>
      <c r="O824" s="7" t="s">
        <v>613</v>
      </c>
      <c r="P824" s="3"/>
      <c r="Q824" s="3"/>
      <c r="R824" s="3"/>
    </row>
    <row r="825" spans="1:18" x14ac:dyDescent="0.25">
      <c r="A825" s="2">
        <v>981</v>
      </c>
      <c r="B825" s="7" t="s">
        <v>7151</v>
      </c>
      <c r="C825" s="7" t="s">
        <v>7152</v>
      </c>
      <c r="D825" s="7" t="s">
        <v>7151</v>
      </c>
      <c r="E825" s="7" t="s">
        <v>50</v>
      </c>
      <c r="F825" s="7" t="s">
        <v>7153</v>
      </c>
      <c r="G825" s="17" t="s">
        <v>7747</v>
      </c>
      <c r="H825" s="7" t="s">
        <v>28</v>
      </c>
      <c r="I825" s="7" t="s">
        <v>52</v>
      </c>
      <c r="J825" s="7" t="s">
        <v>53</v>
      </c>
      <c r="K825" s="7" t="s">
        <v>2213</v>
      </c>
      <c r="L825" s="7" t="s">
        <v>55</v>
      </c>
      <c r="M825" s="7">
        <v>3.9839180000000001</v>
      </c>
      <c r="N825" s="7">
        <v>9.7876469999999998</v>
      </c>
      <c r="O825" s="7" t="s">
        <v>23</v>
      </c>
      <c r="P825" s="3"/>
      <c r="Q825" s="3"/>
      <c r="R825" s="3"/>
    </row>
    <row r="826" spans="1:18" x14ac:dyDescent="0.25">
      <c r="A826" s="2">
        <v>982</v>
      </c>
      <c r="B826" s="7" t="s">
        <v>7158</v>
      </c>
      <c r="C826" s="7" t="s">
        <v>7159</v>
      </c>
      <c r="D826" s="7" t="s">
        <v>7158</v>
      </c>
      <c r="E826" s="7" t="s">
        <v>50</v>
      </c>
      <c r="F826" s="7" t="s">
        <v>7160</v>
      </c>
      <c r="G826" s="17" t="s">
        <v>7747</v>
      </c>
      <c r="H826" s="7" t="s">
        <v>28</v>
      </c>
      <c r="I826" s="7" t="s">
        <v>1958</v>
      </c>
      <c r="J826" s="7" t="s">
        <v>53</v>
      </c>
      <c r="K826" s="7" t="s">
        <v>1404</v>
      </c>
      <c r="L826" s="7" t="s">
        <v>55</v>
      </c>
      <c r="M826" s="7">
        <v>4.0444440000000004</v>
      </c>
      <c r="N826" s="7">
        <v>9.7004640000000002</v>
      </c>
      <c r="O826" s="7" t="s">
        <v>613</v>
      </c>
      <c r="P826" s="3"/>
      <c r="Q826" s="3"/>
      <c r="R826" s="3"/>
    </row>
    <row r="827" spans="1:18" x14ac:dyDescent="0.25">
      <c r="A827" s="2">
        <v>983</v>
      </c>
      <c r="B827" s="7" t="s">
        <v>7192</v>
      </c>
      <c r="C827" s="7" t="s">
        <v>7193</v>
      </c>
      <c r="D827" s="7" t="s">
        <v>7192</v>
      </c>
      <c r="E827" s="7" t="s">
        <v>50</v>
      </c>
      <c r="F827" s="7" t="s">
        <v>7194</v>
      </c>
      <c r="G827" s="17" t="s">
        <v>7747</v>
      </c>
      <c r="H827" s="7" t="s">
        <v>28</v>
      </c>
      <c r="I827" s="7" t="s">
        <v>627</v>
      </c>
      <c r="J827" s="7" t="s">
        <v>53</v>
      </c>
      <c r="K827" s="7" t="s">
        <v>628</v>
      </c>
      <c r="L827" s="7" t="s">
        <v>55</v>
      </c>
      <c r="M827" s="7">
        <v>4.100606</v>
      </c>
      <c r="N827" s="7">
        <v>9.6463079999999994</v>
      </c>
      <c r="O827" s="7" t="s">
        <v>23</v>
      </c>
      <c r="P827" s="3"/>
      <c r="Q827" s="3"/>
      <c r="R827" s="3"/>
    </row>
    <row r="828" spans="1:18" x14ac:dyDescent="0.25">
      <c r="A828" s="2">
        <v>984</v>
      </c>
      <c r="B828" s="7" t="s">
        <v>7273</v>
      </c>
      <c r="C828" s="7" t="s">
        <v>7274</v>
      </c>
      <c r="D828" s="7" t="s">
        <v>7273</v>
      </c>
      <c r="E828" s="7" t="s">
        <v>34</v>
      </c>
      <c r="F828" s="7" t="s">
        <v>2870</v>
      </c>
      <c r="G828" s="17" t="s">
        <v>7747</v>
      </c>
      <c r="H828" s="7" t="s">
        <v>28</v>
      </c>
      <c r="I828" s="7" t="s">
        <v>356</v>
      </c>
      <c r="J828" s="7" t="s">
        <v>152</v>
      </c>
      <c r="K828" s="7" t="s">
        <v>4661</v>
      </c>
      <c r="L828" s="7" t="s">
        <v>55</v>
      </c>
      <c r="M828" s="7">
        <v>4.199605</v>
      </c>
      <c r="N828" s="7">
        <v>9.6048749999999998</v>
      </c>
      <c r="O828" s="7" t="s">
        <v>23</v>
      </c>
      <c r="P828" s="3"/>
      <c r="Q828" s="3"/>
      <c r="R828" s="3"/>
    </row>
    <row r="829" spans="1:18" x14ac:dyDescent="0.25">
      <c r="A829" s="2">
        <v>985</v>
      </c>
      <c r="B829" s="7" t="s">
        <v>7371</v>
      </c>
      <c r="C829" s="7" t="s">
        <v>7372</v>
      </c>
      <c r="D829" s="7" t="s">
        <v>7371</v>
      </c>
      <c r="E829" s="7" t="s">
        <v>50</v>
      </c>
      <c r="F829" s="7" t="s">
        <v>7373</v>
      </c>
      <c r="G829" s="17" t="s">
        <v>7747</v>
      </c>
      <c r="H829" s="7" t="s">
        <v>28</v>
      </c>
      <c r="I829" s="7" t="s">
        <v>960</v>
      </c>
      <c r="J829" s="7" t="s">
        <v>53</v>
      </c>
      <c r="K829" s="7" t="s">
        <v>628</v>
      </c>
      <c r="L829" s="7" t="s">
        <v>55</v>
      </c>
      <c r="M829" s="7">
        <v>4.1094390000000001</v>
      </c>
      <c r="N829" s="7">
        <v>9.6563829999999999</v>
      </c>
      <c r="O829" s="7" t="s">
        <v>613</v>
      </c>
      <c r="P829" s="3"/>
      <c r="Q829" s="3"/>
      <c r="R829" s="3"/>
    </row>
    <row r="830" spans="1:18" x14ac:dyDescent="0.25">
      <c r="A830" s="2">
        <v>986</v>
      </c>
      <c r="B830" s="7" t="s">
        <v>7378</v>
      </c>
      <c r="C830" s="7" t="s">
        <v>7379</v>
      </c>
      <c r="D830" s="7" t="s">
        <v>7378</v>
      </c>
      <c r="E830" s="7" t="s">
        <v>50</v>
      </c>
      <c r="F830" s="7" t="s">
        <v>7380</v>
      </c>
      <c r="G830" s="17" t="s">
        <v>7747</v>
      </c>
      <c r="H830" s="7" t="s">
        <v>28</v>
      </c>
      <c r="I830" s="7" t="s">
        <v>611</v>
      </c>
      <c r="J830" s="7" t="s">
        <v>53</v>
      </c>
      <c r="K830" s="7" t="s">
        <v>612</v>
      </c>
      <c r="L830" s="7" t="s">
        <v>55</v>
      </c>
      <c r="M830" s="7">
        <v>4.0767110000000004</v>
      </c>
      <c r="N830" s="7">
        <v>9.7671100000000006</v>
      </c>
      <c r="O830" s="7" t="s">
        <v>613</v>
      </c>
      <c r="P830" s="3"/>
      <c r="Q830" s="3"/>
      <c r="R830" s="3"/>
    </row>
    <row r="831" spans="1:18" x14ac:dyDescent="0.25">
      <c r="A831" s="2">
        <v>987</v>
      </c>
      <c r="B831" s="7" t="s">
        <v>7386</v>
      </c>
      <c r="C831" s="7" t="s">
        <v>7387</v>
      </c>
      <c r="D831" s="7" t="s">
        <v>7386</v>
      </c>
      <c r="E831" s="7" t="s">
        <v>50</v>
      </c>
      <c r="F831" s="7" t="s">
        <v>7388</v>
      </c>
      <c r="G831" s="17" t="s">
        <v>7747</v>
      </c>
      <c r="H831" s="7" t="s">
        <v>28</v>
      </c>
      <c r="I831" s="7" t="s">
        <v>1478</v>
      </c>
      <c r="J831" s="7" t="s">
        <v>53</v>
      </c>
      <c r="K831" s="7" t="s">
        <v>612</v>
      </c>
      <c r="L831" s="7" t="s">
        <v>55</v>
      </c>
      <c r="M831" s="7">
        <v>4.0973269999999999</v>
      </c>
      <c r="N831" s="7">
        <v>9.7335098999999996</v>
      </c>
      <c r="O831" s="7" t="s">
        <v>613</v>
      </c>
      <c r="P831" s="3"/>
      <c r="Q831" s="3"/>
      <c r="R831" s="3"/>
    </row>
    <row r="832" spans="1:18" x14ac:dyDescent="0.25">
      <c r="A832" s="2">
        <v>988</v>
      </c>
      <c r="B832" s="7" t="s">
        <v>7393</v>
      </c>
      <c r="C832" s="7" t="s">
        <v>7394</v>
      </c>
      <c r="D832" s="7" t="s">
        <v>7393</v>
      </c>
      <c r="E832" s="7" t="s">
        <v>50</v>
      </c>
      <c r="F832" s="7" t="s">
        <v>7395</v>
      </c>
      <c r="G832" s="17" t="s">
        <v>7747</v>
      </c>
      <c r="H832" s="7" t="s">
        <v>28</v>
      </c>
      <c r="I832" s="7" t="s">
        <v>52</v>
      </c>
      <c r="J832" s="7" t="s">
        <v>53</v>
      </c>
      <c r="K832" s="7" t="s">
        <v>54</v>
      </c>
      <c r="L832" s="7" t="s">
        <v>55</v>
      </c>
      <c r="M832" s="7">
        <v>4.0130600000000003</v>
      </c>
      <c r="N832" s="7">
        <v>9.7976700000000001</v>
      </c>
      <c r="O832" s="7" t="s">
        <v>23</v>
      </c>
      <c r="P832" s="3"/>
      <c r="Q832" s="3"/>
      <c r="R832" s="3"/>
    </row>
    <row r="833" spans="1:18" x14ac:dyDescent="0.25">
      <c r="A833" s="2">
        <v>989</v>
      </c>
      <c r="B833" s="7" t="s">
        <v>7396</v>
      </c>
      <c r="C833" s="7" t="s">
        <v>7397</v>
      </c>
      <c r="D833" s="7" t="s">
        <v>7396</v>
      </c>
      <c r="E833" s="7" t="s">
        <v>50</v>
      </c>
      <c r="F833" s="7" t="s">
        <v>7398</v>
      </c>
      <c r="G833" s="17" t="s">
        <v>7747</v>
      </c>
      <c r="H833" s="7" t="s">
        <v>28</v>
      </c>
      <c r="I833" s="7" t="s">
        <v>1403</v>
      </c>
      <c r="J833" s="7" t="s">
        <v>53</v>
      </c>
      <c r="K833" s="7" t="s">
        <v>1404</v>
      </c>
      <c r="L833" s="7" t="s">
        <v>55</v>
      </c>
      <c r="M833" s="7">
        <v>3.9952749999999999</v>
      </c>
      <c r="N833" s="7">
        <v>9.7271289999999997</v>
      </c>
      <c r="O833" s="7" t="s">
        <v>613</v>
      </c>
      <c r="P833" s="3"/>
      <c r="Q833" s="3"/>
      <c r="R833" s="3"/>
    </row>
    <row r="834" spans="1:18" x14ac:dyDescent="0.25">
      <c r="A834" s="2">
        <v>990</v>
      </c>
      <c r="B834" s="10" t="s">
        <v>7399</v>
      </c>
      <c r="C834" s="7" t="s">
        <v>7400</v>
      </c>
      <c r="D834" s="10" t="s">
        <v>7399</v>
      </c>
      <c r="E834" s="7" t="s">
        <v>50</v>
      </c>
      <c r="F834" s="7" t="s">
        <v>7401</v>
      </c>
      <c r="G834" s="17" t="s">
        <v>7747</v>
      </c>
      <c r="H834" s="7" t="s">
        <v>28</v>
      </c>
      <c r="I834" s="7" t="s">
        <v>52</v>
      </c>
      <c r="J834" s="7" t="s">
        <v>53</v>
      </c>
      <c r="K834" s="7" t="s">
        <v>54</v>
      </c>
      <c r="L834" s="7" t="s">
        <v>55</v>
      </c>
      <c r="M834" s="7">
        <v>3.9783833</v>
      </c>
      <c r="N834" s="7">
        <v>9.7981999999999996</v>
      </c>
      <c r="O834" s="7" t="s">
        <v>23</v>
      </c>
      <c r="P834" s="3"/>
      <c r="Q834" s="3"/>
      <c r="R834" s="3"/>
    </row>
    <row r="835" spans="1:18" x14ac:dyDescent="0.25">
      <c r="A835" s="2">
        <v>991</v>
      </c>
      <c r="B835" s="7" t="s">
        <v>7405</v>
      </c>
      <c r="C835" s="7" t="s">
        <v>7406</v>
      </c>
      <c r="D835" s="7" t="s">
        <v>7405</v>
      </c>
      <c r="E835" s="7" t="s">
        <v>50</v>
      </c>
      <c r="F835" s="7" t="s">
        <v>7407</v>
      </c>
      <c r="G835" s="17" t="s">
        <v>7747</v>
      </c>
      <c r="H835" s="7" t="s">
        <v>28</v>
      </c>
      <c r="I835" s="7" t="s">
        <v>1516</v>
      </c>
      <c r="J835" s="7" t="s">
        <v>53</v>
      </c>
      <c r="K835" s="7" t="s">
        <v>7408</v>
      </c>
      <c r="L835" s="7" t="s">
        <v>55</v>
      </c>
      <c r="M835" s="7">
        <v>4.0683999999999996</v>
      </c>
      <c r="N835" s="7">
        <v>9.8115000000000006</v>
      </c>
      <c r="O835" s="7" t="s">
        <v>23</v>
      </c>
      <c r="P835" s="3"/>
      <c r="Q835" s="3"/>
      <c r="R835" s="3"/>
    </row>
    <row r="836" spans="1:18" x14ac:dyDescent="0.25">
      <c r="A836" s="2">
        <v>992</v>
      </c>
      <c r="B836" s="7" t="s">
        <v>7415</v>
      </c>
      <c r="C836" s="7" t="s">
        <v>7416</v>
      </c>
      <c r="D836" s="7" t="s">
        <v>7415</v>
      </c>
      <c r="E836" s="7" t="s">
        <v>50</v>
      </c>
      <c r="F836" s="7" t="s">
        <v>7417</v>
      </c>
      <c r="G836" s="17" t="s">
        <v>7747</v>
      </c>
      <c r="H836" s="7" t="s">
        <v>28</v>
      </c>
      <c r="I836" s="7" t="s">
        <v>627</v>
      </c>
      <c r="J836" s="7" t="s">
        <v>53</v>
      </c>
      <c r="K836" s="7" t="s">
        <v>628</v>
      </c>
      <c r="L836" s="7" t="s">
        <v>55</v>
      </c>
      <c r="M836" s="7">
        <v>4.0908620000000004</v>
      </c>
      <c r="N836" s="7">
        <v>9.6767000000000003</v>
      </c>
      <c r="O836" s="7" t="s">
        <v>613</v>
      </c>
      <c r="P836" s="3"/>
      <c r="Q836" s="3"/>
      <c r="R836" s="3"/>
    </row>
    <row r="837" spans="1:18" x14ac:dyDescent="0.25">
      <c r="A837" s="2">
        <v>993</v>
      </c>
      <c r="B837" s="7" t="s">
        <v>7418</v>
      </c>
      <c r="C837" s="7" t="s">
        <v>7419</v>
      </c>
      <c r="D837" s="7" t="s">
        <v>7418</v>
      </c>
      <c r="E837" s="7" t="s">
        <v>50</v>
      </c>
      <c r="F837" s="7" t="s">
        <v>7420</v>
      </c>
      <c r="G837" s="17" t="s">
        <v>7747</v>
      </c>
      <c r="H837" s="7" t="s">
        <v>28</v>
      </c>
      <c r="I837" s="7" t="s">
        <v>52</v>
      </c>
      <c r="J837" s="7" t="s">
        <v>53</v>
      </c>
      <c r="K837" s="7" t="s">
        <v>54</v>
      </c>
      <c r="L837" s="7" t="s">
        <v>55</v>
      </c>
      <c r="M837" s="7">
        <v>4.0405389999999999</v>
      </c>
      <c r="N837" s="7">
        <v>9.8030849999999994</v>
      </c>
      <c r="O837" s="7" t="s">
        <v>23</v>
      </c>
      <c r="P837" s="3"/>
      <c r="Q837" s="3"/>
      <c r="R837" s="3"/>
    </row>
    <row r="838" spans="1:18" x14ac:dyDescent="0.25">
      <c r="A838" s="2">
        <v>994</v>
      </c>
      <c r="B838" s="7" t="s">
        <v>7590</v>
      </c>
      <c r="C838" s="7" t="s">
        <v>7591</v>
      </c>
      <c r="D838" s="7" t="s">
        <v>7590</v>
      </c>
      <c r="E838" s="7" t="s">
        <v>50</v>
      </c>
      <c r="F838" s="7" t="s">
        <v>7592</v>
      </c>
      <c r="G838" s="17" t="s">
        <v>7747</v>
      </c>
      <c r="H838" s="7" t="s">
        <v>28</v>
      </c>
      <c r="I838" s="7" t="s">
        <v>1516</v>
      </c>
      <c r="J838" s="7" t="s">
        <v>53</v>
      </c>
      <c r="K838" s="7" t="s">
        <v>54</v>
      </c>
      <c r="L838" s="7" t="s">
        <v>55</v>
      </c>
      <c r="M838" s="7">
        <v>4.0868019999999996</v>
      </c>
      <c r="N838" s="7">
        <v>9.7746929999999992</v>
      </c>
      <c r="O838" s="7" t="s">
        <v>613</v>
      </c>
      <c r="P838" s="3"/>
      <c r="Q838" s="3"/>
      <c r="R838" s="3"/>
    </row>
    <row r="839" spans="1:18" x14ac:dyDescent="0.25">
      <c r="A839" s="2">
        <v>995</v>
      </c>
      <c r="B839" s="7" t="s">
        <v>7599</v>
      </c>
      <c r="C839" s="7" t="s">
        <v>7600</v>
      </c>
      <c r="D839" s="7" t="s">
        <v>7599</v>
      </c>
      <c r="E839" s="7" t="s">
        <v>34</v>
      </c>
      <c r="F839" s="7" t="s">
        <v>7601</v>
      </c>
      <c r="G839" s="17" t="s">
        <v>7747</v>
      </c>
      <c r="H839" s="7" t="s">
        <v>28</v>
      </c>
      <c r="I839" s="7" t="s">
        <v>356</v>
      </c>
      <c r="J839" s="7" t="s">
        <v>152</v>
      </c>
      <c r="K839" s="7" t="s">
        <v>153</v>
      </c>
      <c r="L839" s="7" t="s">
        <v>55</v>
      </c>
      <c r="M839" s="7">
        <v>4.2819520000000004</v>
      </c>
      <c r="N839" s="7">
        <v>9.7904099999999996</v>
      </c>
      <c r="O839" s="7" t="s">
        <v>23</v>
      </c>
      <c r="P839" s="3"/>
      <c r="Q839" s="3"/>
      <c r="R839" s="3"/>
    </row>
    <row r="840" spans="1:18" x14ac:dyDescent="0.25">
      <c r="A840" s="2">
        <v>996</v>
      </c>
      <c r="B840" s="7" t="s">
        <v>7605</v>
      </c>
      <c r="C840" s="7" t="s">
        <v>7606</v>
      </c>
      <c r="D840" s="7" t="s">
        <v>7605</v>
      </c>
      <c r="E840" s="7" t="s">
        <v>50</v>
      </c>
      <c r="F840" s="7" t="s">
        <v>7607</v>
      </c>
      <c r="G840" s="17" t="s">
        <v>7747</v>
      </c>
      <c r="H840" s="7" t="s">
        <v>28</v>
      </c>
      <c r="I840" s="7" t="s">
        <v>611</v>
      </c>
      <c r="J840" s="7" t="s">
        <v>53</v>
      </c>
      <c r="K840" s="7" t="s">
        <v>612</v>
      </c>
      <c r="L840" s="7" t="s">
        <v>55</v>
      </c>
      <c r="M840" s="7">
        <v>4.075628</v>
      </c>
      <c r="N840" s="7">
        <v>9.7520159999999994</v>
      </c>
      <c r="O840" s="7" t="s">
        <v>613</v>
      </c>
      <c r="P840" s="3"/>
      <c r="Q840" s="3"/>
      <c r="R840" s="3"/>
    </row>
    <row r="841" spans="1:18" x14ac:dyDescent="0.25">
      <c r="A841" s="2">
        <v>997</v>
      </c>
      <c r="B841" s="7" t="s">
        <v>7608</v>
      </c>
      <c r="C841" s="7" t="s">
        <v>7609</v>
      </c>
      <c r="D841" s="7" t="s">
        <v>7608</v>
      </c>
      <c r="E841" s="7" t="s">
        <v>50</v>
      </c>
      <c r="F841" s="7" t="s">
        <v>7610</v>
      </c>
      <c r="G841" s="17" t="s">
        <v>7747</v>
      </c>
      <c r="H841" s="7" t="s">
        <v>28</v>
      </c>
      <c r="I841" s="10" t="s">
        <v>1516</v>
      </c>
      <c r="J841" s="7" t="s">
        <v>53</v>
      </c>
      <c r="K841" s="7" t="s">
        <v>54</v>
      </c>
      <c r="L841" s="7" t="s">
        <v>55</v>
      </c>
      <c r="M841" s="7">
        <v>4.0678080000000003</v>
      </c>
      <c r="N841" s="7">
        <v>9.7987830000000002</v>
      </c>
      <c r="O841" s="7" t="s">
        <v>613</v>
      </c>
      <c r="P841" s="3"/>
      <c r="Q841" s="3"/>
      <c r="R841" s="3"/>
    </row>
    <row r="842" spans="1:18" x14ac:dyDescent="0.25">
      <c r="A842" s="2">
        <v>998</v>
      </c>
      <c r="B842" s="7" t="s">
        <v>7620</v>
      </c>
      <c r="C842" s="7" t="s">
        <v>7621</v>
      </c>
      <c r="D842" s="7" t="s">
        <v>7620</v>
      </c>
      <c r="E842" s="7" t="s">
        <v>50</v>
      </c>
      <c r="F842" s="7" t="s">
        <v>7622</v>
      </c>
      <c r="G842" s="17" t="s">
        <v>7747</v>
      </c>
      <c r="H842" s="7" t="s">
        <v>28</v>
      </c>
      <c r="I842" s="10" t="s">
        <v>52</v>
      </c>
      <c r="J842" s="7" t="s">
        <v>53</v>
      </c>
      <c r="K842" s="7" t="s">
        <v>2213</v>
      </c>
      <c r="L842" s="7" t="s">
        <v>55</v>
      </c>
      <c r="M842" s="7">
        <v>3.9979140000000002</v>
      </c>
      <c r="N842" s="7">
        <v>9.7944469999999999</v>
      </c>
      <c r="O842" s="7" t="s">
        <v>613</v>
      </c>
      <c r="P842" s="3"/>
      <c r="Q842" s="3"/>
      <c r="R842" s="3"/>
    </row>
    <row r="843" spans="1:18" x14ac:dyDescent="0.25">
      <c r="A843" s="2">
        <v>999</v>
      </c>
      <c r="B843" s="7" t="s">
        <v>7629</v>
      </c>
      <c r="C843" s="7" t="s">
        <v>7630</v>
      </c>
      <c r="D843" s="7" t="s">
        <v>7629</v>
      </c>
      <c r="E843" s="7" t="s">
        <v>50</v>
      </c>
      <c r="F843" s="7" t="s">
        <v>7631</v>
      </c>
      <c r="G843" s="17" t="s">
        <v>7747</v>
      </c>
      <c r="H843" s="7" t="s">
        <v>28</v>
      </c>
      <c r="I843" s="7" t="s">
        <v>52</v>
      </c>
      <c r="J843" s="7" t="s">
        <v>53</v>
      </c>
      <c r="K843" s="7" t="s">
        <v>2213</v>
      </c>
      <c r="L843" s="7" t="s">
        <v>55</v>
      </c>
      <c r="M843" s="7">
        <v>4.0092689999999997</v>
      </c>
      <c r="N843" s="7">
        <v>9.8178570000000001</v>
      </c>
      <c r="O843" s="7" t="s">
        <v>23</v>
      </c>
      <c r="P843" s="3"/>
      <c r="Q843" s="3"/>
      <c r="R843" s="3"/>
    </row>
    <row r="844" spans="1:18" x14ac:dyDescent="0.25">
      <c r="A844" s="2">
        <v>1000</v>
      </c>
      <c r="B844" s="7" t="s">
        <v>7632</v>
      </c>
      <c r="C844" s="7" t="s">
        <v>7633</v>
      </c>
      <c r="D844" s="7" t="s">
        <v>7632</v>
      </c>
      <c r="E844" s="7" t="s">
        <v>50</v>
      </c>
      <c r="F844" s="7" t="s">
        <v>7634</v>
      </c>
      <c r="G844" s="17" t="s">
        <v>7747</v>
      </c>
      <c r="H844" s="7" t="s">
        <v>28</v>
      </c>
      <c r="I844" s="7" t="s">
        <v>1478</v>
      </c>
      <c r="J844" s="7" t="s">
        <v>53</v>
      </c>
      <c r="K844" s="7" t="s">
        <v>612</v>
      </c>
      <c r="L844" s="7" t="s">
        <v>55</v>
      </c>
      <c r="M844" s="7">
        <v>4.1202959999999997</v>
      </c>
      <c r="N844" s="7">
        <v>9.7656880000000008</v>
      </c>
      <c r="O844" s="7" t="s">
        <v>613</v>
      </c>
      <c r="P844" s="3"/>
      <c r="Q844" s="3"/>
      <c r="R844" s="3"/>
    </row>
    <row r="845" spans="1:18" x14ac:dyDescent="0.25">
      <c r="A845" s="2">
        <v>1001</v>
      </c>
      <c r="B845" s="7" t="s">
        <v>7635</v>
      </c>
      <c r="C845" s="7" t="s">
        <v>7636</v>
      </c>
      <c r="D845" s="7" t="s">
        <v>7635</v>
      </c>
      <c r="E845" s="7" t="s">
        <v>50</v>
      </c>
      <c r="F845" s="7" t="s">
        <v>7637</v>
      </c>
      <c r="G845" s="17" t="s">
        <v>7747</v>
      </c>
      <c r="H845" s="7" t="s">
        <v>28</v>
      </c>
      <c r="I845" s="7" t="s">
        <v>627</v>
      </c>
      <c r="J845" s="7" t="s">
        <v>53</v>
      </c>
      <c r="K845" s="7" t="s">
        <v>628</v>
      </c>
      <c r="L845" s="7" t="s">
        <v>55</v>
      </c>
      <c r="M845" s="7">
        <v>4.1158190000000001</v>
      </c>
      <c r="N845" s="7">
        <v>9.6786740000000009</v>
      </c>
      <c r="O845" s="7" t="s">
        <v>23</v>
      </c>
      <c r="P845" s="3"/>
      <c r="Q845" s="3"/>
      <c r="R845" s="3"/>
    </row>
    <row r="846" spans="1:18" x14ac:dyDescent="0.25">
      <c r="A846" s="2">
        <v>1002</v>
      </c>
      <c r="B846" s="7" t="s">
        <v>7638</v>
      </c>
      <c r="C846" s="7" t="s">
        <v>7639</v>
      </c>
      <c r="D846" s="7" t="s">
        <v>7638</v>
      </c>
      <c r="E846" s="7" t="s">
        <v>50</v>
      </c>
      <c r="F846" s="7" t="s">
        <v>7640</v>
      </c>
      <c r="G846" s="17" t="s">
        <v>7747</v>
      </c>
      <c r="H846" s="7" t="s">
        <v>28</v>
      </c>
      <c r="I846" s="7" t="s">
        <v>52</v>
      </c>
      <c r="J846" s="7" t="s">
        <v>53</v>
      </c>
      <c r="K846" s="7" t="s">
        <v>2213</v>
      </c>
      <c r="L846" s="7" t="s">
        <v>55</v>
      </c>
      <c r="M846" s="7">
        <v>3.985347</v>
      </c>
      <c r="N846" s="7">
        <v>9.8337070000000004</v>
      </c>
      <c r="O846" s="7" t="s">
        <v>23</v>
      </c>
      <c r="P846" s="3"/>
      <c r="Q846" s="3"/>
      <c r="R846" s="3"/>
    </row>
    <row r="847" spans="1:18" x14ac:dyDescent="0.25">
      <c r="A847" s="2">
        <v>1003</v>
      </c>
      <c r="B847" s="7" t="s">
        <v>7672</v>
      </c>
      <c r="C847" s="7" t="s">
        <v>7673</v>
      </c>
      <c r="D847" s="7" t="s">
        <v>7672</v>
      </c>
      <c r="E847" s="7" t="s">
        <v>50</v>
      </c>
      <c r="F847" s="7" t="s">
        <v>7674</v>
      </c>
      <c r="G847" s="17" t="s">
        <v>7747</v>
      </c>
      <c r="H847" s="7" t="s">
        <v>28</v>
      </c>
      <c r="I847" s="7" t="s">
        <v>1329</v>
      </c>
      <c r="J847" s="7" t="s">
        <v>53</v>
      </c>
      <c r="K847" s="7" t="s">
        <v>54</v>
      </c>
      <c r="L847" s="7" t="s">
        <v>55</v>
      </c>
      <c r="M847" s="10">
        <v>4.0168010000000001</v>
      </c>
      <c r="N847" s="10">
        <v>9.7825159999999993</v>
      </c>
      <c r="O847" s="7" t="s">
        <v>23</v>
      </c>
      <c r="P847" s="3"/>
      <c r="Q847" s="3"/>
      <c r="R847" s="3"/>
    </row>
    <row r="848" spans="1:18" ht="30" x14ac:dyDescent="0.25">
      <c r="A848" s="2">
        <v>1004</v>
      </c>
      <c r="B848" s="7" t="s">
        <v>7688</v>
      </c>
      <c r="C848" s="7" t="s">
        <v>7689</v>
      </c>
      <c r="D848" s="7" t="s">
        <v>7688</v>
      </c>
      <c r="E848" s="7" t="s">
        <v>50</v>
      </c>
      <c r="F848" s="11" t="s">
        <v>7690</v>
      </c>
      <c r="G848" s="17" t="s">
        <v>7747</v>
      </c>
      <c r="H848" s="7" t="s">
        <v>28</v>
      </c>
      <c r="I848" s="7" t="s">
        <v>1516</v>
      </c>
      <c r="J848" s="7" t="s">
        <v>53</v>
      </c>
      <c r="K848" s="7" t="s">
        <v>54</v>
      </c>
      <c r="L848" s="7" t="s">
        <v>55</v>
      </c>
      <c r="M848" s="12">
        <v>4.0585100000000001</v>
      </c>
      <c r="N848" s="12">
        <v>9.8008100000000002</v>
      </c>
      <c r="O848" s="11" t="s">
        <v>613</v>
      </c>
      <c r="P848" s="3"/>
      <c r="Q848" s="3"/>
      <c r="R848" s="3"/>
    </row>
    <row r="849" spans="1:18" ht="30" x14ac:dyDescent="0.25">
      <c r="A849" s="2">
        <v>1005</v>
      </c>
      <c r="B849" s="7" t="s">
        <v>7691</v>
      </c>
      <c r="C849" s="7" t="s">
        <v>7692</v>
      </c>
      <c r="D849" s="7" t="s">
        <v>7691</v>
      </c>
      <c r="E849" s="7" t="s">
        <v>50</v>
      </c>
      <c r="F849" s="11" t="s">
        <v>7693</v>
      </c>
      <c r="G849" s="17" t="s">
        <v>7747</v>
      </c>
      <c r="H849" s="7" t="s">
        <v>28</v>
      </c>
      <c r="I849" s="7" t="s">
        <v>52</v>
      </c>
      <c r="J849" s="7" t="s">
        <v>53</v>
      </c>
      <c r="K849" s="7" t="s">
        <v>54</v>
      </c>
      <c r="L849" s="7" t="s">
        <v>55</v>
      </c>
      <c r="M849" s="12">
        <v>4.0038119999999999</v>
      </c>
      <c r="N849" s="12">
        <v>9.7742520000000006</v>
      </c>
      <c r="O849" s="7" t="s">
        <v>23</v>
      </c>
      <c r="P849" s="3"/>
      <c r="Q849" s="3"/>
      <c r="R849" s="3"/>
    </row>
    <row r="850" spans="1:18" ht="30" x14ac:dyDescent="0.25">
      <c r="A850" s="2">
        <v>1006</v>
      </c>
      <c r="B850" s="7" t="s">
        <v>7710</v>
      </c>
      <c r="C850" s="7" t="s">
        <v>7711</v>
      </c>
      <c r="D850" s="7" t="s">
        <v>7710</v>
      </c>
      <c r="E850" s="7" t="s">
        <v>7712</v>
      </c>
      <c r="F850" s="11" t="s">
        <v>7713</v>
      </c>
      <c r="G850" s="17" t="s">
        <v>7747</v>
      </c>
      <c r="H850" s="7" t="s">
        <v>28</v>
      </c>
      <c r="I850" s="10" t="s">
        <v>52</v>
      </c>
      <c r="J850" s="7" t="s">
        <v>53</v>
      </c>
      <c r="K850" s="7" t="s">
        <v>2213</v>
      </c>
      <c r="L850" s="7" t="s">
        <v>55</v>
      </c>
      <c r="M850" s="12">
        <v>3.9784959999999998</v>
      </c>
      <c r="N850" s="12">
        <v>9.8018059999999991</v>
      </c>
      <c r="O850" s="7" t="s">
        <v>23</v>
      </c>
      <c r="P850" s="3"/>
      <c r="Q850" s="3"/>
      <c r="R850" s="3"/>
    </row>
    <row r="851" spans="1:18" x14ac:dyDescent="0.25">
      <c r="A851" s="2">
        <v>1007</v>
      </c>
      <c r="B851" s="7" t="s">
        <v>7714</v>
      </c>
      <c r="C851" s="7" t="s">
        <v>7715</v>
      </c>
      <c r="D851" s="7" t="s">
        <v>7714</v>
      </c>
      <c r="E851" s="7" t="s">
        <v>50</v>
      </c>
      <c r="F851" s="7" t="s">
        <v>7716</v>
      </c>
      <c r="G851" s="17" t="s">
        <v>7747</v>
      </c>
      <c r="H851" s="7" t="s">
        <v>28</v>
      </c>
      <c r="I851" s="7" t="s">
        <v>627</v>
      </c>
      <c r="J851" s="7" t="s">
        <v>53</v>
      </c>
      <c r="K851" s="7" t="s">
        <v>628</v>
      </c>
      <c r="L851" s="7" t="s">
        <v>55</v>
      </c>
      <c r="M851" s="7">
        <v>4.0692608999999997</v>
      </c>
      <c r="N851" s="7">
        <v>9.6779131500000002</v>
      </c>
      <c r="O851" s="7" t="s">
        <v>23</v>
      </c>
      <c r="P851" s="3"/>
      <c r="Q851" s="3"/>
      <c r="R851" s="3"/>
    </row>
    <row r="852" spans="1:18" x14ac:dyDescent="0.25">
      <c r="A852" s="2">
        <v>1008</v>
      </c>
      <c r="B852" s="7" t="s">
        <v>7730</v>
      </c>
      <c r="C852" s="7" t="s">
        <v>7731</v>
      </c>
      <c r="D852" s="7" t="s">
        <v>7730</v>
      </c>
      <c r="E852" s="7" t="s">
        <v>34</v>
      </c>
      <c r="F852" s="7" t="s">
        <v>7732</v>
      </c>
      <c r="G852" s="17" t="s">
        <v>7747</v>
      </c>
      <c r="H852" s="7" t="s">
        <v>28</v>
      </c>
      <c r="I852" s="7" t="s">
        <v>356</v>
      </c>
      <c r="J852" s="7"/>
      <c r="K852" s="7" t="s">
        <v>55</v>
      </c>
      <c r="L852" s="7" t="s">
        <v>55</v>
      </c>
      <c r="M852" s="7">
        <v>4.1231059999999999</v>
      </c>
      <c r="N852" s="7">
        <v>9.5866480000000003</v>
      </c>
      <c r="O852" s="7" t="s">
        <v>23</v>
      </c>
      <c r="P852" s="3"/>
      <c r="Q852" s="3"/>
      <c r="R852" s="3"/>
    </row>
    <row r="853" spans="1:18" x14ac:dyDescent="0.25">
      <c r="A853" s="2">
        <v>1009</v>
      </c>
      <c r="B853" s="7" t="s">
        <v>7733</v>
      </c>
      <c r="C853" s="7" t="s">
        <v>7734</v>
      </c>
      <c r="D853" s="7" t="s">
        <v>7733</v>
      </c>
      <c r="E853" s="7" t="s">
        <v>7712</v>
      </c>
      <c r="F853" s="7" t="s">
        <v>7735</v>
      </c>
      <c r="G853" s="17" t="s">
        <v>7747</v>
      </c>
      <c r="H853" s="7" t="s">
        <v>28</v>
      </c>
      <c r="I853" s="7" t="s">
        <v>52</v>
      </c>
      <c r="J853" s="7"/>
      <c r="K853" s="7" t="s">
        <v>55</v>
      </c>
      <c r="L853" s="7" t="s">
        <v>55</v>
      </c>
      <c r="M853" s="7">
        <v>4.0487029999999997</v>
      </c>
      <c r="N853" s="7">
        <v>9.8078909999999997</v>
      </c>
      <c r="O853" s="7" t="s">
        <v>23</v>
      </c>
      <c r="P853" s="3"/>
      <c r="Q853" s="3"/>
      <c r="R853" s="3"/>
    </row>
    <row r="854" spans="1:18" x14ac:dyDescent="0.25">
      <c r="A854" s="2">
        <v>1010</v>
      </c>
      <c r="B854" s="7" t="s">
        <v>2384</v>
      </c>
      <c r="C854" s="7" t="s">
        <v>2382</v>
      </c>
      <c r="D854" s="7" t="s">
        <v>2384</v>
      </c>
      <c r="E854" s="7" t="s">
        <v>50</v>
      </c>
      <c r="F854" s="7" t="s">
        <v>7736</v>
      </c>
      <c r="G854" s="17" t="s">
        <v>7747</v>
      </c>
      <c r="H854" s="7" t="s">
        <v>28</v>
      </c>
      <c r="I854" s="7" t="s">
        <v>2024</v>
      </c>
      <c r="J854" s="7" t="s">
        <v>53</v>
      </c>
      <c r="K854" s="12" t="s">
        <v>54</v>
      </c>
      <c r="L854" s="7" t="s">
        <v>55</v>
      </c>
      <c r="M854" s="7">
        <v>4.027806</v>
      </c>
      <c r="N854" s="7">
        <v>9.7356119999999997</v>
      </c>
      <c r="O854" s="7" t="s">
        <v>613</v>
      </c>
      <c r="P854" s="3"/>
      <c r="Q854" s="3"/>
      <c r="R854" s="3"/>
    </row>
    <row r="855" spans="1:18" x14ac:dyDescent="0.25">
      <c r="A855" s="2">
        <v>1011</v>
      </c>
      <c r="B855" s="7" t="s">
        <v>519</v>
      </c>
      <c r="C855" s="7" t="s">
        <v>520</v>
      </c>
      <c r="D855" s="7" t="s">
        <v>519</v>
      </c>
      <c r="E855" s="7" t="s">
        <v>131</v>
      </c>
      <c r="F855" s="7" t="s">
        <v>521</v>
      </c>
      <c r="G855" s="8" t="s">
        <v>18</v>
      </c>
      <c r="H855" s="7" t="s">
        <v>19</v>
      </c>
      <c r="I855" s="7" t="s">
        <v>522</v>
      </c>
      <c r="J855" s="7" t="s">
        <v>246</v>
      </c>
      <c r="K855" s="7" t="s">
        <v>523</v>
      </c>
      <c r="L855" s="7" t="s">
        <v>7744</v>
      </c>
      <c r="M855" s="7">
        <v>5.4597499999999997</v>
      </c>
      <c r="N855" s="7">
        <v>9.9453055559999992</v>
      </c>
      <c r="O855" s="7" t="s">
        <v>23</v>
      </c>
      <c r="P855" s="3"/>
      <c r="Q855" s="3"/>
      <c r="R855" s="3"/>
    </row>
    <row r="856" spans="1:18" x14ac:dyDescent="0.25">
      <c r="A856" s="2">
        <v>1012</v>
      </c>
      <c r="B856" s="7" t="s">
        <v>768</v>
      </c>
      <c r="C856" s="7" t="s">
        <v>769</v>
      </c>
      <c r="D856" s="7" t="s">
        <v>768</v>
      </c>
      <c r="E856" s="7" t="s">
        <v>131</v>
      </c>
      <c r="F856" s="7" t="s">
        <v>770</v>
      </c>
      <c r="G856" s="17" t="s">
        <v>7747</v>
      </c>
      <c r="H856" s="7" t="s">
        <v>28</v>
      </c>
      <c r="I856" s="7" t="s">
        <v>165</v>
      </c>
      <c r="J856" s="7" t="s">
        <v>715</v>
      </c>
      <c r="K856" s="7" t="s">
        <v>714</v>
      </c>
      <c r="L856" s="7" t="s">
        <v>7744</v>
      </c>
      <c r="M856" s="7">
        <v>5.2086069999999998</v>
      </c>
      <c r="N856" s="7">
        <v>10.074210000000001</v>
      </c>
      <c r="O856" s="7" t="s">
        <v>23</v>
      </c>
      <c r="P856" s="3"/>
      <c r="Q856" s="3"/>
      <c r="R856" s="3"/>
    </row>
    <row r="857" spans="1:18" x14ac:dyDescent="0.25">
      <c r="A857" s="2">
        <v>1013</v>
      </c>
      <c r="B857" s="7" t="s">
        <v>780</v>
      </c>
      <c r="C857" s="7" t="s">
        <v>781</v>
      </c>
      <c r="D857" s="7" t="s">
        <v>780</v>
      </c>
      <c r="E857" s="7" t="s">
        <v>131</v>
      </c>
      <c r="F857" s="7" t="s">
        <v>782</v>
      </c>
      <c r="G857" s="17" t="s">
        <v>7747</v>
      </c>
      <c r="H857" s="7" t="s">
        <v>28</v>
      </c>
      <c r="I857" s="7" t="s">
        <v>783</v>
      </c>
      <c r="J857" s="7" t="s">
        <v>715</v>
      </c>
      <c r="K857" s="7" t="s">
        <v>784</v>
      </c>
      <c r="L857" s="7" t="s">
        <v>7744</v>
      </c>
      <c r="M857" s="7">
        <v>5.3310000000000004</v>
      </c>
      <c r="N857" s="7">
        <v>10.235528</v>
      </c>
      <c r="O857" s="7" t="s">
        <v>23</v>
      </c>
      <c r="P857" s="3"/>
      <c r="Q857" s="3"/>
      <c r="R857" s="3"/>
    </row>
    <row r="858" spans="1:18" x14ac:dyDescent="0.25">
      <c r="A858" s="2">
        <v>1014</v>
      </c>
      <c r="B858" s="7" t="s">
        <v>789</v>
      </c>
      <c r="C858" s="7" t="s">
        <v>790</v>
      </c>
      <c r="D858" s="7" t="s">
        <v>789</v>
      </c>
      <c r="E858" s="7" t="s">
        <v>131</v>
      </c>
      <c r="F858" s="7" t="s">
        <v>791</v>
      </c>
      <c r="G858" s="8" t="s">
        <v>18</v>
      </c>
      <c r="H858" s="7" t="s">
        <v>28</v>
      </c>
      <c r="I858" s="7" t="s">
        <v>522</v>
      </c>
      <c r="J858" s="7" t="s">
        <v>792</v>
      </c>
      <c r="K858" s="7" t="s">
        <v>793</v>
      </c>
      <c r="L858" s="7" t="s">
        <v>7744</v>
      </c>
      <c r="M858" s="7">
        <v>5.4916972222222222</v>
      </c>
      <c r="N858" s="7">
        <v>9.8496083333333342</v>
      </c>
      <c r="O858" s="7" t="s">
        <v>23</v>
      </c>
      <c r="P858" s="3"/>
      <c r="Q858" s="3"/>
      <c r="R858" s="3"/>
    </row>
    <row r="859" spans="1:18" x14ac:dyDescent="0.25">
      <c r="A859" s="2">
        <v>1015</v>
      </c>
      <c r="B859" s="7" t="s">
        <v>1022</v>
      </c>
      <c r="C859" s="7" t="s">
        <v>1023</v>
      </c>
      <c r="D859" s="7" t="s">
        <v>1022</v>
      </c>
      <c r="E859" s="7" t="s">
        <v>131</v>
      </c>
      <c r="F859" s="7" t="s">
        <v>1024</v>
      </c>
      <c r="G859" s="17" t="s">
        <v>7747</v>
      </c>
      <c r="H859" s="7" t="s">
        <v>28</v>
      </c>
      <c r="I859" s="7" t="s">
        <v>522</v>
      </c>
      <c r="J859" s="7" t="s">
        <v>246</v>
      </c>
      <c r="K859" s="7" t="s">
        <v>1025</v>
      </c>
      <c r="L859" s="7" t="s">
        <v>7744</v>
      </c>
      <c r="M859" s="7">
        <v>5.5122429999999998</v>
      </c>
      <c r="N859" s="7">
        <v>10.11599</v>
      </c>
      <c r="O859" s="7" t="s">
        <v>23</v>
      </c>
      <c r="P859" s="3"/>
      <c r="Q859" s="3"/>
      <c r="R859" s="3"/>
    </row>
    <row r="860" spans="1:18" x14ac:dyDescent="0.25">
      <c r="A860" s="2">
        <v>1016</v>
      </c>
      <c r="B860" s="7" t="s">
        <v>1044</v>
      </c>
      <c r="C860" s="7" t="s">
        <v>1045</v>
      </c>
      <c r="D860" s="7" t="s">
        <v>1044</v>
      </c>
      <c r="E860" s="7" t="s">
        <v>26</v>
      </c>
      <c r="F860" s="7" t="s">
        <v>1046</v>
      </c>
      <c r="G860" s="8" t="s">
        <v>36</v>
      </c>
      <c r="H860" s="7" t="s">
        <v>28</v>
      </c>
      <c r="I860" s="7" t="s">
        <v>241</v>
      </c>
      <c r="J860" s="7" t="s">
        <v>365</v>
      </c>
      <c r="K860" s="7" t="s">
        <v>1047</v>
      </c>
      <c r="L860" s="7" t="s">
        <v>7744</v>
      </c>
      <c r="M860" s="7">
        <v>5.7041111109999996</v>
      </c>
      <c r="N860" s="7">
        <v>9.9773333330000007</v>
      </c>
      <c r="O860" s="7" t="s">
        <v>23</v>
      </c>
      <c r="P860" s="3"/>
      <c r="Q860" s="3"/>
      <c r="R860" s="3"/>
    </row>
    <row r="861" spans="1:18" x14ac:dyDescent="0.25">
      <c r="A861" s="2">
        <v>1017</v>
      </c>
      <c r="B861" s="7" t="s">
        <v>1048</v>
      </c>
      <c r="C861" s="7" t="s">
        <v>1049</v>
      </c>
      <c r="D861" s="7" t="s">
        <v>1048</v>
      </c>
      <c r="E861" s="7" t="s">
        <v>131</v>
      </c>
      <c r="F861" s="7" t="s">
        <v>1050</v>
      </c>
      <c r="G861" s="17" t="s">
        <v>7747</v>
      </c>
      <c r="H861" s="7" t="s">
        <v>28</v>
      </c>
      <c r="I861" s="7" t="s">
        <v>165</v>
      </c>
      <c r="J861" s="7" t="s">
        <v>715</v>
      </c>
      <c r="K861" s="7" t="s">
        <v>1050</v>
      </c>
      <c r="L861" s="7" t="s">
        <v>7744</v>
      </c>
      <c r="M861" s="7">
        <v>5.1741700000000002</v>
      </c>
      <c r="N861" s="7">
        <v>10.206289999999999</v>
      </c>
      <c r="O861" s="7" t="s">
        <v>23</v>
      </c>
      <c r="P861" s="3"/>
      <c r="Q861" s="3"/>
      <c r="R861" s="3"/>
    </row>
    <row r="862" spans="1:18" x14ac:dyDescent="0.25">
      <c r="A862" s="2">
        <v>1018</v>
      </c>
      <c r="B862" s="7" t="s">
        <v>1079</v>
      </c>
      <c r="C862" s="7" t="s">
        <v>1080</v>
      </c>
      <c r="D862" s="7" t="s">
        <v>1079</v>
      </c>
      <c r="E862" s="7" t="s">
        <v>131</v>
      </c>
      <c r="F862" s="7" t="s">
        <v>1081</v>
      </c>
      <c r="G862" s="17" t="s">
        <v>7747</v>
      </c>
      <c r="H862" s="7" t="s">
        <v>28</v>
      </c>
      <c r="I862" s="7" t="s">
        <v>165</v>
      </c>
      <c r="J862" s="7" t="s">
        <v>715</v>
      </c>
      <c r="K862" s="7" t="s">
        <v>714</v>
      </c>
      <c r="L862" s="7" t="s">
        <v>7744</v>
      </c>
      <c r="M862" s="7">
        <v>5.2362780000000004</v>
      </c>
      <c r="N862" s="7">
        <v>10.082167</v>
      </c>
      <c r="O862" s="7" t="s">
        <v>23</v>
      </c>
      <c r="P862" s="3"/>
      <c r="Q862" s="3"/>
      <c r="R862" s="3"/>
    </row>
    <row r="863" spans="1:18" x14ac:dyDescent="0.25">
      <c r="A863" s="2">
        <v>1019</v>
      </c>
      <c r="B863" s="7" t="s">
        <v>1115</v>
      </c>
      <c r="C863" s="7" t="s">
        <v>1116</v>
      </c>
      <c r="D863" s="7" t="s">
        <v>1115</v>
      </c>
      <c r="E863" s="7" t="s">
        <v>131</v>
      </c>
      <c r="F863" s="7" t="s">
        <v>1117</v>
      </c>
      <c r="G863" s="8" t="s">
        <v>18</v>
      </c>
      <c r="H863" s="7" t="s">
        <v>28</v>
      </c>
      <c r="I863" s="7" t="s">
        <v>245</v>
      </c>
      <c r="J863" s="7" t="s">
        <v>761</v>
      </c>
      <c r="K863" s="7" t="s">
        <v>1118</v>
      </c>
      <c r="L863" s="7" t="s">
        <v>7744</v>
      </c>
      <c r="M863" s="7">
        <v>5.6288320000000001</v>
      </c>
      <c r="N863" s="7">
        <v>10.200196999999999</v>
      </c>
      <c r="O863" s="7" t="s">
        <v>23</v>
      </c>
      <c r="P863" s="3"/>
      <c r="Q863" s="3"/>
      <c r="R863" s="3"/>
    </row>
    <row r="864" spans="1:18" x14ac:dyDescent="0.25">
      <c r="A864" s="2">
        <v>1020</v>
      </c>
      <c r="B864" s="7" t="s">
        <v>1136</v>
      </c>
      <c r="C864" s="7" t="s">
        <v>1137</v>
      </c>
      <c r="D864" s="7" t="s">
        <v>1136</v>
      </c>
      <c r="E864" s="7" t="s">
        <v>131</v>
      </c>
      <c r="F864" s="7" t="s">
        <v>1138</v>
      </c>
      <c r="G864" s="17" t="s">
        <v>7747</v>
      </c>
      <c r="H864" s="7" t="s">
        <v>28</v>
      </c>
      <c r="I864" s="7" t="s">
        <v>522</v>
      </c>
      <c r="J864" s="7" t="s">
        <v>246</v>
      </c>
      <c r="K864" s="7" t="s">
        <v>1139</v>
      </c>
      <c r="L864" s="7" t="s">
        <v>7744</v>
      </c>
      <c r="M864" s="7">
        <v>5.4617779999999998</v>
      </c>
      <c r="N864" s="7">
        <v>10.098777999999999</v>
      </c>
      <c r="O864" s="7" t="s">
        <v>23</v>
      </c>
      <c r="P864" s="3"/>
      <c r="Q864" s="3"/>
      <c r="R864" s="3"/>
    </row>
    <row r="865" spans="1:18" x14ac:dyDescent="0.25">
      <c r="A865" s="2">
        <v>1021</v>
      </c>
      <c r="B865" s="7" t="s">
        <v>1708</v>
      </c>
      <c r="C865" s="7" t="s">
        <v>1709</v>
      </c>
      <c r="D865" s="7" t="s">
        <v>1708</v>
      </c>
      <c r="E865" s="7" t="s">
        <v>131</v>
      </c>
      <c r="F865" s="7" t="s">
        <v>1710</v>
      </c>
      <c r="G865" s="17" t="s">
        <v>7747</v>
      </c>
      <c r="H865" s="7" t="s">
        <v>19</v>
      </c>
      <c r="I865" s="7" t="s">
        <v>165</v>
      </c>
      <c r="J865" s="7" t="s">
        <v>715</v>
      </c>
      <c r="K865" s="7" t="s">
        <v>1710</v>
      </c>
      <c r="L865" s="7" t="s">
        <v>7744</v>
      </c>
      <c r="M865" s="7">
        <v>5.2679859999999996</v>
      </c>
      <c r="N865" s="7">
        <v>10.222806</v>
      </c>
      <c r="O865" s="7" t="s">
        <v>23</v>
      </c>
      <c r="P865" s="3"/>
      <c r="Q865" s="3"/>
      <c r="R865" s="3"/>
    </row>
    <row r="866" spans="1:18" x14ac:dyDescent="0.25">
      <c r="A866" s="2">
        <v>1022</v>
      </c>
      <c r="B866" s="7" t="s">
        <v>1949</v>
      </c>
      <c r="C866" s="7" t="s">
        <v>1950</v>
      </c>
      <c r="D866" s="7" t="s">
        <v>1949</v>
      </c>
      <c r="E866" s="7" t="s">
        <v>131</v>
      </c>
      <c r="F866" s="7" t="s">
        <v>1951</v>
      </c>
      <c r="G866" s="17" t="s">
        <v>7747</v>
      </c>
      <c r="H866" s="7" t="s">
        <v>28</v>
      </c>
      <c r="I866" s="7" t="s">
        <v>522</v>
      </c>
      <c r="J866" s="7" t="s">
        <v>246</v>
      </c>
      <c r="K866" s="7" t="s">
        <v>523</v>
      </c>
      <c r="L866" s="7" t="s">
        <v>7744</v>
      </c>
      <c r="M866" s="7">
        <v>5.4608109999999996</v>
      </c>
      <c r="N866" s="7">
        <v>10.0741</v>
      </c>
      <c r="O866" s="7" t="s">
        <v>23</v>
      </c>
      <c r="P866" s="3"/>
      <c r="Q866" s="3"/>
      <c r="R866" s="3"/>
    </row>
    <row r="867" spans="1:18" x14ac:dyDescent="0.25">
      <c r="A867" s="2">
        <v>1023</v>
      </c>
      <c r="B867" s="7" t="s">
        <v>2227</v>
      </c>
      <c r="C867" s="7" t="s">
        <v>2228</v>
      </c>
      <c r="D867" s="7" t="s">
        <v>2227</v>
      </c>
      <c r="E867" s="7" t="s">
        <v>131</v>
      </c>
      <c r="F867" s="7" t="s">
        <v>2229</v>
      </c>
      <c r="G867" s="17" t="s">
        <v>7747</v>
      </c>
      <c r="H867" s="7" t="s">
        <v>19</v>
      </c>
      <c r="I867" s="7" t="s">
        <v>522</v>
      </c>
      <c r="J867" s="7" t="s">
        <v>246</v>
      </c>
      <c r="K867" s="7" t="s">
        <v>1139</v>
      </c>
      <c r="L867" s="7" t="s">
        <v>7744</v>
      </c>
      <c r="M867" s="7">
        <v>5.4957219999999998</v>
      </c>
      <c r="N867" s="7">
        <v>10.099610999999999</v>
      </c>
      <c r="O867" s="7" t="s">
        <v>23</v>
      </c>
      <c r="P867" s="3"/>
      <c r="Q867" s="3"/>
      <c r="R867" s="3"/>
    </row>
    <row r="868" spans="1:18" x14ac:dyDescent="0.25">
      <c r="A868" s="2">
        <v>1024</v>
      </c>
      <c r="B868" s="7" t="s">
        <v>2247</v>
      </c>
      <c r="C868" s="7" t="s">
        <v>2248</v>
      </c>
      <c r="D868" s="7" t="s">
        <v>2247</v>
      </c>
      <c r="E868" s="7" t="s">
        <v>131</v>
      </c>
      <c r="F868" s="7" t="s">
        <v>2249</v>
      </c>
      <c r="G868" s="17" t="s">
        <v>7747</v>
      </c>
      <c r="H868" s="7" t="s">
        <v>28</v>
      </c>
      <c r="I868" s="7" t="s">
        <v>522</v>
      </c>
      <c r="J868" s="7" t="s">
        <v>246</v>
      </c>
      <c r="K868" s="7" t="s">
        <v>523</v>
      </c>
      <c r="L868" s="7" t="s">
        <v>7744</v>
      </c>
      <c r="M868" s="7">
        <v>5.4285399999999999</v>
      </c>
      <c r="N868" s="7">
        <v>10.044180000000001</v>
      </c>
      <c r="O868" s="7" t="s">
        <v>23</v>
      </c>
      <c r="P868" s="3"/>
      <c r="Q868" s="3"/>
      <c r="R868" s="3"/>
    </row>
    <row r="869" spans="1:18" x14ac:dyDescent="0.25">
      <c r="A869" s="2">
        <v>1025</v>
      </c>
      <c r="B869" s="7" t="s">
        <v>2285</v>
      </c>
      <c r="C869" s="7" t="s">
        <v>2286</v>
      </c>
      <c r="D869" s="7" t="s">
        <v>2285</v>
      </c>
      <c r="E869" s="7" t="s">
        <v>131</v>
      </c>
      <c r="F869" s="7" t="s">
        <v>2287</v>
      </c>
      <c r="G869" s="17" t="s">
        <v>7747</v>
      </c>
      <c r="H869" s="7" t="s">
        <v>28</v>
      </c>
      <c r="I869" s="7" t="s">
        <v>245</v>
      </c>
      <c r="J869" s="7" t="s">
        <v>761</v>
      </c>
      <c r="K869" s="7" t="s">
        <v>1118</v>
      </c>
      <c r="L869" s="7" t="s">
        <v>7744</v>
      </c>
      <c r="M869" s="7">
        <v>5.585</v>
      </c>
      <c r="N869" s="7">
        <v>10.204806</v>
      </c>
      <c r="O869" s="7" t="s">
        <v>23</v>
      </c>
      <c r="P869" s="3"/>
      <c r="Q869" s="3"/>
      <c r="R869" s="3"/>
    </row>
    <row r="870" spans="1:18" x14ac:dyDescent="0.25">
      <c r="A870" s="2">
        <v>1026</v>
      </c>
      <c r="B870" s="7" t="s">
        <v>2337</v>
      </c>
      <c r="C870" s="7" t="s">
        <v>2338</v>
      </c>
      <c r="D870" s="7" t="s">
        <v>2337</v>
      </c>
      <c r="E870" s="7" t="s">
        <v>131</v>
      </c>
      <c r="F870" s="7" t="s">
        <v>2339</v>
      </c>
      <c r="G870" s="17" t="s">
        <v>7747</v>
      </c>
      <c r="H870" s="7" t="s">
        <v>19</v>
      </c>
      <c r="I870" s="7" t="s">
        <v>522</v>
      </c>
      <c r="J870" s="7" t="s">
        <v>246</v>
      </c>
      <c r="K870" s="7" t="s">
        <v>523</v>
      </c>
      <c r="L870" s="7" t="s">
        <v>7744</v>
      </c>
      <c r="M870" s="7">
        <v>5.4562400000000002</v>
      </c>
      <c r="N870" s="7">
        <v>10.01366</v>
      </c>
      <c r="O870" s="7" t="s">
        <v>23</v>
      </c>
      <c r="P870" s="3"/>
      <c r="Q870" s="3"/>
      <c r="R870" s="3"/>
    </row>
    <row r="871" spans="1:18" x14ac:dyDescent="0.25">
      <c r="A871" s="2">
        <v>1027</v>
      </c>
      <c r="B871" s="7" t="s">
        <v>2465</v>
      </c>
      <c r="C871" s="7" t="s">
        <v>2466</v>
      </c>
      <c r="D871" s="7" t="s">
        <v>2465</v>
      </c>
      <c r="E871" s="7" t="s">
        <v>131</v>
      </c>
      <c r="F871" s="7" t="s">
        <v>2467</v>
      </c>
      <c r="G871" s="8" t="s">
        <v>18</v>
      </c>
      <c r="H871" s="7" t="s">
        <v>19</v>
      </c>
      <c r="I871" s="7" t="s">
        <v>522</v>
      </c>
      <c r="J871" s="7" t="s">
        <v>792</v>
      </c>
      <c r="K871" s="7" t="s">
        <v>2468</v>
      </c>
      <c r="L871" s="7" t="s">
        <v>7744</v>
      </c>
      <c r="M871" s="7">
        <v>5.5274679999999998</v>
      </c>
      <c r="N871" s="7">
        <v>9.9452499999999997</v>
      </c>
      <c r="O871" s="7" t="s">
        <v>23</v>
      </c>
      <c r="P871" s="3"/>
      <c r="Q871" s="3"/>
      <c r="R871" s="3"/>
    </row>
    <row r="872" spans="1:18" x14ac:dyDescent="0.25">
      <c r="A872" s="2">
        <v>1028</v>
      </c>
      <c r="B872" s="7" t="s">
        <v>2469</v>
      </c>
      <c r="C872" s="7" t="s">
        <v>2470</v>
      </c>
      <c r="D872" s="7" t="s">
        <v>2469</v>
      </c>
      <c r="E872" s="7" t="s">
        <v>131</v>
      </c>
      <c r="F872" s="7" t="s">
        <v>2471</v>
      </c>
      <c r="G872" s="8" t="s">
        <v>18</v>
      </c>
      <c r="H872" s="7" t="s">
        <v>19</v>
      </c>
      <c r="I872" s="7" t="s">
        <v>522</v>
      </c>
      <c r="J872" s="7" t="s">
        <v>792</v>
      </c>
      <c r="K872" s="7" t="s">
        <v>793</v>
      </c>
      <c r="L872" s="7" t="s">
        <v>7744</v>
      </c>
      <c r="M872" s="7">
        <v>5.4878900000000002</v>
      </c>
      <c r="N872" s="7">
        <v>9.8759499999999996</v>
      </c>
      <c r="O872" s="7" t="s">
        <v>23</v>
      </c>
      <c r="P872" s="3"/>
      <c r="Q872" s="3"/>
      <c r="R872" s="3"/>
    </row>
    <row r="873" spans="1:18" x14ac:dyDescent="0.25">
      <c r="A873" s="2">
        <v>1029</v>
      </c>
      <c r="B873" s="7" t="s">
        <v>2484</v>
      </c>
      <c r="C873" s="7" t="s">
        <v>2485</v>
      </c>
      <c r="D873" s="7" t="s">
        <v>2484</v>
      </c>
      <c r="E873" s="7" t="s">
        <v>131</v>
      </c>
      <c r="F873" s="7" t="s">
        <v>2486</v>
      </c>
      <c r="G873" s="17" t="s">
        <v>7747</v>
      </c>
      <c r="H873" s="7" t="s">
        <v>28</v>
      </c>
      <c r="I873" s="7" t="s">
        <v>522</v>
      </c>
      <c r="J873" s="7" t="s">
        <v>246</v>
      </c>
      <c r="K873" s="7" t="s">
        <v>523</v>
      </c>
      <c r="L873" s="7" t="s">
        <v>7744</v>
      </c>
      <c r="M873" s="7">
        <v>5.4548329999999998</v>
      </c>
      <c r="N873" s="7">
        <v>10.057556</v>
      </c>
      <c r="O873" s="7" t="s">
        <v>23</v>
      </c>
      <c r="P873" s="3"/>
      <c r="Q873" s="3"/>
      <c r="R873" s="3"/>
    </row>
    <row r="874" spans="1:18" x14ac:dyDescent="0.25">
      <c r="A874" s="2">
        <v>1030</v>
      </c>
      <c r="B874" s="7" t="s">
        <v>2503</v>
      </c>
      <c r="C874" s="7" t="s">
        <v>2504</v>
      </c>
      <c r="D874" s="7" t="s">
        <v>2503</v>
      </c>
      <c r="E874" s="7" t="s">
        <v>131</v>
      </c>
      <c r="F874" s="7" t="s">
        <v>2505</v>
      </c>
      <c r="G874" s="17" t="s">
        <v>7747</v>
      </c>
      <c r="H874" s="7" t="s">
        <v>28</v>
      </c>
      <c r="I874" s="7" t="s">
        <v>522</v>
      </c>
      <c r="J874" s="7" t="s">
        <v>246</v>
      </c>
      <c r="K874" s="7" t="s">
        <v>523</v>
      </c>
      <c r="L874" s="7" t="s">
        <v>7744</v>
      </c>
      <c r="M874" s="7">
        <v>5.447667</v>
      </c>
      <c r="N874" s="7">
        <v>10.062111</v>
      </c>
      <c r="O874" s="7" t="s">
        <v>613</v>
      </c>
      <c r="P874" s="3"/>
      <c r="Q874" s="3"/>
      <c r="R874" s="3"/>
    </row>
    <row r="875" spans="1:18" x14ac:dyDescent="0.25">
      <c r="A875" s="2">
        <v>1031</v>
      </c>
      <c r="B875" s="7" t="s">
        <v>2699</v>
      </c>
      <c r="C875" s="7" t="s">
        <v>2700</v>
      </c>
      <c r="D875" s="7" t="s">
        <v>2699</v>
      </c>
      <c r="E875" s="7" t="s">
        <v>131</v>
      </c>
      <c r="F875" s="7" t="s">
        <v>2701</v>
      </c>
      <c r="G875" s="8" t="s">
        <v>18</v>
      </c>
      <c r="H875" s="7" t="s">
        <v>19</v>
      </c>
      <c r="I875" s="7" t="s">
        <v>522</v>
      </c>
      <c r="J875" s="7" t="s">
        <v>246</v>
      </c>
      <c r="K875" s="7" t="s">
        <v>2702</v>
      </c>
      <c r="L875" s="7" t="s">
        <v>7744</v>
      </c>
      <c r="M875" s="7">
        <v>5.51159</v>
      </c>
      <c r="N875" s="7">
        <v>9.9698600000000006</v>
      </c>
      <c r="O875" s="7" t="s">
        <v>23</v>
      </c>
      <c r="P875" s="3"/>
      <c r="Q875" s="3"/>
      <c r="R875" s="3"/>
    </row>
    <row r="876" spans="1:18" x14ac:dyDescent="0.25">
      <c r="A876" s="2">
        <v>1032</v>
      </c>
      <c r="B876" s="7" t="s">
        <v>2703</v>
      </c>
      <c r="C876" s="7" t="s">
        <v>2704</v>
      </c>
      <c r="D876" s="7" t="s">
        <v>2703</v>
      </c>
      <c r="E876" s="7" t="s">
        <v>131</v>
      </c>
      <c r="F876" s="7" t="s">
        <v>2471</v>
      </c>
      <c r="G876" s="8" t="s">
        <v>18</v>
      </c>
      <c r="H876" s="7" t="s">
        <v>19</v>
      </c>
      <c r="I876" s="7" t="s">
        <v>522</v>
      </c>
      <c r="J876" s="7" t="s">
        <v>792</v>
      </c>
      <c r="K876" s="7" t="s">
        <v>793</v>
      </c>
      <c r="L876" s="7" t="s">
        <v>7744</v>
      </c>
      <c r="M876" s="7">
        <v>5.4909166669999996</v>
      </c>
      <c r="N876" s="7">
        <v>9.8782499999999995</v>
      </c>
      <c r="O876" s="7" t="s">
        <v>23</v>
      </c>
      <c r="P876" s="3"/>
      <c r="Q876" s="3"/>
      <c r="R876" s="3"/>
    </row>
    <row r="877" spans="1:18" x14ac:dyDescent="0.25">
      <c r="A877" s="2">
        <v>1033</v>
      </c>
      <c r="B877" s="7" t="s">
        <v>2748</v>
      </c>
      <c r="C877" s="7" t="s">
        <v>2749</v>
      </c>
      <c r="D877" s="7" t="s">
        <v>2748</v>
      </c>
      <c r="E877" s="7" t="s">
        <v>131</v>
      </c>
      <c r="F877" s="7" t="s">
        <v>2750</v>
      </c>
      <c r="G877" s="17" t="s">
        <v>7747</v>
      </c>
      <c r="H877" s="7" t="s">
        <v>28</v>
      </c>
      <c r="I877" s="7" t="s">
        <v>522</v>
      </c>
      <c r="J877" s="7" t="s">
        <v>246</v>
      </c>
      <c r="K877" s="7" t="s">
        <v>1139</v>
      </c>
      <c r="L877" s="7" t="s">
        <v>7744</v>
      </c>
      <c r="M877" s="7">
        <v>5.4893109999999998</v>
      </c>
      <c r="N877" s="7">
        <v>10.181917</v>
      </c>
      <c r="O877" s="7" t="s">
        <v>23</v>
      </c>
      <c r="P877" s="3"/>
      <c r="Q877" s="3"/>
      <c r="R877" s="3"/>
    </row>
    <row r="878" spans="1:18" x14ac:dyDescent="0.25">
      <c r="A878" s="2">
        <v>1034</v>
      </c>
      <c r="B878" s="7" t="s">
        <v>2950</v>
      </c>
      <c r="C878" s="7" t="s">
        <v>2951</v>
      </c>
      <c r="D878" s="7" t="s">
        <v>2950</v>
      </c>
      <c r="E878" s="7" t="s">
        <v>131</v>
      </c>
      <c r="F878" s="7" t="s">
        <v>2952</v>
      </c>
      <c r="G878" s="17" t="s">
        <v>7747</v>
      </c>
      <c r="H878" s="7" t="s">
        <v>28</v>
      </c>
      <c r="I878" s="7" t="s">
        <v>522</v>
      </c>
      <c r="J878" s="7" t="s">
        <v>246</v>
      </c>
      <c r="K878" s="7" t="s">
        <v>523</v>
      </c>
      <c r="L878" s="7" t="s">
        <v>7744</v>
      </c>
      <c r="M878" s="7">
        <v>5.439667</v>
      </c>
      <c r="N878" s="7">
        <v>10.046082999999999</v>
      </c>
      <c r="O878" s="7" t="s">
        <v>23</v>
      </c>
      <c r="P878" s="3"/>
      <c r="Q878" s="3"/>
      <c r="R878" s="3"/>
    </row>
    <row r="879" spans="1:18" x14ac:dyDescent="0.25">
      <c r="A879" s="2">
        <v>1035</v>
      </c>
      <c r="B879" s="7" t="s">
        <v>3338</v>
      </c>
      <c r="C879" s="7" t="s">
        <v>3339</v>
      </c>
      <c r="D879" s="7" t="s">
        <v>3338</v>
      </c>
      <c r="E879" s="7" t="s">
        <v>131</v>
      </c>
      <c r="F879" s="7" t="s">
        <v>3340</v>
      </c>
      <c r="G879" s="17" t="s">
        <v>7747</v>
      </c>
      <c r="H879" s="7" t="s">
        <v>19</v>
      </c>
      <c r="I879" s="7" t="s">
        <v>522</v>
      </c>
      <c r="J879" s="7" t="s">
        <v>246</v>
      </c>
      <c r="K879" s="7" t="s">
        <v>523</v>
      </c>
      <c r="L879" s="7" t="s">
        <v>7744</v>
      </c>
      <c r="M879" s="7">
        <v>5.4567500000000004</v>
      </c>
      <c r="N879" s="7">
        <v>10.048971999999999</v>
      </c>
      <c r="O879" s="7" t="s">
        <v>23</v>
      </c>
      <c r="P879" s="3"/>
      <c r="Q879" s="3"/>
      <c r="R879" s="3"/>
    </row>
    <row r="880" spans="1:18" x14ac:dyDescent="0.25">
      <c r="A880" s="2">
        <v>1036</v>
      </c>
      <c r="B880" s="7" t="s">
        <v>3439</v>
      </c>
      <c r="C880" s="7" t="s">
        <v>3440</v>
      </c>
      <c r="D880" s="7" t="s">
        <v>3439</v>
      </c>
      <c r="E880" s="7" t="s">
        <v>131</v>
      </c>
      <c r="F880" s="7" t="s">
        <v>3441</v>
      </c>
      <c r="G880" s="17" t="s">
        <v>7747</v>
      </c>
      <c r="H880" s="7" t="s">
        <v>28</v>
      </c>
      <c r="I880" s="7" t="s">
        <v>522</v>
      </c>
      <c r="J880" s="7" t="s">
        <v>246</v>
      </c>
      <c r="K880" s="7" t="s">
        <v>523</v>
      </c>
      <c r="L880" s="7" t="s">
        <v>7744</v>
      </c>
      <c r="M880" s="7">
        <v>5.44536</v>
      </c>
      <c r="N880" s="7">
        <v>10.053900000000001</v>
      </c>
      <c r="O880" s="7" t="s">
        <v>613</v>
      </c>
      <c r="P880" s="3"/>
      <c r="Q880" s="3"/>
      <c r="R880" s="3"/>
    </row>
    <row r="881" spans="1:18" x14ac:dyDescent="0.25">
      <c r="A881" s="2">
        <v>1037</v>
      </c>
      <c r="B881" s="7" t="s">
        <v>3553</v>
      </c>
      <c r="C881" s="7" t="s">
        <v>3554</v>
      </c>
      <c r="D881" s="7" t="s">
        <v>3553</v>
      </c>
      <c r="E881" s="7" t="s">
        <v>131</v>
      </c>
      <c r="F881" s="7" t="s">
        <v>3555</v>
      </c>
      <c r="G881" s="17" t="s">
        <v>7747</v>
      </c>
      <c r="H881" s="7" t="s">
        <v>28</v>
      </c>
      <c r="I881" s="7" t="s">
        <v>165</v>
      </c>
      <c r="J881" s="7" t="s">
        <v>715</v>
      </c>
      <c r="K881" s="7" t="s">
        <v>1710</v>
      </c>
      <c r="L881" s="7" t="s">
        <v>7744</v>
      </c>
      <c r="M881" s="7">
        <v>5.2760280000000002</v>
      </c>
      <c r="N881" s="7">
        <v>10.165222</v>
      </c>
      <c r="O881" s="7" t="s">
        <v>23</v>
      </c>
      <c r="P881" s="3"/>
      <c r="Q881" s="3"/>
      <c r="R881" s="3"/>
    </row>
    <row r="882" spans="1:18" x14ac:dyDescent="0.25">
      <c r="A882" s="2">
        <v>1038</v>
      </c>
      <c r="B882" s="7" t="s">
        <v>3588</v>
      </c>
      <c r="C882" s="7" t="s">
        <v>3589</v>
      </c>
      <c r="D882" s="7" t="s">
        <v>3588</v>
      </c>
      <c r="E882" s="7" t="s">
        <v>131</v>
      </c>
      <c r="F882" s="7" t="s">
        <v>165</v>
      </c>
      <c r="G882" s="17" t="s">
        <v>7747</v>
      </c>
      <c r="H882" s="7" t="s">
        <v>19</v>
      </c>
      <c r="I882" s="7" t="s">
        <v>165</v>
      </c>
      <c r="J882" s="7" t="s">
        <v>715</v>
      </c>
      <c r="K882" s="7" t="s">
        <v>165</v>
      </c>
      <c r="L882" s="7" t="s">
        <v>7744</v>
      </c>
      <c r="M882" s="7">
        <v>5.1617699999999997</v>
      </c>
      <c r="N882" s="7">
        <v>10.18488</v>
      </c>
      <c r="O882" s="7" t="s">
        <v>23</v>
      </c>
      <c r="P882" s="3"/>
      <c r="Q882" s="3"/>
      <c r="R882" s="3"/>
    </row>
    <row r="883" spans="1:18" x14ac:dyDescent="0.25">
      <c r="A883" s="2">
        <v>1039</v>
      </c>
      <c r="B883" s="7" t="s">
        <v>3783</v>
      </c>
      <c r="C883" s="7" t="s">
        <v>3784</v>
      </c>
      <c r="D883" s="7" t="s">
        <v>3783</v>
      </c>
      <c r="E883" s="7" t="s">
        <v>131</v>
      </c>
      <c r="F883" s="7" t="s">
        <v>3785</v>
      </c>
      <c r="G883" s="17" t="s">
        <v>7747</v>
      </c>
      <c r="H883" s="7" t="s">
        <v>28</v>
      </c>
      <c r="I883" s="7" t="s">
        <v>522</v>
      </c>
      <c r="J883" s="7" t="s">
        <v>246</v>
      </c>
      <c r="K883" s="7" t="s">
        <v>523</v>
      </c>
      <c r="L883" s="7" t="s">
        <v>7744</v>
      </c>
      <c r="M883" s="7">
        <v>5.44109</v>
      </c>
      <c r="N883" s="7">
        <v>10.05598</v>
      </c>
      <c r="O883" s="7" t="s">
        <v>613</v>
      </c>
      <c r="P883" s="3"/>
      <c r="Q883" s="3"/>
      <c r="R883" s="3"/>
    </row>
    <row r="884" spans="1:18" x14ac:dyDescent="0.25">
      <c r="A884" s="2">
        <v>1040</v>
      </c>
      <c r="B884" s="7" t="s">
        <v>3791</v>
      </c>
      <c r="C884" s="7" t="s">
        <v>3792</v>
      </c>
      <c r="D884" s="7" t="s">
        <v>3791</v>
      </c>
      <c r="E884" s="7" t="s">
        <v>131</v>
      </c>
      <c r="F884" s="7" t="s">
        <v>165</v>
      </c>
      <c r="G884" s="17" t="s">
        <v>7747</v>
      </c>
      <c r="H884" s="7" t="s">
        <v>19</v>
      </c>
      <c r="I884" s="7" t="s">
        <v>165</v>
      </c>
      <c r="J884" s="7" t="s">
        <v>715</v>
      </c>
      <c r="K884" s="7" t="s">
        <v>165</v>
      </c>
      <c r="L884" s="7" t="s">
        <v>7744</v>
      </c>
      <c r="M884" s="7">
        <v>5.1506990000000004</v>
      </c>
      <c r="N884" s="7">
        <v>10.180562999999999</v>
      </c>
      <c r="O884" s="7" t="s">
        <v>23</v>
      </c>
      <c r="P884" s="3"/>
      <c r="Q884" s="3"/>
      <c r="R884" s="3"/>
    </row>
    <row r="885" spans="1:18" x14ac:dyDescent="0.25">
      <c r="A885" s="2">
        <v>1041</v>
      </c>
      <c r="B885" s="7" t="s">
        <v>4130</v>
      </c>
      <c r="C885" s="7" t="s">
        <v>4131</v>
      </c>
      <c r="D885" s="7" t="s">
        <v>4130</v>
      </c>
      <c r="E885" s="7" t="s">
        <v>131</v>
      </c>
      <c r="F885" s="7" t="s">
        <v>4132</v>
      </c>
      <c r="G885" s="17" t="s">
        <v>7747</v>
      </c>
      <c r="H885" s="7" t="s">
        <v>28</v>
      </c>
      <c r="I885" s="7" t="s">
        <v>522</v>
      </c>
      <c r="J885" s="7" t="s">
        <v>246</v>
      </c>
      <c r="K885" s="7" t="s">
        <v>523</v>
      </c>
      <c r="L885" s="7" t="s">
        <v>7744</v>
      </c>
      <c r="M885" s="7">
        <v>5.4336469999999997</v>
      </c>
      <c r="N885" s="7">
        <v>10.042249999999999</v>
      </c>
      <c r="O885" s="7" t="s">
        <v>23</v>
      </c>
      <c r="P885" s="3"/>
      <c r="Q885" s="3"/>
      <c r="R885" s="3"/>
    </row>
    <row r="886" spans="1:18" x14ac:dyDescent="0.25">
      <c r="A886" s="2">
        <v>1042</v>
      </c>
      <c r="B886" s="7" t="s">
        <v>4140</v>
      </c>
      <c r="C886" s="7" t="s">
        <v>4141</v>
      </c>
      <c r="D886" s="7" t="s">
        <v>4140</v>
      </c>
      <c r="E886" s="7" t="s">
        <v>131</v>
      </c>
      <c r="F886" s="7" t="s">
        <v>4142</v>
      </c>
      <c r="G886" s="17" t="s">
        <v>7747</v>
      </c>
      <c r="H886" s="7" t="s">
        <v>28</v>
      </c>
      <c r="I886" s="7" t="s">
        <v>522</v>
      </c>
      <c r="J886" s="7" t="s">
        <v>246</v>
      </c>
      <c r="K886" s="7" t="s">
        <v>523</v>
      </c>
      <c r="L886" s="7" t="s">
        <v>7744</v>
      </c>
      <c r="M886" s="7">
        <v>5.4373800000000001</v>
      </c>
      <c r="N886" s="7">
        <v>10.07267</v>
      </c>
      <c r="O886" s="7" t="s">
        <v>23</v>
      </c>
      <c r="P886" s="3"/>
      <c r="Q886" s="3"/>
      <c r="R886" s="3"/>
    </row>
    <row r="887" spans="1:18" x14ac:dyDescent="0.25">
      <c r="A887" s="2">
        <v>1043</v>
      </c>
      <c r="B887" s="7" t="s">
        <v>4184</v>
      </c>
      <c r="C887" s="7" t="s">
        <v>4185</v>
      </c>
      <c r="D887" s="7" t="s">
        <v>4184</v>
      </c>
      <c r="E887" s="7" t="s">
        <v>131</v>
      </c>
      <c r="F887" s="7" t="s">
        <v>4186</v>
      </c>
      <c r="G887" s="17" t="s">
        <v>7747</v>
      </c>
      <c r="H887" s="7" t="s">
        <v>28</v>
      </c>
      <c r="I887" s="7" t="s">
        <v>522</v>
      </c>
      <c r="J887" s="7" t="s">
        <v>246</v>
      </c>
      <c r="K887" s="7" t="s">
        <v>4187</v>
      </c>
      <c r="L887" s="7" t="s">
        <v>7744</v>
      </c>
      <c r="M887" s="7">
        <v>5.3126899999999999</v>
      </c>
      <c r="N887" s="7">
        <v>10.00436</v>
      </c>
      <c r="O887" s="7" t="s">
        <v>23</v>
      </c>
      <c r="P887" s="3"/>
      <c r="Q887" s="3"/>
      <c r="R887" s="3"/>
    </row>
    <row r="888" spans="1:18" x14ac:dyDescent="0.25">
      <c r="A888" s="2">
        <v>1044</v>
      </c>
      <c r="B888" s="7" t="s">
        <v>4188</v>
      </c>
      <c r="C888" s="7" t="s">
        <v>4189</v>
      </c>
      <c r="D888" s="7" t="s">
        <v>4188</v>
      </c>
      <c r="E888" s="7" t="s">
        <v>131</v>
      </c>
      <c r="F888" s="7" t="s">
        <v>4190</v>
      </c>
      <c r="G888" s="17" t="s">
        <v>7747</v>
      </c>
      <c r="H888" s="7" t="s">
        <v>28</v>
      </c>
      <c r="I888" s="7" t="s">
        <v>522</v>
      </c>
      <c r="J888" s="7" t="s">
        <v>246</v>
      </c>
      <c r="K888" s="7" t="s">
        <v>1139</v>
      </c>
      <c r="L888" s="7" t="s">
        <v>7744</v>
      </c>
      <c r="M888" s="7">
        <v>5.4909999999999997</v>
      </c>
      <c r="N888" s="7">
        <v>10.114056</v>
      </c>
      <c r="O888" s="7" t="s">
        <v>23</v>
      </c>
      <c r="P888" s="3"/>
      <c r="Q888" s="3"/>
      <c r="R888" s="3"/>
    </row>
    <row r="889" spans="1:18" x14ac:dyDescent="0.25">
      <c r="A889" s="2">
        <v>1045</v>
      </c>
      <c r="B889" s="7" t="s">
        <v>4229</v>
      </c>
      <c r="C889" s="7" t="s">
        <v>4230</v>
      </c>
      <c r="D889" s="7" t="s">
        <v>4229</v>
      </c>
      <c r="E889" s="7" t="s">
        <v>131</v>
      </c>
      <c r="F889" s="7" t="s">
        <v>4231</v>
      </c>
      <c r="G889" s="17" t="s">
        <v>7747</v>
      </c>
      <c r="H889" s="7" t="s">
        <v>28</v>
      </c>
      <c r="I889" s="7" t="s">
        <v>522</v>
      </c>
      <c r="J889" s="7" t="s">
        <v>246</v>
      </c>
      <c r="K889" s="7" t="s">
        <v>523</v>
      </c>
      <c r="L889" s="7" t="s">
        <v>7744</v>
      </c>
      <c r="M889" s="7">
        <v>5.4470919999999996</v>
      </c>
      <c r="N889" s="7">
        <v>10.051793999999999</v>
      </c>
      <c r="O889" s="7" t="s">
        <v>23</v>
      </c>
      <c r="P889" s="3"/>
      <c r="Q889" s="3"/>
      <c r="R889" s="3"/>
    </row>
    <row r="890" spans="1:18" x14ac:dyDescent="0.25">
      <c r="A890" s="2">
        <v>1046</v>
      </c>
      <c r="B890" s="7" t="s">
        <v>4243</v>
      </c>
      <c r="C890" s="7" t="s">
        <v>4244</v>
      </c>
      <c r="D890" s="7" t="s">
        <v>4243</v>
      </c>
      <c r="E890" s="7" t="s">
        <v>131</v>
      </c>
      <c r="F890" s="7" t="s">
        <v>4245</v>
      </c>
      <c r="G890" s="17" t="s">
        <v>7747</v>
      </c>
      <c r="H890" s="7" t="s">
        <v>28</v>
      </c>
      <c r="I890" s="7" t="s">
        <v>522</v>
      </c>
      <c r="J890" s="7" t="s">
        <v>246</v>
      </c>
      <c r="K890" s="7" t="s">
        <v>4246</v>
      </c>
      <c r="L890" s="7" t="s">
        <v>7744</v>
      </c>
      <c r="M890" s="7">
        <v>5.36334</v>
      </c>
      <c r="N890" s="7">
        <v>10.12088</v>
      </c>
      <c r="O890" s="7" t="s">
        <v>23</v>
      </c>
      <c r="P890" s="3"/>
      <c r="Q890" s="3"/>
      <c r="R890" s="3"/>
    </row>
    <row r="891" spans="1:18" x14ac:dyDescent="0.25">
      <c r="A891" s="2">
        <v>1047</v>
      </c>
      <c r="B891" s="7" t="s">
        <v>4264</v>
      </c>
      <c r="C891" s="7" t="s">
        <v>4265</v>
      </c>
      <c r="D891" s="7" t="s">
        <v>4264</v>
      </c>
      <c r="E891" s="7" t="s">
        <v>131</v>
      </c>
      <c r="F891" s="7" t="s">
        <v>4266</v>
      </c>
      <c r="G891" s="17" t="s">
        <v>7747</v>
      </c>
      <c r="H891" s="7" t="s">
        <v>28</v>
      </c>
      <c r="I891" s="7" t="s">
        <v>522</v>
      </c>
      <c r="J891" s="7" t="s">
        <v>246</v>
      </c>
      <c r="K891" s="7" t="s">
        <v>4187</v>
      </c>
      <c r="L891" s="7" t="s">
        <v>7744</v>
      </c>
      <c r="M891" s="7">
        <v>5.3854199999999999</v>
      </c>
      <c r="N891" s="7">
        <v>9.9417600000000004</v>
      </c>
      <c r="O891" s="7" t="s">
        <v>23</v>
      </c>
      <c r="P891" s="3"/>
      <c r="Q891" s="3"/>
      <c r="R891" s="3"/>
    </row>
    <row r="892" spans="1:18" x14ac:dyDescent="0.25">
      <c r="A892" s="2">
        <v>1048</v>
      </c>
      <c r="B892" s="7" t="s">
        <v>4273</v>
      </c>
      <c r="C892" s="7" t="s">
        <v>4274</v>
      </c>
      <c r="D892" s="7" t="s">
        <v>4273</v>
      </c>
      <c r="E892" s="7" t="s">
        <v>131</v>
      </c>
      <c r="F892" s="7" t="s">
        <v>4275</v>
      </c>
      <c r="G892" s="17" t="s">
        <v>7747</v>
      </c>
      <c r="H892" s="7" t="s">
        <v>28</v>
      </c>
      <c r="I892" s="7" t="s">
        <v>245</v>
      </c>
      <c r="J892" s="7" t="s">
        <v>761</v>
      </c>
      <c r="K892" s="7" t="s">
        <v>4276</v>
      </c>
      <c r="L892" s="7" t="s">
        <v>7744</v>
      </c>
      <c r="M892" s="7">
        <v>5.6721500000000002</v>
      </c>
      <c r="N892" s="7">
        <v>10.181699999999999</v>
      </c>
      <c r="O892" s="7" t="s">
        <v>23</v>
      </c>
      <c r="P892" s="3"/>
      <c r="Q892" s="3"/>
      <c r="R892" s="3"/>
    </row>
    <row r="893" spans="1:18" x14ac:dyDescent="0.25">
      <c r="A893" s="2">
        <v>1049</v>
      </c>
      <c r="B893" s="7" t="s">
        <v>4295</v>
      </c>
      <c r="C893" s="7" t="s">
        <v>4296</v>
      </c>
      <c r="D893" s="7" t="s">
        <v>4295</v>
      </c>
      <c r="E893" s="7" t="s">
        <v>131</v>
      </c>
      <c r="F893" s="7" t="s">
        <v>4245</v>
      </c>
      <c r="G893" s="17" t="s">
        <v>7747</v>
      </c>
      <c r="H893" s="7" t="s">
        <v>28</v>
      </c>
      <c r="I893" s="7" t="s">
        <v>522</v>
      </c>
      <c r="J893" s="7" t="s">
        <v>246</v>
      </c>
      <c r="K893" s="7" t="s">
        <v>4246</v>
      </c>
      <c r="L893" s="7" t="s">
        <v>7744</v>
      </c>
      <c r="M893" s="7">
        <v>5.3912779999999998</v>
      </c>
      <c r="N893" s="7">
        <v>10.138278</v>
      </c>
      <c r="O893" s="7" t="s">
        <v>23</v>
      </c>
      <c r="P893" s="3"/>
      <c r="Q893" s="3"/>
      <c r="R893" s="3"/>
    </row>
    <row r="894" spans="1:18" x14ac:dyDescent="0.25">
      <c r="A894" s="2">
        <v>1050</v>
      </c>
      <c r="B894" s="7" t="s">
        <v>4297</v>
      </c>
      <c r="C894" s="7" t="s">
        <v>4298</v>
      </c>
      <c r="D894" s="7" t="s">
        <v>4297</v>
      </c>
      <c r="E894" s="7" t="s">
        <v>131</v>
      </c>
      <c r="F894" s="7" t="s">
        <v>4299</v>
      </c>
      <c r="G894" s="17" t="s">
        <v>7747</v>
      </c>
      <c r="H894" s="7" t="s">
        <v>28</v>
      </c>
      <c r="I894" s="7" t="s">
        <v>522</v>
      </c>
      <c r="J894" s="7" t="s">
        <v>246</v>
      </c>
      <c r="K894" s="7" t="s">
        <v>1139</v>
      </c>
      <c r="L894" s="7" t="s">
        <v>7744</v>
      </c>
      <c r="M894" s="7">
        <v>5.5244169999999997</v>
      </c>
      <c r="N894" s="7">
        <v>10.135139000000001</v>
      </c>
      <c r="O894" s="7" t="s">
        <v>23</v>
      </c>
      <c r="P894" s="3"/>
      <c r="Q894" s="3"/>
      <c r="R894" s="3"/>
    </row>
    <row r="895" spans="1:18" x14ac:dyDescent="0.25">
      <c r="A895" s="2">
        <v>1051</v>
      </c>
      <c r="B895" s="7" t="s">
        <v>4300</v>
      </c>
      <c r="C895" s="7" t="s">
        <v>4301</v>
      </c>
      <c r="D895" s="7" t="s">
        <v>4300</v>
      </c>
      <c r="E895" s="7" t="s">
        <v>131</v>
      </c>
      <c r="F895" s="7" t="s">
        <v>4275</v>
      </c>
      <c r="G895" s="17" t="s">
        <v>7747</v>
      </c>
      <c r="H895" s="7" t="s">
        <v>28</v>
      </c>
      <c r="I895" s="7" t="s">
        <v>245</v>
      </c>
      <c r="J895" s="7" t="s">
        <v>761</v>
      </c>
      <c r="K895" s="7" t="s">
        <v>4276</v>
      </c>
      <c r="L895" s="7" t="s">
        <v>7744</v>
      </c>
      <c r="M895" s="7">
        <v>5.6772739999999997</v>
      </c>
      <c r="N895" s="7">
        <v>10.207425000000001</v>
      </c>
      <c r="O895" s="7" t="s">
        <v>23</v>
      </c>
      <c r="P895" s="3"/>
      <c r="Q895" s="3"/>
      <c r="R895" s="3"/>
    </row>
    <row r="896" spans="1:18" x14ac:dyDescent="0.25">
      <c r="A896" s="2">
        <v>1052</v>
      </c>
      <c r="B896" s="7" t="s">
        <v>4503</v>
      </c>
      <c r="C896" s="7" t="s">
        <v>4504</v>
      </c>
      <c r="D896" s="7" t="s">
        <v>4503</v>
      </c>
      <c r="E896" s="7" t="s">
        <v>131</v>
      </c>
      <c r="F896" s="7" t="s">
        <v>522</v>
      </c>
      <c r="G896" s="17" t="s">
        <v>7747</v>
      </c>
      <c r="H896" s="7" t="s">
        <v>19</v>
      </c>
      <c r="I896" s="7" t="s">
        <v>522</v>
      </c>
      <c r="J896" s="7" t="s">
        <v>246</v>
      </c>
      <c r="K896" s="7" t="s">
        <v>523</v>
      </c>
      <c r="L896" s="7" t="s">
        <v>7744</v>
      </c>
      <c r="M896" s="7">
        <v>5.4523299999999999</v>
      </c>
      <c r="N896" s="7">
        <v>10.065429999999999</v>
      </c>
      <c r="O896" s="7" t="s">
        <v>23</v>
      </c>
      <c r="P896" s="3"/>
      <c r="Q896" s="3"/>
      <c r="R896" s="3"/>
    </row>
    <row r="897" spans="1:18" x14ac:dyDescent="0.25">
      <c r="A897" s="2">
        <v>1053</v>
      </c>
      <c r="B897" s="7" t="s">
        <v>4612</v>
      </c>
      <c r="C897" s="7" t="s">
        <v>4613</v>
      </c>
      <c r="D897" s="7" t="s">
        <v>4612</v>
      </c>
      <c r="E897" s="7" t="s">
        <v>131</v>
      </c>
      <c r="F897" s="7" t="s">
        <v>4186</v>
      </c>
      <c r="G897" s="17" t="s">
        <v>7747</v>
      </c>
      <c r="H897" s="7" t="s">
        <v>28</v>
      </c>
      <c r="I897" s="7" t="s">
        <v>522</v>
      </c>
      <c r="J897" s="7" t="s">
        <v>246</v>
      </c>
      <c r="K897" s="7" t="s">
        <v>4187</v>
      </c>
      <c r="L897" s="7" t="s">
        <v>7744</v>
      </c>
      <c r="M897" s="7">
        <v>5.2833889999999997</v>
      </c>
      <c r="N897" s="7">
        <v>9.9668060000000001</v>
      </c>
      <c r="O897" s="7" t="s">
        <v>23</v>
      </c>
      <c r="P897" s="3"/>
      <c r="Q897" s="3"/>
      <c r="R897" s="3"/>
    </row>
    <row r="898" spans="1:18" x14ac:dyDescent="0.25">
      <c r="A898" s="2">
        <v>1054</v>
      </c>
      <c r="B898" s="7" t="s">
        <v>4859</v>
      </c>
      <c r="C898" s="7" t="s">
        <v>4860</v>
      </c>
      <c r="D898" s="7" t="s">
        <v>4859</v>
      </c>
      <c r="E898" s="7" t="s">
        <v>131</v>
      </c>
      <c r="F898" s="7" t="s">
        <v>2229</v>
      </c>
      <c r="G898" s="17" t="s">
        <v>7747</v>
      </c>
      <c r="H898" s="7" t="s">
        <v>28</v>
      </c>
      <c r="I898" s="7" t="s">
        <v>522</v>
      </c>
      <c r="J898" s="7" t="s">
        <v>246</v>
      </c>
      <c r="K898" s="7" t="s">
        <v>1139</v>
      </c>
      <c r="L898" s="7" t="s">
        <v>7744</v>
      </c>
      <c r="M898" s="7">
        <v>5.5491999999999999</v>
      </c>
      <c r="N898" s="7">
        <v>10.091670000000001</v>
      </c>
      <c r="O898" s="7" t="s">
        <v>23</v>
      </c>
      <c r="P898" s="3"/>
      <c r="Q898" s="3"/>
      <c r="R898" s="3"/>
    </row>
    <row r="899" spans="1:18" x14ac:dyDescent="0.25">
      <c r="A899" s="2">
        <v>1055</v>
      </c>
      <c r="B899" s="7" t="s">
        <v>5003</v>
      </c>
      <c r="C899" s="7" t="s">
        <v>5004</v>
      </c>
      <c r="D899" s="7" t="s">
        <v>5003</v>
      </c>
      <c r="E899" s="7" t="s">
        <v>131</v>
      </c>
      <c r="F899" s="7" t="s">
        <v>5005</v>
      </c>
      <c r="G899" s="17" t="s">
        <v>7747</v>
      </c>
      <c r="H899" s="7" t="s">
        <v>28</v>
      </c>
      <c r="I899" s="7" t="s">
        <v>522</v>
      </c>
      <c r="J899" s="7" t="s">
        <v>246</v>
      </c>
      <c r="K899" s="7" t="s">
        <v>523</v>
      </c>
      <c r="L899" s="7" t="s">
        <v>7744</v>
      </c>
      <c r="M899" s="7">
        <v>5.4560250000000003</v>
      </c>
      <c r="N899" s="7">
        <v>10.050274999999999</v>
      </c>
      <c r="O899" s="7" t="s">
        <v>23</v>
      </c>
      <c r="P899" s="3"/>
      <c r="Q899" s="3"/>
      <c r="R899" s="3"/>
    </row>
    <row r="900" spans="1:18" x14ac:dyDescent="0.25">
      <c r="A900" s="2">
        <v>1056</v>
      </c>
      <c r="B900" s="7" t="s">
        <v>5159</v>
      </c>
      <c r="C900" s="7" t="s">
        <v>5160</v>
      </c>
      <c r="D900" s="7" t="s">
        <v>5159</v>
      </c>
      <c r="E900" s="7" t="s">
        <v>131</v>
      </c>
      <c r="F900" s="7" t="s">
        <v>5161</v>
      </c>
      <c r="G900" s="17" t="s">
        <v>7747</v>
      </c>
      <c r="H900" s="7" t="s">
        <v>28</v>
      </c>
      <c r="I900" s="7" t="s">
        <v>522</v>
      </c>
      <c r="J900" s="7" t="s">
        <v>246</v>
      </c>
      <c r="K900" s="7" t="s">
        <v>523</v>
      </c>
      <c r="L900" s="7" t="s">
        <v>7744</v>
      </c>
      <c r="M900" s="7">
        <v>5.4581390000000001</v>
      </c>
      <c r="N900" s="7">
        <v>10.069471999999999</v>
      </c>
      <c r="O900" s="7" t="s">
        <v>613</v>
      </c>
      <c r="P900" s="3"/>
      <c r="Q900" s="3"/>
      <c r="R900" s="3"/>
    </row>
    <row r="901" spans="1:18" x14ac:dyDescent="0.25">
      <c r="A901" s="2">
        <v>1057</v>
      </c>
      <c r="B901" s="7" t="s">
        <v>5356</v>
      </c>
      <c r="C901" s="7" t="s">
        <v>5357</v>
      </c>
      <c r="D901" s="7" t="s">
        <v>5356</v>
      </c>
      <c r="E901" s="7" t="s">
        <v>131</v>
      </c>
      <c r="F901" s="7" t="s">
        <v>5358</v>
      </c>
      <c r="G901" s="17" t="s">
        <v>7747</v>
      </c>
      <c r="H901" s="7" t="s">
        <v>28</v>
      </c>
      <c r="I901" s="7" t="s">
        <v>165</v>
      </c>
      <c r="J901" s="7" t="s">
        <v>715</v>
      </c>
      <c r="K901" s="7" t="s">
        <v>165</v>
      </c>
      <c r="L901" s="7" t="s">
        <v>7744</v>
      </c>
      <c r="M901" s="7">
        <v>5.1577219999999997</v>
      </c>
      <c r="N901" s="7">
        <v>10.178832999999999</v>
      </c>
      <c r="O901" s="7" t="s">
        <v>613</v>
      </c>
      <c r="P901" s="3"/>
      <c r="Q901" s="3"/>
      <c r="R901" s="3"/>
    </row>
    <row r="902" spans="1:18" x14ac:dyDescent="0.25">
      <c r="A902" s="2">
        <v>1058</v>
      </c>
      <c r="B902" s="7" t="s">
        <v>6065</v>
      </c>
      <c r="C902" s="7" t="s">
        <v>6066</v>
      </c>
      <c r="D902" s="7" t="s">
        <v>6065</v>
      </c>
      <c r="E902" s="7" t="s">
        <v>131</v>
      </c>
      <c r="F902" s="7" t="s">
        <v>6067</v>
      </c>
      <c r="G902" s="8" t="s">
        <v>36</v>
      </c>
      <c r="H902" s="7" t="s">
        <v>28</v>
      </c>
      <c r="I902" s="7" t="s">
        <v>522</v>
      </c>
      <c r="J902" s="7" t="s">
        <v>792</v>
      </c>
      <c r="K902" s="7" t="s">
        <v>6068</v>
      </c>
      <c r="L902" s="7" t="s">
        <v>7744</v>
      </c>
      <c r="M902" s="7">
        <v>5.6308360000000004</v>
      </c>
      <c r="N902" s="7">
        <v>10.056381999999999</v>
      </c>
      <c r="O902" s="7" t="s">
        <v>23</v>
      </c>
      <c r="P902" s="3"/>
      <c r="Q902" s="3"/>
      <c r="R902" s="3"/>
    </row>
    <row r="903" spans="1:18" x14ac:dyDescent="0.25">
      <c r="A903" s="2">
        <v>1059</v>
      </c>
      <c r="B903" s="7" t="s">
        <v>7080</v>
      </c>
      <c r="C903" s="7" t="s">
        <v>7081</v>
      </c>
      <c r="D903" s="7" t="s">
        <v>7080</v>
      </c>
      <c r="E903" s="7" t="s">
        <v>131</v>
      </c>
      <c r="F903" s="7" t="s">
        <v>7082</v>
      </c>
      <c r="G903" s="17" t="s">
        <v>7747</v>
      </c>
      <c r="H903" s="7" t="s">
        <v>28</v>
      </c>
      <c r="I903" s="7" t="s">
        <v>165</v>
      </c>
      <c r="J903" s="7" t="s">
        <v>715</v>
      </c>
      <c r="K903" s="7" t="s">
        <v>1710</v>
      </c>
      <c r="L903" s="7" t="s">
        <v>7744</v>
      </c>
      <c r="M903" s="7">
        <v>5.2270430000000001</v>
      </c>
      <c r="N903" s="7">
        <v>10.217421999999999</v>
      </c>
      <c r="O903" s="7" t="s">
        <v>23</v>
      </c>
      <c r="P903" s="3"/>
      <c r="Q903" s="3"/>
      <c r="R903" s="3"/>
    </row>
    <row r="904" spans="1:18" x14ac:dyDescent="0.25">
      <c r="A904" s="2">
        <v>1060</v>
      </c>
      <c r="B904" s="7" t="s">
        <v>7284</v>
      </c>
      <c r="C904" s="7" t="s">
        <v>7285</v>
      </c>
      <c r="D904" s="7" t="s">
        <v>7284</v>
      </c>
      <c r="E904" s="7" t="s">
        <v>131</v>
      </c>
      <c r="F904" s="7" t="s">
        <v>7286</v>
      </c>
      <c r="G904" s="17" t="s">
        <v>7747</v>
      </c>
      <c r="H904" s="7" t="s">
        <v>28</v>
      </c>
      <c r="I904" s="7" t="s">
        <v>522</v>
      </c>
      <c r="J904" s="7" t="s">
        <v>246</v>
      </c>
      <c r="K904" s="7" t="s">
        <v>4245</v>
      </c>
      <c r="L904" s="7" t="s">
        <v>7744</v>
      </c>
      <c r="M904" s="7">
        <v>5.3486700000000003</v>
      </c>
      <c r="N904" s="7">
        <v>10.078150000000001</v>
      </c>
      <c r="O904" s="7" t="s">
        <v>23</v>
      </c>
      <c r="P904" s="3"/>
      <c r="Q904" s="3"/>
      <c r="R904" s="3"/>
    </row>
    <row r="905" spans="1:18" x14ac:dyDescent="0.25">
      <c r="A905" s="2">
        <v>1061</v>
      </c>
      <c r="B905" s="7" t="s">
        <v>7326</v>
      </c>
      <c r="C905" s="7" t="s">
        <v>7327</v>
      </c>
      <c r="D905" s="7" t="s">
        <v>7326</v>
      </c>
      <c r="E905" s="7" t="s">
        <v>131</v>
      </c>
      <c r="F905" s="7" t="s">
        <v>7328</v>
      </c>
      <c r="G905" s="17" t="s">
        <v>7747</v>
      </c>
      <c r="H905" s="7" t="s">
        <v>28</v>
      </c>
      <c r="I905" s="7" t="s">
        <v>7329</v>
      </c>
      <c r="J905" s="7" t="s">
        <v>761</v>
      </c>
      <c r="K905" s="7" t="s">
        <v>4276</v>
      </c>
      <c r="L905" s="7" t="s">
        <v>7744</v>
      </c>
      <c r="M905" s="7">
        <v>5.6365800000000004</v>
      </c>
      <c r="N905" s="7">
        <v>10.13303</v>
      </c>
      <c r="O905" s="7" t="s">
        <v>23</v>
      </c>
      <c r="P905" s="3"/>
      <c r="Q905" s="3"/>
      <c r="R905" s="3"/>
    </row>
    <row r="906" spans="1:18" x14ac:dyDescent="0.25">
      <c r="A906" s="2">
        <v>1062</v>
      </c>
      <c r="B906" s="7" t="s">
        <v>7330</v>
      </c>
      <c r="C906" s="7" t="s">
        <v>7331</v>
      </c>
      <c r="D906" s="7" t="s">
        <v>7330</v>
      </c>
      <c r="E906" s="7" t="s">
        <v>131</v>
      </c>
      <c r="F906" s="7" t="s">
        <v>7332</v>
      </c>
      <c r="G906" s="17" t="s">
        <v>7747</v>
      </c>
      <c r="H906" s="7" t="s">
        <v>28</v>
      </c>
      <c r="I906" s="7" t="s">
        <v>7329</v>
      </c>
      <c r="J906" s="7" t="s">
        <v>246</v>
      </c>
      <c r="K906" s="7" t="s">
        <v>4245</v>
      </c>
      <c r="L906" s="7" t="s">
        <v>7744</v>
      </c>
      <c r="M906" s="7">
        <v>5.3838499999999998</v>
      </c>
      <c r="N906" s="7">
        <v>10.17689</v>
      </c>
      <c r="O906" s="7" t="s">
        <v>23</v>
      </c>
      <c r="P906" s="3"/>
      <c r="Q906" s="3"/>
      <c r="R906" s="3"/>
    </row>
    <row r="907" spans="1:18" x14ac:dyDescent="0.25">
      <c r="A907" s="2">
        <v>1063</v>
      </c>
      <c r="B907" s="7" t="s">
        <v>7555</v>
      </c>
      <c r="C907" s="7" t="s">
        <v>7556</v>
      </c>
      <c r="D907" s="7" t="s">
        <v>7555</v>
      </c>
      <c r="E907" s="7" t="s">
        <v>131</v>
      </c>
      <c r="F907" s="7" t="s">
        <v>7557</v>
      </c>
      <c r="G907" s="17" t="s">
        <v>7747</v>
      </c>
      <c r="H907" s="7" t="s">
        <v>28</v>
      </c>
      <c r="I907" s="7" t="s">
        <v>522</v>
      </c>
      <c r="J907" s="7" t="s">
        <v>2461</v>
      </c>
      <c r="K907" s="7" t="s">
        <v>7558</v>
      </c>
      <c r="L907" s="7" t="s">
        <v>7744</v>
      </c>
      <c r="M907" s="7">
        <v>5.40808</v>
      </c>
      <c r="N907" s="7">
        <v>10.08042</v>
      </c>
      <c r="O907" s="7" t="s">
        <v>23</v>
      </c>
      <c r="P907" s="3"/>
      <c r="Q907" s="3"/>
      <c r="R907" s="3"/>
    </row>
    <row r="908" spans="1:18" x14ac:dyDescent="0.25">
      <c r="A908" s="2">
        <v>1064</v>
      </c>
      <c r="B908" s="7" t="s">
        <v>7559</v>
      </c>
      <c r="C908" s="7" t="s">
        <v>7560</v>
      </c>
      <c r="D908" s="7" t="s">
        <v>7559</v>
      </c>
      <c r="E908" s="7" t="s">
        <v>131</v>
      </c>
      <c r="F908" s="7" t="s">
        <v>7561</v>
      </c>
      <c r="G908" s="17" t="s">
        <v>7747</v>
      </c>
      <c r="H908" s="7" t="s">
        <v>28</v>
      </c>
      <c r="I908" s="7" t="s">
        <v>7329</v>
      </c>
      <c r="J908" s="7" t="s">
        <v>7562</v>
      </c>
      <c r="K908" s="7" t="s">
        <v>2287</v>
      </c>
      <c r="L908" s="7" t="s">
        <v>7744</v>
      </c>
      <c r="M908" s="7">
        <v>5.54312</v>
      </c>
      <c r="N908" s="7">
        <v>10.198320000000001</v>
      </c>
      <c r="O908" s="7" t="s">
        <v>23</v>
      </c>
      <c r="P908" s="3"/>
      <c r="Q908" s="3"/>
      <c r="R908" s="3"/>
    </row>
    <row r="909" spans="1:18" x14ac:dyDescent="0.25">
      <c r="A909" s="2">
        <v>1065</v>
      </c>
      <c r="B909" s="7" t="s">
        <v>7581</v>
      </c>
      <c r="C909" s="7" t="s">
        <v>7582</v>
      </c>
      <c r="D909" s="7" t="s">
        <v>7581</v>
      </c>
      <c r="E909" s="7" t="s">
        <v>131</v>
      </c>
      <c r="F909" s="7" t="s">
        <v>7583</v>
      </c>
      <c r="G909" s="17" t="s">
        <v>7747</v>
      </c>
      <c r="H909" s="7" t="s">
        <v>28</v>
      </c>
      <c r="I909" s="7" t="s">
        <v>165</v>
      </c>
      <c r="J909" s="7" t="s">
        <v>1309</v>
      </c>
      <c r="K909" s="7" t="s">
        <v>1310</v>
      </c>
      <c r="L909" s="7" t="s">
        <v>7744</v>
      </c>
      <c r="M909" s="7">
        <v>5.3600430000000001</v>
      </c>
      <c r="N909" s="7">
        <v>10.010142999999999</v>
      </c>
      <c r="O909" s="7" t="s">
        <v>23</v>
      </c>
      <c r="P909" s="3"/>
      <c r="Q909" s="3"/>
      <c r="R909" s="3"/>
    </row>
    <row r="910" spans="1:18" x14ac:dyDescent="0.25">
      <c r="A910" s="2">
        <v>1066</v>
      </c>
      <c r="B910" s="7" t="s">
        <v>7663</v>
      </c>
      <c r="C910" s="7" t="s">
        <v>7664</v>
      </c>
      <c r="D910" s="7" t="s">
        <v>7663</v>
      </c>
      <c r="E910" s="10" t="s">
        <v>26</v>
      </c>
      <c r="F910" s="7" t="s">
        <v>7665</v>
      </c>
      <c r="G910" s="17" t="s">
        <v>7747</v>
      </c>
      <c r="H910" s="7" t="s">
        <v>28</v>
      </c>
      <c r="I910" s="7" t="s">
        <v>241</v>
      </c>
      <c r="J910" s="7" t="s">
        <v>195</v>
      </c>
      <c r="K910" s="7" t="s">
        <v>1010</v>
      </c>
      <c r="L910" s="7" t="s">
        <v>7744</v>
      </c>
      <c r="M910" s="10">
        <v>5.5950097000000003</v>
      </c>
      <c r="N910" s="10">
        <v>10.17033</v>
      </c>
      <c r="O910" s="7" t="s">
        <v>613</v>
      </c>
      <c r="P910" s="3"/>
      <c r="Q910" s="3"/>
      <c r="R910" s="3"/>
    </row>
    <row r="911" spans="1:18" x14ac:dyDescent="0.25">
      <c r="A911" s="2">
        <v>1067</v>
      </c>
      <c r="B911" s="7" t="s">
        <v>155</v>
      </c>
      <c r="C911" s="7" t="s">
        <v>156</v>
      </c>
      <c r="D911" s="7" t="s">
        <v>155</v>
      </c>
      <c r="E911" s="7" t="s">
        <v>50</v>
      </c>
      <c r="F911" s="7" t="s">
        <v>157</v>
      </c>
      <c r="G911" s="17" t="s">
        <v>7747</v>
      </c>
      <c r="H911" s="7" t="s">
        <v>28</v>
      </c>
      <c r="I911" s="7" t="s">
        <v>158</v>
      </c>
      <c r="J911" s="7" t="s">
        <v>159</v>
      </c>
      <c r="K911" s="7" t="s">
        <v>160</v>
      </c>
      <c r="L911" s="7" t="s">
        <v>7743</v>
      </c>
      <c r="M911" s="7">
        <v>3.7805499999999999</v>
      </c>
      <c r="N911" s="7">
        <v>10.515138</v>
      </c>
      <c r="O911" s="7" t="s">
        <v>23</v>
      </c>
      <c r="P911" s="3"/>
      <c r="Q911" s="3"/>
      <c r="R911" s="3"/>
    </row>
    <row r="912" spans="1:18" x14ac:dyDescent="0.25">
      <c r="A912" s="2">
        <v>1068</v>
      </c>
      <c r="B912" s="7" t="s">
        <v>176</v>
      </c>
      <c r="C912" s="7" t="s">
        <v>177</v>
      </c>
      <c r="D912" s="7" t="s">
        <v>176</v>
      </c>
      <c r="E912" s="7" t="s">
        <v>50</v>
      </c>
      <c r="F912" s="7" t="s">
        <v>178</v>
      </c>
      <c r="G912" s="17" t="s">
        <v>7747</v>
      </c>
      <c r="H912" s="7" t="s">
        <v>28</v>
      </c>
      <c r="I912" s="7" t="s">
        <v>179</v>
      </c>
      <c r="J912" s="7" t="s">
        <v>159</v>
      </c>
      <c r="K912" s="7" t="s">
        <v>160</v>
      </c>
      <c r="L912" s="7" t="s">
        <v>7743</v>
      </c>
      <c r="M912" s="7">
        <v>3.6912349999999998</v>
      </c>
      <c r="N912" s="7">
        <v>10.384677999999999</v>
      </c>
      <c r="O912" s="7" t="s">
        <v>23</v>
      </c>
      <c r="P912" s="3"/>
      <c r="Q912" s="3"/>
      <c r="R912" s="3"/>
    </row>
    <row r="913" spans="1:18" x14ac:dyDescent="0.25">
      <c r="A913" s="2">
        <v>1069</v>
      </c>
      <c r="B913" s="7" t="s">
        <v>197</v>
      </c>
      <c r="C913" s="7" t="s">
        <v>198</v>
      </c>
      <c r="D913" s="7" t="s">
        <v>197</v>
      </c>
      <c r="E913" s="7" t="s">
        <v>50</v>
      </c>
      <c r="F913" s="7" t="s">
        <v>199</v>
      </c>
      <c r="G913" s="17" t="s">
        <v>7747</v>
      </c>
      <c r="H913" s="7" t="s">
        <v>28</v>
      </c>
      <c r="I913" s="7" t="s">
        <v>161</v>
      </c>
      <c r="J913" s="7" t="s">
        <v>159</v>
      </c>
      <c r="K913" s="7" t="s">
        <v>200</v>
      </c>
      <c r="L913" s="7" t="s">
        <v>7743</v>
      </c>
      <c r="M913" s="7">
        <v>3.9419400000000002</v>
      </c>
      <c r="N913" s="7">
        <v>10.047345</v>
      </c>
      <c r="O913" s="7" t="s">
        <v>23</v>
      </c>
      <c r="P913" s="3"/>
      <c r="Q913" s="3"/>
      <c r="R913" s="3"/>
    </row>
    <row r="914" spans="1:18" x14ac:dyDescent="0.25">
      <c r="A914" s="2">
        <v>1070</v>
      </c>
      <c r="B914" s="7" t="s">
        <v>201</v>
      </c>
      <c r="C914" s="7" t="s">
        <v>202</v>
      </c>
      <c r="D914" s="7" t="s">
        <v>201</v>
      </c>
      <c r="E914" s="7" t="s">
        <v>50</v>
      </c>
      <c r="F914" s="7" t="s">
        <v>203</v>
      </c>
      <c r="G914" s="17" t="s">
        <v>7747</v>
      </c>
      <c r="H914" s="7" t="s">
        <v>19</v>
      </c>
      <c r="I914" s="7" t="s">
        <v>161</v>
      </c>
      <c r="J914" s="7" t="s">
        <v>159</v>
      </c>
      <c r="K914" s="7" t="s">
        <v>204</v>
      </c>
      <c r="L914" s="7" t="s">
        <v>7743</v>
      </c>
      <c r="M914" s="7">
        <v>3.94814</v>
      </c>
      <c r="N914" s="7">
        <v>10.024179999999999</v>
      </c>
      <c r="O914" s="7" t="s">
        <v>23</v>
      </c>
      <c r="P914" s="3"/>
      <c r="Q914" s="3"/>
      <c r="R914" s="3"/>
    </row>
    <row r="915" spans="1:18" x14ac:dyDescent="0.25">
      <c r="A915" s="2">
        <v>1071</v>
      </c>
      <c r="B915" s="7" t="s">
        <v>205</v>
      </c>
      <c r="C915" s="7" t="s">
        <v>206</v>
      </c>
      <c r="D915" s="7" t="s">
        <v>205</v>
      </c>
      <c r="E915" s="7" t="s">
        <v>50</v>
      </c>
      <c r="F915" s="7" t="s">
        <v>207</v>
      </c>
      <c r="G915" s="17" t="s">
        <v>7747</v>
      </c>
      <c r="H915" s="7" t="s">
        <v>28</v>
      </c>
      <c r="I915" s="7" t="s">
        <v>158</v>
      </c>
      <c r="J915" s="7" t="s">
        <v>208</v>
      </c>
      <c r="K915" s="7" t="s">
        <v>209</v>
      </c>
      <c r="L915" s="7" t="s">
        <v>7743</v>
      </c>
      <c r="M915" s="7">
        <v>3.8074680000000001</v>
      </c>
      <c r="N915" s="7">
        <v>10.616434999999999</v>
      </c>
      <c r="O915" s="7" t="s">
        <v>23</v>
      </c>
      <c r="P915" s="3"/>
      <c r="Q915" s="3"/>
      <c r="R915" s="3"/>
    </row>
    <row r="916" spans="1:18" x14ac:dyDescent="0.25">
      <c r="A916" s="2">
        <v>1072</v>
      </c>
      <c r="B916" s="7" t="s">
        <v>228</v>
      </c>
      <c r="C916" s="7" t="s">
        <v>229</v>
      </c>
      <c r="D916" s="7" t="s">
        <v>228</v>
      </c>
      <c r="E916" s="7" t="s">
        <v>50</v>
      </c>
      <c r="F916" s="7" t="s">
        <v>230</v>
      </c>
      <c r="G916" s="17" t="s">
        <v>7747</v>
      </c>
      <c r="H916" s="7" t="s">
        <v>28</v>
      </c>
      <c r="I916" s="7" t="s">
        <v>158</v>
      </c>
      <c r="J916" s="7" t="s">
        <v>159</v>
      </c>
      <c r="K916" s="7" t="s">
        <v>160</v>
      </c>
      <c r="L916" s="7" t="s">
        <v>7743</v>
      </c>
      <c r="M916" s="7">
        <v>4.1061699999999997</v>
      </c>
      <c r="N916" s="7">
        <v>10.556979999999999</v>
      </c>
      <c r="O916" s="7" t="s">
        <v>23</v>
      </c>
      <c r="P916" s="3"/>
      <c r="Q916" s="3"/>
      <c r="R916" s="3"/>
    </row>
    <row r="917" spans="1:18" x14ac:dyDescent="0.25">
      <c r="A917" s="2">
        <v>1073</v>
      </c>
      <c r="B917" s="7" t="s">
        <v>350</v>
      </c>
      <c r="C917" s="7" t="s">
        <v>351</v>
      </c>
      <c r="D917" s="7" t="s">
        <v>350</v>
      </c>
      <c r="E917" s="7" t="s">
        <v>50</v>
      </c>
      <c r="F917" s="7" t="s">
        <v>352</v>
      </c>
      <c r="G917" s="17" t="s">
        <v>7747</v>
      </c>
      <c r="H917" s="7" t="s">
        <v>28</v>
      </c>
      <c r="I917" s="7" t="s">
        <v>158</v>
      </c>
      <c r="J917" s="7" t="s">
        <v>159</v>
      </c>
      <c r="K917" s="7" t="s">
        <v>160</v>
      </c>
      <c r="L917" s="7" t="s">
        <v>7743</v>
      </c>
      <c r="M917" s="7">
        <v>4.09274</v>
      </c>
      <c r="N917" s="7">
        <v>10.66999</v>
      </c>
      <c r="O917" s="7" t="s">
        <v>23</v>
      </c>
      <c r="P917" s="3"/>
      <c r="Q917" s="3"/>
      <c r="R917" s="3"/>
    </row>
    <row r="918" spans="1:18" x14ac:dyDescent="0.25">
      <c r="A918" s="2">
        <v>1074</v>
      </c>
      <c r="B918" s="7" t="s">
        <v>376</v>
      </c>
      <c r="C918" s="7" t="s">
        <v>377</v>
      </c>
      <c r="D918" s="7" t="s">
        <v>376</v>
      </c>
      <c r="E918" s="7" t="s">
        <v>50</v>
      </c>
      <c r="F918" s="7" t="s">
        <v>378</v>
      </c>
      <c r="G918" s="17" t="s">
        <v>7747</v>
      </c>
      <c r="H918" s="7" t="s">
        <v>28</v>
      </c>
      <c r="I918" s="7" t="s">
        <v>161</v>
      </c>
      <c r="J918" s="7" t="s">
        <v>159</v>
      </c>
      <c r="K918" s="7" t="s">
        <v>379</v>
      </c>
      <c r="L918" s="7" t="s">
        <v>7743</v>
      </c>
      <c r="M918" s="7">
        <v>3.9013789999999999</v>
      </c>
      <c r="N918" s="7">
        <v>10.066253</v>
      </c>
      <c r="O918" s="7" t="s">
        <v>23</v>
      </c>
      <c r="P918" s="3"/>
      <c r="Q918" s="3"/>
      <c r="R918" s="3"/>
    </row>
    <row r="919" spans="1:18" x14ac:dyDescent="0.25">
      <c r="A919" s="2">
        <v>1075</v>
      </c>
      <c r="B919" s="7" t="s">
        <v>384</v>
      </c>
      <c r="C919" s="7" t="s">
        <v>385</v>
      </c>
      <c r="D919" s="7" t="s">
        <v>384</v>
      </c>
      <c r="E919" s="7" t="s">
        <v>50</v>
      </c>
      <c r="F919" s="7" t="s">
        <v>386</v>
      </c>
      <c r="G919" s="17" t="s">
        <v>7747</v>
      </c>
      <c r="H919" s="7" t="s">
        <v>28</v>
      </c>
      <c r="I919" s="7" t="s">
        <v>158</v>
      </c>
      <c r="J919" s="7" t="s">
        <v>159</v>
      </c>
      <c r="K919" s="7" t="s">
        <v>160</v>
      </c>
      <c r="L919" s="7" t="s">
        <v>7743</v>
      </c>
      <c r="M919" s="7">
        <v>4.0791180000000002</v>
      </c>
      <c r="N919" s="7">
        <v>10.380034999999999</v>
      </c>
      <c r="O919" s="7" t="s">
        <v>23</v>
      </c>
      <c r="P919" s="3"/>
      <c r="Q919" s="3"/>
      <c r="R919" s="3"/>
    </row>
    <row r="920" spans="1:18" x14ac:dyDescent="0.25">
      <c r="A920" s="2">
        <v>1076</v>
      </c>
      <c r="B920" s="7" t="s">
        <v>390</v>
      </c>
      <c r="C920" s="7" t="s">
        <v>391</v>
      </c>
      <c r="D920" s="7" t="s">
        <v>390</v>
      </c>
      <c r="E920" s="7" t="s">
        <v>50</v>
      </c>
      <c r="F920" s="7" t="s">
        <v>392</v>
      </c>
      <c r="G920" s="17" t="s">
        <v>7747</v>
      </c>
      <c r="H920" s="7" t="s">
        <v>28</v>
      </c>
      <c r="I920" s="7" t="s">
        <v>158</v>
      </c>
      <c r="J920" s="7" t="s">
        <v>159</v>
      </c>
      <c r="K920" s="7" t="s">
        <v>160</v>
      </c>
      <c r="L920" s="7" t="s">
        <v>7743</v>
      </c>
      <c r="M920" s="7">
        <v>4.2172219999999996</v>
      </c>
      <c r="N920" s="7">
        <v>10.714528</v>
      </c>
      <c r="O920" s="7" t="s">
        <v>23</v>
      </c>
      <c r="P920" s="3"/>
      <c r="Q920" s="3"/>
      <c r="R920" s="3"/>
    </row>
    <row r="921" spans="1:18" x14ac:dyDescent="0.25">
      <c r="A921" s="2">
        <v>1077</v>
      </c>
      <c r="B921" s="7" t="s">
        <v>428</v>
      </c>
      <c r="C921" s="7" t="s">
        <v>429</v>
      </c>
      <c r="D921" s="7" t="s">
        <v>428</v>
      </c>
      <c r="E921" s="7" t="s">
        <v>50</v>
      </c>
      <c r="F921" s="7" t="s">
        <v>430</v>
      </c>
      <c r="G921" s="17" t="s">
        <v>7747</v>
      </c>
      <c r="H921" s="7" t="s">
        <v>28</v>
      </c>
      <c r="I921" s="7" t="s">
        <v>179</v>
      </c>
      <c r="J921" s="7" t="s">
        <v>159</v>
      </c>
      <c r="K921" s="7" t="s">
        <v>160</v>
      </c>
      <c r="L921" s="7" t="s">
        <v>7743</v>
      </c>
      <c r="M921" s="7">
        <v>3.6185559999999999</v>
      </c>
      <c r="N921" s="7">
        <v>10.257845</v>
      </c>
      <c r="O921" s="7" t="s">
        <v>23</v>
      </c>
      <c r="P921" s="3"/>
      <c r="Q921" s="3"/>
      <c r="R921" s="3"/>
    </row>
    <row r="922" spans="1:18" x14ac:dyDescent="0.25">
      <c r="A922" s="2">
        <v>1078</v>
      </c>
      <c r="B922" s="7" t="s">
        <v>588</v>
      </c>
      <c r="C922" s="7" t="s">
        <v>589</v>
      </c>
      <c r="D922" s="7" t="s">
        <v>588</v>
      </c>
      <c r="E922" s="7" t="s">
        <v>50</v>
      </c>
      <c r="F922" s="7" t="s">
        <v>590</v>
      </c>
      <c r="G922" s="17" t="s">
        <v>7747</v>
      </c>
      <c r="H922" s="7" t="s">
        <v>28</v>
      </c>
      <c r="I922" s="7" t="s">
        <v>179</v>
      </c>
      <c r="J922" s="7" t="s">
        <v>159</v>
      </c>
      <c r="K922" s="7" t="s">
        <v>160</v>
      </c>
      <c r="L922" s="7" t="s">
        <v>7743</v>
      </c>
      <c r="M922" s="7">
        <v>3.716129</v>
      </c>
      <c r="N922" s="7">
        <v>10.319081000000001</v>
      </c>
      <c r="O922" s="7" t="s">
        <v>23</v>
      </c>
      <c r="P922" s="3"/>
      <c r="Q922" s="3"/>
      <c r="R922" s="3"/>
    </row>
    <row r="923" spans="1:18" x14ac:dyDescent="0.25">
      <c r="A923" s="2">
        <v>1079</v>
      </c>
      <c r="B923" s="7" t="s">
        <v>640</v>
      </c>
      <c r="C923" s="7" t="s">
        <v>641</v>
      </c>
      <c r="D923" s="7" t="s">
        <v>640</v>
      </c>
      <c r="E923" s="7" t="s">
        <v>50</v>
      </c>
      <c r="F923" s="7" t="s">
        <v>642</v>
      </c>
      <c r="G923" s="17" t="s">
        <v>7747</v>
      </c>
      <c r="H923" s="7" t="s">
        <v>28</v>
      </c>
      <c r="I923" s="7" t="s">
        <v>158</v>
      </c>
      <c r="J923" s="7" t="s">
        <v>159</v>
      </c>
      <c r="K923" s="7" t="s">
        <v>160</v>
      </c>
      <c r="L923" s="7" t="s">
        <v>7743</v>
      </c>
      <c r="M923" s="7">
        <v>3.9553600000000002</v>
      </c>
      <c r="N923" s="7">
        <v>10.552778</v>
      </c>
      <c r="O923" s="7" t="s">
        <v>23</v>
      </c>
      <c r="P923" s="3"/>
      <c r="Q923" s="3"/>
      <c r="R923" s="3"/>
    </row>
    <row r="924" spans="1:18" x14ac:dyDescent="0.25">
      <c r="A924" s="2">
        <v>1080</v>
      </c>
      <c r="B924" s="7" t="s">
        <v>693</v>
      </c>
      <c r="C924" s="7" t="s">
        <v>694</v>
      </c>
      <c r="D924" s="7" t="s">
        <v>693</v>
      </c>
      <c r="E924" s="7" t="s">
        <v>50</v>
      </c>
      <c r="F924" s="7" t="s">
        <v>695</v>
      </c>
      <c r="G924" s="17" t="s">
        <v>7747</v>
      </c>
      <c r="H924" s="7" t="s">
        <v>28</v>
      </c>
      <c r="I924" s="7" t="s">
        <v>179</v>
      </c>
      <c r="J924" s="7" t="s">
        <v>159</v>
      </c>
      <c r="K924" s="7" t="s">
        <v>200</v>
      </c>
      <c r="L924" s="7" t="s">
        <v>7743</v>
      </c>
      <c r="M924" s="7">
        <v>3.9530370000000001</v>
      </c>
      <c r="N924" s="7">
        <v>10.115176</v>
      </c>
      <c r="O924" s="7" t="s">
        <v>23</v>
      </c>
      <c r="P924" s="3"/>
      <c r="Q924" s="3"/>
      <c r="R924" s="3"/>
    </row>
    <row r="925" spans="1:18" x14ac:dyDescent="0.25">
      <c r="A925" s="2">
        <v>1081</v>
      </c>
      <c r="B925" s="7" t="s">
        <v>828</v>
      </c>
      <c r="C925" s="7" t="s">
        <v>829</v>
      </c>
      <c r="D925" s="7" t="s">
        <v>828</v>
      </c>
      <c r="E925" s="7" t="s">
        <v>50</v>
      </c>
      <c r="F925" s="7" t="s">
        <v>830</v>
      </c>
      <c r="G925" s="17" t="s">
        <v>7747</v>
      </c>
      <c r="H925" s="7" t="s">
        <v>28</v>
      </c>
      <c r="I925" s="7" t="s">
        <v>179</v>
      </c>
      <c r="J925" s="7" t="s">
        <v>293</v>
      </c>
      <c r="K925" s="7" t="s">
        <v>831</v>
      </c>
      <c r="L925" s="7" t="s">
        <v>7743</v>
      </c>
      <c r="M925" s="7">
        <v>3.4252600000000002</v>
      </c>
      <c r="N925" s="7">
        <v>10.125589</v>
      </c>
      <c r="O925" s="7" t="s">
        <v>23</v>
      </c>
      <c r="P925" s="3"/>
      <c r="Q925" s="3"/>
      <c r="R925" s="3"/>
    </row>
    <row r="926" spans="1:18" x14ac:dyDescent="0.25">
      <c r="A926" s="2">
        <v>1082</v>
      </c>
      <c r="B926" s="7" t="s">
        <v>835</v>
      </c>
      <c r="C926" s="7" t="s">
        <v>836</v>
      </c>
      <c r="D926" s="7" t="s">
        <v>835</v>
      </c>
      <c r="E926" s="7" t="s">
        <v>50</v>
      </c>
      <c r="F926" s="7" t="s">
        <v>837</v>
      </c>
      <c r="G926" s="17" t="s">
        <v>7747</v>
      </c>
      <c r="H926" s="7" t="s">
        <v>28</v>
      </c>
      <c r="I926" s="7" t="s">
        <v>179</v>
      </c>
      <c r="J926" s="7" t="s">
        <v>159</v>
      </c>
      <c r="K926" s="7" t="s">
        <v>204</v>
      </c>
      <c r="L926" s="7" t="s">
        <v>7743</v>
      </c>
      <c r="M926" s="7">
        <v>3.7838690000000001</v>
      </c>
      <c r="N926" s="7">
        <v>10.13499</v>
      </c>
      <c r="O926" s="7" t="s">
        <v>23</v>
      </c>
      <c r="P926" s="3"/>
      <c r="Q926" s="3"/>
      <c r="R926" s="3"/>
    </row>
    <row r="927" spans="1:18" x14ac:dyDescent="0.25">
      <c r="A927" s="2">
        <v>1083</v>
      </c>
      <c r="B927" s="7" t="s">
        <v>838</v>
      </c>
      <c r="C927" s="7" t="s">
        <v>839</v>
      </c>
      <c r="D927" s="7" t="s">
        <v>838</v>
      </c>
      <c r="E927" s="7" t="s">
        <v>50</v>
      </c>
      <c r="F927" s="7" t="s">
        <v>840</v>
      </c>
      <c r="G927" s="17" t="s">
        <v>7747</v>
      </c>
      <c r="H927" s="7" t="s">
        <v>19</v>
      </c>
      <c r="I927" s="7" t="s">
        <v>179</v>
      </c>
      <c r="J927" s="7" t="s">
        <v>159</v>
      </c>
      <c r="K927" s="7" t="s">
        <v>160</v>
      </c>
      <c r="L927" s="7" t="s">
        <v>7743</v>
      </c>
      <c r="M927" s="7">
        <v>3.8247209999999998</v>
      </c>
      <c r="N927" s="7">
        <v>10.369883</v>
      </c>
      <c r="O927" s="7" t="s">
        <v>23</v>
      </c>
      <c r="P927" s="3"/>
      <c r="Q927" s="3"/>
      <c r="R927" s="3"/>
    </row>
    <row r="928" spans="1:18" x14ac:dyDescent="0.25">
      <c r="A928" s="2">
        <v>1084</v>
      </c>
      <c r="B928" s="7" t="s">
        <v>889</v>
      </c>
      <c r="C928" s="7" t="s">
        <v>890</v>
      </c>
      <c r="D928" s="7" t="s">
        <v>889</v>
      </c>
      <c r="E928" s="7" t="s">
        <v>50</v>
      </c>
      <c r="F928" s="7" t="s">
        <v>891</v>
      </c>
      <c r="G928" s="17" t="s">
        <v>7747</v>
      </c>
      <c r="H928" s="7" t="s">
        <v>28</v>
      </c>
      <c r="I928" s="7" t="s">
        <v>161</v>
      </c>
      <c r="J928" s="7" t="s">
        <v>159</v>
      </c>
      <c r="K928" s="7" t="s">
        <v>892</v>
      </c>
      <c r="L928" s="7" t="s">
        <v>7743</v>
      </c>
      <c r="M928" s="7">
        <v>3.8541669999999999</v>
      </c>
      <c r="N928" s="7">
        <v>9.9666669999999993</v>
      </c>
      <c r="O928" s="7" t="s">
        <v>23</v>
      </c>
      <c r="P928" s="3"/>
      <c r="Q928" s="3"/>
      <c r="R928" s="3"/>
    </row>
    <row r="929" spans="1:18" x14ac:dyDescent="0.25">
      <c r="A929" s="2">
        <v>1085</v>
      </c>
      <c r="B929" s="7" t="s">
        <v>974</v>
      </c>
      <c r="C929" s="7" t="s">
        <v>975</v>
      </c>
      <c r="D929" s="7" t="s">
        <v>974</v>
      </c>
      <c r="E929" s="7" t="s">
        <v>50</v>
      </c>
      <c r="F929" s="7" t="s">
        <v>976</v>
      </c>
      <c r="G929" s="17" t="s">
        <v>7747</v>
      </c>
      <c r="H929" s="7" t="s">
        <v>28</v>
      </c>
      <c r="I929" s="7" t="s">
        <v>158</v>
      </c>
      <c r="J929" s="7" t="s">
        <v>159</v>
      </c>
      <c r="K929" s="7" t="s">
        <v>160</v>
      </c>
      <c r="L929" s="7" t="s">
        <v>7743</v>
      </c>
      <c r="M929" s="7">
        <v>3.9260830000000002</v>
      </c>
      <c r="N929" s="7">
        <v>10.587415</v>
      </c>
      <c r="O929" s="7" t="s">
        <v>23</v>
      </c>
      <c r="P929" s="3"/>
      <c r="Q929" s="3"/>
      <c r="R929" s="3"/>
    </row>
    <row r="930" spans="1:18" x14ac:dyDescent="0.25">
      <c r="A930" s="2">
        <v>1086</v>
      </c>
      <c r="B930" s="7" t="s">
        <v>1165</v>
      </c>
      <c r="C930" s="7" t="s">
        <v>1166</v>
      </c>
      <c r="D930" s="7" t="s">
        <v>1165</v>
      </c>
      <c r="E930" s="7" t="s">
        <v>50</v>
      </c>
      <c r="F930" s="7" t="s">
        <v>1167</v>
      </c>
      <c r="G930" s="17" t="s">
        <v>7747</v>
      </c>
      <c r="H930" s="7" t="s">
        <v>28</v>
      </c>
      <c r="I930" s="7" t="s">
        <v>179</v>
      </c>
      <c r="J930" s="7" t="s">
        <v>159</v>
      </c>
      <c r="K930" s="7" t="s">
        <v>204</v>
      </c>
      <c r="L930" s="7" t="s">
        <v>7743</v>
      </c>
      <c r="M930" s="7">
        <v>3.636644</v>
      </c>
      <c r="N930" s="7">
        <v>10.114884999999999</v>
      </c>
      <c r="O930" s="7" t="s">
        <v>23</v>
      </c>
      <c r="P930" s="3"/>
      <c r="Q930" s="3"/>
      <c r="R930" s="3"/>
    </row>
    <row r="931" spans="1:18" x14ac:dyDescent="0.25">
      <c r="A931" s="2">
        <v>1087</v>
      </c>
      <c r="B931" s="7" t="s">
        <v>1293</v>
      </c>
      <c r="C931" s="7" t="s">
        <v>1294</v>
      </c>
      <c r="D931" s="7" t="s">
        <v>1293</v>
      </c>
      <c r="E931" s="7" t="s">
        <v>50</v>
      </c>
      <c r="F931" s="7" t="s">
        <v>1295</v>
      </c>
      <c r="G931" s="17" t="s">
        <v>7747</v>
      </c>
      <c r="H931" s="7" t="s">
        <v>28</v>
      </c>
      <c r="I931" s="7" t="s">
        <v>158</v>
      </c>
      <c r="J931" s="7" t="s">
        <v>159</v>
      </c>
      <c r="K931" s="7" t="s">
        <v>160</v>
      </c>
      <c r="L931" s="7" t="s">
        <v>7743</v>
      </c>
      <c r="M931" s="7">
        <v>3.9650099999999999</v>
      </c>
      <c r="N931" s="7">
        <v>10.59965</v>
      </c>
      <c r="O931" s="7" t="s">
        <v>23</v>
      </c>
      <c r="P931" s="3"/>
      <c r="Q931" s="3"/>
      <c r="R931" s="3"/>
    </row>
    <row r="932" spans="1:18" x14ac:dyDescent="0.25">
      <c r="A932" s="2">
        <v>1088</v>
      </c>
      <c r="B932" s="7" t="s">
        <v>1316</v>
      </c>
      <c r="C932" s="7" t="s">
        <v>1317</v>
      </c>
      <c r="D932" s="7" t="s">
        <v>1316</v>
      </c>
      <c r="E932" s="7" t="s">
        <v>50</v>
      </c>
      <c r="F932" s="7" t="s">
        <v>1318</v>
      </c>
      <c r="G932" s="17" t="s">
        <v>7747</v>
      </c>
      <c r="H932" s="7" t="s">
        <v>28</v>
      </c>
      <c r="I932" s="7" t="s">
        <v>161</v>
      </c>
      <c r="J932" s="7" t="s">
        <v>159</v>
      </c>
      <c r="K932" s="7" t="s">
        <v>204</v>
      </c>
      <c r="L932" s="7" t="s">
        <v>7743</v>
      </c>
      <c r="M932" s="7">
        <v>3.7772220000000001</v>
      </c>
      <c r="N932" s="7">
        <v>10.089778000000001</v>
      </c>
      <c r="O932" s="7" t="s">
        <v>23</v>
      </c>
      <c r="P932" s="3"/>
      <c r="Q932" s="3"/>
      <c r="R932" s="3"/>
    </row>
    <row r="933" spans="1:18" x14ac:dyDescent="0.25">
      <c r="A933" s="2">
        <v>1089</v>
      </c>
      <c r="B933" s="7" t="s">
        <v>1510</v>
      </c>
      <c r="C933" s="7" t="s">
        <v>1511</v>
      </c>
      <c r="D933" s="7" t="s">
        <v>1510</v>
      </c>
      <c r="E933" s="7" t="s">
        <v>50</v>
      </c>
      <c r="F933" s="7" t="s">
        <v>1512</v>
      </c>
      <c r="G933" s="17" t="s">
        <v>7747</v>
      </c>
      <c r="H933" s="7" t="s">
        <v>28</v>
      </c>
      <c r="I933" s="7" t="s">
        <v>179</v>
      </c>
      <c r="J933" s="7" t="s">
        <v>159</v>
      </c>
      <c r="K933" s="7" t="s">
        <v>204</v>
      </c>
      <c r="L933" s="7" t="s">
        <v>7743</v>
      </c>
      <c r="M933" s="7">
        <v>3.7468119999999998</v>
      </c>
      <c r="N933" s="7">
        <v>10.154757</v>
      </c>
      <c r="O933" s="7" t="s">
        <v>23</v>
      </c>
      <c r="P933" s="3"/>
      <c r="Q933" s="3"/>
      <c r="R933" s="3"/>
    </row>
    <row r="934" spans="1:18" x14ac:dyDescent="0.25">
      <c r="A934" s="2">
        <v>1090</v>
      </c>
      <c r="B934" s="7" t="s">
        <v>1544</v>
      </c>
      <c r="C934" s="7" t="s">
        <v>1545</v>
      </c>
      <c r="D934" s="7" t="s">
        <v>1544</v>
      </c>
      <c r="E934" s="7" t="s">
        <v>50</v>
      </c>
      <c r="F934" s="7" t="s">
        <v>1546</v>
      </c>
      <c r="G934" s="17" t="s">
        <v>7747</v>
      </c>
      <c r="H934" s="7" t="s">
        <v>28</v>
      </c>
      <c r="I934" s="7" t="s">
        <v>179</v>
      </c>
      <c r="J934" s="7" t="s">
        <v>159</v>
      </c>
      <c r="K934" s="7" t="s">
        <v>204</v>
      </c>
      <c r="L934" s="7" t="s">
        <v>7743</v>
      </c>
      <c r="M934" s="7">
        <v>3.9781939999999998</v>
      </c>
      <c r="N934" s="7">
        <v>10.107250000000001</v>
      </c>
      <c r="O934" s="7" t="s">
        <v>23</v>
      </c>
      <c r="P934" s="3"/>
      <c r="Q934" s="3"/>
      <c r="R934" s="3"/>
    </row>
    <row r="935" spans="1:18" x14ac:dyDescent="0.25">
      <c r="A935" s="2">
        <v>1091</v>
      </c>
      <c r="B935" s="7" t="s">
        <v>1692</v>
      </c>
      <c r="C935" s="7" t="s">
        <v>1693</v>
      </c>
      <c r="D935" s="7" t="s">
        <v>1692</v>
      </c>
      <c r="E935" s="7" t="s">
        <v>50</v>
      </c>
      <c r="F935" s="7" t="s">
        <v>1694</v>
      </c>
      <c r="G935" s="17" t="s">
        <v>7747</v>
      </c>
      <c r="H935" s="7" t="s">
        <v>19</v>
      </c>
      <c r="I935" s="7" t="s">
        <v>179</v>
      </c>
      <c r="J935" s="7" t="s">
        <v>159</v>
      </c>
      <c r="K935" s="7" t="s">
        <v>160</v>
      </c>
      <c r="L935" s="7" t="s">
        <v>7743</v>
      </c>
      <c r="M935" s="7">
        <v>3.8074170000000001</v>
      </c>
      <c r="N935" s="7">
        <v>10.268306000000001</v>
      </c>
      <c r="O935" s="7" t="s">
        <v>23</v>
      </c>
      <c r="P935" s="3"/>
      <c r="Q935" s="3"/>
      <c r="R935" s="3"/>
    </row>
    <row r="936" spans="1:18" x14ac:dyDescent="0.25">
      <c r="A936" s="2">
        <v>1092</v>
      </c>
      <c r="B936" s="7" t="s">
        <v>1722</v>
      </c>
      <c r="C936" s="7" t="s">
        <v>1723</v>
      </c>
      <c r="D936" s="7" t="s">
        <v>1722</v>
      </c>
      <c r="E936" s="7" t="s">
        <v>50</v>
      </c>
      <c r="F936" s="7" t="s">
        <v>1724</v>
      </c>
      <c r="G936" s="17" t="s">
        <v>7747</v>
      </c>
      <c r="H936" s="7" t="s">
        <v>19</v>
      </c>
      <c r="I936" s="7" t="s">
        <v>158</v>
      </c>
      <c r="J936" s="7" t="s">
        <v>159</v>
      </c>
      <c r="K936" s="7" t="s">
        <v>160</v>
      </c>
      <c r="L936" s="7" t="s">
        <v>7743</v>
      </c>
      <c r="M936" s="7">
        <v>4.0831929999999996</v>
      </c>
      <c r="N936" s="7">
        <v>10.394762999999999</v>
      </c>
      <c r="O936" s="7" t="s">
        <v>23</v>
      </c>
      <c r="P936" s="3"/>
      <c r="Q936" s="3"/>
      <c r="R936" s="3"/>
    </row>
    <row r="937" spans="1:18" x14ac:dyDescent="0.25">
      <c r="A937" s="2">
        <v>1093</v>
      </c>
      <c r="B937" s="7" t="s">
        <v>1740</v>
      </c>
      <c r="C937" s="7" t="s">
        <v>1741</v>
      </c>
      <c r="D937" s="7" t="s">
        <v>1740</v>
      </c>
      <c r="E937" s="7" t="s">
        <v>50</v>
      </c>
      <c r="F937" s="7" t="s">
        <v>1742</v>
      </c>
      <c r="G937" s="17" t="s">
        <v>7747</v>
      </c>
      <c r="H937" s="7" t="s">
        <v>19</v>
      </c>
      <c r="I937" s="7" t="s">
        <v>158</v>
      </c>
      <c r="J937" s="7" t="s">
        <v>159</v>
      </c>
      <c r="K937" s="7" t="s">
        <v>160</v>
      </c>
      <c r="L937" s="7" t="s">
        <v>7743</v>
      </c>
      <c r="M937" s="7">
        <v>3.8649640000000001</v>
      </c>
      <c r="N937" s="7">
        <v>10.556219</v>
      </c>
      <c r="O937" s="7" t="s">
        <v>23</v>
      </c>
      <c r="P937" s="3"/>
      <c r="Q937" s="3"/>
      <c r="R937" s="3"/>
    </row>
    <row r="938" spans="1:18" x14ac:dyDescent="0.25">
      <c r="A938" s="2">
        <v>1096</v>
      </c>
      <c r="B938" s="7" t="s">
        <v>1938</v>
      </c>
      <c r="C938" s="7" t="s">
        <v>1939</v>
      </c>
      <c r="D938" s="7" t="s">
        <v>1938</v>
      </c>
      <c r="E938" s="7" t="s">
        <v>50</v>
      </c>
      <c r="F938" s="7" t="s">
        <v>1940</v>
      </c>
      <c r="G938" s="17" t="s">
        <v>7747</v>
      </c>
      <c r="H938" s="7" t="s">
        <v>19</v>
      </c>
      <c r="I938" s="7" t="s">
        <v>179</v>
      </c>
      <c r="J938" s="7" t="s">
        <v>159</v>
      </c>
      <c r="K938" s="7" t="s">
        <v>204</v>
      </c>
      <c r="L938" s="7" t="s">
        <v>7743</v>
      </c>
      <c r="M938" s="7">
        <v>3.5781909999999999</v>
      </c>
      <c r="N938" s="7">
        <v>10.101203</v>
      </c>
      <c r="O938" s="7" t="s">
        <v>23</v>
      </c>
      <c r="P938" s="3"/>
      <c r="Q938" s="3"/>
      <c r="R938" s="3"/>
    </row>
    <row r="939" spans="1:18" x14ac:dyDescent="0.25">
      <c r="A939" s="2">
        <v>1097</v>
      </c>
      <c r="B939" s="7" t="s">
        <v>2086</v>
      </c>
      <c r="C939" s="7" t="s">
        <v>2087</v>
      </c>
      <c r="D939" s="7" t="s">
        <v>2086</v>
      </c>
      <c r="E939" s="7" t="s">
        <v>50</v>
      </c>
      <c r="F939" s="7" t="s">
        <v>2088</v>
      </c>
      <c r="G939" s="17" t="s">
        <v>7747</v>
      </c>
      <c r="H939" s="7" t="s">
        <v>28</v>
      </c>
      <c r="I939" s="7" t="s">
        <v>161</v>
      </c>
      <c r="J939" s="7" t="s">
        <v>159</v>
      </c>
      <c r="K939" s="7" t="s">
        <v>204</v>
      </c>
      <c r="L939" s="7" t="s">
        <v>7743</v>
      </c>
      <c r="M939" s="7">
        <v>3.7931560000000002</v>
      </c>
      <c r="N939" s="7">
        <v>10.139751</v>
      </c>
      <c r="O939" s="7" t="s">
        <v>23</v>
      </c>
      <c r="P939" s="3"/>
      <c r="Q939" s="3"/>
      <c r="R939" s="3"/>
    </row>
    <row r="940" spans="1:18" x14ac:dyDescent="0.25">
      <c r="A940" s="2">
        <v>1098</v>
      </c>
      <c r="B940" s="7" t="s">
        <v>2250</v>
      </c>
      <c r="C940" s="7" t="s">
        <v>2251</v>
      </c>
      <c r="D940" s="7" t="s">
        <v>2250</v>
      </c>
      <c r="E940" s="7" t="s">
        <v>50</v>
      </c>
      <c r="F940" s="7" t="s">
        <v>2252</v>
      </c>
      <c r="G940" s="17" t="s">
        <v>7747</v>
      </c>
      <c r="H940" s="7" t="s">
        <v>19</v>
      </c>
      <c r="I940" s="7" t="s">
        <v>179</v>
      </c>
      <c r="J940" s="7" t="s">
        <v>293</v>
      </c>
      <c r="K940" s="7" t="s">
        <v>831</v>
      </c>
      <c r="L940" s="7" t="s">
        <v>7743</v>
      </c>
      <c r="M940" s="7">
        <v>3.5059900000000002</v>
      </c>
      <c r="N940" s="7">
        <v>10.1189</v>
      </c>
      <c r="O940" s="7" t="s">
        <v>23</v>
      </c>
      <c r="P940" s="3"/>
      <c r="Q940" s="3"/>
      <c r="R940" s="3"/>
    </row>
    <row r="941" spans="1:18" x14ac:dyDescent="0.25">
      <c r="A941" s="2">
        <v>1099</v>
      </c>
      <c r="B941" s="7" t="s">
        <v>2260</v>
      </c>
      <c r="C941" s="7" t="s">
        <v>2261</v>
      </c>
      <c r="D941" s="7" t="s">
        <v>2260</v>
      </c>
      <c r="E941" s="7" t="s">
        <v>50</v>
      </c>
      <c r="F941" s="7" t="s">
        <v>2262</v>
      </c>
      <c r="G941" s="17" t="s">
        <v>7747</v>
      </c>
      <c r="H941" s="7" t="s">
        <v>28</v>
      </c>
      <c r="I941" s="7" t="s">
        <v>161</v>
      </c>
      <c r="J941" s="7" t="s">
        <v>159</v>
      </c>
      <c r="K941" s="7" t="s">
        <v>204</v>
      </c>
      <c r="L941" s="7" t="s">
        <v>7743</v>
      </c>
      <c r="M941" s="7">
        <v>3.7951839999999999</v>
      </c>
      <c r="N941" s="7">
        <v>10.127643000000001</v>
      </c>
      <c r="O941" s="7" t="s">
        <v>613</v>
      </c>
      <c r="P941" s="3"/>
      <c r="Q941" s="3"/>
      <c r="R941" s="3"/>
    </row>
    <row r="942" spans="1:18" x14ac:dyDescent="0.25">
      <c r="A942" s="2">
        <v>1100</v>
      </c>
      <c r="B942" s="7" t="s">
        <v>2435</v>
      </c>
      <c r="C942" s="7" t="s">
        <v>2436</v>
      </c>
      <c r="D942" s="7" t="s">
        <v>2435</v>
      </c>
      <c r="E942" s="7" t="s">
        <v>50</v>
      </c>
      <c r="F942" s="7" t="s">
        <v>2437</v>
      </c>
      <c r="G942" s="17" t="s">
        <v>7747</v>
      </c>
      <c r="H942" s="7" t="s">
        <v>19</v>
      </c>
      <c r="I942" s="7" t="s">
        <v>161</v>
      </c>
      <c r="J942" s="7" t="s">
        <v>159</v>
      </c>
      <c r="K942" s="7" t="s">
        <v>204</v>
      </c>
      <c r="L942" s="7" t="s">
        <v>7743</v>
      </c>
      <c r="M942" s="7">
        <v>3.7844470000000001</v>
      </c>
      <c r="N942" s="7">
        <v>10.117222</v>
      </c>
      <c r="O942" s="7" t="s">
        <v>23</v>
      </c>
      <c r="P942" s="3"/>
      <c r="Q942" s="3"/>
      <c r="R942" s="3"/>
    </row>
    <row r="943" spans="1:18" x14ac:dyDescent="0.25">
      <c r="A943" s="2">
        <v>1101</v>
      </c>
      <c r="B943" s="7" t="s">
        <v>2438</v>
      </c>
      <c r="C943" s="7" t="s">
        <v>2439</v>
      </c>
      <c r="D943" s="7" t="s">
        <v>2438</v>
      </c>
      <c r="E943" s="7" t="s">
        <v>50</v>
      </c>
      <c r="F943" s="7" t="s">
        <v>892</v>
      </c>
      <c r="G943" s="17" t="s">
        <v>7747</v>
      </c>
      <c r="H943" s="7" t="s">
        <v>19</v>
      </c>
      <c r="I943" s="7" t="s">
        <v>161</v>
      </c>
      <c r="J943" s="7" t="s">
        <v>159</v>
      </c>
      <c r="K943" s="7" t="s">
        <v>2440</v>
      </c>
      <c r="L943" s="7" t="s">
        <v>7743</v>
      </c>
      <c r="M943" s="7">
        <v>3.749228</v>
      </c>
      <c r="N943" s="7">
        <v>10.018192000000001</v>
      </c>
      <c r="O943" s="7" t="s">
        <v>23</v>
      </c>
      <c r="P943" s="3"/>
      <c r="Q943" s="3"/>
      <c r="R943" s="3"/>
    </row>
    <row r="944" spans="1:18" x14ac:dyDescent="0.25">
      <c r="A944" s="2">
        <v>1102</v>
      </c>
      <c r="B944" s="7" t="s">
        <v>2984</v>
      </c>
      <c r="C944" s="7" t="s">
        <v>2985</v>
      </c>
      <c r="D944" s="7" t="s">
        <v>2984</v>
      </c>
      <c r="E944" s="7" t="s">
        <v>50</v>
      </c>
      <c r="F944" s="7" t="s">
        <v>2986</v>
      </c>
      <c r="G944" s="17" t="s">
        <v>7747</v>
      </c>
      <c r="H944" s="7" t="s">
        <v>19</v>
      </c>
      <c r="I944" s="7" t="s">
        <v>158</v>
      </c>
      <c r="J944" s="7" t="s">
        <v>159</v>
      </c>
      <c r="K944" s="7" t="s">
        <v>160</v>
      </c>
      <c r="L944" s="7" t="s">
        <v>7743</v>
      </c>
      <c r="M944" s="7">
        <v>3.8707690000000001</v>
      </c>
      <c r="N944" s="7">
        <v>10.558999999999999</v>
      </c>
      <c r="O944" s="7" t="s">
        <v>23</v>
      </c>
      <c r="P944" s="3"/>
      <c r="Q944" s="3"/>
      <c r="R944" s="3"/>
    </row>
    <row r="945" spans="1:18" x14ac:dyDescent="0.25">
      <c r="A945" s="2">
        <v>1103</v>
      </c>
      <c r="B945" s="7" t="s">
        <v>3105</v>
      </c>
      <c r="C945" s="7" t="s">
        <v>3106</v>
      </c>
      <c r="D945" s="7" t="s">
        <v>3105</v>
      </c>
      <c r="E945" s="7" t="s">
        <v>50</v>
      </c>
      <c r="F945" s="7" t="s">
        <v>3107</v>
      </c>
      <c r="G945" s="17" t="s">
        <v>7747</v>
      </c>
      <c r="H945" s="7" t="s">
        <v>28</v>
      </c>
      <c r="I945" s="7" t="s">
        <v>179</v>
      </c>
      <c r="J945" s="7" t="s">
        <v>159</v>
      </c>
      <c r="K945" s="7" t="s">
        <v>379</v>
      </c>
      <c r="L945" s="7" t="s">
        <v>7743</v>
      </c>
      <c r="M945" s="7">
        <v>3.8302399999999999</v>
      </c>
      <c r="N945" s="7">
        <v>10.108243999999999</v>
      </c>
      <c r="O945" s="7" t="s">
        <v>23</v>
      </c>
      <c r="P945" s="3"/>
      <c r="Q945" s="3"/>
      <c r="R945" s="3"/>
    </row>
    <row r="946" spans="1:18" x14ac:dyDescent="0.25">
      <c r="A946" s="2">
        <v>1104</v>
      </c>
      <c r="B946" s="7" t="s">
        <v>3108</v>
      </c>
      <c r="C946" s="7" t="s">
        <v>3109</v>
      </c>
      <c r="D946" s="7" t="s">
        <v>3108</v>
      </c>
      <c r="E946" s="7" t="s">
        <v>50</v>
      </c>
      <c r="F946" s="7" t="s">
        <v>3110</v>
      </c>
      <c r="G946" s="17" t="s">
        <v>7747</v>
      </c>
      <c r="H946" s="7" t="s">
        <v>28</v>
      </c>
      <c r="I946" s="7" t="s">
        <v>161</v>
      </c>
      <c r="J946" s="7" t="s">
        <v>159</v>
      </c>
      <c r="K946" s="7" t="s">
        <v>204</v>
      </c>
      <c r="L946" s="7" t="s">
        <v>7743</v>
      </c>
      <c r="M946" s="7">
        <v>3.7687110000000001</v>
      </c>
      <c r="N946" s="7">
        <v>10.126277999999999</v>
      </c>
      <c r="O946" s="7" t="s">
        <v>23</v>
      </c>
      <c r="P946" s="3"/>
      <c r="Q946" s="3"/>
      <c r="R946" s="3"/>
    </row>
    <row r="947" spans="1:18" x14ac:dyDescent="0.25">
      <c r="A947" s="2">
        <v>1105</v>
      </c>
      <c r="B947" s="7" t="s">
        <v>3126</v>
      </c>
      <c r="C947" s="7" t="s">
        <v>3127</v>
      </c>
      <c r="D947" s="7" t="s">
        <v>3126</v>
      </c>
      <c r="E947" s="7" t="s">
        <v>50</v>
      </c>
      <c r="F947" s="7" t="s">
        <v>3128</v>
      </c>
      <c r="G947" s="17" t="s">
        <v>7747</v>
      </c>
      <c r="H947" s="7" t="s">
        <v>28</v>
      </c>
      <c r="I947" s="7" t="s">
        <v>158</v>
      </c>
      <c r="J947" s="7" t="s">
        <v>159</v>
      </c>
      <c r="K947" s="7" t="s">
        <v>160</v>
      </c>
      <c r="L947" s="7" t="s">
        <v>7743</v>
      </c>
      <c r="M947" s="7">
        <v>3.8722639999999999</v>
      </c>
      <c r="N947" s="7">
        <v>10.638496999999999</v>
      </c>
      <c r="O947" s="7" t="s">
        <v>23</v>
      </c>
      <c r="P947" s="3"/>
      <c r="Q947" s="3"/>
      <c r="R947" s="3"/>
    </row>
    <row r="948" spans="1:18" x14ac:dyDescent="0.25">
      <c r="A948" s="2">
        <v>1106</v>
      </c>
      <c r="B948" s="7" t="s">
        <v>3206</v>
      </c>
      <c r="C948" s="7" t="s">
        <v>3207</v>
      </c>
      <c r="D948" s="7" t="s">
        <v>3206</v>
      </c>
      <c r="E948" s="7" t="s">
        <v>50</v>
      </c>
      <c r="F948" s="7" t="s">
        <v>3208</v>
      </c>
      <c r="G948" s="17" t="s">
        <v>7747</v>
      </c>
      <c r="H948" s="7" t="s">
        <v>19</v>
      </c>
      <c r="I948" s="7" t="s">
        <v>179</v>
      </c>
      <c r="J948" s="7" t="s">
        <v>159</v>
      </c>
      <c r="K948" s="7" t="s">
        <v>204</v>
      </c>
      <c r="L948" s="7" t="s">
        <v>7743</v>
      </c>
      <c r="M948" s="7">
        <v>3.783061</v>
      </c>
      <c r="N948" s="7">
        <v>10.149889999999999</v>
      </c>
      <c r="O948" s="7" t="s">
        <v>23</v>
      </c>
      <c r="P948" s="3"/>
      <c r="Q948" s="3"/>
      <c r="R948" s="3"/>
    </row>
    <row r="949" spans="1:18" x14ac:dyDescent="0.25">
      <c r="A949" s="2">
        <v>1107</v>
      </c>
      <c r="B949" s="7" t="s">
        <v>3513</v>
      </c>
      <c r="C949" s="7" t="s">
        <v>3514</v>
      </c>
      <c r="D949" s="7" t="s">
        <v>3513</v>
      </c>
      <c r="E949" s="7" t="s">
        <v>50</v>
      </c>
      <c r="F949" s="7" t="s">
        <v>892</v>
      </c>
      <c r="G949" s="17" t="s">
        <v>7747</v>
      </c>
      <c r="H949" s="7" t="s">
        <v>19</v>
      </c>
      <c r="I949" s="7" t="s">
        <v>161</v>
      </c>
      <c r="J949" s="7" t="s">
        <v>159</v>
      </c>
      <c r="K949" s="7" t="s">
        <v>2440</v>
      </c>
      <c r="L949" s="7" t="s">
        <v>7743</v>
      </c>
      <c r="M949" s="7">
        <v>3.7462420000000001</v>
      </c>
      <c r="N949" s="7">
        <v>10.020697999999999</v>
      </c>
      <c r="O949" s="7" t="s">
        <v>23</v>
      </c>
      <c r="P949" s="3"/>
      <c r="Q949" s="3"/>
      <c r="R949" s="3"/>
    </row>
    <row r="950" spans="1:18" x14ac:dyDescent="0.25">
      <c r="A950" s="2">
        <v>1108</v>
      </c>
      <c r="B950" s="7" t="s">
        <v>4094</v>
      </c>
      <c r="C950" s="7" t="s">
        <v>4095</v>
      </c>
      <c r="D950" s="7" t="s">
        <v>4094</v>
      </c>
      <c r="E950" s="7" t="s">
        <v>50</v>
      </c>
      <c r="F950" s="7" t="s">
        <v>4096</v>
      </c>
      <c r="G950" s="17" t="s">
        <v>7747</v>
      </c>
      <c r="H950" s="7" t="s">
        <v>19</v>
      </c>
      <c r="I950" s="7" t="s">
        <v>158</v>
      </c>
      <c r="J950" s="7" t="s">
        <v>159</v>
      </c>
      <c r="K950" s="7" t="s">
        <v>160</v>
      </c>
      <c r="L950" s="7" t="s">
        <v>7743</v>
      </c>
      <c r="M950" s="7">
        <v>4.2466670000000004</v>
      </c>
      <c r="N950" s="7">
        <v>10.614333</v>
      </c>
      <c r="O950" s="7" t="s">
        <v>23</v>
      </c>
      <c r="P950" s="3"/>
      <c r="Q950" s="3"/>
      <c r="R950" s="3"/>
    </row>
    <row r="951" spans="1:18" x14ac:dyDescent="0.25">
      <c r="A951" s="2">
        <v>1109</v>
      </c>
      <c r="B951" s="7" t="s">
        <v>4097</v>
      </c>
      <c r="C951" s="7" t="s">
        <v>4098</v>
      </c>
      <c r="D951" s="7" t="s">
        <v>4097</v>
      </c>
      <c r="E951" s="7" t="s">
        <v>50</v>
      </c>
      <c r="F951" s="7" t="s">
        <v>4099</v>
      </c>
      <c r="G951" s="17" t="s">
        <v>7747</v>
      </c>
      <c r="H951" s="7" t="s">
        <v>19</v>
      </c>
      <c r="I951" s="7" t="s">
        <v>158</v>
      </c>
      <c r="J951" s="7" t="s">
        <v>159</v>
      </c>
      <c r="K951" s="7" t="s">
        <v>160</v>
      </c>
      <c r="L951" s="7" t="s">
        <v>7743</v>
      </c>
      <c r="M951" s="7">
        <v>4.0325369999999996</v>
      </c>
      <c r="N951" s="7">
        <v>10.566267</v>
      </c>
      <c r="O951" s="7" t="s">
        <v>23</v>
      </c>
      <c r="P951" s="3"/>
      <c r="Q951" s="3"/>
      <c r="R951" s="3"/>
    </row>
    <row r="952" spans="1:18" x14ac:dyDescent="0.25">
      <c r="A952" s="2">
        <v>1110</v>
      </c>
      <c r="B952" s="7" t="s">
        <v>4286</v>
      </c>
      <c r="C952" s="7" t="s">
        <v>4287</v>
      </c>
      <c r="D952" s="7" t="s">
        <v>4286</v>
      </c>
      <c r="E952" s="7" t="s">
        <v>50</v>
      </c>
      <c r="F952" s="7" t="s">
        <v>4288</v>
      </c>
      <c r="G952" s="17" t="s">
        <v>7747</v>
      </c>
      <c r="H952" s="7" t="s">
        <v>28</v>
      </c>
      <c r="I952" s="7" t="s">
        <v>158</v>
      </c>
      <c r="J952" s="7" t="s">
        <v>159</v>
      </c>
      <c r="K952" s="7" t="s">
        <v>160</v>
      </c>
      <c r="L952" s="7" t="s">
        <v>7743</v>
      </c>
      <c r="M952" s="7">
        <v>4.1101669999999997</v>
      </c>
      <c r="N952" s="7">
        <v>10.546028</v>
      </c>
      <c r="O952" s="7" t="s">
        <v>23</v>
      </c>
      <c r="P952" s="3"/>
      <c r="Q952" s="3"/>
      <c r="R952" s="3"/>
    </row>
    <row r="953" spans="1:18" x14ac:dyDescent="0.25">
      <c r="A953" s="2">
        <v>1111</v>
      </c>
      <c r="B953" s="7" t="s">
        <v>4342</v>
      </c>
      <c r="C953" s="7" t="s">
        <v>4343</v>
      </c>
      <c r="D953" s="7" t="s">
        <v>4342</v>
      </c>
      <c r="E953" s="7" t="s">
        <v>50</v>
      </c>
      <c r="F953" s="7" t="s">
        <v>4344</v>
      </c>
      <c r="G953" s="17" t="s">
        <v>7747</v>
      </c>
      <c r="H953" s="7" t="s">
        <v>28</v>
      </c>
      <c r="I953" s="7" t="s">
        <v>179</v>
      </c>
      <c r="J953" s="7" t="s">
        <v>159</v>
      </c>
      <c r="K953" s="7" t="s">
        <v>204</v>
      </c>
      <c r="L953" s="7" t="s">
        <v>7743</v>
      </c>
      <c r="M953" s="7">
        <v>3.7939590000000001</v>
      </c>
      <c r="N953" s="7">
        <v>10.215351</v>
      </c>
      <c r="O953" s="7" t="s">
        <v>23</v>
      </c>
      <c r="P953" s="3"/>
      <c r="Q953" s="3"/>
      <c r="R953" s="3"/>
    </row>
    <row r="954" spans="1:18" x14ac:dyDescent="0.25">
      <c r="A954" s="2">
        <v>1112</v>
      </c>
      <c r="B954" s="7" t="s">
        <v>4373</v>
      </c>
      <c r="C954" s="7" t="s">
        <v>4374</v>
      </c>
      <c r="D954" s="7" t="s">
        <v>4373</v>
      </c>
      <c r="E954" s="7" t="s">
        <v>50</v>
      </c>
      <c r="F954" s="7" t="s">
        <v>4375</v>
      </c>
      <c r="G954" s="17" t="s">
        <v>7747</v>
      </c>
      <c r="H954" s="7" t="s">
        <v>28</v>
      </c>
      <c r="I954" s="7" t="s">
        <v>161</v>
      </c>
      <c r="J954" s="7" t="s">
        <v>159</v>
      </c>
      <c r="K954" s="7" t="s">
        <v>204</v>
      </c>
      <c r="L954" s="7" t="s">
        <v>7743</v>
      </c>
      <c r="M954" s="7">
        <v>3.801892</v>
      </c>
      <c r="N954" s="7">
        <v>10.119653</v>
      </c>
      <c r="O954" s="7" t="s">
        <v>23</v>
      </c>
      <c r="P954" s="3"/>
      <c r="Q954" s="3"/>
      <c r="R954" s="3"/>
    </row>
    <row r="955" spans="1:18" x14ac:dyDescent="0.25">
      <c r="A955" s="2">
        <v>1113</v>
      </c>
      <c r="B955" s="7" t="s">
        <v>4386</v>
      </c>
      <c r="C955" s="7" t="s">
        <v>4387</v>
      </c>
      <c r="D955" s="7" t="s">
        <v>4386</v>
      </c>
      <c r="E955" s="7" t="s">
        <v>50</v>
      </c>
      <c r="F955" s="7" t="s">
        <v>4388</v>
      </c>
      <c r="G955" s="17" t="s">
        <v>7747</v>
      </c>
      <c r="H955" s="7" t="s">
        <v>19</v>
      </c>
      <c r="I955" s="7" t="s">
        <v>161</v>
      </c>
      <c r="J955" s="7" t="s">
        <v>159</v>
      </c>
      <c r="K955" s="7" t="s">
        <v>4388</v>
      </c>
      <c r="L955" s="7" t="s">
        <v>7743</v>
      </c>
      <c r="M955" s="7">
        <v>3.6417169999999999</v>
      </c>
      <c r="N955" s="7">
        <v>9.7915969999999994</v>
      </c>
      <c r="O955" s="7" t="s">
        <v>23</v>
      </c>
      <c r="P955" s="3"/>
      <c r="Q955" s="3"/>
      <c r="R955" s="3"/>
    </row>
    <row r="956" spans="1:18" x14ac:dyDescent="0.25">
      <c r="A956" s="2">
        <v>1114</v>
      </c>
      <c r="B956" s="7" t="s">
        <v>4395</v>
      </c>
      <c r="C956" s="7" t="s">
        <v>4396</v>
      </c>
      <c r="D956" s="7" t="s">
        <v>4395</v>
      </c>
      <c r="E956" s="7" t="s">
        <v>50</v>
      </c>
      <c r="F956" s="7" t="s">
        <v>209</v>
      </c>
      <c r="G956" s="17" t="s">
        <v>7747</v>
      </c>
      <c r="H956" s="7" t="s">
        <v>28</v>
      </c>
      <c r="I956" s="7" t="s">
        <v>158</v>
      </c>
      <c r="J956" s="7" t="s">
        <v>208</v>
      </c>
      <c r="K956" s="7" t="s">
        <v>209</v>
      </c>
      <c r="L956" s="7" t="s">
        <v>7743</v>
      </c>
      <c r="M956" s="7">
        <v>3.9958360000000002</v>
      </c>
      <c r="N956" s="7">
        <v>10.718959</v>
      </c>
      <c r="O956" s="7" t="s">
        <v>23</v>
      </c>
      <c r="P956" s="3"/>
      <c r="Q956" s="3"/>
      <c r="R956" s="3"/>
    </row>
    <row r="957" spans="1:18" x14ac:dyDescent="0.25">
      <c r="A957" s="2">
        <v>1115</v>
      </c>
      <c r="B957" s="7" t="s">
        <v>4412</v>
      </c>
      <c r="C957" s="7" t="s">
        <v>4413</v>
      </c>
      <c r="D957" s="7" t="s">
        <v>4412</v>
      </c>
      <c r="E957" s="7" t="s">
        <v>50</v>
      </c>
      <c r="F957" s="7" t="s">
        <v>4414</v>
      </c>
      <c r="G957" s="17" t="s">
        <v>7747</v>
      </c>
      <c r="H957" s="7" t="s">
        <v>19</v>
      </c>
      <c r="I957" s="7" t="s">
        <v>161</v>
      </c>
      <c r="J957" s="7" t="s">
        <v>159</v>
      </c>
      <c r="K957" s="7" t="s">
        <v>379</v>
      </c>
      <c r="L957" s="7" t="s">
        <v>7743</v>
      </c>
      <c r="M957" s="7">
        <v>3.8239540000000001</v>
      </c>
      <c r="N957" s="7">
        <v>10.094893000000001</v>
      </c>
      <c r="O957" s="7" t="s">
        <v>23</v>
      </c>
      <c r="P957" s="3"/>
      <c r="Q957" s="3"/>
      <c r="R957" s="3"/>
    </row>
    <row r="958" spans="1:18" x14ac:dyDescent="0.25">
      <c r="A958" s="2">
        <v>1116</v>
      </c>
      <c r="B958" s="7" t="s">
        <v>4430</v>
      </c>
      <c r="C958" s="7" t="s">
        <v>4431</v>
      </c>
      <c r="D958" s="7" t="s">
        <v>4430</v>
      </c>
      <c r="E958" s="7" t="s">
        <v>50</v>
      </c>
      <c r="F958" s="7" t="s">
        <v>4432</v>
      </c>
      <c r="G958" s="17" t="s">
        <v>7747</v>
      </c>
      <c r="H958" s="7" t="s">
        <v>28</v>
      </c>
      <c r="I958" s="7" t="s">
        <v>161</v>
      </c>
      <c r="J958" s="7" t="s">
        <v>159</v>
      </c>
      <c r="K958" s="7" t="s">
        <v>379</v>
      </c>
      <c r="L958" s="7" t="s">
        <v>7743</v>
      </c>
      <c r="M958" s="7">
        <v>3.8042500000000001</v>
      </c>
      <c r="N958" s="7">
        <v>10.085861</v>
      </c>
      <c r="O958" s="7" t="s">
        <v>23</v>
      </c>
      <c r="P958" s="3"/>
      <c r="Q958" s="3"/>
      <c r="R958" s="3"/>
    </row>
    <row r="959" spans="1:18" x14ac:dyDescent="0.25">
      <c r="A959" s="2">
        <v>1118</v>
      </c>
      <c r="B959" s="7" t="s">
        <v>4590</v>
      </c>
      <c r="C959" s="7" t="s">
        <v>4591</v>
      </c>
      <c r="D959" s="7" t="s">
        <v>4590</v>
      </c>
      <c r="E959" s="7" t="s">
        <v>50</v>
      </c>
      <c r="F959" s="7" t="s">
        <v>4592</v>
      </c>
      <c r="G959" s="17" t="s">
        <v>7747</v>
      </c>
      <c r="H959" s="7" t="s">
        <v>28</v>
      </c>
      <c r="I959" s="7" t="s">
        <v>158</v>
      </c>
      <c r="J959" s="7" t="s">
        <v>159</v>
      </c>
      <c r="K959" s="7" t="s">
        <v>160</v>
      </c>
      <c r="L959" s="7" t="s">
        <v>7743</v>
      </c>
      <c r="M959" s="7">
        <v>4.1044099999999997</v>
      </c>
      <c r="N959" s="7">
        <v>10.46823</v>
      </c>
      <c r="O959" s="7" t="s">
        <v>23</v>
      </c>
      <c r="P959" s="3"/>
      <c r="Q959" s="3"/>
      <c r="R959" s="3"/>
    </row>
    <row r="960" spans="1:18" x14ac:dyDescent="0.25">
      <c r="A960" s="2">
        <v>1119</v>
      </c>
      <c r="B960" s="7" t="s">
        <v>4593</v>
      </c>
      <c r="C960" s="7" t="s">
        <v>4594</v>
      </c>
      <c r="D960" s="7" t="s">
        <v>4593</v>
      </c>
      <c r="E960" s="7" t="s">
        <v>50</v>
      </c>
      <c r="F960" s="7" t="s">
        <v>4595</v>
      </c>
      <c r="G960" s="17" t="s">
        <v>7747</v>
      </c>
      <c r="H960" s="7" t="s">
        <v>19</v>
      </c>
      <c r="I960" s="7" t="s">
        <v>161</v>
      </c>
      <c r="J960" s="7" t="s">
        <v>159</v>
      </c>
      <c r="K960" s="7" t="s">
        <v>4388</v>
      </c>
      <c r="L960" s="7" t="s">
        <v>7743</v>
      </c>
      <c r="M960" s="7">
        <v>3.640587</v>
      </c>
      <c r="N960" s="7">
        <v>9.7927649999999993</v>
      </c>
      <c r="O960" s="7" t="s">
        <v>23</v>
      </c>
      <c r="P960" s="3"/>
      <c r="Q960" s="3"/>
      <c r="R960" s="3"/>
    </row>
    <row r="961" spans="1:18" x14ac:dyDescent="0.25">
      <c r="A961" s="2">
        <v>1120</v>
      </c>
      <c r="B961" s="7" t="s">
        <v>4653</v>
      </c>
      <c r="C961" s="7" t="s">
        <v>4654</v>
      </c>
      <c r="D961" s="7" t="s">
        <v>4653</v>
      </c>
      <c r="E961" s="7" t="s">
        <v>50</v>
      </c>
      <c r="F961" s="7" t="s">
        <v>4655</v>
      </c>
      <c r="G961" s="17" t="s">
        <v>7747</v>
      </c>
      <c r="H961" s="7" t="s">
        <v>28</v>
      </c>
      <c r="I961" s="7" t="s">
        <v>158</v>
      </c>
      <c r="J961" s="7" t="s">
        <v>159</v>
      </c>
      <c r="K961" s="7" t="s">
        <v>160</v>
      </c>
      <c r="L961" s="7" t="s">
        <v>7743</v>
      </c>
      <c r="M961" s="7">
        <v>3.9975499999999999</v>
      </c>
      <c r="N961" s="7">
        <v>10.589460000000001</v>
      </c>
      <c r="O961" s="7" t="s">
        <v>23</v>
      </c>
      <c r="P961" s="3"/>
      <c r="Q961" s="3"/>
      <c r="R961" s="3"/>
    </row>
    <row r="962" spans="1:18" x14ac:dyDescent="0.25">
      <c r="A962" s="2">
        <v>1121</v>
      </c>
      <c r="B962" s="7" t="s">
        <v>4853</v>
      </c>
      <c r="C962" s="7" t="s">
        <v>4854</v>
      </c>
      <c r="D962" s="7" t="s">
        <v>4853</v>
      </c>
      <c r="E962" s="7" t="s">
        <v>50</v>
      </c>
      <c r="F962" s="7" t="s">
        <v>4855</v>
      </c>
      <c r="G962" s="17" t="s">
        <v>7747</v>
      </c>
      <c r="H962" s="7" t="s">
        <v>19</v>
      </c>
      <c r="I962" s="7" t="s">
        <v>158</v>
      </c>
      <c r="J962" s="7" t="s">
        <v>208</v>
      </c>
      <c r="K962" s="7" t="s">
        <v>209</v>
      </c>
      <c r="L962" s="7" t="s">
        <v>7743</v>
      </c>
      <c r="M962" s="7">
        <v>3.8874879999999998</v>
      </c>
      <c r="N962" s="7">
        <v>10.703383000000001</v>
      </c>
      <c r="O962" s="7" t="s">
        <v>23</v>
      </c>
      <c r="P962" s="3"/>
      <c r="Q962" s="3"/>
      <c r="R962" s="3"/>
    </row>
    <row r="963" spans="1:18" x14ac:dyDescent="0.25">
      <c r="A963" s="2">
        <v>1122</v>
      </c>
      <c r="B963" s="7" t="s">
        <v>5956</v>
      </c>
      <c r="C963" s="7" t="s">
        <v>5957</v>
      </c>
      <c r="D963" s="7" t="s">
        <v>5956</v>
      </c>
      <c r="E963" s="7" t="s">
        <v>50</v>
      </c>
      <c r="F963" s="7" t="s">
        <v>5958</v>
      </c>
      <c r="G963" s="17" t="s">
        <v>7747</v>
      </c>
      <c r="H963" s="7" t="s">
        <v>28</v>
      </c>
      <c r="I963" s="7" t="s">
        <v>161</v>
      </c>
      <c r="J963" s="7" t="s">
        <v>159</v>
      </c>
      <c r="K963" s="7" t="s">
        <v>4388</v>
      </c>
      <c r="L963" s="7" t="s">
        <v>7743</v>
      </c>
      <c r="M963" s="7">
        <v>3.7500330000000002</v>
      </c>
      <c r="N963" s="7">
        <v>9.8677580000000003</v>
      </c>
      <c r="O963" s="7" t="s">
        <v>23</v>
      </c>
      <c r="P963" s="3"/>
      <c r="Q963" s="3"/>
      <c r="R963" s="3"/>
    </row>
    <row r="964" spans="1:18" x14ac:dyDescent="0.25">
      <c r="A964" s="2">
        <v>1124</v>
      </c>
      <c r="B964" s="7" t="s">
        <v>6106</v>
      </c>
      <c r="C964" s="7" t="s">
        <v>6107</v>
      </c>
      <c r="D964" s="7" t="s">
        <v>6106</v>
      </c>
      <c r="E964" s="7" t="s">
        <v>50</v>
      </c>
      <c r="F964" s="7" t="s">
        <v>6108</v>
      </c>
      <c r="G964" s="17" t="s">
        <v>7747</v>
      </c>
      <c r="H964" s="7" t="s">
        <v>28</v>
      </c>
      <c r="I964" s="7" t="s">
        <v>179</v>
      </c>
      <c r="J964" s="7" t="s">
        <v>159</v>
      </c>
      <c r="K964" s="7" t="s">
        <v>204</v>
      </c>
      <c r="L964" s="7" t="s">
        <v>7743</v>
      </c>
      <c r="M964" s="7">
        <v>3.7651889999999999</v>
      </c>
      <c r="N964" s="7">
        <v>10.169776000000001</v>
      </c>
      <c r="O964" s="7" t="s">
        <v>23</v>
      </c>
      <c r="P964" s="3"/>
      <c r="Q964" s="3"/>
      <c r="R964" s="3"/>
    </row>
    <row r="965" spans="1:18" x14ac:dyDescent="0.25">
      <c r="A965" s="2">
        <v>1126</v>
      </c>
      <c r="B965" s="7" t="s">
        <v>6194</v>
      </c>
      <c r="C965" s="7" t="s">
        <v>6195</v>
      </c>
      <c r="D965" s="7" t="s">
        <v>6194</v>
      </c>
      <c r="E965" s="7" t="s">
        <v>50</v>
      </c>
      <c r="F965" s="7" t="s">
        <v>6196</v>
      </c>
      <c r="G965" s="17" t="s">
        <v>7747</v>
      </c>
      <c r="H965" s="7" t="s">
        <v>19</v>
      </c>
      <c r="I965" s="7" t="s">
        <v>161</v>
      </c>
      <c r="J965" s="7" t="s">
        <v>159</v>
      </c>
      <c r="K965" s="7" t="s">
        <v>200</v>
      </c>
      <c r="L965" s="7" t="s">
        <v>7743</v>
      </c>
      <c r="M965" s="7">
        <v>3.9483329999999999</v>
      </c>
      <c r="N965" s="7">
        <v>10.007605999999999</v>
      </c>
      <c r="O965" s="7" t="s">
        <v>23</v>
      </c>
      <c r="P965" s="3"/>
      <c r="Q965" s="3"/>
      <c r="R965" s="3"/>
    </row>
    <row r="966" spans="1:18" x14ac:dyDescent="0.25">
      <c r="A966" s="2">
        <v>1127</v>
      </c>
      <c r="B966" s="7" t="s">
        <v>6228</v>
      </c>
      <c r="C966" s="7" t="s">
        <v>6229</v>
      </c>
      <c r="D966" s="7" t="s">
        <v>6228</v>
      </c>
      <c r="E966" s="7" t="s">
        <v>50</v>
      </c>
      <c r="F966" s="7" t="s">
        <v>6230</v>
      </c>
      <c r="G966" s="17" t="s">
        <v>7747</v>
      </c>
      <c r="H966" s="7" t="s">
        <v>28</v>
      </c>
      <c r="I966" s="7" t="s">
        <v>179</v>
      </c>
      <c r="J966" s="7" t="s">
        <v>159</v>
      </c>
      <c r="K966" s="7" t="s">
        <v>160</v>
      </c>
      <c r="L966" s="7" t="s">
        <v>7743</v>
      </c>
      <c r="M966" s="7">
        <v>3.8302520000000002</v>
      </c>
      <c r="N966" s="7">
        <v>10.397161000000001</v>
      </c>
      <c r="O966" s="7" t="s">
        <v>23</v>
      </c>
      <c r="P966" s="3"/>
      <c r="Q966" s="3"/>
      <c r="R966" s="3"/>
    </row>
    <row r="967" spans="1:18" x14ac:dyDescent="0.25">
      <c r="A967" s="2">
        <v>1128</v>
      </c>
      <c r="B967" s="7" t="s">
        <v>6231</v>
      </c>
      <c r="C967" s="7" t="s">
        <v>6232</v>
      </c>
      <c r="D967" s="7" t="s">
        <v>6231</v>
      </c>
      <c r="E967" s="7" t="s">
        <v>50</v>
      </c>
      <c r="F967" s="7" t="s">
        <v>6233</v>
      </c>
      <c r="G967" s="17" t="s">
        <v>7747</v>
      </c>
      <c r="H967" s="7" t="s">
        <v>19</v>
      </c>
      <c r="I967" s="7" t="s">
        <v>158</v>
      </c>
      <c r="J967" s="7" t="s">
        <v>159</v>
      </c>
      <c r="K967" s="7" t="s">
        <v>160</v>
      </c>
      <c r="L967" s="7" t="s">
        <v>7743</v>
      </c>
      <c r="M967" s="7">
        <v>3.8355000000000001</v>
      </c>
      <c r="N967" s="7">
        <v>10.4977</v>
      </c>
      <c r="O967" s="7" t="s">
        <v>23</v>
      </c>
      <c r="P967" s="3"/>
      <c r="Q967" s="3"/>
      <c r="R967" s="3"/>
    </row>
    <row r="968" spans="1:18" x14ac:dyDescent="0.25">
      <c r="A968" s="2">
        <v>1129</v>
      </c>
      <c r="B968" s="7" t="s">
        <v>6234</v>
      </c>
      <c r="C968" s="7" t="s">
        <v>6235</v>
      </c>
      <c r="D968" s="7" t="s">
        <v>6234</v>
      </c>
      <c r="E968" s="7" t="s">
        <v>50</v>
      </c>
      <c r="F968" s="7" t="s">
        <v>6236</v>
      </c>
      <c r="G968" s="17" t="s">
        <v>7747</v>
      </c>
      <c r="H968" s="7" t="s">
        <v>19</v>
      </c>
      <c r="I968" s="7" t="s">
        <v>158</v>
      </c>
      <c r="J968" s="7" t="s">
        <v>159</v>
      </c>
      <c r="K968" s="7" t="s">
        <v>160</v>
      </c>
      <c r="L968" s="7" t="s">
        <v>7743</v>
      </c>
      <c r="M968" s="7">
        <v>3.8444219999999998</v>
      </c>
      <c r="N968" s="7">
        <v>10.457443</v>
      </c>
      <c r="O968" s="7" t="s">
        <v>23</v>
      </c>
      <c r="P968" s="3"/>
      <c r="Q968" s="3"/>
      <c r="R968" s="3"/>
    </row>
    <row r="969" spans="1:18" x14ac:dyDescent="0.25">
      <c r="A969" s="2">
        <v>1130</v>
      </c>
      <c r="B969" s="7" t="s">
        <v>6274</v>
      </c>
      <c r="C969" s="7" t="s">
        <v>6275</v>
      </c>
      <c r="D969" s="7" t="s">
        <v>6274</v>
      </c>
      <c r="E969" s="7" t="s">
        <v>50</v>
      </c>
      <c r="F969" s="7" t="s">
        <v>6276</v>
      </c>
      <c r="G969" s="17" t="s">
        <v>7747</v>
      </c>
      <c r="H969" s="7" t="s">
        <v>28</v>
      </c>
      <c r="I969" s="7" t="s">
        <v>161</v>
      </c>
      <c r="J969" s="7" t="s">
        <v>159</v>
      </c>
      <c r="K969" s="7" t="s">
        <v>204</v>
      </c>
      <c r="L969" s="7" t="s">
        <v>7743</v>
      </c>
      <c r="M969" s="7">
        <v>3.9605000000000001</v>
      </c>
      <c r="N969" s="7">
        <v>9.9641389999999994</v>
      </c>
      <c r="O969" s="7" t="s">
        <v>23</v>
      </c>
      <c r="P969" s="3"/>
      <c r="Q969" s="3"/>
      <c r="R969" s="3"/>
    </row>
    <row r="970" spans="1:18" x14ac:dyDescent="0.25">
      <c r="A970" s="2">
        <v>1132</v>
      </c>
      <c r="B970" s="7" t="s">
        <v>6464</v>
      </c>
      <c r="C970" s="7" t="s">
        <v>6465</v>
      </c>
      <c r="D970" s="7" t="s">
        <v>6464</v>
      </c>
      <c r="E970" s="7" t="s">
        <v>50</v>
      </c>
      <c r="F970" s="7" t="s">
        <v>6466</v>
      </c>
      <c r="G970" s="17" t="s">
        <v>7747</v>
      </c>
      <c r="H970" s="7" t="s">
        <v>28</v>
      </c>
      <c r="I970" s="7" t="s">
        <v>161</v>
      </c>
      <c r="J970" s="7" t="s">
        <v>159</v>
      </c>
      <c r="K970" s="7" t="s">
        <v>204</v>
      </c>
      <c r="L970" s="7" t="s">
        <v>7743</v>
      </c>
      <c r="M970" s="7">
        <v>3.8410890000000002</v>
      </c>
      <c r="N970" s="7">
        <v>10.089219</v>
      </c>
      <c r="O970" s="7" t="s">
        <v>23</v>
      </c>
      <c r="P970" s="3"/>
      <c r="Q970" s="3"/>
      <c r="R970" s="3"/>
    </row>
    <row r="971" spans="1:18" x14ac:dyDescent="0.25">
      <c r="A971" s="2">
        <v>1133</v>
      </c>
      <c r="B971" s="7" t="s">
        <v>6640</v>
      </c>
      <c r="C971" s="7" t="s">
        <v>6641</v>
      </c>
      <c r="D971" s="7" t="s">
        <v>6640</v>
      </c>
      <c r="E971" s="7" t="s">
        <v>50</v>
      </c>
      <c r="F971" s="7" t="s">
        <v>6642</v>
      </c>
      <c r="G971" s="17" t="s">
        <v>7747</v>
      </c>
      <c r="H971" s="7" t="s">
        <v>28</v>
      </c>
      <c r="I971" s="7" t="s">
        <v>158</v>
      </c>
      <c r="J971" s="7" t="s">
        <v>159</v>
      </c>
      <c r="K971" s="7" t="s">
        <v>160</v>
      </c>
      <c r="L971" s="7" t="s">
        <v>7743</v>
      </c>
      <c r="M971" s="7">
        <v>4.1410400000000003</v>
      </c>
      <c r="N971" s="7">
        <v>10.48052</v>
      </c>
      <c r="O971" s="7" t="s">
        <v>23</v>
      </c>
      <c r="P971" s="3"/>
      <c r="Q971" s="3"/>
      <c r="R971" s="3"/>
    </row>
    <row r="972" spans="1:18" x14ac:dyDescent="0.25">
      <c r="A972" s="2">
        <v>1134</v>
      </c>
      <c r="B972" s="7" t="s">
        <v>7644</v>
      </c>
      <c r="C972" s="7" t="s">
        <v>7645</v>
      </c>
      <c r="D972" s="7" t="s">
        <v>7644</v>
      </c>
      <c r="E972" s="7" t="s">
        <v>50</v>
      </c>
      <c r="F972" s="7" t="s">
        <v>7646</v>
      </c>
      <c r="G972" s="17" t="s">
        <v>7747</v>
      </c>
      <c r="H972" s="7" t="s">
        <v>28</v>
      </c>
      <c r="I972" s="7" t="s">
        <v>161</v>
      </c>
      <c r="J972" s="7" t="s">
        <v>7647</v>
      </c>
      <c r="K972" s="7" t="s">
        <v>204</v>
      </c>
      <c r="L972" s="7" t="s">
        <v>7743</v>
      </c>
      <c r="M972" s="7">
        <v>3.7916799999999999</v>
      </c>
      <c r="N972" s="7">
        <v>10.117620000000001</v>
      </c>
      <c r="O972" s="7" t="s">
        <v>23</v>
      </c>
      <c r="P972" s="3"/>
      <c r="Q972" s="3"/>
      <c r="R972" s="3"/>
    </row>
    <row r="973" spans="1:18" x14ac:dyDescent="0.25">
      <c r="A973" s="2">
        <v>1285</v>
      </c>
      <c r="B973" s="7" t="s">
        <v>289</v>
      </c>
      <c r="C973" s="7" t="s">
        <v>290</v>
      </c>
      <c r="D973" s="7" t="s">
        <v>289</v>
      </c>
      <c r="E973" s="7" t="s">
        <v>50</v>
      </c>
      <c r="F973" s="7" t="s">
        <v>291</v>
      </c>
      <c r="G973" s="17" t="s">
        <v>7747</v>
      </c>
      <c r="H973" s="7" t="s">
        <v>28</v>
      </c>
      <c r="I973" s="7" t="s">
        <v>292</v>
      </c>
      <c r="J973" s="7" t="s">
        <v>293</v>
      </c>
      <c r="K973" s="7" t="s">
        <v>292</v>
      </c>
      <c r="L973" s="7" t="s">
        <v>7743</v>
      </c>
      <c r="M973" s="7">
        <v>2.970367</v>
      </c>
      <c r="N973" s="7">
        <v>9.9261110000000006</v>
      </c>
      <c r="O973" s="7" t="s">
        <v>23</v>
      </c>
      <c r="P973" s="3"/>
      <c r="Q973" s="3"/>
      <c r="R973" s="3"/>
    </row>
    <row r="974" spans="1:18" x14ac:dyDescent="0.25">
      <c r="A974" s="2">
        <v>1291</v>
      </c>
      <c r="B974" s="7" t="s">
        <v>671</v>
      </c>
      <c r="C974" s="7" t="s">
        <v>672</v>
      </c>
      <c r="D974" s="7" t="s">
        <v>671</v>
      </c>
      <c r="E974" s="7" t="s">
        <v>50</v>
      </c>
      <c r="F974" s="7" t="s">
        <v>673</v>
      </c>
      <c r="G974" s="17" t="s">
        <v>7747</v>
      </c>
      <c r="H974" s="7" t="s">
        <v>28</v>
      </c>
      <c r="I974" s="7" t="s">
        <v>674</v>
      </c>
      <c r="J974" s="7" t="s">
        <v>293</v>
      </c>
      <c r="K974" s="7" t="s">
        <v>292</v>
      </c>
      <c r="L974" s="7" t="s">
        <v>7743</v>
      </c>
      <c r="M974" s="7">
        <v>3.0100370000000001</v>
      </c>
      <c r="N974" s="7">
        <v>9.9548210000000008</v>
      </c>
      <c r="O974" s="7" t="s">
        <v>23</v>
      </c>
      <c r="P974" s="3"/>
      <c r="Q974" s="3"/>
      <c r="R974" s="3"/>
    </row>
    <row r="975" spans="1:18" x14ac:dyDescent="0.25">
      <c r="A975" s="2">
        <v>1292</v>
      </c>
      <c r="B975" s="7" t="s">
        <v>968</v>
      </c>
      <c r="C975" s="7" t="s">
        <v>969</v>
      </c>
      <c r="D975" s="7" t="s">
        <v>968</v>
      </c>
      <c r="E975" s="7" t="s">
        <v>50</v>
      </c>
      <c r="F975" s="7" t="s">
        <v>970</v>
      </c>
      <c r="G975" s="17" t="s">
        <v>7747</v>
      </c>
      <c r="H975" s="7" t="s">
        <v>28</v>
      </c>
      <c r="I975" s="7" t="s">
        <v>292</v>
      </c>
      <c r="J975" s="7" t="s">
        <v>293</v>
      </c>
      <c r="K975" s="7" t="s">
        <v>674</v>
      </c>
      <c r="L975" s="7" t="s">
        <v>7743</v>
      </c>
      <c r="M975" s="7">
        <v>2.9465699999999999</v>
      </c>
      <c r="N975" s="7">
        <v>10.032095</v>
      </c>
      <c r="O975" s="7" t="s">
        <v>23</v>
      </c>
      <c r="P975" s="3"/>
      <c r="Q975" s="3"/>
      <c r="R975" s="3"/>
    </row>
    <row r="976" spans="1:18" x14ac:dyDescent="0.25">
      <c r="A976" s="2">
        <v>1295</v>
      </c>
      <c r="B976" s="7" t="s">
        <v>1323</v>
      </c>
      <c r="C976" s="7" t="s">
        <v>1324</v>
      </c>
      <c r="D976" s="7" t="s">
        <v>1323</v>
      </c>
      <c r="E976" s="7" t="s">
        <v>50</v>
      </c>
      <c r="F976" s="7" t="s">
        <v>1325</v>
      </c>
      <c r="G976" s="17" t="s">
        <v>7747</v>
      </c>
      <c r="H976" s="7" t="s">
        <v>28</v>
      </c>
      <c r="I976" s="7" t="s">
        <v>674</v>
      </c>
      <c r="J976" s="7" t="s">
        <v>293</v>
      </c>
      <c r="K976" s="7" t="s">
        <v>292</v>
      </c>
      <c r="L976" s="7" t="s">
        <v>7743</v>
      </c>
      <c r="M976" s="7">
        <v>2.9651999999999998</v>
      </c>
      <c r="N976" s="7">
        <v>9.9192400000000003</v>
      </c>
      <c r="O976" s="7" t="s">
        <v>23</v>
      </c>
      <c r="P976" s="3"/>
      <c r="Q976" s="3"/>
      <c r="R976" s="3"/>
    </row>
    <row r="977" spans="1:18" x14ac:dyDescent="0.25">
      <c r="A977" s="2">
        <v>1296</v>
      </c>
      <c r="B977" s="7" t="s">
        <v>1485</v>
      </c>
      <c r="C977" s="7" t="s">
        <v>1486</v>
      </c>
      <c r="D977" s="7" t="s">
        <v>1485</v>
      </c>
      <c r="E977" s="7" t="s">
        <v>50</v>
      </c>
      <c r="F977" s="7" t="s">
        <v>1487</v>
      </c>
      <c r="G977" s="17" t="s">
        <v>7747</v>
      </c>
      <c r="H977" s="7" t="s">
        <v>28</v>
      </c>
      <c r="I977" s="7" t="s">
        <v>674</v>
      </c>
      <c r="J977" s="7" t="s">
        <v>293</v>
      </c>
      <c r="K977" s="7" t="s">
        <v>292</v>
      </c>
      <c r="L977" s="7" t="s">
        <v>7743</v>
      </c>
      <c r="M977" s="7">
        <v>2.5851899999999999</v>
      </c>
      <c r="N977" s="7">
        <v>10.056778</v>
      </c>
      <c r="O977" s="7" t="s">
        <v>23</v>
      </c>
      <c r="P977" s="3"/>
      <c r="Q977" s="3"/>
      <c r="R977" s="3"/>
    </row>
    <row r="978" spans="1:18" x14ac:dyDescent="0.25">
      <c r="A978" s="2">
        <v>1297</v>
      </c>
      <c r="B978" s="7" t="s">
        <v>1517</v>
      </c>
      <c r="C978" s="7" t="s">
        <v>1518</v>
      </c>
      <c r="D978" s="7" t="s">
        <v>1517</v>
      </c>
      <c r="E978" s="7" t="s">
        <v>50</v>
      </c>
      <c r="F978" s="7" t="s">
        <v>1519</v>
      </c>
      <c r="G978" s="17" t="s">
        <v>7747</v>
      </c>
      <c r="H978" s="7" t="s">
        <v>28</v>
      </c>
      <c r="I978" s="7" t="s">
        <v>674</v>
      </c>
      <c r="J978" s="7" t="s">
        <v>293</v>
      </c>
      <c r="K978" s="7" t="s">
        <v>292</v>
      </c>
      <c r="L978" s="7" t="s">
        <v>7743</v>
      </c>
      <c r="M978" s="7">
        <v>2.952474</v>
      </c>
      <c r="N978" s="7">
        <v>9.9136550000000003</v>
      </c>
      <c r="O978" s="7" t="s">
        <v>23</v>
      </c>
      <c r="P978" s="3"/>
      <c r="Q978" s="3"/>
      <c r="R978" s="3"/>
    </row>
    <row r="979" spans="1:18" x14ac:dyDescent="0.25">
      <c r="A979" s="2">
        <v>1298</v>
      </c>
      <c r="B979" s="7" t="s">
        <v>1600</v>
      </c>
      <c r="C979" s="7" t="s">
        <v>1601</v>
      </c>
      <c r="D979" s="7" t="s">
        <v>1600</v>
      </c>
      <c r="E979" s="7" t="s">
        <v>50</v>
      </c>
      <c r="F979" s="7" t="s">
        <v>1602</v>
      </c>
      <c r="G979" s="17" t="s">
        <v>7747</v>
      </c>
      <c r="H979" s="7" t="s">
        <v>28</v>
      </c>
      <c r="I979" s="7" t="s">
        <v>674</v>
      </c>
      <c r="J979" s="7" t="s">
        <v>293</v>
      </c>
      <c r="K979" s="7" t="s">
        <v>292</v>
      </c>
      <c r="L979" s="7" t="s">
        <v>7743</v>
      </c>
      <c r="M979" s="7">
        <v>2.7722449999999998</v>
      </c>
      <c r="N979" s="7">
        <v>10.131962</v>
      </c>
      <c r="O979" s="7" t="s">
        <v>23</v>
      </c>
      <c r="P979" s="3"/>
      <c r="Q979" s="3"/>
      <c r="R979" s="3"/>
    </row>
    <row r="980" spans="1:18" x14ac:dyDescent="0.25">
      <c r="A980" s="2">
        <v>1299</v>
      </c>
      <c r="B980" s="7" t="s">
        <v>1622</v>
      </c>
      <c r="C980" s="7" t="s">
        <v>1623</v>
      </c>
      <c r="D980" s="7" t="s">
        <v>1622</v>
      </c>
      <c r="E980" s="7" t="s">
        <v>50</v>
      </c>
      <c r="F980" s="7" t="s">
        <v>1624</v>
      </c>
      <c r="G980" s="17" t="s">
        <v>7747</v>
      </c>
      <c r="H980" s="7" t="s">
        <v>19</v>
      </c>
      <c r="I980" s="7" t="s">
        <v>674</v>
      </c>
      <c r="J980" s="7" t="s">
        <v>293</v>
      </c>
      <c r="K980" s="7" t="s">
        <v>292</v>
      </c>
      <c r="L980" s="7" t="s">
        <v>7743</v>
      </c>
      <c r="M980" s="7">
        <v>3.102147</v>
      </c>
      <c r="N980" s="7">
        <v>9.9896390000000004</v>
      </c>
      <c r="O980" s="7" t="s">
        <v>23</v>
      </c>
      <c r="P980" s="3"/>
      <c r="Q980" s="3"/>
      <c r="R980" s="3"/>
    </row>
    <row r="981" spans="1:18" x14ac:dyDescent="0.25">
      <c r="A981" s="2">
        <v>1300</v>
      </c>
      <c r="B981" s="7" t="s">
        <v>1822</v>
      </c>
      <c r="C981" s="7" t="s">
        <v>1823</v>
      </c>
      <c r="D981" s="7" t="s">
        <v>1822</v>
      </c>
      <c r="E981" s="7" t="s">
        <v>50</v>
      </c>
      <c r="F981" s="7" t="s">
        <v>1824</v>
      </c>
      <c r="G981" s="17" t="s">
        <v>7747</v>
      </c>
      <c r="H981" s="7" t="s">
        <v>19</v>
      </c>
      <c r="I981" s="7" t="s">
        <v>674</v>
      </c>
      <c r="J981" s="7" t="s">
        <v>293</v>
      </c>
      <c r="K981" s="7" t="s">
        <v>292</v>
      </c>
      <c r="L981" s="7" t="s">
        <v>7743</v>
      </c>
      <c r="M981" s="7">
        <v>2.718181</v>
      </c>
      <c r="N981" s="7">
        <v>10.065139</v>
      </c>
      <c r="O981" s="7" t="s">
        <v>23</v>
      </c>
      <c r="P981" s="3"/>
      <c r="Q981" s="3"/>
      <c r="R981" s="3"/>
    </row>
    <row r="982" spans="1:18" x14ac:dyDescent="0.25">
      <c r="A982" s="2">
        <v>1301</v>
      </c>
      <c r="B982" s="7" t="s">
        <v>2203</v>
      </c>
      <c r="C982" s="7" t="s">
        <v>2204</v>
      </c>
      <c r="D982" s="7" t="s">
        <v>2203</v>
      </c>
      <c r="E982" s="7" t="s">
        <v>50</v>
      </c>
      <c r="F982" s="7" t="s">
        <v>2205</v>
      </c>
      <c r="G982" s="17" t="s">
        <v>7747</v>
      </c>
      <c r="H982" s="7" t="s">
        <v>19</v>
      </c>
      <c r="I982" s="7" t="s">
        <v>158</v>
      </c>
      <c r="J982" s="7" t="s">
        <v>293</v>
      </c>
      <c r="K982" s="7" t="s">
        <v>831</v>
      </c>
      <c r="L982" s="7" t="s">
        <v>7743</v>
      </c>
      <c r="M982" s="7">
        <v>3.20106</v>
      </c>
      <c r="N982" s="7">
        <v>10.0258</v>
      </c>
      <c r="O982" s="7" t="s">
        <v>23</v>
      </c>
      <c r="P982" s="3"/>
      <c r="Q982" s="3"/>
      <c r="R982" s="3"/>
    </row>
    <row r="983" spans="1:18" x14ac:dyDescent="0.25">
      <c r="A983" s="2">
        <v>1302</v>
      </c>
      <c r="B983" s="7" t="s">
        <v>2238</v>
      </c>
      <c r="C983" s="7" t="s">
        <v>2239</v>
      </c>
      <c r="D983" s="7" t="s">
        <v>2238</v>
      </c>
      <c r="E983" s="7" t="s">
        <v>50</v>
      </c>
      <c r="F983" s="7" t="s">
        <v>2240</v>
      </c>
      <c r="G983" s="17" t="s">
        <v>7747</v>
      </c>
      <c r="H983" s="7" t="s">
        <v>19</v>
      </c>
      <c r="I983" s="7" t="s">
        <v>292</v>
      </c>
      <c r="J983" s="7" t="s">
        <v>293</v>
      </c>
      <c r="K983" s="7" t="s">
        <v>674</v>
      </c>
      <c r="L983" s="7" t="s">
        <v>7743</v>
      </c>
      <c r="M983" s="7">
        <v>2.3775789999999999</v>
      </c>
      <c r="N983" s="7">
        <v>9.8311259999999994</v>
      </c>
      <c r="O983" s="7" t="s">
        <v>23</v>
      </c>
      <c r="P983" s="3"/>
      <c r="Q983" s="3"/>
      <c r="R983" s="3"/>
    </row>
    <row r="984" spans="1:18" x14ac:dyDescent="0.25">
      <c r="A984" s="2">
        <v>1303</v>
      </c>
      <c r="B984" s="7" t="s">
        <v>2272</v>
      </c>
      <c r="C984" s="7" t="s">
        <v>2273</v>
      </c>
      <c r="D984" s="7" t="s">
        <v>2272</v>
      </c>
      <c r="E984" s="7" t="s">
        <v>50</v>
      </c>
      <c r="F984" s="7" t="s">
        <v>2274</v>
      </c>
      <c r="G984" s="17" t="s">
        <v>7747</v>
      </c>
      <c r="H984" s="7" t="s">
        <v>19</v>
      </c>
      <c r="I984" s="7" t="s">
        <v>158</v>
      </c>
      <c r="J984" s="7" t="s">
        <v>293</v>
      </c>
      <c r="K984" s="7" t="s">
        <v>831</v>
      </c>
      <c r="L984" s="7" t="s">
        <v>7743</v>
      </c>
      <c r="M984" s="7">
        <v>3.3063030000000002</v>
      </c>
      <c r="N984" s="7">
        <v>10.082806</v>
      </c>
      <c r="O984" s="7" t="s">
        <v>23</v>
      </c>
      <c r="P984" s="3"/>
      <c r="Q984" s="3"/>
      <c r="R984" s="3"/>
    </row>
    <row r="985" spans="1:18" x14ac:dyDescent="0.25">
      <c r="A985" s="2">
        <v>1304</v>
      </c>
      <c r="B985" s="7" t="s">
        <v>2340</v>
      </c>
      <c r="C985" s="7" t="s">
        <v>2341</v>
      </c>
      <c r="D985" s="7" t="s">
        <v>2340</v>
      </c>
      <c r="E985" s="7" t="s">
        <v>50</v>
      </c>
      <c r="F985" s="7" t="s">
        <v>2342</v>
      </c>
      <c r="G985" s="17" t="s">
        <v>7747</v>
      </c>
      <c r="H985" s="7" t="s">
        <v>19</v>
      </c>
      <c r="I985" s="7" t="s">
        <v>292</v>
      </c>
      <c r="J985" s="7" t="s">
        <v>293</v>
      </c>
      <c r="K985" s="7" t="s">
        <v>292</v>
      </c>
      <c r="L985" s="7" t="s">
        <v>7743</v>
      </c>
      <c r="M985" s="7">
        <v>2.9310100000000001</v>
      </c>
      <c r="N985" s="7">
        <v>9.9106199999999998</v>
      </c>
      <c r="O985" s="7" t="s">
        <v>23</v>
      </c>
      <c r="P985" s="3"/>
      <c r="Q985" s="3"/>
      <c r="R985" s="3"/>
    </row>
    <row r="986" spans="1:18" x14ac:dyDescent="0.25">
      <c r="A986" s="2">
        <v>1305</v>
      </c>
      <c r="B986" s="7" t="s">
        <v>2719</v>
      </c>
      <c r="C986" s="7" t="s">
        <v>2720</v>
      </c>
      <c r="D986" s="7" t="s">
        <v>2719</v>
      </c>
      <c r="E986" s="7" t="s">
        <v>50</v>
      </c>
      <c r="F986" s="7" t="s">
        <v>2721</v>
      </c>
      <c r="G986" s="17" t="s">
        <v>7747</v>
      </c>
      <c r="H986" s="7" t="s">
        <v>19</v>
      </c>
      <c r="I986" s="7" t="s">
        <v>674</v>
      </c>
      <c r="J986" s="7" t="s">
        <v>293</v>
      </c>
      <c r="K986" s="7" t="s">
        <v>292</v>
      </c>
      <c r="L986" s="7" t="s">
        <v>7743</v>
      </c>
      <c r="M986" s="7">
        <v>2.99478</v>
      </c>
      <c r="N986" s="7">
        <v>9.9405289999999997</v>
      </c>
      <c r="O986" s="7" t="s">
        <v>23</v>
      </c>
      <c r="P986" s="3"/>
      <c r="Q986" s="3"/>
      <c r="R986" s="3"/>
    </row>
    <row r="987" spans="1:18" x14ac:dyDescent="0.25">
      <c r="A987" s="2">
        <v>1306</v>
      </c>
      <c r="B987" s="7" t="s">
        <v>3914</v>
      </c>
      <c r="C987" s="7" t="s">
        <v>3915</v>
      </c>
      <c r="D987" s="7" t="s">
        <v>3914</v>
      </c>
      <c r="E987" s="7" t="s">
        <v>50</v>
      </c>
      <c r="F987" s="7" t="s">
        <v>3916</v>
      </c>
      <c r="G987" s="17" t="s">
        <v>7747</v>
      </c>
      <c r="H987" s="7" t="s">
        <v>28</v>
      </c>
      <c r="I987" s="7" t="s">
        <v>292</v>
      </c>
      <c r="J987" s="7" t="s">
        <v>293</v>
      </c>
      <c r="K987" s="7" t="s">
        <v>674</v>
      </c>
      <c r="L987" s="7" t="s">
        <v>7743</v>
      </c>
      <c r="M987" s="7">
        <v>2.9504999999999999</v>
      </c>
      <c r="N987" s="7">
        <v>9.9228330000000007</v>
      </c>
      <c r="O987" s="7" t="s">
        <v>23</v>
      </c>
      <c r="P987" s="3"/>
      <c r="Q987" s="3"/>
      <c r="R987" s="3"/>
    </row>
    <row r="988" spans="1:18" x14ac:dyDescent="0.25">
      <c r="A988" s="2">
        <v>1307</v>
      </c>
      <c r="B988" s="7" t="s">
        <v>4162</v>
      </c>
      <c r="C988" s="7" t="s">
        <v>4163</v>
      </c>
      <c r="D988" s="7" t="s">
        <v>4162</v>
      </c>
      <c r="E988" s="7" t="s">
        <v>50</v>
      </c>
      <c r="F988" s="7" t="s">
        <v>4164</v>
      </c>
      <c r="G988" s="17" t="s">
        <v>7747</v>
      </c>
      <c r="H988" s="7" t="s">
        <v>28</v>
      </c>
      <c r="I988" s="7" t="s">
        <v>674</v>
      </c>
      <c r="J988" s="7" t="s">
        <v>293</v>
      </c>
      <c r="K988" s="7" t="s">
        <v>292</v>
      </c>
      <c r="L988" s="7" t="s">
        <v>7743</v>
      </c>
      <c r="M988" s="7">
        <v>2.938577</v>
      </c>
      <c r="N988" s="7">
        <v>9.9109739999999995</v>
      </c>
      <c r="O988" s="7" t="s">
        <v>23</v>
      </c>
      <c r="P988" s="3"/>
      <c r="Q988" s="3"/>
      <c r="R988" s="3"/>
    </row>
    <row r="989" spans="1:18" x14ac:dyDescent="0.25">
      <c r="A989" s="2">
        <v>1308</v>
      </c>
      <c r="B989" s="7" t="s">
        <v>4277</v>
      </c>
      <c r="C989" s="7" t="s">
        <v>4278</v>
      </c>
      <c r="D989" s="7" t="s">
        <v>4277</v>
      </c>
      <c r="E989" s="7" t="s">
        <v>50</v>
      </c>
      <c r="F989" s="7" t="s">
        <v>4279</v>
      </c>
      <c r="G989" s="17" t="s">
        <v>7747</v>
      </c>
      <c r="H989" s="7" t="s">
        <v>28</v>
      </c>
      <c r="I989" s="7" t="s">
        <v>674</v>
      </c>
      <c r="J989" s="7" t="s">
        <v>293</v>
      </c>
      <c r="K989" s="7" t="s">
        <v>292</v>
      </c>
      <c r="L989" s="7" t="s">
        <v>7743</v>
      </c>
      <c r="M989" s="7">
        <v>2.8532500000000001</v>
      </c>
      <c r="N989" s="7">
        <v>9.9734719999999992</v>
      </c>
      <c r="O989" s="7" t="s">
        <v>23</v>
      </c>
      <c r="P989" s="3"/>
      <c r="Q989" s="3"/>
      <c r="R989" s="3"/>
    </row>
    <row r="990" spans="1:18" x14ac:dyDescent="0.25">
      <c r="A990" s="2">
        <v>1309</v>
      </c>
      <c r="B990" s="7" t="s">
        <v>4283</v>
      </c>
      <c r="C990" s="7" t="s">
        <v>4284</v>
      </c>
      <c r="D990" s="7" t="s">
        <v>4283</v>
      </c>
      <c r="E990" s="7" t="s">
        <v>50</v>
      </c>
      <c r="F990" s="7" t="s">
        <v>4285</v>
      </c>
      <c r="G990" s="17" t="s">
        <v>7747</v>
      </c>
      <c r="H990" s="7" t="s">
        <v>28</v>
      </c>
      <c r="I990" s="7" t="s">
        <v>674</v>
      </c>
      <c r="J990" s="7" t="s">
        <v>293</v>
      </c>
      <c r="K990" s="7" t="s">
        <v>292</v>
      </c>
      <c r="L990" s="7" t="s">
        <v>7743</v>
      </c>
      <c r="M990" s="7">
        <v>3.035139</v>
      </c>
      <c r="N990" s="7">
        <v>9.9674110000000002</v>
      </c>
      <c r="O990" s="7" t="s">
        <v>23</v>
      </c>
      <c r="P990" s="3"/>
      <c r="Q990" s="3"/>
      <c r="R990" s="3"/>
    </row>
    <row r="991" spans="1:18" x14ac:dyDescent="0.25">
      <c r="A991" s="2">
        <v>1310</v>
      </c>
      <c r="B991" s="7" t="s">
        <v>4500</v>
      </c>
      <c r="C991" s="7" t="s">
        <v>4501</v>
      </c>
      <c r="D991" s="7" t="s">
        <v>4500</v>
      </c>
      <c r="E991" s="7" t="s">
        <v>50</v>
      </c>
      <c r="F991" s="7" t="s">
        <v>4502</v>
      </c>
      <c r="G991" s="17" t="s">
        <v>7747</v>
      </c>
      <c r="H991" s="7" t="s">
        <v>19</v>
      </c>
      <c r="I991" s="7" t="s">
        <v>292</v>
      </c>
      <c r="J991" s="7" t="s">
        <v>293</v>
      </c>
      <c r="K991" s="7" t="s">
        <v>292</v>
      </c>
      <c r="L991" s="7" t="s">
        <v>7743</v>
      </c>
      <c r="M991" s="7">
        <v>2.8532989999999998</v>
      </c>
      <c r="N991" s="7">
        <v>9.8886040000000008</v>
      </c>
      <c r="O991" s="7" t="s">
        <v>23</v>
      </c>
      <c r="P991" s="3"/>
      <c r="Q991" s="3"/>
      <c r="R991" s="3"/>
    </row>
    <row r="992" spans="1:18" x14ac:dyDescent="0.25">
      <c r="A992" s="2">
        <v>1311</v>
      </c>
      <c r="B992" s="7" t="s">
        <v>4561</v>
      </c>
      <c r="C992" s="7" t="s">
        <v>4562</v>
      </c>
      <c r="D992" s="7" t="s">
        <v>4561</v>
      </c>
      <c r="E992" s="7" t="s">
        <v>50</v>
      </c>
      <c r="F992" s="7" t="s">
        <v>4563</v>
      </c>
      <c r="G992" s="17" t="s">
        <v>7747</v>
      </c>
      <c r="H992" s="7" t="s">
        <v>28</v>
      </c>
      <c r="I992" s="7" t="s">
        <v>292</v>
      </c>
      <c r="J992" s="7" t="s">
        <v>293</v>
      </c>
      <c r="K992" s="7" t="s">
        <v>292</v>
      </c>
      <c r="L992" s="7" t="s">
        <v>7743</v>
      </c>
      <c r="M992" s="7">
        <v>2.8885559999999999</v>
      </c>
      <c r="N992" s="7">
        <v>9.9020829999999993</v>
      </c>
      <c r="O992" s="7" t="s">
        <v>23</v>
      </c>
      <c r="P992" s="3"/>
      <c r="Q992" s="3"/>
      <c r="R992" s="3"/>
    </row>
    <row r="993" spans="1:18" x14ac:dyDescent="0.25">
      <c r="A993" s="2">
        <v>1312</v>
      </c>
      <c r="B993" s="7" t="s">
        <v>4662</v>
      </c>
      <c r="C993" s="7" t="s">
        <v>4663</v>
      </c>
      <c r="D993" s="7" t="s">
        <v>4662</v>
      </c>
      <c r="E993" s="7" t="s">
        <v>50</v>
      </c>
      <c r="F993" s="7" t="s">
        <v>4664</v>
      </c>
      <c r="G993" s="17" t="s">
        <v>7747</v>
      </c>
      <c r="H993" s="7" t="s">
        <v>28</v>
      </c>
      <c r="I993" s="7" t="s">
        <v>674</v>
      </c>
      <c r="J993" s="7" t="s">
        <v>293</v>
      </c>
      <c r="K993" s="7" t="s">
        <v>292</v>
      </c>
      <c r="L993" s="7" t="s">
        <v>7743</v>
      </c>
      <c r="M993" s="7">
        <v>2.6881499999999998</v>
      </c>
      <c r="N993" s="7">
        <v>10.070650000000001</v>
      </c>
      <c r="O993" s="7" t="s">
        <v>23</v>
      </c>
      <c r="P993" s="3"/>
      <c r="Q993" s="3"/>
      <c r="R993" s="3"/>
    </row>
    <row r="994" spans="1:18" x14ac:dyDescent="0.25">
      <c r="A994" s="2">
        <v>1313</v>
      </c>
      <c r="B994" s="7" t="s">
        <v>4665</v>
      </c>
      <c r="C994" s="7" t="s">
        <v>4666</v>
      </c>
      <c r="D994" s="7" t="s">
        <v>4665</v>
      </c>
      <c r="E994" s="7" t="s">
        <v>50</v>
      </c>
      <c r="F994" s="7" t="s">
        <v>4667</v>
      </c>
      <c r="G994" s="17" t="s">
        <v>7747</v>
      </c>
      <c r="H994" s="7" t="s">
        <v>28</v>
      </c>
      <c r="I994" s="7" t="s">
        <v>674</v>
      </c>
      <c r="J994" s="7" t="s">
        <v>293</v>
      </c>
      <c r="K994" s="7" t="s">
        <v>292</v>
      </c>
      <c r="L994" s="7" t="s">
        <v>7743</v>
      </c>
      <c r="M994" s="7">
        <v>2.6306889999999998</v>
      </c>
      <c r="N994" s="7">
        <v>10.070092000000001</v>
      </c>
      <c r="O994" s="7" t="s">
        <v>23</v>
      </c>
      <c r="P994" s="3"/>
      <c r="Q994" s="3"/>
      <c r="R994" s="3"/>
    </row>
    <row r="995" spans="1:18" x14ac:dyDescent="0.25">
      <c r="A995" s="2">
        <v>1314</v>
      </c>
      <c r="B995" s="7" t="s">
        <v>4719</v>
      </c>
      <c r="C995" s="7" t="s">
        <v>4720</v>
      </c>
      <c r="D995" s="7" t="s">
        <v>4719</v>
      </c>
      <c r="E995" s="7" t="s">
        <v>50</v>
      </c>
      <c r="F995" s="7" t="s">
        <v>4721</v>
      </c>
      <c r="G995" s="17" t="s">
        <v>7747</v>
      </c>
      <c r="H995" s="7" t="s">
        <v>19</v>
      </c>
      <c r="I995" s="7" t="s">
        <v>292</v>
      </c>
      <c r="J995" s="7" t="s">
        <v>293</v>
      </c>
      <c r="K995" s="7" t="s">
        <v>292</v>
      </c>
      <c r="L995" s="7" t="s">
        <v>7743</v>
      </c>
      <c r="M995" s="7">
        <v>2.9329399999999999</v>
      </c>
      <c r="N995" s="7">
        <v>9.9047499999999999</v>
      </c>
      <c r="O995" s="7" t="s">
        <v>23</v>
      </c>
      <c r="P995" s="3"/>
      <c r="Q995" s="3"/>
      <c r="R995" s="3"/>
    </row>
    <row r="996" spans="1:18" x14ac:dyDescent="0.25">
      <c r="A996" s="2">
        <v>1316</v>
      </c>
      <c r="B996" s="7" t="s">
        <v>6109</v>
      </c>
      <c r="C996" s="7" t="s">
        <v>6110</v>
      </c>
      <c r="D996" s="7" t="s">
        <v>6109</v>
      </c>
      <c r="E996" s="7" t="s">
        <v>50</v>
      </c>
      <c r="F996" s="7" t="s">
        <v>2240</v>
      </c>
      <c r="G996" s="17" t="s">
        <v>7747</v>
      </c>
      <c r="H996" s="7" t="s">
        <v>28</v>
      </c>
      <c r="I996" s="7" t="s">
        <v>292</v>
      </c>
      <c r="J996" s="7" t="s">
        <v>293</v>
      </c>
      <c r="K996" s="7" t="s">
        <v>292</v>
      </c>
      <c r="L996" s="7" t="s">
        <v>7743</v>
      </c>
      <c r="M996" s="7">
        <v>2.3787780000000001</v>
      </c>
      <c r="N996" s="7">
        <v>9.8283609999999992</v>
      </c>
      <c r="O996" s="7" t="s">
        <v>23</v>
      </c>
      <c r="P996" s="3"/>
      <c r="Q996" s="3"/>
      <c r="R996" s="3"/>
    </row>
    <row r="997" spans="1:18" x14ac:dyDescent="0.25">
      <c r="A997" s="2">
        <v>1321</v>
      </c>
      <c r="B997" s="7" t="s">
        <v>6507</v>
      </c>
      <c r="C997" s="7" t="s">
        <v>6508</v>
      </c>
      <c r="D997" s="7" t="s">
        <v>6507</v>
      </c>
      <c r="E997" s="7" t="s">
        <v>50</v>
      </c>
      <c r="F997" s="7" t="s">
        <v>6509</v>
      </c>
      <c r="G997" s="17" t="s">
        <v>7747</v>
      </c>
      <c r="H997" s="7" t="s">
        <v>19</v>
      </c>
      <c r="I997" s="7" t="s">
        <v>292</v>
      </c>
      <c r="J997" s="7" t="s">
        <v>293</v>
      </c>
      <c r="K997" s="7" t="s">
        <v>292</v>
      </c>
      <c r="L997" s="7" t="s">
        <v>7743</v>
      </c>
      <c r="M997" s="7">
        <v>2.61978</v>
      </c>
      <c r="N997" s="7">
        <v>9.8464600000000004</v>
      </c>
      <c r="O997" s="7" t="s">
        <v>23</v>
      </c>
      <c r="P997" s="3"/>
      <c r="Q997" s="3"/>
      <c r="R997" s="3"/>
    </row>
    <row r="998" spans="1:18" x14ac:dyDescent="0.25">
      <c r="A998" s="2">
        <v>1323</v>
      </c>
      <c r="B998" s="7" t="s">
        <v>6782</v>
      </c>
      <c r="C998" s="7" t="s">
        <v>6783</v>
      </c>
      <c r="D998" s="7" t="s">
        <v>6782</v>
      </c>
      <c r="E998" s="7" t="s">
        <v>50</v>
      </c>
      <c r="F998" s="7" t="s">
        <v>6784</v>
      </c>
      <c r="G998" s="17" t="s">
        <v>7747</v>
      </c>
      <c r="H998" s="7" t="s">
        <v>28</v>
      </c>
      <c r="I998" s="7" t="s">
        <v>674</v>
      </c>
      <c r="J998" s="7" t="s">
        <v>293</v>
      </c>
      <c r="K998" s="7" t="s">
        <v>292</v>
      </c>
      <c r="L998" s="7" t="s">
        <v>7743</v>
      </c>
      <c r="M998" s="7">
        <v>2.96848</v>
      </c>
      <c r="N998" s="7">
        <v>9.9149799999999999</v>
      </c>
      <c r="O998" s="7" t="s">
        <v>23</v>
      </c>
      <c r="P998" s="3"/>
      <c r="Q998" s="3"/>
      <c r="R998" s="3"/>
    </row>
    <row r="999" spans="1:18" x14ac:dyDescent="0.25">
      <c r="A999" s="2">
        <v>1325</v>
      </c>
      <c r="B999" s="7" t="s">
        <v>6807</v>
      </c>
      <c r="C999" s="7" t="s">
        <v>6808</v>
      </c>
      <c r="D999" s="7" t="s">
        <v>6807</v>
      </c>
      <c r="E999" s="7" t="s">
        <v>50</v>
      </c>
      <c r="F999" s="7" t="s">
        <v>6809</v>
      </c>
      <c r="G999" s="17" t="s">
        <v>7747</v>
      </c>
      <c r="H999" s="7" t="s">
        <v>28</v>
      </c>
      <c r="I999" s="7" t="s">
        <v>674</v>
      </c>
      <c r="J999" s="7" t="s">
        <v>293</v>
      </c>
      <c r="K999" s="7" t="s">
        <v>292</v>
      </c>
      <c r="L999" s="7" t="s">
        <v>7743</v>
      </c>
      <c r="M999" s="7">
        <v>2.9341390000000001</v>
      </c>
      <c r="N999" s="7">
        <v>10.001721999999999</v>
      </c>
      <c r="O999" s="7" t="s">
        <v>23</v>
      </c>
      <c r="P999" s="3"/>
      <c r="Q999" s="3"/>
      <c r="R999" s="3"/>
    </row>
    <row r="1000" spans="1:18" x14ac:dyDescent="0.25">
      <c r="A1000" s="2">
        <v>1326</v>
      </c>
      <c r="B1000" s="7" t="s">
        <v>6816</v>
      </c>
      <c r="C1000" s="7" t="s">
        <v>6817</v>
      </c>
      <c r="D1000" s="7" t="s">
        <v>6816</v>
      </c>
      <c r="E1000" s="7" t="s">
        <v>50</v>
      </c>
      <c r="F1000" s="7" t="s">
        <v>6818</v>
      </c>
      <c r="G1000" s="17" t="s">
        <v>7747</v>
      </c>
      <c r="H1000" s="7" t="s">
        <v>28</v>
      </c>
      <c r="I1000" s="7" t="s">
        <v>292</v>
      </c>
      <c r="J1000" s="7" t="s">
        <v>293</v>
      </c>
      <c r="K1000" s="7" t="s">
        <v>674</v>
      </c>
      <c r="L1000" s="7" t="s">
        <v>7743</v>
      </c>
      <c r="M1000" s="7">
        <v>3.0541610000000001</v>
      </c>
      <c r="N1000" s="7">
        <v>10.110839</v>
      </c>
      <c r="O1000" s="7" t="s">
        <v>23</v>
      </c>
      <c r="P1000" s="3"/>
      <c r="Q1000" s="3"/>
      <c r="R1000" s="3"/>
    </row>
    <row r="1001" spans="1:18" x14ac:dyDescent="0.25">
      <c r="A1001" s="2">
        <v>1327</v>
      </c>
      <c r="B1001" s="7" t="s">
        <v>6887</v>
      </c>
      <c r="C1001" s="7" t="s">
        <v>6888</v>
      </c>
      <c r="D1001" s="7" t="s">
        <v>6887</v>
      </c>
      <c r="E1001" s="7" t="s">
        <v>50</v>
      </c>
      <c r="F1001" s="7" t="s">
        <v>6889</v>
      </c>
      <c r="G1001" s="17" t="s">
        <v>7747</v>
      </c>
      <c r="H1001" s="7" t="s">
        <v>28</v>
      </c>
      <c r="I1001" s="7" t="s">
        <v>292</v>
      </c>
      <c r="J1001" s="7" t="s">
        <v>293</v>
      </c>
      <c r="K1001" s="7" t="s">
        <v>292</v>
      </c>
      <c r="L1001" s="7" t="s">
        <v>7743</v>
      </c>
      <c r="M1001" s="7">
        <v>2.712663</v>
      </c>
      <c r="N1001" s="7">
        <v>9.8644879999999997</v>
      </c>
      <c r="O1001" s="7" t="s">
        <v>23</v>
      </c>
      <c r="P1001" s="3"/>
      <c r="Q1001" s="3"/>
      <c r="R1001" s="3"/>
    </row>
    <row r="1002" spans="1:18" x14ac:dyDescent="0.25">
      <c r="A1002" s="2">
        <v>1329</v>
      </c>
      <c r="B1002" s="7" t="s">
        <v>7094</v>
      </c>
      <c r="C1002" s="7" t="s">
        <v>7095</v>
      </c>
      <c r="D1002" s="7" t="s">
        <v>7094</v>
      </c>
      <c r="E1002" s="7" t="s">
        <v>50</v>
      </c>
      <c r="F1002" s="7" t="s">
        <v>7096</v>
      </c>
      <c r="G1002" s="17" t="s">
        <v>7747</v>
      </c>
      <c r="H1002" s="7" t="s">
        <v>28</v>
      </c>
      <c r="I1002" s="7" t="s">
        <v>292</v>
      </c>
      <c r="J1002" s="7" t="s">
        <v>293</v>
      </c>
      <c r="K1002" s="7" t="s">
        <v>292</v>
      </c>
      <c r="L1002" s="7" t="s">
        <v>7743</v>
      </c>
      <c r="M1002" s="7">
        <v>2.7548900000000001</v>
      </c>
      <c r="N1002" s="7">
        <v>9.880865</v>
      </c>
      <c r="O1002" s="7" t="s">
        <v>23</v>
      </c>
      <c r="P1002" s="3"/>
      <c r="Q1002" s="3"/>
      <c r="R1002" s="3"/>
    </row>
    <row r="1003" spans="1:18" x14ac:dyDescent="0.25">
      <c r="A1003" s="2">
        <v>1330</v>
      </c>
      <c r="B1003" s="7" t="s">
        <v>7266</v>
      </c>
      <c r="C1003" s="7" t="s">
        <v>7267</v>
      </c>
      <c r="D1003" s="7" t="s">
        <v>7266</v>
      </c>
      <c r="E1003" s="7" t="s">
        <v>50</v>
      </c>
      <c r="F1003" s="7" t="s">
        <v>7268</v>
      </c>
      <c r="G1003" s="17" t="s">
        <v>7747</v>
      </c>
      <c r="H1003" s="7" t="s">
        <v>28</v>
      </c>
      <c r="I1003" s="7" t="s">
        <v>292</v>
      </c>
      <c r="J1003" s="7" t="s">
        <v>293</v>
      </c>
      <c r="K1003" s="7" t="s">
        <v>292</v>
      </c>
      <c r="L1003" s="7" t="s">
        <v>7743</v>
      </c>
      <c r="M1003" s="7">
        <v>2.9455505</v>
      </c>
      <c r="N1003" s="7">
        <v>9.9166817999999992</v>
      </c>
      <c r="O1003" s="7" t="s">
        <v>23</v>
      </c>
      <c r="P1003" s="3"/>
      <c r="Q1003" s="3"/>
      <c r="R1003" s="3"/>
    </row>
    <row r="1004" spans="1:18" x14ac:dyDescent="0.25">
      <c r="A1004" s="2">
        <v>1331</v>
      </c>
      <c r="B1004" s="7" t="s">
        <v>7584</v>
      </c>
      <c r="C1004" s="7" t="s">
        <v>7585</v>
      </c>
      <c r="D1004" s="7" t="s">
        <v>7584</v>
      </c>
      <c r="E1004" s="7" t="s">
        <v>50</v>
      </c>
      <c r="F1004" s="7" t="s">
        <v>7586</v>
      </c>
      <c r="G1004" s="17" t="s">
        <v>7747</v>
      </c>
      <c r="H1004" s="7" t="s">
        <v>28</v>
      </c>
      <c r="I1004" s="7" t="s">
        <v>292</v>
      </c>
      <c r="J1004" s="7" t="s">
        <v>293</v>
      </c>
      <c r="K1004" s="7" t="s">
        <v>292</v>
      </c>
      <c r="L1004" s="7" t="s">
        <v>7743</v>
      </c>
      <c r="M1004" s="7">
        <v>3.010615</v>
      </c>
      <c r="N1004" s="7">
        <v>10.33207</v>
      </c>
      <c r="O1004" s="7" t="s">
        <v>23</v>
      </c>
      <c r="P1004" s="3"/>
      <c r="Q1004" s="3"/>
      <c r="R1004" s="3"/>
    </row>
    <row r="1005" spans="1:18" x14ac:dyDescent="0.25">
      <c r="A1005" s="2">
        <v>1332</v>
      </c>
      <c r="B1005" s="7" t="s">
        <v>7587</v>
      </c>
      <c r="C1005" s="7" t="s">
        <v>7588</v>
      </c>
      <c r="D1005" s="7" t="s">
        <v>7587</v>
      </c>
      <c r="E1005" s="7" t="s">
        <v>50</v>
      </c>
      <c r="F1005" s="7" t="s">
        <v>7589</v>
      </c>
      <c r="G1005" s="17" t="s">
        <v>7747</v>
      </c>
      <c r="H1005" s="7" t="s">
        <v>28</v>
      </c>
      <c r="I1005" s="7" t="s">
        <v>674</v>
      </c>
      <c r="J1005" s="7" t="s">
        <v>293</v>
      </c>
      <c r="K1005" s="7" t="s">
        <v>674</v>
      </c>
      <c r="L1005" s="7" t="s">
        <v>7743</v>
      </c>
      <c r="M1005" s="7">
        <v>2.6154999999999999</v>
      </c>
      <c r="N1005" s="7">
        <v>9.9518000000000004</v>
      </c>
      <c r="O1005" s="7" t="s">
        <v>23</v>
      </c>
      <c r="P1005" s="3"/>
      <c r="Q1005" s="3"/>
      <c r="R1005" s="3"/>
    </row>
    <row r="1006" spans="1:18" x14ac:dyDescent="0.25">
      <c r="A1006" s="2">
        <v>1334</v>
      </c>
      <c r="B1006" s="7" t="s">
        <v>105</v>
      </c>
      <c r="C1006" s="7" t="s">
        <v>106</v>
      </c>
      <c r="D1006" s="7" t="s">
        <v>105</v>
      </c>
      <c r="E1006" s="7" t="s">
        <v>34</v>
      </c>
      <c r="F1006" s="7" t="s">
        <v>107</v>
      </c>
      <c r="G1006" s="8" t="s">
        <v>18</v>
      </c>
      <c r="H1006" s="7" t="s">
        <v>28</v>
      </c>
      <c r="I1006" s="7" t="s">
        <v>108</v>
      </c>
      <c r="J1006" s="7" t="s">
        <v>109</v>
      </c>
      <c r="K1006" s="7" t="s">
        <v>110</v>
      </c>
      <c r="L1006" s="7" t="s">
        <v>108</v>
      </c>
      <c r="M1006" s="7">
        <v>4.68642</v>
      </c>
      <c r="N1006" s="7">
        <v>9.5138999999999996</v>
      </c>
      <c r="O1006" s="7" t="s">
        <v>23</v>
      </c>
      <c r="P1006" s="3"/>
      <c r="Q1006" s="3"/>
      <c r="R1006" s="3"/>
    </row>
    <row r="1007" spans="1:18" x14ac:dyDescent="0.25">
      <c r="A1007" s="2">
        <v>1335</v>
      </c>
      <c r="B1007" s="7" t="s">
        <v>187</v>
      </c>
      <c r="C1007" s="7" t="s">
        <v>188</v>
      </c>
      <c r="D1007" s="7" t="s">
        <v>187</v>
      </c>
      <c r="E1007" s="7" t="s">
        <v>34</v>
      </c>
      <c r="F1007" s="7" t="s">
        <v>189</v>
      </c>
      <c r="G1007" s="8" t="s">
        <v>18</v>
      </c>
      <c r="H1007" s="7" t="s">
        <v>28</v>
      </c>
      <c r="I1007" s="7" t="s">
        <v>108</v>
      </c>
      <c r="J1007" s="7" t="s">
        <v>109</v>
      </c>
      <c r="K1007" s="7" t="s">
        <v>190</v>
      </c>
      <c r="L1007" s="7" t="s">
        <v>108</v>
      </c>
      <c r="M1007" s="7">
        <v>4.6074999999999999</v>
      </c>
      <c r="N1007" s="7">
        <v>9.3800000000000008</v>
      </c>
      <c r="O1007" s="7" t="s">
        <v>23</v>
      </c>
      <c r="P1007" s="3"/>
      <c r="Q1007" s="3"/>
      <c r="R1007" s="3"/>
    </row>
    <row r="1008" spans="1:18" x14ac:dyDescent="0.25">
      <c r="A1008" s="2">
        <v>1336</v>
      </c>
      <c r="B1008" s="7" t="s">
        <v>353</v>
      </c>
      <c r="C1008" s="7" t="s">
        <v>354</v>
      </c>
      <c r="D1008" s="7" t="s">
        <v>353</v>
      </c>
      <c r="E1008" s="7" t="s">
        <v>34</v>
      </c>
      <c r="F1008" s="7" t="s">
        <v>355</v>
      </c>
      <c r="G1008" s="8" t="s">
        <v>18</v>
      </c>
      <c r="H1008" s="7" t="s">
        <v>19</v>
      </c>
      <c r="I1008" s="7" t="s">
        <v>356</v>
      </c>
      <c r="J1008" s="7" t="s">
        <v>152</v>
      </c>
      <c r="K1008" s="7" t="s">
        <v>357</v>
      </c>
      <c r="L1008" s="7" t="s">
        <v>108</v>
      </c>
      <c r="M1008" s="7">
        <v>4.6091199999999999</v>
      </c>
      <c r="N1008" s="7">
        <v>9.643122</v>
      </c>
      <c r="O1008" s="7" t="s">
        <v>23</v>
      </c>
      <c r="P1008" s="3"/>
      <c r="Q1008" s="3"/>
      <c r="R1008" s="3"/>
    </row>
    <row r="1009" spans="1:18" x14ac:dyDescent="0.25">
      <c r="A1009" s="2">
        <v>1337</v>
      </c>
      <c r="B1009" s="7" t="s">
        <v>358</v>
      </c>
      <c r="C1009" s="7" t="s">
        <v>359</v>
      </c>
      <c r="D1009" s="7" t="s">
        <v>358</v>
      </c>
      <c r="E1009" s="7" t="s">
        <v>34</v>
      </c>
      <c r="F1009" s="7" t="s">
        <v>360</v>
      </c>
      <c r="G1009" s="8" t="s">
        <v>18</v>
      </c>
      <c r="H1009" s="7" t="s">
        <v>28</v>
      </c>
      <c r="I1009" s="7" t="s">
        <v>356</v>
      </c>
      <c r="J1009" s="7" t="s">
        <v>152</v>
      </c>
      <c r="K1009" s="7" t="s">
        <v>361</v>
      </c>
      <c r="L1009" s="7" t="s">
        <v>108</v>
      </c>
      <c r="M1009" s="7">
        <v>4.5862600000000002</v>
      </c>
      <c r="N1009" s="7">
        <v>9.6535299999999999</v>
      </c>
      <c r="O1009" s="7" t="s">
        <v>23</v>
      </c>
      <c r="P1009" s="3"/>
      <c r="Q1009" s="3"/>
      <c r="R1009" s="3"/>
    </row>
    <row r="1010" spans="1:18" x14ac:dyDescent="0.25">
      <c r="A1010" s="2">
        <v>1338</v>
      </c>
      <c r="B1010" s="7" t="s">
        <v>455</v>
      </c>
      <c r="C1010" s="7" t="s">
        <v>456</v>
      </c>
      <c r="D1010" s="7" t="s">
        <v>455</v>
      </c>
      <c r="E1010" s="7" t="s">
        <v>34</v>
      </c>
      <c r="F1010" s="7" t="s">
        <v>457</v>
      </c>
      <c r="G1010" s="8" t="s">
        <v>18</v>
      </c>
      <c r="H1010" s="7" t="s">
        <v>28</v>
      </c>
      <c r="I1010" s="7" t="s">
        <v>458</v>
      </c>
      <c r="J1010" s="7" t="s">
        <v>459</v>
      </c>
      <c r="K1010" s="7" t="s">
        <v>457</v>
      </c>
      <c r="L1010" s="7" t="s">
        <v>108</v>
      </c>
      <c r="M1010" s="7">
        <v>4.9620277780000004</v>
      </c>
      <c r="N1010" s="7">
        <v>8.8939722220000004</v>
      </c>
      <c r="O1010" s="7" t="s">
        <v>23</v>
      </c>
      <c r="P1010" s="3"/>
      <c r="Q1010" s="3"/>
      <c r="R1010" s="3"/>
    </row>
    <row r="1011" spans="1:18" x14ac:dyDescent="0.25">
      <c r="A1011" s="2">
        <v>1339</v>
      </c>
      <c r="B1011" s="7" t="s">
        <v>532</v>
      </c>
      <c r="C1011" s="7" t="s">
        <v>533</v>
      </c>
      <c r="D1011" s="7" t="s">
        <v>532</v>
      </c>
      <c r="E1011" s="7" t="s">
        <v>34</v>
      </c>
      <c r="F1011" s="7" t="s">
        <v>190</v>
      </c>
      <c r="G1011" s="8" t="s">
        <v>18</v>
      </c>
      <c r="H1011" s="7" t="s">
        <v>28</v>
      </c>
      <c r="I1011" s="7" t="s">
        <v>458</v>
      </c>
      <c r="J1011" s="7" t="s">
        <v>459</v>
      </c>
      <c r="K1011" s="7" t="s">
        <v>190</v>
      </c>
      <c r="L1011" s="7" t="s">
        <v>108</v>
      </c>
      <c r="M1011" s="7">
        <v>4.5538949999999998</v>
      </c>
      <c r="N1011" s="7">
        <v>9.0729439999999997</v>
      </c>
      <c r="O1011" s="7" t="s">
        <v>23</v>
      </c>
      <c r="P1011" s="3"/>
      <c r="Q1011" s="3"/>
      <c r="R1011" s="3"/>
    </row>
    <row r="1012" spans="1:18" x14ac:dyDescent="0.25">
      <c r="A1012" s="2">
        <v>1340</v>
      </c>
      <c r="B1012" s="7" t="s">
        <v>667</v>
      </c>
      <c r="C1012" s="7" t="s">
        <v>668</v>
      </c>
      <c r="D1012" s="7" t="s">
        <v>667</v>
      </c>
      <c r="E1012" s="7" t="s">
        <v>34</v>
      </c>
      <c r="F1012" s="7" t="s">
        <v>669</v>
      </c>
      <c r="G1012" s="8" t="s">
        <v>18</v>
      </c>
      <c r="H1012" s="7" t="s">
        <v>28</v>
      </c>
      <c r="I1012" s="7" t="s">
        <v>108</v>
      </c>
      <c r="J1012" s="7" t="s">
        <v>670</v>
      </c>
      <c r="K1012" s="7" t="s">
        <v>110</v>
      </c>
      <c r="L1012" s="7" t="s">
        <v>108</v>
      </c>
      <c r="M1012" s="7">
        <v>4.595421</v>
      </c>
      <c r="N1012" s="7">
        <v>9.4671450000000004</v>
      </c>
      <c r="O1012" s="7" t="s">
        <v>23</v>
      </c>
      <c r="P1012" s="3"/>
      <c r="Q1012" s="3"/>
      <c r="R1012" s="3"/>
    </row>
    <row r="1013" spans="1:18" x14ac:dyDescent="0.25">
      <c r="A1013" s="2">
        <v>1341</v>
      </c>
      <c r="B1013" s="7" t="s">
        <v>696</v>
      </c>
      <c r="C1013" s="7" t="s">
        <v>697</v>
      </c>
      <c r="D1013" s="7" t="s">
        <v>696</v>
      </c>
      <c r="E1013" s="7" t="s">
        <v>34</v>
      </c>
      <c r="F1013" s="7" t="s">
        <v>698</v>
      </c>
      <c r="G1013" s="8" t="s">
        <v>18</v>
      </c>
      <c r="H1013" s="7" t="s">
        <v>28</v>
      </c>
      <c r="I1013" s="7" t="s">
        <v>108</v>
      </c>
      <c r="J1013" s="7" t="s">
        <v>109</v>
      </c>
      <c r="K1013" s="7" t="s">
        <v>698</v>
      </c>
      <c r="L1013" s="7" t="s">
        <v>108</v>
      </c>
      <c r="M1013" s="7">
        <v>4.9344440000000001</v>
      </c>
      <c r="N1013" s="7">
        <v>9.4775559999999999</v>
      </c>
      <c r="O1013" s="7" t="s">
        <v>23</v>
      </c>
      <c r="P1013" s="3"/>
      <c r="Q1013" s="3"/>
      <c r="R1013" s="3"/>
    </row>
    <row r="1014" spans="1:18" x14ac:dyDescent="0.25">
      <c r="A1014" s="2">
        <v>1342</v>
      </c>
      <c r="B1014" s="7" t="s">
        <v>723</v>
      </c>
      <c r="C1014" s="7" t="s">
        <v>724</v>
      </c>
      <c r="D1014" s="7" t="s">
        <v>723</v>
      </c>
      <c r="E1014" s="7" t="s">
        <v>34</v>
      </c>
      <c r="F1014" s="7" t="s">
        <v>725</v>
      </c>
      <c r="G1014" s="8" t="s">
        <v>18</v>
      </c>
      <c r="H1014" s="7" t="s">
        <v>28</v>
      </c>
      <c r="I1014" s="7" t="s">
        <v>458</v>
      </c>
      <c r="J1014" s="7" t="s">
        <v>459</v>
      </c>
      <c r="K1014" s="7" t="s">
        <v>726</v>
      </c>
      <c r="L1014" s="7" t="s">
        <v>108</v>
      </c>
      <c r="M1014" s="7">
        <v>4.8194166669999996</v>
      </c>
      <c r="N1014" s="7">
        <v>8.9054722220000002</v>
      </c>
      <c r="O1014" s="7" t="s">
        <v>23</v>
      </c>
      <c r="P1014" s="3"/>
      <c r="Q1014" s="3"/>
      <c r="R1014" s="3"/>
    </row>
    <row r="1015" spans="1:18" x14ac:dyDescent="0.25">
      <c r="A1015" s="2">
        <v>1343</v>
      </c>
      <c r="B1015" s="7" t="s">
        <v>752</v>
      </c>
      <c r="C1015" s="7" t="s">
        <v>753</v>
      </c>
      <c r="D1015" s="7" t="s">
        <v>752</v>
      </c>
      <c r="E1015" s="7" t="s">
        <v>34</v>
      </c>
      <c r="F1015" s="7" t="s">
        <v>754</v>
      </c>
      <c r="G1015" s="8" t="s">
        <v>36</v>
      </c>
      <c r="H1015" s="7" t="s">
        <v>28</v>
      </c>
      <c r="I1015" s="7" t="s">
        <v>108</v>
      </c>
      <c r="J1015" s="7" t="s">
        <v>109</v>
      </c>
      <c r="K1015" s="7" t="s">
        <v>190</v>
      </c>
      <c r="L1015" s="7" t="s">
        <v>108</v>
      </c>
      <c r="M1015" s="7">
        <v>4.5503609999999997</v>
      </c>
      <c r="N1015" s="7">
        <v>9.2853060000000003</v>
      </c>
      <c r="O1015" s="7" t="s">
        <v>23</v>
      </c>
      <c r="P1015" s="3"/>
      <c r="Q1015" s="3"/>
      <c r="R1015" s="3"/>
    </row>
    <row r="1016" spans="1:18" x14ac:dyDescent="0.25">
      <c r="A1016" s="2">
        <v>1344</v>
      </c>
      <c r="B1016" s="7" t="s">
        <v>893</v>
      </c>
      <c r="C1016" s="7" t="s">
        <v>894</v>
      </c>
      <c r="D1016" s="7" t="s">
        <v>893</v>
      </c>
      <c r="E1016" s="7" t="s">
        <v>34</v>
      </c>
      <c r="F1016" s="7" t="s">
        <v>895</v>
      </c>
      <c r="G1016" s="8" t="s">
        <v>896</v>
      </c>
      <c r="H1016" s="7" t="s">
        <v>28</v>
      </c>
      <c r="I1016" s="7" t="s">
        <v>108</v>
      </c>
      <c r="J1016" s="7" t="s">
        <v>109</v>
      </c>
      <c r="K1016" s="7" t="s">
        <v>897</v>
      </c>
      <c r="L1016" s="7" t="s">
        <v>108</v>
      </c>
      <c r="M1016" s="7">
        <v>4.8994444440000002</v>
      </c>
      <c r="N1016" s="7">
        <v>9.2570833330000006</v>
      </c>
      <c r="O1016" s="7" t="s">
        <v>23</v>
      </c>
      <c r="P1016" s="3"/>
      <c r="Q1016" s="3"/>
      <c r="R1016" s="3"/>
    </row>
    <row r="1017" spans="1:18" x14ac:dyDescent="0.25">
      <c r="A1017" s="2">
        <v>1345</v>
      </c>
      <c r="B1017" s="7" t="s">
        <v>977</v>
      </c>
      <c r="C1017" s="7" t="s">
        <v>978</v>
      </c>
      <c r="D1017" s="7" t="s">
        <v>977</v>
      </c>
      <c r="E1017" s="7" t="s">
        <v>34</v>
      </c>
      <c r="F1017" s="7" t="s">
        <v>979</v>
      </c>
      <c r="G1017" s="8" t="s">
        <v>18</v>
      </c>
      <c r="H1017" s="7" t="s">
        <v>28</v>
      </c>
      <c r="I1017" s="7" t="s">
        <v>108</v>
      </c>
      <c r="J1017" s="7" t="s">
        <v>109</v>
      </c>
      <c r="K1017" s="7" t="s">
        <v>897</v>
      </c>
      <c r="L1017" s="7" t="s">
        <v>108</v>
      </c>
      <c r="M1017" s="7">
        <v>4.7874444440000001</v>
      </c>
      <c r="N1017" s="7">
        <v>9.2336388889999998</v>
      </c>
      <c r="O1017" s="7" t="s">
        <v>23</v>
      </c>
      <c r="P1017" s="3"/>
      <c r="Q1017" s="3"/>
      <c r="R1017" s="3"/>
    </row>
    <row r="1018" spans="1:18" x14ac:dyDescent="0.25">
      <c r="A1018" s="2">
        <v>1346</v>
      </c>
      <c r="B1018" s="7" t="s">
        <v>1386</v>
      </c>
      <c r="C1018" s="7" t="s">
        <v>1387</v>
      </c>
      <c r="D1018" s="7" t="s">
        <v>1386</v>
      </c>
      <c r="E1018" s="7" t="s">
        <v>34</v>
      </c>
      <c r="F1018" s="7" t="s">
        <v>1388</v>
      </c>
      <c r="G1018" s="8" t="s">
        <v>18</v>
      </c>
      <c r="H1018" s="7" t="s">
        <v>28</v>
      </c>
      <c r="I1018" s="7" t="s">
        <v>108</v>
      </c>
      <c r="J1018" s="7" t="s">
        <v>670</v>
      </c>
      <c r="K1018" s="7" t="s">
        <v>1389</v>
      </c>
      <c r="L1018" s="7" t="s">
        <v>108</v>
      </c>
      <c r="M1018" s="7">
        <v>4.6207289999999999</v>
      </c>
      <c r="N1018" s="7">
        <v>9.4361519999999999</v>
      </c>
      <c r="O1018" s="7" t="s">
        <v>23</v>
      </c>
      <c r="P1018" s="3"/>
      <c r="Q1018" s="3"/>
      <c r="R1018" s="3"/>
    </row>
    <row r="1019" spans="1:18" x14ac:dyDescent="0.25">
      <c r="A1019" s="2">
        <v>1347</v>
      </c>
      <c r="B1019" s="7" t="s">
        <v>1479</v>
      </c>
      <c r="C1019" s="7" t="s">
        <v>1480</v>
      </c>
      <c r="D1019" s="7" t="s">
        <v>1479</v>
      </c>
      <c r="E1019" s="7" t="s">
        <v>34</v>
      </c>
      <c r="F1019" s="7" t="s">
        <v>1481</v>
      </c>
      <c r="G1019" s="8" t="s">
        <v>18</v>
      </c>
      <c r="H1019" s="7" t="s">
        <v>28</v>
      </c>
      <c r="I1019" s="7" t="s">
        <v>108</v>
      </c>
      <c r="J1019" s="7" t="s">
        <v>670</v>
      </c>
      <c r="K1019" s="7" t="s">
        <v>1389</v>
      </c>
      <c r="L1019" s="7" t="s">
        <v>108</v>
      </c>
      <c r="M1019" s="7">
        <v>4.6276780000000004</v>
      </c>
      <c r="N1019" s="7">
        <v>9.4312529999999999</v>
      </c>
      <c r="O1019" s="7" t="s">
        <v>23</v>
      </c>
      <c r="P1019" s="3"/>
      <c r="Q1019" s="3"/>
      <c r="R1019" s="3"/>
    </row>
    <row r="1020" spans="1:18" x14ac:dyDescent="0.25">
      <c r="A1020" s="2">
        <v>1348</v>
      </c>
      <c r="B1020" s="7" t="s">
        <v>1491</v>
      </c>
      <c r="C1020" s="7" t="s">
        <v>1492</v>
      </c>
      <c r="D1020" s="7" t="s">
        <v>1491</v>
      </c>
      <c r="E1020" s="7" t="s">
        <v>34</v>
      </c>
      <c r="F1020" s="7" t="s">
        <v>1493</v>
      </c>
      <c r="G1020" s="8" t="s">
        <v>18</v>
      </c>
      <c r="H1020" s="7" t="s">
        <v>28</v>
      </c>
      <c r="I1020" s="7" t="s">
        <v>458</v>
      </c>
      <c r="J1020" s="7" t="s">
        <v>670</v>
      </c>
      <c r="K1020" s="7" t="s">
        <v>190</v>
      </c>
      <c r="L1020" s="7" t="s">
        <v>108</v>
      </c>
      <c r="M1020" s="7">
        <v>4.569</v>
      </c>
      <c r="N1020" s="7">
        <v>9.1219000000000001</v>
      </c>
      <c r="O1020" s="7" t="s">
        <v>23</v>
      </c>
      <c r="P1020" s="3"/>
      <c r="Q1020" s="3"/>
      <c r="R1020" s="3"/>
    </row>
    <row r="1021" spans="1:18" x14ac:dyDescent="0.25">
      <c r="A1021" s="2">
        <v>1349</v>
      </c>
      <c r="B1021" s="7" t="s">
        <v>1503</v>
      </c>
      <c r="C1021" s="7" t="s">
        <v>1504</v>
      </c>
      <c r="D1021" s="7" t="s">
        <v>1503</v>
      </c>
      <c r="E1021" s="7" t="s">
        <v>34</v>
      </c>
      <c r="F1021" s="7" t="s">
        <v>1505</v>
      </c>
      <c r="G1021" s="8" t="s">
        <v>18</v>
      </c>
      <c r="H1021" s="7" t="s">
        <v>28</v>
      </c>
      <c r="I1021" s="7" t="s">
        <v>458</v>
      </c>
      <c r="J1021" s="7" t="s">
        <v>459</v>
      </c>
      <c r="K1021" s="7" t="s">
        <v>1506</v>
      </c>
      <c r="L1021" s="7" t="s">
        <v>108</v>
      </c>
      <c r="M1021" s="7">
        <v>4.6097099999999998</v>
      </c>
      <c r="N1021" s="7">
        <v>9.0896519999999992</v>
      </c>
      <c r="O1021" s="7" t="s">
        <v>23</v>
      </c>
      <c r="P1021" s="3"/>
      <c r="Q1021" s="3"/>
      <c r="R1021" s="3"/>
    </row>
    <row r="1022" spans="1:18" x14ac:dyDescent="0.25">
      <c r="A1022" s="2">
        <v>1350</v>
      </c>
      <c r="B1022" s="7" t="s">
        <v>1816</v>
      </c>
      <c r="C1022" s="7" t="s">
        <v>1817</v>
      </c>
      <c r="D1022" s="7" t="s">
        <v>1816</v>
      </c>
      <c r="E1022" s="7" t="s">
        <v>34</v>
      </c>
      <c r="F1022" s="7" t="s">
        <v>1818</v>
      </c>
      <c r="G1022" s="17" t="s">
        <v>7747</v>
      </c>
      <c r="H1022" s="7" t="s">
        <v>19</v>
      </c>
      <c r="I1022" s="7" t="s">
        <v>356</v>
      </c>
      <c r="J1022" s="7" t="s">
        <v>152</v>
      </c>
      <c r="K1022" s="7" t="s">
        <v>361</v>
      </c>
      <c r="L1022" s="7" t="s">
        <v>108</v>
      </c>
      <c r="M1022" s="7">
        <v>4.5905250000000004</v>
      </c>
      <c r="N1022" s="7">
        <v>9.6474440000000001</v>
      </c>
      <c r="O1022" s="7" t="s">
        <v>23</v>
      </c>
      <c r="P1022" s="3"/>
      <c r="Q1022" s="3"/>
      <c r="R1022" s="3"/>
    </row>
    <row r="1023" spans="1:18" x14ac:dyDescent="0.25">
      <c r="A1023" s="2">
        <v>1351</v>
      </c>
      <c r="B1023" s="7" t="s">
        <v>1908</v>
      </c>
      <c r="C1023" s="7" t="s">
        <v>1909</v>
      </c>
      <c r="D1023" s="7" t="s">
        <v>1908</v>
      </c>
      <c r="E1023" s="7" t="s">
        <v>34</v>
      </c>
      <c r="F1023" s="7" t="s">
        <v>1910</v>
      </c>
      <c r="G1023" s="8" t="s">
        <v>18</v>
      </c>
      <c r="H1023" s="7" t="s">
        <v>28</v>
      </c>
      <c r="I1023" s="7" t="s">
        <v>108</v>
      </c>
      <c r="J1023" s="7" t="s">
        <v>670</v>
      </c>
      <c r="K1023" s="7" t="s">
        <v>110</v>
      </c>
      <c r="L1023" s="7" t="s">
        <v>108</v>
      </c>
      <c r="M1023" s="7">
        <v>4.6325940000000001</v>
      </c>
      <c r="N1023" s="7">
        <v>9.4642440000000008</v>
      </c>
      <c r="O1023" s="7" t="s">
        <v>23</v>
      </c>
      <c r="P1023" s="3"/>
      <c r="Q1023" s="3"/>
      <c r="R1023" s="3"/>
    </row>
    <row r="1024" spans="1:18" x14ac:dyDescent="0.25">
      <c r="A1024" s="2">
        <v>1352</v>
      </c>
      <c r="B1024" s="7" t="s">
        <v>2037</v>
      </c>
      <c r="C1024" s="7" t="s">
        <v>2038</v>
      </c>
      <c r="D1024" s="7" t="s">
        <v>2037</v>
      </c>
      <c r="E1024" s="7" t="s">
        <v>34</v>
      </c>
      <c r="F1024" s="7" t="s">
        <v>2039</v>
      </c>
      <c r="G1024" s="8" t="s">
        <v>18</v>
      </c>
      <c r="H1024" s="7" t="s">
        <v>19</v>
      </c>
      <c r="I1024" s="7" t="s">
        <v>151</v>
      </c>
      <c r="J1024" s="7" t="s">
        <v>152</v>
      </c>
      <c r="K1024" s="7" t="s">
        <v>2040</v>
      </c>
      <c r="L1024" s="7" t="s">
        <v>108</v>
      </c>
      <c r="M1024" s="7">
        <v>4.6954900000000004</v>
      </c>
      <c r="N1024" s="7">
        <v>9.7060099999999991</v>
      </c>
      <c r="O1024" s="7" t="s">
        <v>23</v>
      </c>
      <c r="P1024" s="3"/>
      <c r="Q1024" s="3"/>
      <c r="R1024" s="3"/>
    </row>
    <row r="1025" spans="1:18" x14ac:dyDescent="0.25">
      <c r="A1025" s="2">
        <v>1353</v>
      </c>
      <c r="B1025" s="7" t="s">
        <v>2083</v>
      </c>
      <c r="C1025" s="7" t="s">
        <v>2084</v>
      </c>
      <c r="D1025" s="7" t="s">
        <v>2083</v>
      </c>
      <c r="E1025" s="7" t="s">
        <v>34</v>
      </c>
      <c r="F1025" s="7" t="s">
        <v>2085</v>
      </c>
      <c r="G1025" s="17" t="s">
        <v>7747</v>
      </c>
      <c r="H1025" s="7" t="s">
        <v>28</v>
      </c>
      <c r="I1025" s="7" t="s">
        <v>151</v>
      </c>
      <c r="J1025" s="7" t="s">
        <v>152</v>
      </c>
      <c r="K1025" s="7" t="s">
        <v>635</v>
      </c>
      <c r="L1025" s="7" t="s">
        <v>108</v>
      </c>
      <c r="M1025" s="7">
        <v>4.712555</v>
      </c>
      <c r="N1025" s="7">
        <v>9.7377289999999999</v>
      </c>
      <c r="O1025" s="7" t="s">
        <v>23</v>
      </c>
      <c r="P1025" s="3"/>
      <c r="Q1025" s="3"/>
      <c r="R1025" s="3"/>
    </row>
    <row r="1026" spans="1:18" x14ac:dyDescent="0.25">
      <c r="A1026" s="2">
        <v>1354</v>
      </c>
      <c r="B1026" s="7" t="s">
        <v>2472</v>
      </c>
      <c r="C1026" s="7" t="s">
        <v>2473</v>
      </c>
      <c r="D1026" s="7" t="s">
        <v>2472</v>
      </c>
      <c r="E1026" s="7" t="s">
        <v>34</v>
      </c>
      <c r="F1026" s="7" t="s">
        <v>2474</v>
      </c>
      <c r="G1026" s="8" t="s">
        <v>18</v>
      </c>
      <c r="H1026" s="7" t="s">
        <v>19</v>
      </c>
      <c r="I1026" s="7" t="s">
        <v>356</v>
      </c>
      <c r="J1026" s="7" t="s">
        <v>152</v>
      </c>
      <c r="K1026" s="7" t="s">
        <v>2475</v>
      </c>
      <c r="L1026" s="7" t="s">
        <v>108</v>
      </c>
      <c r="M1026" s="7">
        <v>4.3782120000000004</v>
      </c>
      <c r="N1026" s="7">
        <v>9.5685979999999997</v>
      </c>
      <c r="O1026" s="7" t="s">
        <v>23</v>
      </c>
      <c r="P1026" s="3"/>
      <c r="Q1026" s="3"/>
      <c r="R1026" s="3"/>
    </row>
    <row r="1027" spans="1:18" x14ac:dyDescent="0.25">
      <c r="A1027" s="2">
        <v>1355</v>
      </c>
      <c r="B1027" s="7" t="s">
        <v>2687</v>
      </c>
      <c r="C1027" s="7" t="s">
        <v>2688</v>
      </c>
      <c r="D1027" s="7" t="s">
        <v>2687</v>
      </c>
      <c r="E1027" s="7" t="s">
        <v>34</v>
      </c>
      <c r="F1027" s="7" t="s">
        <v>2689</v>
      </c>
      <c r="G1027" s="8" t="s">
        <v>18</v>
      </c>
      <c r="H1027" s="7" t="s">
        <v>28</v>
      </c>
      <c r="I1027" s="7" t="s">
        <v>108</v>
      </c>
      <c r="J1027" s="7" t="s">
        <v>38</v>
      </c>
      <c r="K1027" s="7" t="s">
        <v>190</v>
      </c>
      <c r="L1027" s="7" t="s">
        <v>108</v>
      </c>
      <c r="M1027" s="7">
        <v>4.5609500000000001</v>
      </c>
      <c r="N1027" s="7">
        <v>9.4647900000000007</v>
      </c>
      <c r="O1027" s="7" t="s">
        <v>23</v>
      </c>
      <c r="P1027" s="3"/>
      <c r="Q1027" s="3"/>
      <c r="R1027" s="3"/>
    </row>
    <row r="1028" spans="1:18" x14ac:dyDescent="0.25">
      <c r="A1028" s="2">
        <v>1356</v>
      </c>
      <c r="B1028" s="7" t="s">
        <v>2693</v>
      </c>
      <c r="C1028" s="7" t="s">
        <v>2694</v>
      </c>
      <c r="D1028" s="7" t="s">
        <v>2693</v>
      </c>
      <c r="E1028" s="7" t="s">
        <v>34</v>
      </c>
      <c r="F1028" s="7" t="s">
        <v>2695</v>
      </c>
      <c r="G1028" s="8" t="s">
        <v>18</v>
      </c>
      <c r="H1028" s="7" t="s">
        <v>28</v>
      </c>
      <c r="I1028" s="7" t="s">
        <v>108</v>
      </c>
      <c r="J1028" s="7" t="s">
        <v>109</v>
      </c>
      <c r="K1028" s="7" t="s">
        <v>190</v>
      </c>
      <c r="L1028" s="7" t="s">
        <v>108</v>
      </c>
      <c r="M1028" s="7">
        <v>4.5936300000000001</v>
      </c>
      <c r="N1028" s="7">
        <v>9.3452800000000007</v>
      </c>
      <c r="O1028" s="7" t="s">
        <v>23</v>
      </c>
      <c r="P1028" s="3"/>
      <c r="Q1028" s="3"/>
      <c r="R1028" s="3"/>
    </row>
    <row r="1029" spans="1:18" x14ac:dyDescent="0.25">
      <c r="A1029" s="2">
        <v>1357</v>
      </c>
      <c r="B1029" s="7" t="s">
        <v>3160</v>
      </c>
      <c r="C1029" s="7" t="s">
        <v>3161</v>
      </c>
      <c r="D1029" s="7" t="s">
        <v>3160</v>
      </c>
      <c r="E1029" s="7" t="s">
        <v>34</v>
      </c>
      <c r="F1029" s="7" t="s">
        <v>3162</v>
      </c>
      <c r="G1029" s="17" t="s">
        <v>7747</v>
      </c>
      <c r="H1029" s="7" t="s">
        <v>28</v>
      </c>
      <c r="I1029" s="7" t="s">
        <v>356</v>
      </c>
      <c r="J1029" s="7" t="s">
        <v>152</v>
      </c>
      <c r="K1029" s="7" t="s">
        <v>357</v>
      </c>
      <c r="L1029" s="7" t="s">
        <v>108</v>
      </c>
      <c r="M1029" s="7">
        <v>4.6463890000000001</v>
      </c>
      <c r="N1029" s="7">
        <v>9.6796670000000002</v>
      </c>
      <c r="O1029" s="7" t="s">
        <v>23</v>
      </c>
      <c r="P1029" s="3"/>
      <c r="Q1029" s="3"/>
      <c r="R1029" s="3"/>
    </row>
    <row r="1030" spans="1:18" x14ac:dyDescent="0.25">
      <c r="A1030" s="2">
        <v>1358</v>
      </c>
      <c r="B1030" s="7" t="s">
        <v>3188</v>
      </c>
      <c r="C1030" s="7" t="s">
        <v>3189</v>
      </c>
      <c r="D1030" s="7" t="s">
        <v>3188</v>
      </c>
      <c r="E1030" s="7" t="s">
        <v>34</v>
      </c>
      <c r="F1030" s="7" t="s">
        <v>3190</v>
      </c>
      <c r="G1030" s="8" t="s">
        <v>18</v>
      </c>
      <c r="H1030" s="7" t="s">
        <v>28</v>
      </c>
      <c r="I1030" s="7" t="s">
        <v>356</v>
      </c>
      <c r="J1030" s="7" t="s">
        <v>152</v>
      </c>
      <c r="K1030" s="7" t="s">
        <v>2475</v>
      </c>
      <c r="L1030" s="7" t="s">
        <v>108</v>
      </c>
      <c r="M1030" s="7">
        <v>4.5064019999999996</v>
      </c>
      <c r="N1030" s="7">
        <v>9.5696890000000003</v>
      </c>
      <c r="O1030" s="7" t="s">
        <v>23</v>
      </c>
      <c r="P1030" s="3"/>
      <c r="Q1030" s="3"/>
      <c r="R1030" s="3"/>
    </row>
    <row r="1031" spans="1:18" x14ac:dyDescent="0.25">
      <c r="A1031" s="2">
        <v>1359</v>
      </c>
      <c r="B1031" s="7" t="s">
        <v>3230</v>
      </c>
      <c r="C1031" s="7" t="s">
        <v>3231</v>
      </c>
      <c r="D1031" s="7" t="s">
        <v>3230</v>
      </c>
      <c r="E1031" s="7" t="s">
        <v>34</v>
      </c>
      <c r="F1031" s="7" t="s">
        <v>3232</v>
      </c>
      <c r="G1031" s="17" t="s">
        <v>7747</v>
      </c>
      <c r="H1031" s="7" t="s">
        <v>28</v>
      </c>
      <c r="I1031" s="7" t="s">
        <v>151</v>
      </c>
      <c r="J1031" s="7" t="s">
        <v>152</v>
      </c>
      <c r="K1031" s="7" t="s">
        <v>635</v>
      </c>
      <c r="L1031" s="7" t="s">
        <v>108</v>
      </c>
      <c r="M1031" s="7">
        <v>4.7166439999999996</v>
      </c>
      <c r="N1031" s="7">
        <v>9.728275</v>
      </c>
      <c r="O1031" s="7" t="s">
        <v>23</v>
      </c>
      <c r="P1031" s="3"/>
      <c r="Q1031" s="3"/>
      <c r="R1031" s="3"/>
    </row>
    <row r="1032" spans="1:18" x14ac:dyDescent="0.25">
      <c r="A1032" s="2">
        <v>1360</v>
      </c>
      <c r="B1032" s="7" t="s">
        <v>3321</v>
      </c>
      <c r="C1032" s="7" t="s">
        <v>3322</v>
      </c>
      <c r="D1032" s="7" t="s">
        <v>3321</v>
      </c>
      <c r="E1032" s="7" t="s">
        <v>34</v>
      </c>
      <c r="F1032" s="7" t="s">
        <v>3323</v>
      </c>
      <c r="G1032" s="8" t="s">
        <v>18</v>
      </c>
      <c r="H1032" s="7" t="s">
        <v>28</v>
      </c>
      <c r="I1032" s="7" t="s">
        <v>108</v>
      </c>
      <c r="J1032" s="7" t="s">
        <v>670</v>
      </c>
      <c r="K1032" s="7" t="s">
        <v>1389</v>
      </c>
      <c r="L1032" s="7" t="s">
        <v>108</v>
      </c>
      <c r="M1032" s="7">
        <v>4.631094</v>
      </c>
      <c r="N1032" s="7">
        <v>9.4460610000000003</v>
      </c>
      <c r="O1032" s="7" t="s">
        <v>23</v>
      </c>
      <c r="P1032" s="3"/>
      <c r="Q1032" s="3"/>
      <c r="R1032" s="3"/>
    </row>
    <row r="1033" spans="1:18" x14ac:dyDescent="0.25">
      <c r="A1033" s="2">
        <v>1361</v>
      </c>
      <c r="B1033" s="7" t="s">
        <v>3350</v>
      </c>
      <c r="C1033" s="7" t="s">
        <v>3351</v>
      </c>
      <c r="D1033" s="7" t="s">
        <v>3350</v>
      </c>
      <c r="E1033" s="7" t="s">
        <v>34</v>
      </c>
      <c r="F1033" s="7" t="s">
        <v>3352</v>
      </c>
      <c r="G1033" s="8" t="s">
        <v>18</v>
      </c>
      <c r="H1033" s="7" t="s">
        <v>28</v>
      </c>
      <c r="I1033" s="7" t="s">
        <v>356</v>
      </c>
      <c r="J1033" s="7" t="s">
        <v>152</v>
      </c>
      <c r="K1033" s="7" t="s">
        <v>2475</v>
      </c>
      <c r="L1033" s="7" t="s">
        <v>108</v>
      </c>
      <c r="M1033" s="7">
        <v>4.4841379999999997</v>
      </c>
      <c r="N1033" s="7">
        <v>9.5671169999999996</v>
      </c>
      <c r="O1033" s="7" t="s">
        <v>23</v>
      </c>
      <c r="P1033" s="3"/>
      <c r="Q1033" s="3"/>
      <c r="R1033" s="3"/>
    </row>
    <row r="1034" spans="1:18" x14ac:dyDescent="0.25">
      <c r="A1034" s="2">
        <v>1362</v>
      </c>
      <c r="B1034" s="7" t="s">
        <v>3421</v>
      </c>
      <c r="C1034" s="7" t="s">
        <v>3422</v>
      </c>
      <c r="D1034" s="7" t="s">
        <v>3421</v>
      </c>
      <c r="E1034" s="7" t="s">
        <v>34</v>
      </c>
      <c r="F1034" s="7" t="s">
        <v>3423</v>
      </c>
      <c r="G1034" s="8" t="s">
        <v>18</v>
      </c>
      <c r="H1034" s="7" t="s">
        <v>28</v>
      </c>
      <c r="I1034" s="7" t="s">
        <v>108</v>
      </c>
      <c r="J1034" s="7" t="s">
        <v>670</v>
      </c>
      <c r="K1034" s="7" t="s">
        <v>108</v>
      </c>
      <c r="L1034" s="7" t="s">
        <v>108</v>
      </c>
      <c r="M1034" s="7">
        <v>4.6380280000000003</v>
      </c>
      <c r="N1034" s="7">
        <v>9.4588330000000003</v>
      </c>
      <c r="O1034" s="7" t="s">
        <v>23</v>
      </c>
      <c r="P1034" s="3"/>
      <c r="Q1034" s="3"/>
      <c r="R1034" s="3"/>
    </row>
    <row r="1035" spans="1:18" x14ac:dyDescent="0.25">
      <c r="A1035" s="2">
        <v>1363</v>
      </c>
      <c r="B1035" s="7" t="s">
        <v>3532</v>
      </c>
      <c r="C1035" s="7" t="s">
        <v>3533</v>
      </c>
      <c r="D1035" s="7" t="s">
        <v>3532</v>
      </c>
      <c r="E1035" s="7" t="s">
        <v>34</v>
      </c>
      <c r="F1035" s="7" t="s">
        <v>3534</v>
      </c>
      <c r="G1035" s="8" t="s">
        <v>18</v>
      </c>
      <c r="H1035" s="7" t="s">
        <v>28</v>
      </c>
      <c r="I1035" s="7" t="s">
        <v>108</v>
      </c>
      <c r="J1035" s="7" t="s">
        <v>109</v>
      </c>
      <c r="K1035" s="7" t="s">
        <v>190</v>
      </c>
      <c r="L1035" s="7" t="s">
        <v>108</v>
      </c>
      <c r="M1035" s="7">
        <v>4.56974488</v>
      </c>
      <c r="N1035" s="7">
        <v>9.2583120900000004</v>
      </c>
      <c r="O1035" s="7" t="s">
        <v>23</v>
      </c>
      <c r="P1035" s="3"/>
      <c r="Q1035" s="3"/>
      <c r="R1035" s="3"/>
    </row>
    <row r="1036" spans="1:18" x14ac:dyDescent="0.25">
      <c r="A1036" s="2">
        <v>1364</v>
      </c>
      <c r="B1036" s="7" t="s">
        <v>3614</v>
      </c>
      <c r="C1036" s="7" t="s">
        <v>3615</v>
      </c>
      <c r="D1036" s="7" t="s">
        <v>3614</v>
      </c>
      <c r="E1036" s="7" t="s">
        <v>34</v>
      </c>
      <c r="F1036" s="7" t="s">
        <v>3616</v>
      </c>
      <c r="G1036" s="8" t="s">
        <v>18</v>
      </c>
      <c r="H1036" s="7" t="s">
        <v>28</v>
      </c>
      <c r="I1036" s="7" t="s">
        <v>108</v>
      </c>
      <c r="J1036" s="7" t="s">
        <v>670</v>
      </c>
      <c r="K1036" s="7" t="s">
        <v>3617</v>
      </c>
      <c r="L1036" s="7" t="s">
        <v>108</v>
      </c>
      <c r="M1036" s="7">
        <v>4.6487220000000002</v>
      </c>
      <c r="N1036" s="7">
        <v>9.4389280000000007</v>
      </c>
      <c r="O1036" s="7" t="s">
        <v>23</v>
      </c>
      <c r="P1036" s="3"/>
      <c r="Q1036" s="3"/>
      <c r="R1036" s="3"/>
    </row>
    <row r="1037" spans="1:18" x14ac:dyDescent="0.25">
      <c r="A1037" s="2">
        <v>1365</v>
      </c>
      <c r="B1037" s="7" t="s">
        <v>3618</v>
      </c>
      <c r="C1037" s="7" t="s">
        <v>3619</v>
      </c>
      <c r="D1037" s="7" t="s">
        <v>3618</v>
      </c>
      <c r="E1037" s="7" t="s">
        <v>34</v>
      </c>
      <c r="F1037" s="7" t="s">
        <v>3620</v>
      </c>
      <c r="G1037" s="8" t="s">
        <v>18</v>
      </c>
      <c r="H1037" s="7" t="s">
        <v>19</v>
      </c>
      <c r="I1037" s="7" t="s">
        <v>108</v>
      </c>
      <c r="J1037" s="7" t="s">
        <v>670</v>
      </c>
      <c r="K1037" s="7" t="s">
        <v>1389</v>
      </c>
      <c r="L1037" s="7" t="s">
        <v>108</v>
      </c>
      <c r="M1037" s="7">
        <v>4.6354240000000004</v>
      </c>
      <c r="N1037" s="7">
        <v>9.4363010000000003</v>
      </c>
      <c r="O1037" s="7" t="s">
        <v>613</v>
      </c>
      <c r="P1037" s="3"/>
      <c r="Q1037" s="3"/>
      <c r="R1037" s="3"/>
    </row>
    <row r="1038" spans="1:18" x14ac:dyDescent="0.25">
      <c r="A1038" s="2">
        <v>1366</v>
      </c>
      <c r="B1038" s="7" t="s">
        <v>3621</v>
      </c>
      <c r="C1038" s="7" t="s">
        <v>3622</v>
      </c>
      <c r="D1038" s="7" t="s">
        <v>3621</v>
      </c>
      <c r="E1038" s="7" t="s">
        <v>34</v>
      </c>
      <c r="F1038" s="7" t="s">
        <v>3623</v>
      </c>
      <c r="G1038" s="8" t="s">
        <v>18</v>
      </c>
      <c r="H1038" s="7" t="s">
        <v>28</v>
      </c>
      <c r="I1038" s="7" t="s">
        <v>108</v>
      </c>
      <c r="J1038" s="7" t="s">
        <v>670</v>
      </c>
      <c r="K1038" s="7" t="s">
        <v>1389</v>
      </c>
      <c r="L1038" s="7" t="s">
        <v>108</v>
      </c>
      <c r="M1038" s="7">
        <v>4.6245279999999998</v>
      </c>
      <c r="N1038" s="7">
        <v>9.4233060000000002</v>
      </c>
      <c r="O1038" s="7" t="s">
        <v>23</v>
      </c>
      <c r="P1038" s="3"/>
      <c r="Q1038" s="3"/>
      <c r="R1038" s="3"/>
    </row>
    <row r="1039" spans="1:18" x14ac:dyDescent="0.25">
      <c r="A1039" s="2">
        <v>1367</v>
      </c>
      <c r="B1039" s="7" t="s">
        <v>3627</v>
      </c>
      <c r="C1039" s="7" t="s">
        <v>3628</v>
      </c>
      <c r="D1039" s="7" t="s">
        <v>3627</v>
      </c>
      <c r="E1039" s="7" t="s">
        <v>34</v>
      </c>
      <c r="F1039" s="7" t="s">
        <v>3629</v>
      </c>
      <c r="G1039" s="8" t="s">
        <v>18</v>
      </c>
      <c r="H1039" s="7" t="s">
        <v>28</v>
      </c>
      <c r="I1039" s="7" t="s">
        <v>108</v>
      </c>
      <c r="J1039" s="7" t="s">
        <v>670</v>
      </c>
      <c r="K1039" s="7" t="s">
        <v>108</v>
      </c>
      <c r="L1039" s="7" t="s">
        <v>108</v>
      </c>
      <c r="M1039" s="7">
        <v>4.644647</v>
      </c>
      <c r="N1039" s="7">
        <v>9.4243050000000004</v>
      </c>
      <c r="O1039" s="7" t="s">
        <v>23</v>
      </c>
      <c r="P1039" s="3"/>
      <c r="Q1039" s="3"/>
      <c r="R1039" s="3"/>
    </row>
    <row r="1040" spans="1:18" x14ac:dyDescent="0.25">
      <c r="A1040" s="2">
        <v>1368</v>
      </c>
      <c r="B1040" s="7" t="s">
        <v>3630</v>
      </c>
      <c r="C1040" s="7" t="s">
        <v>3631</v>
      </c>
      <c r="D1040" s="7" t="s">
        <v>3630</v>
      </c>
      <c r="E1040" s="7" t="s">
        <v>34</v>
      </c>
      <c r="F1040" s="7" t="s">
        <v>3632</v>
      </c>
      <c r="G1040" s="8" t="s">
        <v>18</v>
      </c>
      <c r="H1040" s="7" t="s">
        <v>28</v>
      </c>
      <c r="I1040" s="7" t="s">
        <v>108</v>
      </c>
      <c r="J1040" s="7" t="s">
        <v>670</v>
      </c>
      <c r="K1040" s="7" t="s">
        <v>110</v>
      </c>
      <c r="L1040" s="7" t="s">
        <v>108</v>
      </c>
      <c r="M1040" s="7">
        <v>4.6161000000000003</v>
      </c>
      <c r="N1040" s="7">
        <v>9.4560700000000004</v>
      </c>
      <c r="O1040" s="7" t="s">
        <v>23</v>
      </c>
      <c r="P1040" s="3"/>
      <c r="Q1040" s="3"/>
      <c r="R1040" s="3"/>
    </row>
    <row r="1041" spans="1:18" x14ac:dyDescent="0.25">
      <c r="A1041" s="2">
        <v>1369</v>
      </c>
      <c r="B1041" s="7" t="s">
        <v>3633</v>
      </c>
      <c r="C1041" s="7" t="s">
        <v>3634</v>
      </c>
      <c r="D1041" s="7" t="s">
        <v>3633</v>
      </c>
      <c r="E1041" s="7" t="s">
        <v>34</v>
      </c>
      <c r="F1041" s="7" t="s">
        <v>3635</v>
      </c>
      <c r="G1041" s="8" t="s">
        <v>18</v>
      </c>
      <c r="H1041" s="7" t="s">
        <v>28</v>
      </c>
      <c r="I1041" s="7" t="s">
        <v>108</v>
      </c>
      <c r="J1041" s="7" t="s">
        <v>670</v>
      </c>
      <c r="K1041" s="7" t="s">
        <v>3617</v>
      </c>
      <c r="L1041" s="7" t="s">
        <v>108</v>
      </c>
      <c r="M1041" s="7">
        <v>4.6539869999999999</v>
      </c>
      <c r="N1041" s="7">
        <v>9.4498800000000003</v>
      </c>
      <c r="O1041" s="7" t="s">
        <v>23</v>
      </c>
      <c r="P1041" s="3"/>
      <c r="Q1041" s="3"/>
      <c r="R1041" s="3"/>
    </row>
    <row r="1042" spans="1:18" x14ac:dyDescent="0.25">
      <c r="A1042" s="2">
        <v>1370</v>
      </c>
      <c r="B1042" s="7" t="s">
        <v>3636</v>
      </c>
      <c r="C1042" s="7" t="s">
        <v>3637</v>
      </c>
      <c r="D1042" s="7" t="s">
        <v>3636</v>
      </c>
      <c r="E1042" s="7" t="s">
        <v>34</v>
      </c>
      <c r="F1042" s="7" t="s">
        <v>3638</v>
      </c>
      <c r="G1042" s="8" t="s">
        <v>18</v>
      </c>
      <c r="H1042" s="7" t="s">
        <v>28</v>
      </c>
      <c r="I1042" s="7" t="s">
        <v>108</v>
      </c>
      <c r="J1042" s="7" t="s">
        <v>670</v>
      </c>
      <c r="K1042" s="7" t="s">
        <v>3617</v>
      </c>
      <c r="L1042" s="7" t="s">
        <v>108</v>
      </c>
      <c r="M1042" s="7">
        <v>4.6439440000000003</v>
      </c>
      <c r="N1042" s="7">
        <v>9.4515560000000001</v>
      </c>
      <c r="O1042" s="7" t="s">
        <v>23</v>
      </c>
      <c r="P1042" s="3"/>
      <c r="Q1042" s="3"/>
      <c r="R1042" s="3"/>
    </row>
    <row r="1043" spans="1:18" x14ac:dyDescent="0.25">
      <c r="A1043" s="2">
        <v>1371</v>
      </c>
      <c r="B1043" s="7" t="s">
        <v>3639</v>
      </c>
      <c r="C1043" s="7" t="s">
        <v>3640</v>
      </c>
      <c r="D1043" s="7" t="s">
        <v>3639</v>
      </c>
      <c r="E1043" s="7" t="s">
        <v>34</v>
      </c>
      <c r="F1043" s="7" t="s">
        <v>3641</v>
      </c>
      <c r="G1043" s="8" t="s">
        <v>18</v>
      </c>
      <c r="H1043" s="7" t="s">
        <v>28</v>
      </c>
      <c r="I1043" s="7" t="s">
        <v>108</v>
      </c>
      <c r="J1043" s="7" t="s">
        <v>670</v>
      </c>
      <c r="K1043" s="7" t="s">
        <v>3617</v>
      </c>
      <c r="L1043" s="7" t="s">
        <v>108</v>
      </c>
      <c r="M1043" s="7">
        <v>4.6374529999999998</v>
      </c>
      <c r="N1043" s="7">
        <v>9.4540019999999991</v>
      </c>
      <c r="O1043" s="7" t="s">
        <v>23</v>
      </c>
      <c r="P1043" s="3"/>
      <c r="Q1043" s="3"/>
      <c r="R1043" s="3"/>
    </row>
    <row r="1044" spans="1:18" x14ac:dyDescent="0.25">
      <c r="A1044" s="2">
        <v>1372</v>
      </c>
      <c r="B1044" s="7" t="s">
        <v>3642</v>
      </c>
      <c r="C1044" s="7" t="s">
        <v>3643</v>
      </c>
      <c r="D1044" s="7" t="s">
        <v>3642</v>
      </c>
      <c r="E1044" s="7" t="s">
        <v>34</v>
      </c>
      <c r="F1044" s="7" t="s">
        <v>3644</v>
      </c>
      <c r="G1044" s="8" t="s">
        <v>18</v>
      </c>
      <c r="H1044" s="7" t="s">
        <v>28</v>
      </c>
      <c r="I1044" s="7" t="s">
        <v>108</v>
      </c>
      <c r="J1044" s="7" t="s">
        <v>670</v>
      </c>
      <c r="K1044" s="7" t="s">
        <v>110</v>
      </c>
      <c r="L1044" s="7" t="s">
        <v>108</v>
      </c>
      <c r="M1044" s="7">
        <v>4.6388680000000004</v>
      </c>
      <c r="N1044" s="7">
        <v>9.4691329999999994</v>
      </c>
      <c r="O1044" s="7" t="s">
        <v>23</v>
      </c>
      <c r="P1044" s="3"/>
      <c r="Q1044" s="3"/>
      <c r="R1044" s="3"/>
    </row>
    <row r="1045" spans="1:18" x14ac:dyDescent="0.25">
      <c r="A1045" s="2">
        <v>1373</v>
      </c>
      <c r="B1045" s="7" t="s">
        <v>3692</v>
      </c>
      <c r="C1045" s="7" t="s">
        <v>3693</v>
      </c>
      <c r="D1045" s="7" t="s">
        <v>3692</v>
      </c>
      <c r="E1045" s="7" t="s">
        <v>34</v>
      </c>
      <c r="F1045" s="7" t="s">
        <v>3694</v>
      </c>
      <c r="G1045" s="8" t="s">
        <v>18</v>
      </c>
      <c r="H1045" s="7" t="s">
        <v>28</v>
      </c>
      <c r="I1045" s="7" t="s">
        <v>108</v>
      </c>
      <c r="J1045" s="7" t="s">
        <v>109</v>
      </c>
      <c r="K1045" s="7" t="s">
        <v>698</v>
      </c>
      <c r="L1045" s="7" t="s">
        <v>108</v>
      </c>
      <c r="M1045" s="7">
        <v>4.7261600000000001</v>
      </c>
      <c r="N1045" s="7">
        <v>9.4880600000000008</v>
      </c>
      <c r="O1045" s="7" t="s">
        <v>23</v>
      </c>
      <c r="P1045" s="3"/>
      <c r="Q1045" s="3"/>
      <c r="R1045" s="3"/>
    </row>
    <row r="1046" spans="1:18" x14ac:dyDescent="0.25">
      <c r="A1046" s="2">
        <v>1374</v>
      </c>
      <c r="B1046" s="7" t="s">
        <v>3698</v>
      </c>
      <c r="C1046" s="7" t="s">
        <v>3699</v>
      </c>
      <c r="D1046" s="7" t="s">
        <v>3698</v>
      </c>
      <c r="E1046" s="7" t="s">
        <v>34</v>
      </c>
      <c r="F1046" s="7" t="s">
        <v>3700</v>
      </c>
      <c r="G1046" s="8" t="s">
        <v>18</v>
      </c>
      <c r="H1046" s="7" t="s">
        <v>28</v>
      </c>
      <c r="I1046" s="7" t="s">
        <v>108</v>
      </c>
      <c r="J1046" s="7" t="s">
        <v>670</v>
      </c>
      <c r="K1046" s="7" t="s">
        <v>108</v>
      </c>
      <c r="L1046" s="7" t="s">
        <v>108</v>
      </c>
      <c r="M1046" s="7">
        <v>4.6379669999999997</v>
      </c>
      <c r="N1046" s="7">
        <v>9.4623179999999998</v>
      </c>
      <c r="O1046" s="7" t="s">
        <v>23</v>
      </c>
      <c r="P1046" s="3"/>
      <c r="Q1046" s="3"/>
      <c r="R1046" s="3"/>
    </row>
    <row r="1047" spans="1:18" x14ac:dyDescent="0.25">
      <c r="A1047" s="2">
        <v>1375</v>
      </c>
      <c r="B1047" s="7" t="s">
        <v>3701</v>
      </c>
      <c r="C1047" s="7" t="s">
        <v>3702</v>
      </c>
      <c r="D1047" s="7" t="s">
        <v>3701</v>
      </c>
      <c r="E1047" s="7" t="s">
        <v>34</v>
      </c>
      <c r="F1047" s="7" t="s">
        <v>3703</v>
      </c>
      <c r="G1047" s="8" t="s">
        <v>18</v>
      </c>
      <c r="H1047" s="7" t="s">
        <v>28</v>
      </c>
      <c r="I1047" s="7" t="s">
        <v>458</v>
      </c>
      <c r="J1047" s="7" t="s">
        <v>459</v>
      </c>
      <c r="K1047" s="7" t="s">
        <v>726</v>
      </c>
      <c r="L1047" s="7" t="s">
        <v>108</v>
      </c>
      <c r="M1047" s="7">
        <v>4.6033999000000003</v>
      </c>
      <c r="N1047" s="7">
        <v>9.0386401000000003</v>
      </c>
      <c r="O1047" s="7" t="s">
        <v>23</v>
      </c>
      <c r="P1047" s="3"/>
      <c r="Q1047" s="3"/>
      <c r="R1047" s="3"/>
    </row>
    <row r="1048" spans="1:18" x14ac:dyDescent="0.25">
      <c r="A1048" s="2">
        <v>1376</v>
      </c>
      <c r="B1048" s="7" t="s">
        <v>3704</v>
      </c>
      <c r="C1048" s="7" t="s">
        <v>3705</v>
      </c>
      <c r="D1048" s="7" t="s">
        <v>3704</v>
      </c>
      <c r="E1048" s="7" t="s">
        <v>34</v>
      </c>
      <c r="F1048" s="7" t="s">
        <v>3706</v>
      </c>
      <c r="G1048" s="8" t="s">
        <v>18</v>
      </c>
      <c r="H1048" s="7" t="s">
        <v>28</v>
      </c>
      <c r="I1048" s="7" t="s">
        <v>108</v>
      </c>
      <c r="J1048" s="7" t="s">
        <v>109</v>
      </c>
      <c r="K1048" s="7" t="s">
        <v>110</v>
      </c>
      <c r="L1048" s="7" t="s">
        <v>108</v>
      </c>
      <c r="M1048" s="7">
        <v>4.6010799999999996</v>
      </c>
      <c r="N1048" s="7">
        <v>9.4586199999999998</v>
      </c>
      <c r="O1048" s="7" t="s">
        <v>23</v>
      </c>
      <c r="P1048" s="3"/>
      <c r="Q1048" s="3"/>
      <c r="R1048" s="3"/>
    </row>
    <row r="1049" spans="1:18" x14ac:dyDescent="0.25">
      <c r="A1049" s="2">
        <v>1377</v>
      </c>
      <c r="B1049" s="7" t="s">
        <v>3707</v>
      </c>
      <c r="C1049" s="7" t="s">
        <v>3708</v>
      </c>
      <c r="D1049" s="7" t="s">
        <v>3707</v>
      </c>
      <c r="E1049" s="7" t="s">
        <v>34</v>
      </c>
      <c r="F1049" s="7" t="s">
        <v>3709</v>
      </c>
      <c r="G1049" s="8" t="s">
        <v>18</v>
      </c>
      <c r="H1049" s="7" t="s">
        <v>28</v>
      </c>
      <c r="I1049" s="7" t="s">
        <v>108</v>
      </c>
      <c r="J1049" s="7" t="s">
        <v>670</v>
      </c>
      <c r="K1049" s="7" t="s">
        <v>1389</v>
      </c>
      <c r="L1049" s="7" t="s">
        <v>108</v>
      </c>
      <c r="M1049" s="7">
        <v>4.6295000000000002</v>
      </c>
      <c r="N1049" s="7">
        <v>9.4384999999999994</v>
      </c>
      <c r="O1049" s="7" t="s">
        <v>613</v>
      </c>
      <c r="P1049" s="3"/>
      <c r="Q1049" s="3"/>
      <c r="R1049" s="3"/>
    </row>
    <row r="1050" spans="1:18" x14ac:dyDescent="0.25">
      <c r="A1050" s="2">
        <v>1378</v>
      </c>
      <c r="B1050" s="7" t="s">
        <v>3743</v>
      </c>
      <c r="C1050" s="7" t="s">
        <v>3744</v>
      </c>
      <c r="D1050" s="7" t="s">
        <v>3743</v>
      </c>
      <c r="E1050" s="7" t="s">
        <v>34</v>
      </c>
      <c r="F1050" s="7" t="s">
        <v>457</v>
      </c>
      <c r="G1050" s="8" t="s">
        <v>18</v>
      </c>
      <c r="H1050" s="7" t="s">
        <v>19</v>
      </c>
      <c r="I1050" s="7" t="s">
        <v>458</v>
      </c>
      <c r="J1050" s="7" t="s">
        <v>459</v>
      </c>
      <c r="K1050" s="7" t="s">
        <v>457</v>
      </c>
      <c r="L1050" s="7" t="s">
        <v>108</v>
      </c>
      <c r="M1050" s="7">
        <v>4.9745100000000004</v>
      </c>
      <c r="N1050" s="7">
        <v>8.9053199999999997</v>
      </c>
      <c r="O1050" s="7" t="s">
        <v>23</v>
      </c>
      <c r="P1050" s="3"/>
      <c r="Q1050" s="3"/>
      <c r="R1050" s="3"/>
    </row>
    <row r="1051" spans="1:18" x14ac:dyDescent="0.25">
      <c r="A1051" s="2">
        <v>1379</v>
      </c>
      <c r="B1051" s="7" t="s">
        <v>3999</v>
      </c>
      <c r="C1051" s="7" t="s">
        <v>4000</v>
      </c>
      <c r="D1051" s="7" t="s">
        <v>3999</v>
      </c>
      <c r="E1051" s="7" t="s">
        <v>34</v>
      </c>
      <c r="F1051" s="7" t="s">
        <v>4001</v>
      </c>
      <c r="G1051" s="17" t="s">
        <v>7747</v>
      </c>
      <c r="H1051" s="7" t="s">
        <v>28</v>
      </c>
      <c r="I1051" s="7" t="s">
        <v>356</v>
      </c>
      <c r="J1051" s="7" t="s">
        <v>152</v>
      </c>
      <c r="K1051" s="7" t="s">
        <v>4002</v>
      </c>
      <c r="L1051" s="7" t="s">
        <v>108</v>
      </c>
      <c r="M1051" s="7">
        <v>4.5404799999999996</v>
      </c>
      <c r="N1051" s="7">
        <v>9.6069990000000001</v>
      </c>
      <c r="O1051" s="7" t="s">
        <v>23</v>
      </c>
      <c r="P1051" s="3"/>
      <c r="Q1051" s="3"/>
      <c r="R1051" s="3"/>
    </row>
    <row r="1052" spans="1:18" x14ac:dyDescent="0.25">
      <c r="A1052" s="2">
        <v>1380</v>
      </c>
      <c r="B1052" s="7" t="s">
        <v>4010</v>
      </c>
      <c r="C1052" s="7" t="s">
        <v>4011</v>
      </c>
      <c r="D1052" s="7" t="s">
        <v>4010</v>
      </c>
      <c r="E1052" s="7" t="s">
        <v>34</v>
      </c>
      <c r="F1052" s="7" t="s">
        <v>4012</v>
      </c>
      <c r="G1052" s="8" t="s">
        <v>18</v>
      </c>
      <c r="H1052" s="7" t="s">
        <v>19</v>
      </c>
      <c r="I1052" s="7" t="s">
        <v>458</v>
      </c>
      <c r="J1052" s="7" t="s">
        <v>459</v>
      </c>
      <c r="K1052" s="7" t="s">
        <v>190</v>
      </c>
      <c r="L1052" s="7" t="s">
        <v>108</v>
      </c>
      <c r="M1052" s="7">
        <v>4.5743019</v>
      </c>
      <c r="N1052" s="7">
        <v>9.0861750000000008</v>
      </c>
      <c r="O1052" s="7" t="s">
        <v>23</v>
      </c>
      <c r="P1052" s="3"/>
      <c r="Q1052" s="3"/>
      <c r="R1052" s="3"/>
    </row>
    <row r="1053" spans="1:18" x14ac:dyDescent="0.25">
      <c r="A1053" s="2">
        <v>1381</v>
      </c>
      <c r="B1053" s="7" t="s">
        <v>4133</v>
      </c>
      <c r="C1053" s="7" t="s">
        <v>4134</v>
      </c>
      <c r="D1053" s="7" t="s">
        <v>4133</v>
      </c>
      <c r="E1053" s="7" t="s">
        <v>34</v>
      </c>
      <c r="F1053" s="7" t="s">
        <v>108</v>
      </c>
      <c r="G1053" s="8" t="s">
        <v>18</v>
      </c>
      <c r="H1053" s="7" t="s">
        <v>19</v>
      </c>
      <c r="I1053" s="7" t="s">
        <v>108</v>
      </c>
      <c r="J1053" s="7" t="s">
        <v>670</v>
      </c>
      <c r="K1053" s="7" t="s">
        <v>3617</v>
      </c>
      <c r="L1053" s="7" t="s">
        <v>108</v>
      </c>
      <c r="M1053" s="7">
        <v>4.6399220000000003</v>
      </c>
      <c r="N1053" s="7">
        <v>9.4431349999999998</v>
      </c>
      <c r="O1053" s="7" t="s">
        <v>23</v>
      </c>
      <c r="P1053" s="3"/>
      <c r="Q1053" s="3"/>
      <c r="R1053" s="3"/>
    </row>
    <row r="1054" spans="1:18" x14ac:dyDescent="0.25">
      <c r="A1054" s="2">
        <v>1382</v>
      </c>
      <c r="B1054" s="7" t="s">
        <v>4152</v>
      </c>
      <c r="C1054" s="7" t="s">
        <v>4153</v>
      </c>
      <c r="D1054" s="7" t="s">
        <v>4152</v>
      </c>
      <c r="E1054" s="7" t="s">
        <v>34</v>
      </c>
      <c r="F1054" s="7" t="s">
        <v>4154</v>
      </c>
      <c r="G1054" s="8" t="s">
        <v>18</v>
      </c>
      <c r="H1054" s="7" t="s">
        <v>28</v>
      </c>
      <c r="I1054" s="7" t="s">
        <v>108</v>
      </c>
      <c r="J1054" s="7" t="s">
        <v>670</v>
      </c>
      <c r="K1054" s="7" t="s">
        <v>110</v>
      </c>
      <c r="L1054" s="7" t="s">
        <v>108</v>
      </c>
      <c r="M1054" s="7">
        <v>4.6400350000000001</v>
      </c>
      <c r="N1054" s="7">
        <v>9.4847479999999997</v>
      </c>
      <c r="O1054" s="7" t="s">
        <v>23</v>
      </c>
      <c r="P1054" s="3"/>
      <c r="Q1054" s="3"/>
      <c r="R1054" s="3"/>
    </row>
    <row r="1055" spans="1:18" x14ac:dyDescent="0.25">
      <c r="A1055" s="2">
        <v>1383</v>
      </c>
      <c r="B1055" s="7" t="s">
        <v>4447</v>
      </c>
      <c r="C1055" s="7" t="s">
        <v>4448</v>
      </c>
      <c r="D1055" s="7" t="s">
        <v>4447</v>
      </c>
      <c r="E1055" s="7" t="s">
        <v>34</v>
      </c>
      <c r="F1055" s="7" t="s">
        <v>4449</v>
      </c>
      <c r="G1055" s="8" t="s">
        <v>18</v>
      </c>
      <c r="H1055" s="7" t="s">
        <v>28</v>
      </c>
      <c r="I1055" s="7" t="s">
        <v>356</v>
      </c>
      <c r="J1055" s="7" t="s">
        <v>152</v>
      </c>
      <c r="K1055" s="7" t="s">
        <v>361</v>
      </c>
      <c r="L1055" s="7" t="s">
        <v>108</v>
      </c>
      <c r="M1055" s="7">
        <v>4.6420880000000002</v>
      </c>
      <c r="N1055" s="7">
        <v>9.6936319999999991</v>
      </c>
      <c r="O1055" s="7" t="s">
        <v>23</v>
      </c>
      <c r="P1055" s="3"/>
      <c r="Q1055" s="3"/>
      <c r="R1055" s="3"/>
    </row>
    <row r="1056" spans="1:18" x14ac:dyDescent="0.25">
      <c r="A1056" s="2">
        <v>1384</v>
      </c>
      <c r="B1056" s="7" t="s">
        <v>4572</v>
      </c>
      <c r="C1056" s="7" t="s">
        <v>4573</v>
      </c>
      <c r="D1056" s="7" t="s">
        <v>4572</v>
      </c>
      <c r="E1056" s="7" t="s">
        <v>34</v>
      </c>
      <c r="F1056" s="7" t="s">
        <v>151</v>
      </c>
      <c r="G1056" s="8" t="s">
        <v>18</v>
      </c>
      <c r="H1056" s="7" t="s">
        <v>28</v>
      </c>
      <c r="I1056" s="7" t="s">
        <v>151</v>
      </c>
      <c r="J1056" s="7" t="s">
        <v>152</v>
      </c>
      <c r="K1056" s="7" t="s">
        <v>2040</v>
      </c>
      <c r="L1056" s="7" t="s">
        <v>108</v>
      </c>
      <c r="M1056" s="7">
        <v>4.6955169999999997</v>
      </c>
      <c r="N1056" s="7">
        <v>9.7118120000000001</v>
      </c>
      <c r="O1056" s="7" t="s">
        <v>23</v>
      </c>
      <c r="P1056" s="3"/>
      <c r="Q1056" s="3"/>
      <c r="R1056" s="3"/>
    </row>
    <row r="1057" spans="1:18" x14ac:dyDescent="0.25">
      <c r="A1057" s="2">
        <v>1385</v>
      </c>
      <c r="B1057" s="7" t="s">
        <v>4574</v>
      </c>
      <c r="C1057" s="7" t="s">
        <v>4575</v>
      </c>
      <c r="D1057" s="7" t="s">
        <v>4574</v>
      </c>
      <c r="E1057" s="7" t="s">
        <v>34</v>
      </c>
      <c r="F1057" s="7" t="s">
        <v>370</v>
      </c>
      <c r="G1057" s="8" t="s">
        <v>18</v>
      </c>
      <c r="H1057" s="7" t="s">
        <v>19</v>
      </c>
      <c r="I1057" s="7" t="s">
        <v>151</v>
      </c>
      <c r="J1057" s="7" t="s">
        <v>152</v>
      </c>
      <c r="K1057" s="7" t="s">
        <v>4576</v>
      </c>
      <c r="L1057" s="7" t="s">
        <v>108</v>
      </c>
      <c r="M1057" s="7">
        <v>4.7472500000000002</v>
      </c>
      <c r="N1057" s="7">
        <v>9.6676669999999998</v>
      </c>
      <c r="O1057" s="7" t="s">
        <v>23</v>
      </c>
      <c r="P1057" s="3"/>
      <c r="Q1057" s="3"/>
      <c r="R1057" s="3"/>
    </row>
    <row r="1058" spans="1:18" x14ac:dyDescent="0.25">
      <c r="A1058" s="2">
        <v>1386</v>
      </c>
      <c r="B1058" s="7" t="s">
        <v>4656</v>
      </c>
      <c r="C1058" s="7" t="s">
        <v>4657</v>
      </c>
      <c r="D1058" s="7" t="s">
        <v>4656</v>
      </c>
      <c r="E1058" s="7" t="s">
        <v>34</v>
      </c>
      <c r="F1058" s="7" t="s">
        <v>4449</v>
      </c>
      <c r="G1058" s="17" t="s">
        <v>7747</v>
      </c>
      <c r="H1058" s="7" t="s">
        <v>28</v>
      </c>
      <c r="I1058" s="7" t="s">
        <v>356</v>
      </c>
      <c r="J1058" s="7" t="s">
        <v>152</v>
      </c>
      <c r="K1058" s="7" t="s">
        <v>357</v>
      </c>
      <c r="L1058" s="7" t="s">
        <v>108</v>
      </c>
      <c r="M1058" s="7">
        <v>4.6393329999999997</v>
      </c>
      <c r="N1058" s="7">
        <v>9.6925000000000008</v>
      </c>
      <c r="O1058" s="7" t="s">
        <v>23</v>
      </c>
      <c r="P1058" s="3"/>
      <c r="Q1058" s="3"/>
      <c r="R1058" s="3"/>
    </row>
    <row r="1059" spans="1:18" x14ac:dyDescent="0.25">
      <c r="A1059" s="2">
        <v>1387</v>
      </c>
      <c r="B1059" s="7" t="s">
        <v>4784</v>
      </c>
      <c r="C1059" s="7" t="s">
        <v>4785</v>
      </c>
      <c r="D1059" s="7" t="s">
        <v>4784</v>
      </c>
      <c r="E1059" s="7" t="s">
        <v>34</v>
      </c>
      <c r="F1059" s="7" t="s">
        <v>4786</v>
      </c>
      <c r="G1059" s="8" t="s">
        <v>18</v>
      </c>
      <c r="H1059" s="7" t="s">
        <v>28</v>
      </c>
      <c r="I1059" s="7" t="s">
        <v>151</v>
      </c>
      <c r="J1059" s="7" t="s">
        <v>1314</v>
      </c>
      <c r="K1059" s="7" t="s">
        <v>4576</v>
      </c>
      <c r="L1059" s="7" t="s">
        <v>108</v>
      </c>
      <c r="M1059" s="7">
        <v>4.7203200000000001</v>
      </c>
      <c r="N1059" s="7">
        <v>9.6269799999999996</v>
      </c>
      <c r="O1059" s="7" t="s">
        <v>23</v>
      </c>
      <c r="P1059" s="3"/>
      <c r="Q1059" s="3"/>
      <c r="R1059" s="3"/>
    </row>
    <row r="1060" spans="1:18" x14ac:dyDescent="0.25">
      <c r="A1060" s="2">
        <v>1388</v>
      </c>
      <c r="B1060" s="7" t="s">
        <v>4974</v>
      </c>
      <c r="C1060" s="7" t="s">
        <v>4975</v>
      </c>
      <c r="D1060" s="7" t="s">
        <v>4974</v>
      </c>
      <c r="E1060" s="7" t="s">
        <v>34</v>
      </c>
      <c r="F1060" s="7" t="s">
        <v>4976</v>
      </c>
      <c r="G1060" s="17" t="s">
        <v>7747</v>
      </c>
      <c r="H1060" s="7" t="s">
        <v>28</v>
      </c>
      <c r="I1060" s="7" t="s">
        <v>356</v>
      </c>
      <c r="J1060" s="7" t="s">
        <v>152</v>
      </c>
      <c r="K1060" s="7" t="s">
        <v>357</v>
      </c>
      <c r="L1060" s="7" t="s">
        <v>108</v>
      </c>
      <c r="M1060" s="7">
        <v>4.5918320000000001</v>
      </c>
      <c r="N1060" s="7">
        <v>9.6646249999999991</v>
      </c>
      <c r="O1060" s="7" t="s">
        <v>23</v>
      </c>
      <c r="P1060" s="3"/>
      <c r="Q1060" s="3"/>
      <c r="R1060" s="3"/>
    </row>
    <row r="1061" spans="1:18" x14ac:dyDescent="0.25">
      <c r="A1061" s="2">
        <v>1389</v>
      </c>
      <c r="B1061" s="7" t="s">
        <v>4986</v>
      </c>
      <c r="C1061" s="7" t="s">
        <v>4987</v>
      </c>
      <c r="D1061" s="7" t="s">
        <v>4986</v>
      </c>
      <c r="E1061" s="7" t="s">
        <v>34</v>
      </c>
      <c r="F1061" s="7" t="s">
        <v>356</v>
      </c>
      <c r="G1061" s="17" t="s">
        <v>7747</v>
      </c>
      <c r="H1061" s="7" t="s">
        <v>19</v>
      </c>
      <c r="I1061" s="7" t="s">
        <v>356</v>
      </c>
      <c r="J1061" s="7" t="s">
        <v>152</v>
      </c>
      <c r="K1061" s="7" t="s">
        <v>2475</v>
      </c>
      <c r="L1061" s="7" t="s">
        <v>108</v>
      </c>
      <c r="M1061" s="7">
        <v>4.4861510000000004</v>
      </c>
      <c r="N1061" s="7">
        <v>9.5563859999999998</v>
      </c>
      <c r="O1061" s="7" t="s">
        <v>23</v>
      </c>
      <c r="P1061" s="3"/>
      <c r="Q1061" s="3"/>
      <c r="R1061" s="3"/>
    </row>
    <row r="1062" spans="1:18" x14ac:dyDescent="0.25">
      <c r="A1062" s="2">
        <v>1390</v>
      </c>
      <c r="B1062" s="7" t="s">
        <v>5000</v>
      </c>
      <c r="C1062" s="7" t="s">
        <v>5001</v>
      </c>
      <c r="D1062" s="7" t="s">
        <v>5000</v>
      </c>
      <c r="E1062" s="7" t="s">
        <v>34</v>
      </c>
      <c r="F1062" s="7" t="s">
        <v>5002</v>
      </c>
      <c r="G1062" s="17" t="s">
        <v>7747</v>
      </c>
      <c r="H1062" s="7" t="s">
        <v>28</v>
      </c>
      <c r="I1062" s="7" t="s">
        <v>356</v>
      </c>
      <c r="J1062" s="7" t="s">
        <v>152</v>
      </c>
      <c r="K1062" s="7" t="s">
        <v>2475</v>
      </c>
      <c r="L1062" s="7" t="s">
        <v>108</v>
      </c>
      <c r="M1062" s="7">
        <v>4.4976000000000003</v>
      </c>
      <c r="N1062" s="7">
        <v>9.5662900000000004</v>
      </c>
      <c r="O1062" s="7" t="s">
        <v>23</v>
      </c>
      <c r="P1062" s="3"/>
      <c r="Q1062" s="3"/>
      <c r="R1062" s="3"/>
    </row>
    <row r="1063" spans="1:18" x14ac:dyDescent="0.25">
      <c r="A1063" s="2">
        <v>1391</v>
      </c>
      <c r="B1063" s="7" t="s">
        <v>5011</v>
      </c>
      <c r="C1063" s="7" t="s">
        <v>5012</v>
      </c>
      <c r="D1063" s="7" t="s">
        <v>5011</v>
      </c>
      <c r="E1063" s="7" t="s">
        <v>34</v>
      </c>
      <c r="F1063" s="7" t="s">
        <v>5013</v>
      </c>
      <c r="G1063" s="8" t="s">
        <v>18</v>
      </c>
      <c r="H1063" s="7" t="s">
        <v>28</v>
      </c>
      <c r="I1063" s="7" t="s">
        <v>108</v>
      </c>
      <c r="J1063" s="7" t="s">
        <v>109</v>
      </c>
      <c r="K1063" s="7" t="s">
        <v>190</v>
      </c>
      <c r="L1063" s="7" t="s">
        <v>108</v>
      </c>
      <c r="M1063" s="7">
        <v>4.44224</v>
      </c>
      <c r="N1063" s="7">
        <v>9.4537399999999998</v>
      </c>
      <c r="O1063" s="7" t="s">
        <v>23</v>
      </c>
      <c r="P1063" s="3"/>
      <c r="Q1063" s="3"/>
      <c r="R1063" s="3"/>
    </row>
    <row r="1064" spans="1:18" x14ac:dyDescent="0.25">
      <c r="A1064" s="2">
        <v>1392</v>
      </c>
      <c r="B1064" s="7" t="s">
        <v>5911</v>
      </c>
      <c r="C1064" s="7" t="s">
        <v>5912</v>
      </c>
      <c r="D1064" s="7" t="s">
        <v>5911</v>
      </c>
      <c r="E1064" s="7" t="s">
        <v>34</v>
      </c>
      <c r="F1064" s="7" t="s">
        <v>5913</v>
      </c>
      <c r="G1064" s="8" t="s">
        <v>18</v>
      </c>
      <c r="H1064" s="7" t="s">
        <v>28</v>
      </c>
      <c r="I1064" s="7" t="s">
        <v>458</v>
      </c>
      <c r="J1064" s="7" t="s">
        <v>287</v>
      </c>
      <c r="K1064" s="7" t="s">
        <v>190</v>
      </c>
      <c r="L1064" s="7" t="s">
        <v>108</v>
      </c>
      <c r="M1064" s="7">
        <v>4.5484999999999998</v>
      </c>
      <c r="N1064" s="7">
        <v>9.2416640000000001</v>
      </c>
      <c r="O1064" s="7" t="s">
        <v>23</v>
      </c>
      <c r="P1064" s="3"/>
      <c r="Q1064" s="3"/>
      <c r="R1064" s="3"/>
    </row>
    <row r="1065" spans="1:18" x14ac:dyDescent="0.25">
      <c r="A1065" s="2">
        <v>1393</v>
      </c>
      <c r="B1065" s="7" t="s">
        <v>5927</v>
      </c>
      <c r="C1065" s="7" t="s">
        <v>5928</v>
      </c>
      <c r="D1065" s="7" t="s">
        <v>5927</v>
      </c>
      <c r="E1065" s="7" t="s">
        <v>34</v>
      </c>
      <c r="F1065" s="7" t="s">
        <v>5929</v>
      </c>
      <c r="G1065" s="8" t="s">
        <v>18</v>
      </c>
      <c r="H1065" s="7" t="s">
        <v>28</v>
      </c>
      <c r="I1065" s="7" t="s">
        <v>37</v>
      </c>
      <c r="J1065" s="7" t="s">
        <v>38</v>
      </c>
      <c r="K1065" s="7" t="s">
        <v>39</v>
      </c>
      <c r="L1065" s="7" t="s">
        <v>108</v>
      </c>
      <c r="M1065" s="7">
        <v>4.4177489999999997</v>
      </c>
      <c r="N1065" s="7">
        <v>9.3207839999999997</v>
      </c>
      <c r="O1065" s="7" t="s">
        <v>23</v>
      </c>
      <c r="P1065" s="3"/>
      <c r="Q1065" s="3"/>
      <c r="R1065" s="3"/>
    </row>
    <row r="1066" spans="1:18" x14ac:dyDescent="0.25">
      <c r="A1066" s="2">
        <v>1394</v>
      </c>
      <c r="B1066" s="7" t="s">
        <v>5930</v>
      </c>
      <c r="C1066" s="7" t="s">
        <v>5931</v>
      </c>
      <c r="D1066" s="7" t="s">
        <v>5930</v>
      </c>
      <c r="E1066" s="7" t="s">
        <v>34</v>
      </c>
      <c r="F1066" s="7" t="s">
        <v>5932</v>
      </c>
      <c r="G1066" s="8" t="s">
        <v>18</v>
      </c>
      <c r="H1066" s="7" t="s">
        <v>28</v>
      </c>
      <c r="I1066" s="7" t="s">
        <v>458</v>
      </c>
      <c r="J1066" s="7" t="s">
        <v>459</v>
      </c>
      <c r="K1066" s="7" t="s">
        <v>457</v>
      </c>
      <c r="L1066" s="7" t="s">
        <v>108</v>
      </c>
      <c r="M1066" s="7">
        <v>4.9458000000000002</v>
      </c>
      <c r="N1066" s="7">
        <v>8.8725500000000004</v>
      </c>
      <c r="O1066" s="7" t="s">
        <v>23</v>
      </c>
      <c r="P1066" s="3"/>
      <c r="Q1066" s="3"/>
      <c r="R1066" s="3"/>
    </row>
    <row r="1067" spans="1:18" x14ac:dyDescent="0.25">
      <c r="A1067" s="2">
        <v>1395</v>
      </c>
      <c r="B1067" s="7" t="s">
        <v>5964</v>
      </c>
      <c r="C1067" s="7" t="s">
        <v>5965</v>
      </c>
      <c r="D1067" s="7" t="s">
        <v>5964</v>
      </c>
      <c r="E1067" s="7" t="s">
        <v>34</v>
      </c>
      <c r="F1067" s="7" t="s">
        <v>5966</v>
      </c>
      <c r="G1067" s="8" t="s">
        <v>18</v>
      </c>
      <c r="H1067" s="7" t="s">
        <v>28</v>
      </c>
      <c r="I1067" s="7" t="s">
        <v>458</v>
      </c>
      <c r="J1067" s="7" t="s">
        <v>459</v>
      </c>
      <c r="K1067" s="7" t="s">
        <v>726</v>
      </c>
      <c r="L1067" s="7" t="s">
        <v>108</v>
      </c>
      <c r="M1067" s="7">
        <v>4.6418759999999999</v>
      </c>
      <c r="N1067" s="7">
        <v>8.9977450000000001</v>
      </c>
      <c r="O1067" s="7" t="s">
        <v>23</v>
      </c>
      <c r="P1067" s="3"/>
      <c r="Q1067" s="3"/>
      <c r="R1067" s="3"/>
    </row>
    <row r="1068" spans="1:18" x14ac:dyDescent="0.25">
      <c r="A1068" s="2">
        <v>1396</v>
      </c>
      <c r="B1068" s="7" t="s">
        <v>5985</v>
      </c>
      <c r="C1068" s="7" t="s">
        <v>5986</v>
      </c>
      <c r="D1068" s="7" t="s">
        <v>5985</v>
      </c>
      <c r="E1068" s="7" t="s">
        <v>34</v>
      </c>
      <c r="F1068" s="7" t="s">
        <v>5987</v>
      </c>
      <c r="G1068" s="8" t="s">
        <v>18</v>
      </c>
      <c r="H1068" s="7" t="s">
        <v>28</v>
      </c>
      <c r="I1068" s="7" t="s">
        <v>458</v>
      </c>
      <c r="J1068" s="7" t="s">
        <v>459</v>
      </c>
      <c r="K1068" s="7" t="s">
        <v>726</v>
      </c>
      <c r="L1068" s="7" t="s">
        <v>108</v>
      </c>
      <c r="M1068" s="7">
        <v>4.7160555559999997</v>
      </c>
      <c r="N1068" s="7">
        <v>8.9362499999999994</v>
      </c>
      <c r="O1068" s="7" t="s">
        <v>23</v>
      </c>
      <c r="P1068" s="3"/>
      <c r="Q1068" s="3"/>
      <c r="R1068" s="3"/>
    </row>
    <row r="1069" spans="1:18" x14ac:dyDescent="0.25">
      <c r="A1069" s="2">
        <v>1397</v>
      </c>
      <c r="B1069" s="7" t="s">
        <v>5988</v>
      </c>
      <c r="C1069" s="7" t="s">
        <v>5989</v>
      </c>
      <c r="D1069" s="7" t="s">
        <v>5988</v>
      </c>
      <c r="E1069" s="7" t="s">
        <v>34</v>
      </c>
      <c r="F1069" s="7" t="s">
        <v>5990</v>
      </c>
      <c r="G1069" s="8" t="s">
        <v>36</v>
      </c>
      <c r="H1069" s="7" t="s">
        <v>28</v>
      </c>
      <c r="I1069" s="7" t="s">
        <v>108</v>
      </c>
      <c r="J1069" s="7" t="s">
        <v>109</v>
      </c>
      <c r="K1069" s="7" t="s">
        <v>5991</v>
      </c>
      <c r="L1069" s="7" t="s">
        <v>108</v>
      </c>
      <c r="M1069" s="7">
        <v>5.0364300000000002</v>
      </c>
      <c r="N1069" s="7">
        <v>9.4148999999999994</v>
      </c>
      <c r="O1069" s="7" t="s">
        <v>23</v>
      </c>
      <c r="P1069" s="3"/>
      <c r="Q1069" s="3"/>
      <c r="R1069" s="3"/>
    </row>
    <row r="1070" spans="1:18" x14ac:dyDescent="0.25">
      <c r="A1070" s="2">
        <v>1398</v>
      </c>
      <c r="B1070" s="7" t="s">
        <v>5992</v>
      </c>
      <c r="C1070" s="7" t="s">
        <v>5993</v>
      </c>
      <c r="D1070" s="7" t="s">
        <v>5992</v>
      </c>
      <c r="E1070" s="7" t="s">
        <v>34</v>
      </c>
      <c r="F1070" s="7" t="s">
        <v>698</v>
      </c>
      <c r="G1070" s="8" t="s">
        <v>18</v>
      </c>
      <c r="H1070" s="7" t="s">
        <v>28</v>
      </c>
      <c r="I1070" s="7" t="s">
        <v>108</v>
      </c>
      <c r="J1070" s="7" t="s">
        <v>109</v>
      </c>
      <c r="K1070" s="7" t="s">
        <v>5991</v>
      </c>
      <c r="L1070" s="7" t="s">
        <v>108</v>
      </c>
      <c r="M1070" s="7">
        <v>4.9455400000000003</v>
      </c>
      <c r="N1070" s="7">
        <v>9.4819300000000002</v>
      </c>
      <c r="O1070" s="7" t="s">
        <v>23</v>
      </c>
      <c r="P1070" s="3"/>
      <c r="Q1070" s="3"/>
      <c r="R1070" s="3"/>
    </row>
    <row r="1071" spans="1:18" x14ac:dyDescent="0.25">
      <c r="A1071" s="2">
        <v>1399</v>
      </c>
      <c r="B1071" s="7" t="s">
        <v>5994</v>
      </c>
      <c r="C1071" s="7" t="s">
        <v>5995</v>
      </c>
      <c r="D1071" s="7" t="s">
        <v>5994</v>
      </c>
      <c r="E1071" s="7" t="s">
        <v>34</v>
      </c>
      <c r="F1071" s="7" t="s">
        <v>5996</v>
      </c>
      <c r="G1071" s="8" t="s">
        <v>18</v>
      </c>
      <c r="H1071" s="7" t="s">
        <v>28</v>
      </c>
      <c r="I1071" s="7" t="s">
        <v>108</v>
      </c>
      <c r="J1071" s="7" t="s">
        <v>109</v>
      </c>
      <c r="K1071" s="7" t="s">
        <v>5991</v>
      </c>
      <c r="L1071" s="7" t="s">
        <v>108</v>
      </c>
      <c r="M1071" s="7">
        <v>4.9851299999999998</v>
      </c>
      <c r="N1071" s="7">
        <v>9.4319799999999994</v>
      </c>
      <c r="O1071" s="7" t="s">
        <v>23</v>
      </c>
      <c r="P1071" s="3"/>
      <c r="Q1071" s="3"/>
      <c r="R1071" s="3"/>
    </row>
    <row r="1072" spans="1:18" x14ac:dyDescent="0.25">
      <c r="A1072" s="2">
        <v>1400</v>
      </c>
      <c r="B1072" s="7" t="s">
        <v>6040</v>
      </c>
      <c r="C1072" s="7" t="s">
        <v>6041</v>
      </c>
      <c r="D1072" s="7" t="s">
        <v>6040</v>
      </c>
      <c r="E1072" s="7" t="s">
        <v>34</v>
      </c>
      <c r="F1072" s="7" t="s">
        <v>6042</v>
      </c>
      <c r="G1072" s="8" t="s">
        <v>18</v>
      </c>
      <c r="H1072" s="7" t="s">
        <v>28</v>
      </c>
      <c r="I1072" s="7" t="s">
        <v>108</v>
      </c>
      <c r="J1072" s="7" t="s">
        <v>109</v>
      </c>
      <c r="K1072" s="7" t="s">
        <v>190</v>
      </c>
      <c r="L1072" s="7" t="s">
        <v>108</v>
      </c>
      <c r="M1072" s="7">
        <v>4.6371111100000002</v>
      </c>
      <c r="N1072" s="7">
        <v>9.2695277800000007</v>
      </c>
      <c r="O1072" s="7" t="s">
        <v>23</v>
      </c>
      <c r="P1072" s="3"/>
      <c r="Q1072" s="3"/>
      <c r="R1072" s="3"/>
    </row>
    <row r="1073" spans="1:18" x14ac:dyDescent="0.25">
      <c r="A1073" s="2">
        <v>1401</v>
      </c>
      <c r="B1073" s="7" t="s">
        <v>6056</v>
      </c>
      <c r="C1073" s="7" t="s">
        <v>6057</v>
      </c>
      <c r="D1073" s="7" t="s">
        <v>6056</v>
      </c>
      <c r="E1073" s="7" t="s">
        <v>34</v>
      </c>
      <c r="F1073" s="7" t="s">
        <v>6058</v>
      </c>
      <c r="G1073" s="8" t="s">
        <v>18</v>
      </c>
      <c r="H1073" s="7" t="s">
        <v>28</v>
      </c>
      <c r="I1073" s="7" t="s">
        <v>458</v>
      </c>
      <c r="J1073" s="7" t="s">
        <v>459</v>
      </c>
      <c r="K1073" s="7" t="s">
        <v>457</v>
      </c>
      <c r="L1073" s="7" t="s">
        <v>108</v>
      </c>
      <c r="M1073" s="7">
        <v>4.892182</v>
      </c>
      <c r="N1073" s="7">
        <v>8.9050989999999999</v>
      </c>
      <c r="O1073" s="7" t="s">
        <v>23</v>
      </c>
      <c r="P1073" s="3"/>
      <c r="Q1073" s="3"/>
      <c r="R1073" s="3"/>
    </row>
    <row r="1074" spans="1:18" x14ac:dyDescent="0.25">
      <c r="A1074" s="2">
        <v>1402</v>
      </c>
      <c r="B1074" s="7" t="s">
        <v>6059</v>
      </c>
      <c r="C1074" s="7" t="s">
        <v>6060</v>
      </c>
      <c r="D1074" s="7" t="s">
        <v>6059</v>
      </c>
      <c r="E1074" s="7" t="s">
        <v>34</v>
      </c>
      <c r="F1074" s="7" t="s">
        <v>6061</v>
      </c>
      <c r="G1074" s="8" t="s">
        <v>36</v>
      </c>
      <c r="H1074" s="7" t="s">
        <v>28</v>
      </c>
      <c r="I1074" s="7" t="s">
        <v>108</v>
      </c>
      <c r="J1074" s="7" t="s">
        <v>109</v>
      </c>
      <c r="K1074" s="7" t="s">
        <v>190</v>
      </c>
      <c r="L1074" s="7" t="s">
        <v>108</v>
      </c>
      <c r="M1074" s="7">
        <v>4.6730499999999999</v>
      </c>
      <c r="N1074" s="7">
        <v>9.3119599999999991</v>
      </c>
      <c r="O1074" s="7" t="s">
        <v>23</v>
      </c>
      <c r="P1074" s="3"/>
      <c r="Q1074" s="3"/>
      <c r="R1074" s="3"/>
    </row>
    <row r="1075" spans="1:18" x14ac:dyDescent="0.25">
      <c r="A1075" s="2">
        <v>1403</v>
      </c>
      <c r="B1075" s="7" t="s">
        <v>6075</v>
      </c>
      <c r="C1075" s="7" t="s">
        <v>6076</v>
      </c>
      <c r="D1075" s="7" t="s">
        <v>6075</v>
      </c>
      <c r="E1075" s="7" t="s">
        <v>34</v>
      </c>
      <c r="F1075" s="7" t="s">
        <v>6077</v>
      </c>
      <c r="G1075" s="8" t="s">
        <v>18</v>
      </c>
      <c r="H1075" s="7" t="s">
        <v>28</v>
      </c>
      <c r="I1075" s="7" t="s">
        <v>108</v>
      </c>
      <c r="J1075" s="7" t="s">
        <v>109</v>
      </c>
      <c r="K1075" s="7" t="s">
        <v>190</v>
      </c>
      <c r="L1075" s="7" t="s">
        <v>108</v>
      </c>
      <c r="M1075" s="7">
        <v>4.5171749999999999</v>
      </c>
      <c r="N1075" s="7">
        <v>9.2942719999999994</v>
      </c>
      <c r="O1075" s="7" t="s">
        <v>23</v>
      </c>
      <c r="P1075" s="3"/>
      <c r="Q1075" s="3"/>
      <c r="R1075" s="3"/>
    </row>
    <row r="1076" spans="1:18" x14ac:dyDescent="0.25">
      <c r="A1076" s="2">
        <v>1404</v>
      </c>
      <c r="B1076" s="7" t="s">
        <v>6081</v>
      </c>
      <c r="C1076" s="7" t="s">
        <v>6082</v>
      </c>
      <c r="D1076" s="7" t="s">
        <v>6081</v>
      </c>
      <c r="E1076" s="7" t="s">
        <v>34</v>
      </c>
      <c r="F1076" s="7" t="s">
        <v>6083</v>
      </c>
      <c r="G1076" s="8" t="s">
        <v>18</v>
      </c>
      <c r="H1076" s="7" t="s">
        <v>28</v>
      </c>
      <c r="I1076" s="7" t="s">
        <v>108</v>
      </c>
      <c r="J1076" s="7" t="s">
        <v>91</v>
      </c>
      <c r="K1076" s="7" t="s">
        <v>5880</v>
      </c>
      <c r="L1076" s="7" t="s">
        <v>108</v>
      </c>
      <c r="M1076" s="7">
        <v>5.1152699999999998</v>
      </c>
      <c r="N1076" s="7">
        <v>9.4071700000000007</v>
      </c>
      <c r="O1076" s="7" t="s">
        <v>23</v>
      </c>
      <c r="P1076" s="3"/>
      <c r="Q1076" s="3"/>
      <c r="R1076" s="3"/>
    </row>
    <row r="1077" spans="1:18" x14ac:dyDescent="0.25">
      <c r="A1077" s="2">
        <v>1405</v>
      </c>
      <c r="B1077" s="7" t="s">
        <v>6569</v>
      </c>
      <c r="C1077" s="7" t="s">
        <v>6570</v>
      </c>
      <c r="D1077" s="7" t="s">
        <v>6569</v>
      </c>
      <c r="E1077" s="7" t="s">
        <v>34</v>
      </c>
      <c r="F1077" s="7" t="s">
        <v>6571</v>
      </c>
      <c r="G1077" s="8" t="s">
        <v>36</v>
      </c>
      <c r="H1077" s="7" t="s">
        <v>28</v>
      </c>
      <c r="I1077" s="7" t="s">
        <v>458</v>
      </c>
      <c r="J1077" s="7" t="s">
        <v>459</v>
      </c>
      <c r="K1077" s="7" t="s">
        <v>6572</v>
      </c>
      <c r="L1077" s="7" t="s">
        <v>108</v>
      </c>
      <c r="M1077" s="7">
        <v>4.7783055560000003</v>
      </c>
      <c r="N1077" s="7">
        <v>8.6785833330000006</v>
      </c>
      <c r="O1077" s="7" t="s">
        <v>23</v>
      </c>
      <c r="P1077" s="3"/>
      <c r="Q1077" s="3"/>
      <c r="R1077" s="3"/>
    </row>
    <row r="1078" spans="1:18" x14ac:dyDescent="0.25">
      <c r="A1078" s="2">
        <v>1406</v>
      </c>
      <c r="B1078" s="7" t="s">
        <v>6622</v>
      </c>
      <c r="C1078" s="7" t="s">
        <v>6623</v>
      </c>
      <c r="D1078" s="7" t="s">
        <v>6622</v>
      </c>
      <c r="E1078" s="7" t="s">
        <v>34</v>
      </c>
      <c r="F1078" s="7" t="s">
        <v>6624</v>
      </c>
      <c r="G1078" s="8" t="s">
        <v>18</v>
      </c>
      <c r="H1078" s="7" t="s">
        <v>28</v>
      </c>
      <c r="I1078" s="7" t="s">
        <v>108</v>
      </c>
      <c r="J1078" s="7" t="s">
        <v>670</v>
      </c>
      <c r="K1078" s="7" t="s">
        <v>1389</v>
      </c>
      <c r="L1078" s="7" t="s">
        <v>108</v>
      </c>
      <c r="M1078" s="7">
        <v>4.6208400000000003</v>
      </c>
      <c r="N1078" s="7">
        <v>9.4453899999999997</v>
      </c>
      <c r="O1078" s="7" t="s">
        <v>23</v>
      </c>
      <c r="P1078" s="3"/>
      <c r="Q1078" s="3"/>
      <c r="R1078" s="3"/>
    </row>
    <row r="1079" spans="1:18" x14ac:dyDescent="0.25">
      <c r="A1079" s="2">
        <v>1407</v>
      </c>
      <c r="B1079" s="7" t="s">
        <v>6625</v>
      </c>
      <c r="C1079" s="7" t="s">
        <v>6626</v>
      </c>
      <c r="D1079" s="7" t="s">
        <v>6625</v>
      </c>
      <c r="E1079" s="7" t="s">
        <v>34</v>
      </c>
      <c r="F1079" s="7" t="s">
        <v>6627</v>
      </c>
      <c r="G1079" s="8" t="s">
        <v>18</v>
      </c>
      <c r="H1079" s="7" t="s">
        <v>28</v>
      </c>
      <c r="I1079" s="7" t="s">
        <v>108</v>
      </c>
      <c r="J1079" s="7" t="s">
        <v>670</v>
      </c>
      <c r="K1079" s="7" t="s">
        <v>1389</v>
      </c>
      <c r="L1079" s="7" t="s">
        <v>108</v>
      </c>
      <c r="M1079" s="7">
        <v>4.6258270000000001</v>
      </c>
      <c r="N1079" s="7">
        <v>9.4450299999999991</v>
      </c>
      <c r="O1079" s="7" t="s">
        <v>23</v>
      </c>
      <c r="P1079" s="3"/>
      <c r="Q1079" s="3"/>
      <c r="R1079" s="3"/>
    </row>
    <row r="1080" spans="1:18" x14ac:dyDescent="0.25">
      <c r="A1080" s="2">
        <v>1408</v>
      </c>
      <c r="B1080" s="7" t="s">
        <v>6671</v>
      </c>
      <c r="C1080" s="7" t="s">
        <v>6672</v>
      </c>
      <c r="D1080" s="7" t="s">
        <v>6671</v>
      </c>
      <c r="E1080" s="7" t="s">
        <v>34</v>
      </c>
      <c r="F1080" s="7" t="s">
        <v>6673</v>
      </c>
      <c r="G1080" s="8" t="s">
        <v>18</v>
      </c>
      <c r="H1080" s="7" t="s">
        <v>28</v>
      </c>
      <c r="I1080" s="7" t="s">
        <v>108</v>
      </c>
      <c r="J1080" s="7" t="s">
        <v>109</v>
      </c>
      <c r="K1080" s="7" t="s">
        <v>190</v>
      </c>
      <c r="L1080" s="7" t="s">
        <v>108</v>
      </c>
      <c r="M1080" s="7">
        <v>4.4029439999999997</v>
      </c>
      <c r="N1080" s="7">
        <v>9.4396109999999993</v>
      </c>
      <c r="O1080" s="7" t="s">
        <v>23</v>
      </c>
      <c r="P1080" s="3"/>
      <c r="Q1080" s="3"/>
      <c r="R1080" s="3"/>
    </row>
    <row r="1081" spans="1:18" x14ac:dyDescent="0.25">
      <c r="A1081" s="2">
        <v>1409</v>
      </c>
      <c r="B1081" s="7" t="s">
        <v>6717</v>
      </c>
      <c r="C1081" s="7" t="s">
        <v>6718</v>
      </c>
      <c r="D1081" s="7" t="s">
        <v>6717</v>
      </c>
      <c r="E1081" s="7" t="s">
        <v>34</v>
      </c>
      <c r="F1081" s="7" t="s">
        <v>6719</v>
      </c>
      <c r="G1081" s="8" t="s">
        <v>18</v>
      </c>
      <c r="H1081" s="7" t="s">
        <v>28</v>
      </c>
      <c r="I1081" s="7" t="s">
        <v>108</v>
      </c>
      <c r="J1081" s="7" t="s">
        <v>670</v>
      </c>
      <c r="K1081" s="7" t="s">
        <v>1389</v>
      </c>
      <c r="L1081" s="7" t="s">
        <v>108</v>
      </c>
      <c r="M1081" s="7">
        <v>4.6376920000000004</v>
      </c>
      <c r="N1081" s="7">
        <v>9.4283389999999994</v>
      </c>
      <c r="O1081" s="7" t="s">
        <v>23</v>
      </c>
      <c r="P1081" s="3"/>
      <c r="Q1081" s="3"/>
      <c r="R1081" s="3"/>
    </row>
    <row r="1082" spans="1:18" x14ac:dyDescent="0.25">
      <c r="A1082" s="2">
        <v>1410</v>
      </c>
      <c r="B1082" s="7" t="s">
        <v>6770</v>
      </c>
      <c r="C1082" s="7" t="s">
        <v>6771</v>
      </c>
      <c r="D1082" s="7" t="s">
        <v>6770</v>
      </c>
      <c r="E1082" s="7" t="s">
        <v>34</v>
      </c>
      <c r="F1082" s="7" t="s">
        <v>6772</v>
      </c>
      <c r="G1082" s="8" t="s">
        <v>18</v>
      </c>
      <c r="H1082" s="7" t="s">
        <v>28</v>
      </c>
      <c r="I1082" s="7" t="s">
        <v>108</v>
      </c>
      <c r="J1082" s="7" t="s">
        <v>670</v>
      </c>
      <c r="K1082" s="7" t="s">
        <v>1389</v>
      </c>
      <c r="L1082" s="7" t="s">
        <v>108</v>
      </c>
      <c r="M1082" s="7">
        <v>4.6272760000000002</v>
      </c>
      <c r="N1082" s="7">
        <v>9.4533930000000002</v>
      </c>
      <c r="O1082" s="7" t="s">
        <v>23</v>
      </c>
      <c r="P1082" s="3"/>
      <c r="Q1082" s="3"/>
      <c r="R1082" s="3"/>
    </row>
    <row r="1083" spans="1:18" x14ac:dyDescent="0.25">
      <c r="A1083" s="2">
        <v>1411</v>
      </c>
      <c r="B1083" s="7" t="s">
        <v>7209</v>
      </c>
      <c r="C1083" s="7" t="s">
        <v>7210</v>
      </c>
      <c r="D1083" s="7" t="s">
        <v>7209</v>
      </c>
      <c r="E1083" s="7" t="s">
        <v>34</v>
      </c>
      <c r="F1083" s="7" t="s">
        <v>7211</v>
      </c>
      <c r="G1083" s="17" t="s">
        <v>7747</v>
      </c>
      <c r="H1083" s="7" t="s">
        <v>28</v>
      </c>
      <c r="I1083" s="7" t="s">
        <v>356</v>
      </c>
      <c r="J1083" s="7" t="s">
        <v>152</v>
      </c>
      <c r="K1083" s="7" t="s">
        <v>154</v>
      </c>
      <c r="L1083" s="7" t="s">
        <v>108</v>
      </c>
      <c r="M1083" s="7">
        <v>4.4411290000000001</v>
      </c>
      <c r="N1083" s="7">
        <v>9.566656</v>
      </c>
      <c r="O1083" s="7" t="s">
        <v>23</v>
      </c>
      <c r="P1083" s="3"/>
      <c r="Q1083" s="3"/>
      <c r="R1083" s="3"/>
    </row>
    <row r="1084" spans="1:18" x14ac:dyDescent="0.25">
      <c r="A1084" s="2">
        <v>1412</v>
      </c>
      <c r="B1084" s="7" t="s">
        <v>7389</v>
      </c>
      <c r="C1084" s="7" t="s">
        <v>7390</v>
      </c>
      <c r="D1084" s="7" t="s">
        <v>7389</v>
      </c>
      <c r="E1084" s="7" t="s">
        <v>34</v>
      </c>
      <c r="F1084" s="7" t="s">
        <v>7391</v>
      </c>
      <c r="G1084" s="8" t="s">
        <v>18</v>
      </c>
      <c r="H1084" s="7" t="s">
        <v>28</v>
      </c>
      <c r="I1084" s="7" t="s">
        <v>108</v>
      </c>
      <c r="J1084" s="7" t="s">
        <v>670</v>
      </c>
      <c r="K1084" s="7" t="s">
        <v>7392</v>
      </c>
      <c r="L1084" s="7" t="s">
        <v>108</v>
      </c>
      <c r="M1084" s="7">
        <v>4.6124229999999997</v>
      </c>
      <c r="N1084" s="7">
        <v>9.4488690000000002</v>
      </c>
      <c r="O1084" s="7" t="s">
        <v>613</v>
      </c>
      <c r="P1084" s="3"/>
      <c r="Q1084" s="3"/>
      <c r="R1084" s="3"/>
    </row>
    <row r="1085" spans="1:18" x14ac:dyDescent="0.25">
      <c r="A1085" s="2">
        <v>1413</v>
      </c>
      <c r="B1085" s="7" t="s">
        <v>7464</v>
      </c>
      <c r="C1085" s="7" t="s">
        <v>7465</v>
      </c>
      <c r="D1085" s="7" t="s">
        <v>7464</v>
      </c>
      <c r="E1085" s="7" t="s">
        <v>34</v>
      </c>
      <c r="F1085" s="7" t="s">
        <v>7466</v>
      </c>
      <c r="G1085" s="8" t="s">
        <v>18</v>
      </c>
      <c r="H1085" s="7" t="s">
        <v>28</v>
      </c>
      <c r="I1085" s="7" t="s">
        <v>108</v>
      </c>
      <c r="J1085" s="7" t="s">
        <v>670</v>
      </c>
      <c r="K1085" s="7" t="s">
        <v>3617</v>
      </c>
      <c r="L1085" s="7" t="s">
        <v>108</v>
      </c>
      <c r="M1085" s="7">
        <v>4.6453319999999998</v>
      </c>
      <c r="N1085" s="7">
        <v>9.4595680000000009</v>
      </c>
      <c r="O1085" s="7" t="s">
        <v>23</v>
      </c>
      <c r="P1085" s="3"/>
      <c r="Q1085" s="3"/>
      <c r="R1085" s="3"/>
    </row>
    <row r="1086" spans="1:18" x14ac:dyDescent="0.25">
      <c r="A1086" s="2">
        <v>1414</v>
      </c>
      <c r="B1086" s="7" t="s">
        <v>7626</v>
      </c>
      <c r="C1086" s="7" t="s">
        <v>7627</v>
      </c>
      <c r="D1086" s="7" t="s">
        <v>7626</v>
      </c>
      <c r="E1086" s="7" t="s">
        <v>34</v>
      </c>
      <c r="F1086" s="7" t="s">
        <v>7628</v>
      </c>
      <c r="G1086" s="17" t="s">
        <v>7747</v>
      </c>
      <c r="H1086" s="7" t="s">
        <v>28</v>
      </c>
      <c r="I1086" s="10" t="s">
        <v>356</v>
      </c>
      <c r="J1086" s="10" t="s">
        <v>152</v>
      </c>
      <c r="K1086" s="10" t="s">
        <v>2475</v>
      </c>
      <c r="L1086" s="7" t="s">
        <v>108</v>
      </c>
      <c r="M1086" s="7">
        <v>4.5032550000000002</v>
      </c>
      <c r="N1086" s="7">
        <v>9.5647400000000005</v>
      </c>
      <c r="O1086" s="7" t="s">
        <v>23</v>
      </c>
      <c r="P1086" s="3"/>
      <c r="Q1086" s="3"/>
      <c r="R1086" s="3"/>
    </row>
    <row r="1087" spans="1:18" x14ac:dyDescent="0.25">
      <c r="A1087" s="2">
        <v>1415</v>
      </c>
      <c r="B1087" s="7" t="s">
        <v>7723</v>
      </c>
      <c r="C1087" s="7" t="s">
        <v>7724</v>
      </c>
      <c r="D1087" s="7" t="s">
        <v>7723</v>
      </c>
      <c r="E1087" s="7" t="s">
        <v>34</v>
      </c>
      <c r="F1087" s="7" t="s">
        <v>7725</v>
      </c>
      <c r="G1087" s="17" t="s">
        <v>7747</v>
      </c>
      <c r="H1087" s="7" t="s">
        <v>28</v>
      </c>
      <c r="I1087" s="7" t="s">
        <v>151</v>
      </c>
      <c r="J1087" s="7"/>
      <c r="K1087" s="7" t="s">
        <v>151</v>
      </c>
      <c r="L1087" s="7" t="s">
        <v>108</v>
      </c>
      <c r="M1087" s="7">
        <v>4.7184200000000001</v>
      </c>
      <c r="N1087" s="7">
        <v>9.7349879999999995</v>
      </c>
      <c r="O1087" s="7" t="s">
        <v>23</v>
      </c>
      <c r="P1087" s="3"/>
      <c r="Q1087" s="3"/>
      <c r="R1087" s="3"/>
    </row>
    <row r="1088" spans="1:18" x14ac:dyDescent="0.25">
      <c r="A1088" s="2">
        <v>1416</v>
      </c>
      <c r="B1088" s="7" t="s">
        <v>62</v>
      </c>
      <c r="C1088" s="7" t="s">
        <v>63</v>
      </c>
      <c r="D1088" s="7" t="s">
        <v>62</v>
      </c>
      <c r="E1088" s="7" t="s">
        <v>34</v>
      </c>
      <c r="F1088" s="7" t="s">
        <v>64</v>
      </c>
      <c r="G1088" s="8" t="s">
        <v>18</v>
      </c>
      <c r="H1088" s="7" t="s">
        <v>28</v>
      </c>
      <c r="I1088" s="7" t="s">
        <v>65</v>
      </c>
      <c r="J1088" s="7" t="s">
        <v>38</v>
      </c>
      <c r="K1088" s="7" t="s">
        <v>66</v>
      </c>
      <c r="L1088" s="7" t="s">
        <v>65</v>
      </c>
      <c r="M1088" s="7">
        <v>4.0115629999999998</v>
      </c>
      <c r="N1088" s="7">
        <v>9.2248479999999997</v>
      </c>
      <c r="O1088" s="7" t="s">
        <v>23</v>
      </c>
      <c r="P1088" s="3"/>
      <c r="Q1088" s="3"/>
      <c r="R1088" s="3"/>
    </row>
    <row r="1089" spans="1:18" x14ac:dyDescent="0.25">
      <c r="A1089" s="2">
        <v>1417</v>
      </c>
      <c r="B1089" s="7" t="s">
        <v>490</v>
      </c>
      <c r="C1089" s="7" t="s">
        <v>491</v>
      </c>
      <c r="D1089" s="7" t="s">
        <v>490</v>
      </c>
      <c r="E1089" s="7" t="s">
        <v>34</v>
      </c>
      <c r="F1089" s="7" t="s">
        <v>492</v>
      </c>
      <c r="G1089" s="8" t="s">
        <v>18</v>
      </c>
      <c r="H1089" s="7" t="s">
        <v>28</v>
      </c>
      <c r="I1089" s="7" t="s">
        <v>441</v>
      </c>
      <c r="J1089" s="7" t="s">
        <v>38</v>
      </c>
      <c r="K1089" s="7" t="s">
        <v>493</v>
      </c>
      <c r="L1089" s="7" t="s">
        <v>65</v>
      </c>
      <c r="M1089" s="7">
        <v>4.058408</v>
      </c>
      <c r="N1089" s="7">
        <v>9.2276769999999999</v>
      </c>
      <c r="O1089" s="7" t="s">
        <v>23</v>
      </c>
      <c r="P1089" s="3"/>
      <c r="Q1089" s="3"/>
      <c r="R1089" s="3"/>
    </row>
    <row r="1090" spans="1:18" x14ac:dyDescent="0.25">
      <c r="A1090" s="2">
        <v>1418</v>
      </c>
      <c r="B1090" s="7" t="s">
        <v>646</v>
      </c>
      <c r="C1090" s="7" t="s">
        <v>647</v>
      </c>
      <c r="D1090" s="7" t="s">
        <v>646</v>
      </c>
      <c r="E1090" s="7" t="s">
        <v>34</v>
      </c>
      <c r="F1090" s="7" t="s">
        <v>648</v>
      </c>
      <c r="G1090" s="8" t="s">
        <v>18</v>
      </c>
      <c r="H1090" s="7" t="s">
        <v>28</v>
      </c>
      <c r="I1090" s="7" t="s">
        <v>65</v>
      </c>
      <c r="J1090" s="7" t="s">
        <v>38</v>
      </c>
      <c r="K1090" s="7" t="s">
        <v>649</v>
      </c>
      <c r="L1090" s="7" t="s">
        <v>65</v>
      </c>
      <c r="M1090" s="7">
        <v>4.0344049999999996</v>
      </c>
      <c r="N1090" s="7">
        <v>9.205152</v>
      </c>
      <c r="O1090" s="7" t="s">
        <v>23</v>
      </c>
      <c r="P1090" s="3"/>
      <c r="Q1090" s="3"/>
      <c r="R1090" s="3"/>
    </row>
    <row r="1091" spans="1:18" x14ac:dyDescent="0.25">
      <c r="A1091" s="2">
        <v>1419</v>
      </c>
      <c r="B1091" s="7" t="s">
        <v>948</v>
      </c>
      <c r="C1091" s="7" t="s">
        <v>949</v>
      </c>
      <c r="D1091" s="7" t="s">
        <v>948</v>
      </c>
      <c r="E1091" s="7" t="s">
        <v>34</v>
      </c>
      <c r="F1091" s="7" t="s">
        <v>950</v>
      </c>
      <c r="G1091" s="8" t="s">
        <v>18</v>
      </c>
      <c r="H1091" s="7" t="s">
        <v>28</v>
      </c>
      <c r="I1091" s="7" t="s">
        <v>65</v>
      </c>
      <c r="J1091" s="7" t="s">
        <v>38</v>
      </c>
      <c r="K1091" s="7" t="s">
        <v>649</v>
      </c>
      <c r="L1091" s="7" t="s">
        <v>65</v>
      </c>
      <c r="M1091" s="7">
        <v>4.0648229999999996</v>
      </c>
      <c r="N1091" s="7">
        <v>9.178445</v>
      </c>
      <c r="O1091" s="7" t="s">
        <v>23</v>
      </c>
      <c r="P1091" s="3"/>
      <c r="Q1091" s="3"/>
      <c r="R1091" s="3"/>
    </row>
    <row r="1092" spans="1:18" x14ac:dyDescent="0.25">
      <c r="A1092" s="2">
        <v>1420</v>
      </c>
      <c r="B1092" s="7" t="s">
        <v>1360</v>
      </c>
      <c r="C1092" s="7" t="s">
        <v>1361</v>
      </c>
      <c r="D1092" s="7" t="s">
        <v>1360</v>
      </c>
      <c r="E1092" s="7" t="s">
        <v>34</v>
      </c>
      <c r="F1092" s="7" t="s">
        <v>1362</v>
      </c>
      <c r="G1092" s="8" t="s">
        <v>18</v>
      </c>
      <c r="H1092" s="7" t="s">
        <v>28</v>
      </c>
      <c r="I1092" s="7" t="s">
        <v>65</v>
      </c>
      <c r="J1092" s="7" t="s">
        <v>38</v>
      </c>
      <c r="K1092" s="7" t="s">
        <v>649</v>
      </c>
      <c r="L1092" s="7" t="s">
        <v>65</v>
      </c>
      <c r="M1092" s="7">
        <v>4.0175450000000001</v>
      </c>
      <c r="N1092" s="7">
        <v>9.1474899999999995</v>
      </c>
      <c r="O1092" s="7" t="s">
        <v>23</v>
      </c>
      <c r="P1092" s="3"/>
      <c r="Q1092" s="3"/>
      <c r="R1092" s="3"/>
    </row>
    <row r="1093" spans="1:18" x14ac:dyDescent="0.25">
      <c r="A1093" s="2">
        <v>1421</v>
      </c>
      <c r="B1093" s="7" t="s">
        <v>1376</v>
      </c>
      <c r="C1093" s="7" t="s">
        <v>1377</v>
      </c>
      <c r="D1093" s="7" t="s">
        <v>1376</v>
      </c>
      <c r="E1093" s="7" t="s">
        <v>34</v>
      </c>
      <c r="F1093" s="7" t="s">
        <v>1378</v>
      </c>
      <c r="G1093" s="8" t="s">
        <v>18</v>
      </c>
      <c r="H1093" s="7" t="s">
        <v>28</v>
      </c>
      <c r="I1093" s="7" t="s">
        <v>65</v>
      </c>
      <c r="J1093" s="7" t="s">
        <v>38</v>
      </c>
      <c r="K1093" s="7" t="s">
        <v>493</v>
      </c>
      <c r="L1093" s="7" t="s">
        <v>65</v>
      </c>
      <c r="M1093" s="7">
        <v>3.9947520000000001</v>
      </c>
      <c r="N1093" s="7">
        <v>9.2170480000000001</v>
      </c>
      <c r="O1093" s="7" t="s">
        <v>23</v>
      </c>
      <c r="P1093" s="3"/>
      <c r="Q1093" s="3"/>
      <c r="R1093" s="3"/>
    </row>
    <row r="1094" spans="1:18" x14ac:dyDescent="0.25">
      <c r="A1094" s="2">
        <v>1422</v>
      </c>
      <c r="B1094" s="7" t="s">
        <v>1531</v>
      </c>
      <c r="C1094" s="7" t="s">
        <v>1532</v>
      </c>
      <c r="D1094" s="7" t="s">
        <v>1531</v>
      </c>
      <c r="E1094" s="7" t="s">
        <v>34</v>
      </c>
      <c r="F1094" s="7" t="s">
        <v>1533</v>
      </c>
      <c r="G1094" s="8" t="s">
        <v>18</v>
      </c>
      <c r="H1094" s="7" t="s">
        <v>28</v>
      </c>
      <c r="I1094" s="7" t="s">
        <v>65</v>
      </c>
      <c r="J1094" s="7" t="s">
        <v>38</v>
      </c>
      <c r="K1094" s="7" t="s">
        <v>493</v>
      </c>
      <c r="L1094" s="7" t="s">
        <v>65</v>
      </c>
      <c r="M1094" s="7">
        <v>4.0169879999999996</v>
      </c>
      <c r="N1094" s="7">
        <v>9.1443460000000005</v>
      </c>
      <c r="O1094" s="7" t="s">
        <v>23</v>
      </c>
      <c r="P1094" s="3"/>
      <c r="Q1094" s="3"/>
      <c r="R1094" s="3"/>
    </row>
    <row r="1095" spans="1:18" x14ac:dyDescent="0.25">
      <c r="A1095" s="2">
        <v>1423</v>
      </c>
      <c r="B1095" s="7" t="s">
        <v>2539</v>
      </c>
      <c r="C1095" s="7" t="s">
        <v>2540</v>
      </c>
      <c r="D1095" s="7" t="s">
        <v>2539</v>
      </c>
      <c r="E1095" s="7" t="s">
        <v>34</v>
      </c>
      <c r="F1095" s="7" t="s">
        <v>2541</v>
      </c>
      <c r="G1095" s="8" t="s">
        <v>18</v>
      </c>
      <c r="H1095" s="7" t="s">
        <v>28</v>
      </c>
      <c r="I1095" s="7" t="s">
        <v>65</v>
      </c>
      <c r="J1095" s="7" t="s">
        <v>38</v>
      </c>
      <c r="K1095" s="7" t="s">
        <v>66</v>
      </c>
      <c r="L1095" s="7" t="s">
        <v>65</v>
      </c>
      <c r="M1095" s="7">
        <v>4.0171780000000004</v>
      </c>
      <c r="N1095" s="7">
        <v>9.1959850000000003</v>
      </c>
      <c r="O1095" s="7" t="s">
        <v>23</v>
      </c>
      <c r="P1095" s="3"/>
      <c r="Q1095" s="3"/>
      <c r="R1095" s="3"/>
    </row>
    <row r="1096" spans="1:18" x14ac:dyDescent="0.25">
      <c r="A1096" s="2">
        <v>1424</v>
      </c>
      <c r="B1096" s="7" t="s">
        <v>2751</v>
      </c>
      <c r="C1096" s="7" t="s">
        <v>2752</v>
      </c>
      <c r="D1096" s="7" t="s">
        <v>2751</v>
      </c>
      <c r="E1096" s="7" t="s">
        <v>34</v>
      </c>
      <c r="F1096" s="7" t="s">
        <v>2753</v>
      </c>
      <c r="G1096" s="8" t="s">
        <v>18</v>
      </c>
      <c r="H1096" s="7" t="s">
        <v>19</v>
      </c>
      <c r="I1096" s="7" t="s">
        <v>65</v>
      </c>
      <c r="J1096" s="7" t="s">
        <v>38</v>
      </c>
      <c r="K1096" s="7" t="s">
        <v>649</v>
      </c>
      <c r="L1096" s="7" t="s">
        <v>65</v>
      </c>
      <c r="M1096" s="7">
        <v>4.1024919999999998</v>
      </c>
      <c r="N1096" s="7">
        <v>8.9886309999999998</v>
      </c>
      <c r="O1096" s="7" t="s">
        <v>23</v>
      </c>
      <c r="P1096" s="3"/>
      <c r="Q1096" s="3"/>
      <c r="R1096" s="3"/>
    </row>
    <row r="1097" spans="1:18" x14ac:dyDescent="0.25">
      <c r="A1097" s="2">
        <v>1425</v>
      </c>
      <c r="B1097" s="7" t="s">
        <v>3011</v>
      </c>
      <c r="C1097" s="7" t="s">
        <v>3012</v>
      </c>
      <c r="D1097" s="7" t="s">
        <v>3011</v>
      </c>
      <c r="E1097" s="7" t="s">
        <v>34</v>
      </c>
      <c r="F1097" s="7" t="s">
        <v>3013</v>
      </c>
      <c r="G1097" s="8" t="s">
        <v>18</v>
      </c>
      <c r="H1097" s="7" t="s">
        <v>28</v>
      </c>
      <c r="I1097" s="7" t="s">
        <v>65</v>
      </c>
      <c r="J1097" s="7" t="s">
        <v>38</v>
      </c>
      <c r="K1097" s="7" t="s">
        <v>493</v>
      </c>
      <c r="L1097" s="7" t="s">
        <v>65</v>
      </c>
      <c r="M1097" s="7">
        <v>4.029255</v>
      </c>
      <c r="N1097" s="7">
        <v>9.1942129999999995</v>
      </c>
      <c r="O1097" s="7" t="s">
        <v>613</v>
      </c>
      <c r="P1097" s="3"/>
      <c r="Q1097" s="3"/>
      <c r="R1097" s="3"/>
    </row>
    <row r="1098" spans="1:18" x14ac:dyDescent="0.25">
      <c r="A1098" s="2">
        <v>1426</v>
      </c>
      <c r="B1098" s="7" t="s">
        <v>3154</v>
      </c>
      <c r="C1098" s="7" t="s">
        <v>3155</v>
      </c>
      <c r="D1098" s="7" t="s">
        <v>3154</v>
      </c>
      <c r="E1098" s="7" t="s">
        <v>34</v>
      </c>
      <c r="F1098" s="7" t="s">
        <v>3156</v>
      </c>
      <c r="G1098" s="8" t="s">
        <v>18</v>
      </c>
      <c r="H1098" s="7" t="s">
        <v>28</v>
      </c>
      <c r="I1098" s="7" t="s">
        <v>65</v>
      </c>
      <c r="J1098" s="7" t="s">
        <v>38</v>
      </c>
      <c r="K1098" s="7" t="s">
        <v>493</v>
      </c>
      <c r="L1098" s="7" t="s">
        <v>65</v>
      </c>
      <c r="M1098" s="7">
        <v>4.0171239999999999</v>
      </c>
      <c r="N1098" s="7">
        <v>9.1909329999999994</v>
      </c>
      <c r="O1098" s="7" t="s">
        <v>23</v>
      </c>
      <c r="P1098" s="3"/>
      <c r="Q1098" s="3"/>
      <c r="R1098" s="3"/>
    </row>
    <row r="1099" spans="1:18" x14ac:dyDescent="0.25">
      <c r="A1099" s="2">
        <v>1427</v>
      </c>
      <c r="B1099" s="7" t="s">
        <v>3279</v>
      </c>
      <c r="C1099" s="7" t="s">
        <v>3280</v>
      </c>
      <c r="D1099" s="7" t="s">
        <v>3279</v>
      </c>
      <c r="E1099" s="7" t="s">
        <v>34</v>
      </c>
      <c r="F1099" s="7" t="s">
        <v>3281</v>
      </c>
      <c r="G1099" s="8" t="s">
        <v>18</v>
      </c>
      <c r="H1099" s="7" t="s">
        <v>19</v>
      </c>
      <c r="I1099" s="7" t="s">
        <v>65</v>
      </c>
      <c r="J1099" s="7" t="s">
        <v>38</v>
      </c>
      <c r="K1099" s="7" t="s">
        <v>493</v>
      </c>
      <c r="L1099" s="7" t="s">
        <v>65</v>
      </c>
      <c r="M1099" s="7">
        <v>4.0078930000000001</v>
      </c>
      <c r="N1099" s="7">
        <v>9.2114229999999999</v>
      </c>
      <c r="O1099" s="7" t="s">
        <v>613</v>
      </c>
      <c r="P1099" s="3"/>
      <c r="Q1099" s="3"/>
      <c r="R1099" s="3"/>
    </row>
    <row r="1100" spans="1:18" x14ac:dyDescent="0.25">
      <c r="A1100" s="2">
        <v>1428</v>
      </c>
      <c r="B1100" s="7" t="s">
        <v>3494</v>
      </c>
      <c r="C1100" s="7" t="s">
        <v>3495</v>
      </c>
      <c r="D1100" s="7" t="s">
        <v>3494</v>
      </c>
      <c r="E1100" s="7" t="s">
        <v>34</v>
      </c>
      <c r="F1100" s="7" t="s">
        <v>3496</v>
      </c>
      <c r="G1100" s="8" t="s">
        <v>18</v>
      </c>
      <c r="H1100" s="7" t="s">
        <v>28</v>
      </c>
      <c r="I1100" s="7" t="s">
        <v>65</v>
      </c>
      <c r="J1100" s="7" t="s">
        <v>38</v>
      </c>
      <c r="K1100" s="7" t="s">
        <v>493</v>
      </c>
      <c r="L1100" s="7" t="s">
        <v>65</v>
      </c>
      <c r="M1100" s="7">
        <v>4.0266089999999997</v>
      </c>
      <c r="N1100" s="7">
        <v>9.2175949999999993</v>
      </c>
      <c r="O1100" s="7" t="s">
        <v>23</v>
      </c>
      <c r="P1100" s="3"/>
      <c r="Q1100" s="3"/>
      <c r="R1100" s="3"/>
    </row>
    <row r="1101" spans="1:18" x14ac:dyDescent="0.25">
      <c r="A1101" s="2">
        <v>1429</v>
      </c>
      <c r="B1101" s="7" t="s">
        <v>3526</v>
      </c>
      <c r="C1101" s="7" t="s">
        <v>3527</v>
      </c>
      <c r="D1101" s="7" t="s">
        <v>3526</v>
      </c>
      <c r="E1101" s="7" t="s">
        <v>34</v>
      </c>
      <c r="F1101" s="7" t="s">
        <v>3528</v>
      </c>
      <c r="G1101" s="8" t="s">
        <v>18</v>
      </c>
      <c r="H1101" s="7" t="s">
        <v>28</v>
      </c>
      <c r="I1101" s="7" t="s">
        <v>65</v>
      </c>
      <c r="J1101" s="7" t="s">
        <v>38</v>
      </c>
      <c r="K1101" s="7" t="s">
        <v>649</v>
      </c>
      <c r="L1101" s="7" t="s">
        <v>65</v>
      </c>
      <c r="M1101" s="7">
        <v>4.012753</v>
      </c>
      <c r="N1101" s="7">
        <v>9.1692479999999996</v>
      </c>
      <c r="O1101" s="7" t="s">
        <v>23</v>
      </c>
      <c r="P1101" s="3"/>
      <c r="Q1101" s="3"/>
      <c r="R1101" s="3"/>
    </row>
    <row r="1102" spans="1:18" x14ac:dyDescent="0.25">
      <c r="A1102" s="2">
        <v>1430</v>
      </c>
      <c r="B1102" s="7" t="s">
        <v>3602</v>
      </c>
      <c r="C1102" s="7" t="s">
        <v>3603</v>
      </c>
      <c r="D1102" s="7" t="s">
        <v>3602</v>
      </c>
      <c r="E1102" s="7" t="s">
        <v>34</v>
      </c>
      <c r="F1102" s="7" t="s">
        <v>3604</v>
      </c>
      <c r="G1102" s="8" t="s">
        <v>18</v>
      </c>
      <c r="H1102" s="7" t="s">
        <v>28</v>
      </c>
      <c r="I1102" s="7" t="s">
        <v>65</v>
      </c>
      <c r="J1102" s="7" t="s">
        <v>38</v>
      </c>
      <c r="K1102" s="7" t="s">
        <v>493</v>
      </c>
      <c r="L1102" s="7" t="s">
        <v>65</v>
      </c>
      <c r="M1102" s="7">
        <v>4.0210179999999998</v>
      </c>
      <c r="N1102" s="7">
        <v>9.2117690000000003</v>
      </c>
      <c r="O1102" s="7" t="s">
        <v>23</v>
      </c>
      <c r="P1102" s="3"/>
      <c r="Q1102" s="3"/>
      <c r="R1102" s="3"/>
    </row>
    <row r="1103" spans="1:18" x14ac:dyDescent="0.25">
      <c r="A1103" s="2">
        <v>1431</v>
      </c>
      <c r="B1103" s="7" t="s">
        <v>3679</v>
      </c>
      <c r="C1103" s="7" t="s">
        <v>3680</v>
      </c>
      <c r="D1103" s="7" t="s">
        <v>3679</v>
      </c>
      <c r="E1103" s="7" t="s">
        <v>34</v>
      </c>
      <c r="F1103" s="7" t="s">
        <v>3681</v>
      </c>
      <c r="G1103" s="8" t="s">
        <v>18</v>
      </c>
      <c r="H1103" s="7" t="s">
        <v>28</v>
      </c>
      <c r="I1103" s="7" t="s">
        <v>65</v>
      </c>
      <c r="J1103" s="7" t="s">
        <v>38</v>
      </c>
      <c r="K1103" s="7" t="s">
        <v>3682</v>
      </c>
      <c r="L1103" s="7" t="s">
        <v>65</v>
      </c>
      <c r="M1103" s="7">
        <v>4.0212079999999997</v>
      </c>
      <c r="N1103" s="7">
        <v>9.1684750000000008</v>
      </c>
      <c r="O1103" s="7" t="s">
        <v>23</v>
      </c>
      <c r="P1103" s="3"/>
      <c r="Q1103" s="3"/>
      <c r="R1103" s="3"/>
    </row>
    <row r="1104" spans="1:18" x14ac:dyDescent="0.25">
      <c r="A1104" s="2">
        <v>1432</v>
      </c>
      <c r="B1104" s="7" t="s">
        <v>3730</v>
      </c>
      <c r="C1104" s="7" t="s">
        <v>3731</v>
      </c>
      <c r="D1104" s="7" t="s">
        <v>3730</v>
      </c>
      <c r="E1104" s="7" t="s">
        <v>34</v>
      </c>
      <c r="F1104" s="7" t="s">
        <v>3732</v>
      </c>
      <c r="G1104" s="8" t="s">
        <v>18</v>
      </c>
      <c r="H1104" s="7" t="s">
        <v>28</v>
      </c>
      <c r="I1104" s="7" t="s">
        <v>441</v>
      </c>
      <c r="J1104" s="7" t="s">
        <v>38</v>
      </c>
      <c r="K1104" s="7" t="s">
        <v>493</v>
      </c>
      <c r="L1104" s="7" t="s">
        <v>65</v>
      </c>
      <c r="M1104" s="7">
        <v>4.0628609999999998</v>
      </c>
      <c r="N1104" s="7">
        <v>9.2251390000000004</v>
      </c>
      <c r="O1104" s="7" t="s">
        <v>23</v>
      </c>
      <c r="P1104" s="3"/>
      <c r="Q1104" s="3"/>
      <c r="R1104" s="3"/>
    </row>
    <row r="1105" spans="1:18" x14ac:dyDescent="0.25">
      <c r="A1105" s="2">
        <v>1433</v>
      </c>
      <c r="B1105" s="7" t="s">
        <v>3982</v>
      </c>
      <c r="C1105" s="7" t="s">
        <v>3983</v>
      </c>
      <c r="D1105" s="7" t="s">
        <v>3982</v>
      </c>
      <c r="E1105" s="7" t="s">
        <v>34</v>
      </c>
      <c r="F1105" s="7" t="s">
        <v>3984</v>
      </c>
      <c r="G1105" s="8" t="s">
        <v>18</v>
      </c>
      <c r="H1105" s="7" t="s">
        <v>19</v>
      </c>
      <c r="I1105" s="7" t="s">
        <v>65</v>
      </c>
      <c r="J1105" s="7" t="s">
        <v>38</v>
      </c>
      <c r="K1105" s="7" t="s">
        <v>493</v>
      </c>
      <c r="L1105" s="7" t="s">
        <v>65</v>
      </c>
      <c r="M1105" s="7">
        <v>4.0114280000000004</v>
      </c>
      <c r="N1105" s="7">
        <v>9.2159379999999995</v>
      </c>
      <c r="O1105" s="7" t="s">
        <v>613</v>
      </c>
      <c r="P1105" s="3"/>
      <c r="Q1105" s="3"/>
      <c r="R1105" s="3"/>
    </row>
    <row r="1106" spans="1:18" x14ac:dyDescent="0.25">
      <c r="A1106" s="2">
        <v>1434</v>
      </c>
      <c r="B1106" s="7" t="s">
        <v>4007</v>
      </c>
      <c r="C1106" s="7" t="s">
        <v>4008</v>
      </c>
      <c r="D1106" s="7" t="s">
        <v>4007</v>
      </c>
      <c r="E1106" s="7" t="s">
        <v>34</v>
      </c>
      <c r="F1106" s="7" t="s">
        <v>4009</v>
      </c>
      <c r="G1106" s="8" t="s">
        <v>18</v>
      </c>
      <c r="H1106" s="7" t="s">
        <v>19</v>
      </c>
      <c r="I1106" s="7" t="s">
        <v>65</v>
      </c>
      <c r="J1106" s="7" t="s">
        <v>38</v>
      </c>
      <c r="K1106" s="7" t="s">
        <v>66</v>
      </c>
      <c r="L1106" s="7" t="s">
        <v>65</v>
      </c>
      <c r="M1106" s="7">
        <v>4.0206499999999998</v>
      </c>
      <c r="N1106" s="7">
        <v>9.2035269999999993</v>
      </c>
      <c r="O1106" s="7" t="s">
        <v>23</v>
      </c>
      <c r="P1106" s="3"/>
      <c r="Q1106" s="3"/>
      <c r="R1106" s="3"/>
    </row>
    <row r="1107" spans="1:18" x14ac:dyDescent="0.25">
      <c r="A1107" s="2">
        <v>1435</v>
      </c>
      <c r="B1107" s="7" t="s">
        <v>4070</v>
      </c>
      <c r="C1107" s="7" t="s">
        <v>4071</v>
      </c>
      <c r="D1107" s="7" t="s">
        <v>4070</v>
      </c>
      <c r="E1107" s="7" t="s">
        <v>34</v>
      </c>
      <c r="F1107" s="7" t="s">
        <v>4072</v>
      </c>
      <c r="G1107" s="8" t="s">
        <v>18</v>
      </c>
      <c r="H1107" s="7" t="s">
        <v>19</v>
      </c>
      <c r="I1107" s="7" t="s">
        <v>441</v>
      </c>
      <c r="J1107" s="7" t="s">
        <v>38</v>
      </c>
      <c r="K1107" s="7" t="s">
        <v>493</v>
      </c>
      <c r="L1107" s="7" t="s">
        <v>65</v>
      </c>
      <c r="M1107" s="7">
        <v>4.0564720000000003</v>
      </c>
      <c r="N1107" s="7">
        <v>9.2473340000000004</v>
      </c>
      <c r="O1107" s="7" t="s">
        <v>23</v>
      </c>
      <c r="P1107" s="3"/>
      <c r="Q1107" s="3"/>
      <c r="R1107" s="3"/>
    </row>
    <row r="1108" spans="1:18" x14ac:dyDescent="0.25">
      <c r="A1108" s="2">
        <v>1436</v>
      </c>
      <c r="B1108" s="7" t="s">
        <v>4085</v>
      </c>
      <c r="C1108" s="7" t="s">
        <v>4086</v>
      </c>
      <c r="D1108" s="7" t="s">
        <v>4085</v>
      </c>
      <c r="E1108" s="7" t="s">
        <v>34</v>
      </c>
      <c r="F1108" s="7" t="s">
        <v>4087</v>
      </c>
      <c r="G1108" s="8" t="s">
        <v>18</v>
      </c>
      <c r="H1108" s="7" t="s">
        <v>19</v>
      </c>
      <c r="I1108" s="7" t="s">
        <v>65</v>
      </c>
      <c r="J1108" s="7" t="s">
        <v>38</v>
      </c>
      <c r="K1108" s="7" t="s">
        <v>493</v>
      </c>
      <c r="L1108" s="7" t="s">
        <v>65</v>
      </c>
      <c r="M1108" s="7">
        <v>4.0162610000000001</v>
      </c>
      <c r="N1108" s="7">
        <v>9.1790389999999995</v>
      </c>
      <c r="O1108" s="7" t="s">
        <v>23</v>
      </c>
      <c r="P1108" s="3"/>
      <c r="Q1108" s="3"/>
      <c r="R1108" s="3"/>
    </row>
    <row r="1109" spans="1:18" x14ac:dyDescent="0.25">
      <c r="A1109" s="2">
        <v>1437</v>
      </c>
      <c r="B1109" s="7" t="s">
        <v>4103</v>
      </c>
      <c r="C1109" s="7" t="s">
        <v>4104</v>
      </c>
      <c r="D1109" s="7" t="s">
        <v>4103</v>
      </c>
      <c r="E1109" s="7" t="s">
        <v>34</v>
      </c>
      <c r="F1109" s="7" t="s">
        <v>4105</v>
      </c>
      <c r="G1109" s="8" t="s">
        <v>18</v>
      </c>
      <c r="H1109" s="7" t="s">
        <v>19</v>
      </c>
      <c r="I1109" s="7" t="s">
        <v>441</v>
      </c>
      <c r="J1109" s="7" t="s">
        <v>38</v>
      </c>
      <c r="K1109" s="7" t="s">
        <v>66</v>
      </c>
      <c r="L1109" s="7" t="s">
        <v>65</v>
      </c>
      <c r="M1109" s="7">
        <v>4.0566700000000004</v>
      </c>
      <c r="N1109" s="7">
        <v>9.2473550000000007</v>
      </c>
      <c r="O1109" s="7" t="s">
        <v>23</v>
      </c>
      <c r="P1109" s="3"/>
      <c r="Q1109" s="3"/>
      <c r="R1109" s="3"/>
    </row>
    <row r="1110" spans="1:18" x14ac:dyDescent="0.25">
      <c r="A1110" s="2">
        <v>1438</v>
      </c>
      <c r="B1110" s="7" t="s">
        <v>4121</v>
      </c>
      <c r="C1110" s="7" t="s">
        <v>4122</v>
      </c>
      <c r="D1110" s="7" t="s">
        <v>4121</v>
      </c>
      <c r="E1110" s="7" t="s">
        <v>34</v>
      </c>
      <c r="F1110" s="7" t="s">
        <v>4123</v>
      </c>
      <c r="G1110" s="8" t="s">
        <v>18</v>
      </c>
      <c r="H1110" s="7" t="s">
        <v>19</v>
      </c>
      <c r="I1110" s="7" t="s">
        <v>65</v>
      </c>
      <c r="J1110" s="7" t="s">
        <v>38</v>
      </c>
      <c r="K1110" s="7" t="s">
        <v>649</v>
      </c>
      <c r="L1110" s="7" t="s">
        <v>65</v>
      </c>
      <c r="M1110" s="7">
        <v>4.0215420000000002</v>
      </c>
      <c r="N1110" s="7">
        <v>9.1110609999999994</v>
      </c>
      <c r="O1110" s="7" t="s">
        <v>23</v>
      </c>
      <c r="P1110" s="3"/>
      <c r="Q1110" s="3"/>
      <c r="R1110" s="3"/>
    </row>
    <row r="1111" spans="1:18" x14ac:dyDescent="0.25">
      <c r="A1111" s="2">
        <v>1439</v>
      </c>
      <c r="B1111" s="7" t="s">
        <v>4336</v>
      </c>
      <c r="C1111" s="7" t="s">
        <v>4337</v>
      </c>
      <c r="D1111" s="7" t="s">
        <v>4336</v>
      </c>
      <c r="E1111" s="7" t="s">
        <v>34</v>
      </c>
      <c r="F1111" s="7" t="s">
        <v>4338</v>
      </c>
      <c r="G1111" s="8" t="s">
        <v>18</v>
      </c>
      <c r="H1111" s="7" t="s">
        <v>28</v>
      </c>
      <c r="I1111" s="7" t="s">
        <v>65</v>
      </c>
      <c r="J1111" s="7" t="s">
        <v>38</v>
      </c>
      <c r="K1111" s="7" t="s">
        <v>649</v>
      </c>
      <c r="L1111" s="7" t="s">
        <v>65</v>
      </c>
      <c r="M1111" s="7">
        <v>4.0273199999999996</v>
      </c>
      <c r="N1111" s="7">
        <v>9.1265719999999995</v>
      </c>
      <c r="O1111" s="7" t="s">
        <v>23</v>
      </c>
      <c r="P1111" s="3"/>
      <c r="Q1111" s="3"/>
      <c r="R1111" s="3"/>
    </row>
    <row r="1112" spans="1:18" x14ac:dyDescent="0.25">
      <c r="A1112" s="2">
        <v>1440</v>
      </c>
      <c r="B1112" s="7" t="s">
        <v>4339</v>
      </c>
      <c r="C1112" s="7" t="s">
        <v>4340</v>
      </c>
      <c r="D1112" s="7" t="s">
        <v>4339</v>
      </c>
      <c r="E1112" s="7" t="s">
        <v>34</v>
      </c>
      <c r="F1112" s="7" t="s">
        <v>4341</v>
      </c>
      <c r="G1112" s="8" t="s">
        <v>18</v>
      </c>
      <c r="H1112" s="7" t="s">
        <v>28</v>
      </c>
      <c r="I1112" s="7" t="s">
        <v>65</v>
      </c>
      <c r="J1112" s="7" t="s">
        <v>38</v>
      </c>
      <c r="K1112" s="7" t="s">
        <v>649</v>
      </c>
      <c r="L1112" s="7" t="s">
        <v>65</v>
      </c>
      <c r="M1112" s="7">
        <v>4.0619350000000001</v>
      </c>
      <c r="N1112" s="7">
        <v>9.0419619999999998</v>
      </c>
      <c r="O1112" s="7" t="s">
        <v>23</v>
      </c>
      <c r="P1112" s="3"/>
      <c r="Q1112" s="3"/>
      <c r="R1112" s="3"/>
    </row>
    <row r="1113" spans="1:18" x14ac:dyDescent="0.25">
      <c r="A1113" s="2">
        <v>1441</v>
      </c>
      <c r="B1113" s="7" t="s">
        <v>4345</v>
      </c>
      <c r="C1113" s="7" t="s">
        <v>4346</v>
      </c>
      <c r="D1113" s="7" t="s">
        <v>4345</v>
      </c>
      <c r="E1113" s="7" t="s">
        <v>34</v>
      </c>
      <c r="F1113" s="7" t="s">
        <v>4347</v>
      </c>
      <c r="G1113" s="8" t="s">
        <v>18</v>
      </c>
      <c r="H1113" s="7" t="s">
        <v>19</v>
      </c>
      <c r="I1113" s="7" t="s">
        <v>65</v>
      </c>
      <c r="J1113" s="7" t="s">
        <v>38</v>
      </c>
      <c r="K1113" s="7" t="s">
        <v>493</v>
      </c>
      <c r="L1113" s="7" t="s">
        <v>65</v>
      </c>
      <c r="M1113" s="7">
        <v>4.016286</v>
      </c>
      <c r="N1113" s="7">
        <v>9.1786399999999997</v>
      </c>
      <c r="O1113" s="7" t="s">
        <v>23</v>
      </c>
      <c r="P1113" s="3"/>
      <c r="Q1113" s="3"/>
      <c r="R1113" s="3"/>
    </row>
    <row r="1114" spans="1:18" x14ac:dyDescent="0.25">
      <c r="A1114" s="2">
        <v>1442</v>
      </c>
      <c r="B1114" s="7" t="s">
        <v>5554</v>
      </c>
      <c r="C1114" s="7" t="s">
        <v>5555</v>
      </c>
      <c r="D1114" s="7" t="s">
        <v>5554</v>
      </c>
      <c r="E1114" s="7" t="s">
        <v>34</v>
      </c>
      <c r="F1114" s="7" t="s">
        <v>5556</v>
      </c>
      <c r="G1114" s="8" t="s">
        <v>18</v>
      </c>
      <c r="H1114" s="7" t="s">
        <v>28</v>
      </c>
      <c r="I1114" s="7" t="s">
        <v>65</v>
      </c>
      <c r="J1114" s="7" t="s">
        <v>38</v>
      </c>
      <c r="K1114" s="7" t="s">
        <v>66</v>
      </c>
      <c r="L1114" s="7" t="s">
        <v>65</v>
      </c>
      <c r="M1114" s="7">
        <v>4.0123030000000002</v>
      </c>
      <c r="N1114" s="7">
        <v>9.2076879999999992</v>
      </c>
      <c r="O1114" s="7" t="s">
        <v>613</v>
      </c>
      <c r="P1114" s="3"/>
      <c r="Q1114" s="3"/>
      <c r="R1114" s="3"/>
    </row>
    <row r="1115" spans="1:18" x14ac:dyDescent="0.25">
      <c r="A1115" s="2">
        <v>1443</v>
      </c>
      <c r="B1115" s="7" t="s">
        <v>5781</v>
      </c>
      <c r="C1115" s="7" t="s">
        <v>5782</v>
      </c>
      <c r="D1115" s="7" t="s">
        <v>5781</v>
      </c>
      <c r="E1115" s="7" t="s">
        <v>34</v>
      </c>
      <c r="F1115" s="7" t="s">
        <v>5783</v>
      </c>
      <c r="G1115" s="8" t="s">
        <v>18</v>
      </c>
      <c r="H1115" s="7" t="s">
        <v>28</v>
      </c>
      <c r="I1115" s="7" t="s">
        <v>65</v>
      </c>
      <c r="J1115" s="7" t="s">
        <v>38</v>
      </c>
      <c r="K1115" s="7" t="s">
        <v>493</v>
      </c>
      <c r="L1115" s="7" t="s">
        <v>65</v>
      </c>
      <c r="M1115" s="7">
        <v>4.0152489999999998</v>
      </c>
      <c r="N1115" s="7">
        <v>9.2103680000000008</v>
      </c>
      <c r="O1115" s="7" t="s">
        <v>613</v>
      </c>
      <c r="P1115" s="3"/>
      <c r="Q1115" s="3"/>
      <c r="R1115" s="3"/>
    </row>
    <row r="1116" spans="1:18" x14ac:dyDescent="0.25">
      <c r="A1116" s="2">
        <v>1444</v>
      </c>
      <c r="B1116" s="7" t="s">
        <v>5845</v>
      </c>
      <c r="C1116" s="7" t="s">
        <v>5846</v>
      </c>
      <c r="D1116" s="7" t="s">
        <v>5845</v>
      </c>
      <c r="E1116" s="7" t="s">
        <v>34</v>
      </c>
      <c r="F1116" s="7" t="s">
        <v>5847</v>
      </c>
      <c r="G1116" s="8" t="s">
        <v>18</v>
      </c>
      <c r="H1116" s="7" t="s">
        <v>28</v>
      </c>
      <c r="I1116" s="7" t="s">
        <v>441</v>
      </c>
      <c r="J1116" s="7" t="s">
        <v>38</v>
      </c>
      <c r="K1116" s="7" t="s">
        <v>442</v>
      </c>
      <c r="L1116" s="7" t="s">
        <v>65</v>
      </c>
      <c r="M1116" s="7">
        <v>4.08108</v>
      </c>
      <c r="N1116" s="7">
        <v>9.2052200000000006</v>
      </c>
      <c r="O1116" s="7" t="s">
        <v>23</v>
      </c>
      <c r="P1116" s="3"/>
      <c r="Q1116" s="3"/>
      <c r="R1116" s="3"/>
    </row>
    <row r="1117" spans="1:18" x14ac:dyDescent="0.25">
      <c r="A1117" s="2">
        <v>1445</v>
      </c>
      <c r="B1117" s="7" t="s">
        <v>5978</v>
      </c>
      <c r="C1117" s="7" t="s">
        <v>5979</v>
      </c>
      <c r="D1117" s="7" t="s">
        <v>5978</v>
      </c>
      <c r="E1117" s="7" t="s">
        <v>34</v>
      </c>
      <c r="F1117" s="7" t="s">
        <v>5980</v>
      </c>
      <c r="G1117" s="8" t="s">
        <v>18</v>
      </c>
      <c r="H1117" s="7" t="s">
        <v>28</v>
      </c>
      <c r="I1117" s="7" t="s">
        <v>65</v>
      </c>
      <c r="J1117" s="7" t="s">
        <v>38</v>
      </c>
      <c r="K1117" s="7" t="s">
        <v>5981</v>
      </c>
      <c r="L1117" s="7" t="s">
        <v>65</v>
      </c>
      <c r="M1117" s="7">
        <v>3.992639</v>
      </c>
      <c r="N1117" s="7">
        <v>9.2848609999999994</v>
      </c>
      <c r="O1117" s="7" t="s">
        <v>23</v>
      </c>
      <c r="P1117" s="3"/>
      <c r="Q1117" s="3"/>
      <c r="R1117" s="3"/>
    </row>
    <row r="1118" spans="1:18" x14ac:dyDescent="0.25">
      <c r="A1118" s="2">
        <v>1446</v>
      </c>
      <c r="B1118" s="7" t="s">
        <v>6628</v>
      </c>
      <c r="C1118" s="7" t="s">
        <v>6629</v>
      </c>
      <c r="D1118" s="7" t="s">
        <v>6628</v>
      </c>
      <c r="E1118" s="7" t="s">
        <v>34</v>
      </c>
      <c r="F1118" s="7" t="s">
        <v>6630</v>
      </c>
      <c r="G1118" s="8" t="s">
        <v>18</v>
      </c>
      <c r="H1118" s="7" t="s">
        <v>28</v>
      </c>
      <c r="I1118" s="7" t="s">
        <v>65</v>
      </c>
      <c r="J1118" s="7" t="s">
        <v>38</v>
      </c>
      <c r="K1118" s="7" t="s">
        <v>649</v>
      </c>
      <c r="L1118" s="7" t="s">
        <v>65</v>
      </c>
      <c r="M1118" s="7">
        <v>4.0295719999999999</v>
      </c>
      <c r="N1118" s="7">
        <v>9.1599889999999995</v>
      </c>
      <c r="O1118" s="7" t="s">
        <v>23</v>
      </c>
      <c r="P1118" s="3"/>
      <c r="Q1118" s="3"/>
      <c r="R1118" s="3"/>
    </row>
    <row r="1119" spans="1:18" x14ac:dyDescent="0.25">
      <c r="A1119" s="2">
        <v>1447</v>
      </c>
      <c r="B1119" s="7" t="s">
        <v>7060</v>
      </c>
      <c r="C1119" s="7" t="s">
        <v>7061</v>
      </c>
      <c r="D1119" s="7" t="s">
        <v>7060</v>
      </c>
      <c r="E1119" s="7" t="s">
        <v>34</v>
      </c>
      <c r="F1119" s="7" t="s">
        <v>7062</v>
      </c>
      <c r="G1119" s="8" t="s">
        <v>18</v>
      </c>
      <c r="H1119" s="7" t="s">
        <v>28</v>
      </c>
      <c r="I1119" s="7" t="s">
        <v>65</v>
      </c>
      <c r="J1119" s="7" t="s">
        <v>7063</v>
      </c>
      <c r="K1119" s="7" t="s">
        <v>7064</v>
      </c>
      <c r="L1119" s="7" t="s">
        <v>65</v>
      </c>
      <c r="M1119" s="7">
        <v>4.0261110000000002</v>
      </c>
      <c r="N1119" s="7">
        <v>9.2055559999999996</v>
      </c>
      <c r="O1119" s="7" t="s">
        <v>23</v>
      </c>
      <c r="P1119" s="3"/>
      <c r="Q1119" s="3"/>
      <c r="R1119" s="3"/>
    </row>
    <row r="1120" spans="1:18" x14ac:dyDescent="0.25">
      <c r="A1120" s="2">
        <v>1448</v>
      </c>
      <c r="B1120" s="7" t="s">
        <v>7100</v>
      </c>
      <c r="C1120" s="7" t="s">
        <v>7101</v>
      </c>
      <c r="D1120" s="7" t="s">
        <v>7100</v>
      </c>
      <c r="E1120" s="7" t="s">
        <v>34</v>
      </c>
      <c r="F1120" s="7" t="s">
        <v>7102</v>
      </c>
      <c r="G1120" s="8" t="s">
        <v>18</v>
      </c>
      <c r="H1120" s="7" t="s">
        <v>28</v>
      </c>
      <c r="I1120" s="7" t="s">
        <v>65</v>
      </c>
      <c r="J1120" s="7" t="s">
        <v>7063</v>
      </c>
      <c r="K1120" s="7" t="s">
        <v>7103</v>
      </c>
      <c r="L1120" s="7" t="s">
        <v>65</v>
      </c>
      <c r="M1120" s="7">
        <v>4.0470129999999997</v>
      </c>
      <c r="N1120" s="7">
        <v>9.2143099999999993</v>
      </c>
      <c r="O1120" s="7" t="s">
        <v>23</v>
      </c>
      <c r="P1120" s="3"/>
      <c r="Q1120" s="3"/>
      <c r="R1120" s="3"/>
    </row>
    <row r="1121" spans="1:18" x14ac:dyDescent="0.25">
      <c r="A1121" s="2">
        <v>1449</v>
      </c>
      <c r="B1121" s="7" t="s">
        <v>7374</v>
      </c>
      <c r="C1121" s="7" t="s">
        <v>7375</v>
      </c>
      <c r="D1121" s="7" t="s">
        <v>7374</v>
      </c>
      <c r="E1121" s="7" t="s">
        <v>34</v>
      </c>
      <c r="F1121" s="7" t="s">
        <v>7376</v>
      </c>
      <c r="G1121" s="17" t="s">
        <v>7747</v>
      </c>
      <c r="H1121" s="7" t="s">
        <v>28</v>
      </c>
      <c r="I1121" s="7" t="s">
        <v>65</v>
      </c>
      <c r="J1121" s="7" t="s">
        <v>38</v>
      </c>
      <c r="K1121" s="7" t="s">
        <v>7377</v>
      </c>
      <c r="L1121" s="7" t="s">
        <v>65</v>
      </c>
      <c r="M1121" s="7">
        <v>4.025245</v>
      </c>
      <c r="N1121" s="7">
        <v>9.1802170000000007</v>
      </c>
      <c r="O1121" s="7" t="s">
        <v>613</v>
      </c>
      <c r="P1121" s="3"/>
      <c r="Q1121" s="3"/>
      <c r="R1121" s="3"/>
    </row>
    <row r="1122" spans="1:18" x14ac:dyDescent="0.25">
      <c r="A1122" s="2">
        <v>1450</v>
      </c>
      <c r="B1122" s="7" t="s">
        <v>7430</v>
      </c>
      <c r="C1122" s="7" t="s">
        <v>7431</v>
      </c>
      <c r="D1122" s="7" t="s">
        <v>7430</v>
      </c>
      <c r="E1122" s="7" t="s">
        <v>34</v>
      </c>
      <c r="F1122" s="7" t="s">
        <v>7432</v>
      </c>
      <c r="G1122" s="17" t="s">
        <v>7747</v>
      </c>
      <c r="H1122" s="7" t="s">
        <v>28</v>
      </c>
      <c r="I1122" s="7" t="s">
        <v>65</v>
      </c>
      <c r="J1122" s="7" t="s">
        <v>38</v>
      </c>
      <c r="K1122" s="7" t="s">
        <v>7377</v>
      </c>
      <c r="L1122" s="7" t="s">
        <v>65</v>
      </c>
      <c r="M1122" s="7">
        <v>4.025353</v>
      </c>
      <c r="N1122" s="7">
        <v>9.1801180000000002</v>
      </c>
      <c r="O1122" s="7" t="s">
        <v>23</v>
      </c>
      <c r="P1122" s="3"/>
      <c r="Q1122" s="3"/>
      <c r="R1122" s="3"/>
    </row>
    <row r="1123" spans="1:18" x14ac:dyDescent="0.25">
      <c r="A1123" s="2">
        <v>1451</v>
      </c>
      <c r="B1123" s="7" t="s">
        <v>86</v>
      </c>
      <c r="C1123" s="7" t="s">
        <v>87</v>
      </c>
      <c r="D1123" s="7" t="s">
        <v>86</v>
      </c>
      <c r="E1123" s="7" t="s">
        <v>26</v>
      </c>
      <c r="F1123" s="7" t="s">
        <v>88</v>
      </c>
      <c r="G1123" s="8" t="s">
        <v>36</v>
      </c>
      <c r="H1123" s="7" t="s">
        <v>28</v>
      </c>
      <c r="I1123" s="7" t="s">
        <v>90</v>
      </c>
      <c r="J1123" s="7" t="s">
        <v>91</v>
      </c>
      <c r="K1123" s="7" t="s">
        <v>88</v>
      </c>
      <c r="L1123" s="7" t="s">
        <v>92</v>
      </c>
      <c r="M1123" s="7">
        <v>5.521083333</v>
      </c>
      <c r="N1123" s="7">
        <v>9.5806944440000006</v>
      </c>
      <c r="O1123" s="7" t="s">
        <v>23</v>
      </c>
      <c r="P1123" s="3"/>
      <c r="Q1123" s="3"/>
      <c r="R1123" s="3"/>
    </row>
    <row r="1124" spans="1:18" x14ac:dyDescent="0.25">
      <c r="A1124" s="2">
        <v>1452</v>
      </c>
      <c r="B1124" s="7" t="s">
        <v>126</v>
      </c>
      <c r="C1124" s="7" t="s">
        <v>127</v>
      </c>
      <c r="D1124" s="7" t="s">
        <v>126</v>
      </c>
      <c r="E1124" s="7" t="s">
        <v>26</v>
      </c>
      <c r="F1124" s="7" t="s">
        <v>128</v>
      </c>
      <c r="G1124" s="8" t="s">
        <v>36</v>
      </c>
      <c r="H1124" s="7" t="s">
        <v>28</v>
      </c>
      <c r="I1124" s="7" t="s">
        <v>92</v>
      </c>
      <c r="J1124" s="7" t="s">
        <v>91</v>
      </c>
      <c r="K1124" s="7" t="s">
        <v>88</v>
      </c>
      <c r="L1124" s="7" t="s">
        <v>92</v>
      </c>
      <c r="M1124" s="7">
        <v>5.5816666670000004</v>
      </c>
      <c r="N1124" s="7">
        <v>9.6670555559999993</v>
      </c>
      <c r="O1124" s="7" t="s">
        <v>23</v>
      </c>
      <c r="P1124" s="3"/>
      <c r="Q1124" s="3"/>
      <c r="R1124" s="3"/>
    </row>
    <row r="1125" spans="1:18" x14ac:dyDescent="0.25">
      <c r="A1125" s="2">
        <v>1453</v>
      </c>
      <c r="B1125" s="7" t="s">
        <v>278</v>
      </c>
      <c r="C1125" s="7" t="s">
        <v>279</v>
      </c>
      <c r="D1125" s="7" t="s">
        <v>278</v>
      </c>
      <c r="E1125" s="7" t="s">
        <v>26</v>
      </c>
      <c r="F1125" s="7" t="s">
        <v>280</v>
      </c>
      <c r="G1125" s="8" t="s">
        <v>36</v>
      </c>
      <c r="H1125" s="7" t="s">
        <v>28</v>
      </c>
      <c r="I1125" s="7" t="s">
        <v>92</v>
      </c>
      <c r="J1125" s="7" t="s">
        <v>281</v>
      </c>
      <c r="K1125" s="7" t="s">
        <v>282</v>
      </c>
      <c r="L1125" s="7" t="s">
        <v>92</v>
      </c>
      <c r="M1125" s="7">
        <v>5.4788333329999999</v>
      </c>
      <c r="N1125" s="7">
        <v>9.2488611110000001</v>
      </c>
      <c r="O1125" s="7" t="s">
        <v>23</v>
      </c>
      <c r="P1125" s="3"/>
      <c r="Q1125" s="3"/>
      <c r="R1125" s="3"/>
    </row>
    <row r="1126" spans="1:18" x14ac:dyDescent="0.25">
      <c r="A1126" s="2">
        <v>1454</v>
      </c>
      <c r="B1126" s="7" t="s">
        <v>994</v>
      </c>
      <c r="C1126" s="7" t="s">
        <v>995</v>
      </c>
      <c r="D1126" s="7" t="s">
        <v>994</v>
      </c>
      <c r="E1126" s="7" t="s">
        <v>26</v>
      </c>
      <c r="F1126" s="7" t="s">
        <v>996</v>
      </c>
      <c r="G1126" s="8" t="s">
        <v>18</v>
      </c>
      <c r="H1126" s="7" t="s">
        <v>28</v>
      </c>
      <c r="I1126" s="7" t="s">
        <v>92</v>
      </c>
      <c r="J1126" s="7" t="s">
        <v>281</v>
      </c>
      <c r="K1126" s="7" t="s">
        <v>282</v>
      </c>
      <c r="L1126" s="7" t="s">
        <v>92</v>
      </c>
      <c r="M1126" s="7">
        <v>5.700861111</v>
      </c>
      <c r="N1126" s="7">
        <v>9.2851388890000006</v>
      </c>
      <c r="O1126" s="7" t="s">
        <v>23</v>
      </c>
      <c r="P1126" s="3"/>
      <c r="Q1126" s="3"/>
      <c r="R1126" s="3"/>
    </row>
    <row r="1127" spans="1:18" x14ac:dyDescent="0.25">
      <c r="A1127" s="2">
        <v>1455</v>
      </c>
      <c r="B1127" s="7" t="s">
        <v>997</v>
      </c>
      <c r="C1127" s="7" t="s">
        <v>998</v>
      </c>
      <c r="D1127" s="7" t="s">
        <v>997</v>
      </c>
      <c r="E1127" s="7" t="s">
        <v>26</v>
      </c>
      <c r="F1127" s="7" t="s">
        <v>999</v>
      </c>
      <c r="G1127" s="8" t="s">
        <v>36</v>
      </c>
      <c r="H1127" s="7" t="s">
        <v>28</v>
      </c>
      <c r="I1127" s="7" t="s">
        <v>92</v>
      </c>
      <c r="J1127" s="7"/>
      <c r="K1127" s="7" t="s">
        <v>92</v>
      </c>
      <c r="L1127" s="7" t="s">
        <v>92</v>
      </c>
      <c r="M1127" s="7">
        <v>5.7744999999999997</v>
      </c>
      <c r="N1127" s="7">
        <v>9.3559999999999999</v>
      </c>
      <c r="O1127" s="7" t="s">
        <v>23</v>
      </c>
      <c r="P1127" s="3"/>
      <c r="Q1127" s="3"/>
      <c r="R1127" s="3"/>
    </row>
    <row r="1128" spans="1:18" x14ac:dyDescent="0.25">
      <c r="A1128" s="2">
        <v>1456</v>
      </c>
      <c r="B1128" s="7" t="s">
        <v>1175</v>
      </c>
      <c r="C1128" s="7" t="s">
        <v>1176</v>
      </c>
      <c r="D1128" s="7" t="s">
        <v>1175</v>
      </c>
      <c r="E1128" s="7" t="s">
        <v>26</v>
      </c>
      <c r="F1128" s="7" t="s">
        <v>1177</v>
      </c>
      <c r="G1128" s="8" t="s">
        <v>896</v>
      </c>
      <c r="H1128" s="7" t="s">
        <v>96</v>
      </c>
      <c r="I1128" s="7" t="s">
        <v>29</v>
      </c>
      <c r="J1128" s="7" t="s">
        <v>281</v>
      </c>
      <c r="K1128" s="7" t="s">
        <v>1178</v>
      </c>
      <c r="L1128" s="7" t="s">
        <v>92</v>
      </c>
      <c r="M1128" s="7">
        <v>6.378388889</v>
      </c>
      <c r="N1128" s="7">
        <v>9.5110583329999994</v>
      </c>
      <c r="O1128" s="7" t="s">
        <v>23</v>
      </c>
      <c r="P1128" s="3"/>
      <c r="Q1128" s="3"/>
      <c r="R1128" s="3"/>
    </row>
    <row r="1129" spans="1:18" x14ac:dyDescent="0.25">
      <c r="A1129" s="2">
        <v>1457</v>
      </c>
      <c r="B1129" s="7" t="s">
        <v>1394</v>
      </c>
      <c r="C1129" s="7" t="s">
        <v>1395</v>
      </c>
      <c r="D1129" s="7" t="s">
        <v>1394</v>
      </c>
      <c r="E1129" s="7" t="s">
        <v>26</v>
      </c>
      <c r="F1129" s="7" t="s">
        <v>1396</v>
      </c>
      <c r="G1129" s="8" t="s">
        <v>18</v>
      </c>
      <c r="H1129" s="7" t="s">
        <v>28</v>
      </c>
      <c r="I1129" s="7" t="s">
        <v>92</v>
      </c>
      <c r="J1129" s="7" t="s">
        <v>281</v>
      </c>
      <c r="K1129" s="7" t="s">
        <v>88</v>
      </c>
      <c r="L1129" s="7" t="s">
        <v>92</v>
      </c>
      <c r="M1129" s="7">
        <v>5.5574722220000004</v>
      </c>
      <c r="N1129" s="7">
        <v>9.5617222220000002</v>
      </c>
      <c r="O1129" s="7" t="s">
        <v>23</v>
      </c>
      <c r="P1129" s="3"/>
      <c r="Q1129" s="3"/>
      <c r="R1129" s="3"/>
    </row>
    <row r="1130" spans="1:18" x14ac:dyDescent="0.25">
      <c r="A1130" s="2">
        <v>1458</v>
      </c>
      <c r="B1130" s="7" t="s">
        <v>2110</v>
      </c>
      <c r="C1130" s="7" t="s">
        <v>2111</v>
      </c>
      <c r="D1130" s="7" t="s">
        <v>2110</v>
      </c>
      <c r="E1130" s="7" t="s">
        <v>26</v>
      </c>
      <c r="F1130" s="7" t="s">
        <v>2112</v>
      </c>
      <c r="G1130" s="8" t="s">
        <v>18</v>
      </c>
      <c r="H1130" s="7" t="s">
        <v>19</v>
      </c>
      <c r="I1130" s="7" t="s">
        <v>92</v>
      </c>
      <c r="J1130" s="7" t="s">
        <v>281</v>
      </c>
      <c r="K1130" s="7" t="s">
        <v>282</v>
      </c>
      <c r="L1130" s="7" t="s">
        <v>92</v>
      </c>
      <c r="M1130" s="7">
        <v>5.7660799999999997</v>
      </c>
      <c r="N1130" s="7">
        <v>8.9847000000000001</v>
      </c>
      <c r="O1130" s="7" t="s">
        <v>23</v>
      </c>
      <c r="P1130" s="3"/>
      <c r="Q1130" s="3"/>
      <c r="R1130" s="3"/>
    </row>
    <row r="1131" spans="1:18" x14ac:dyDescent="0.25">
      <c r="A1131" s="2">
        <v>1459</v>
      </c>
      <c r="B1131" s="7" t="s">
        <v>2579</v>
      </c>
      <c r="C1131" s="7" t="s">
        <v>2580</v>
      </c>
      <c r="D1131" s="7" t="s">
        <v>2579</v>
      </c>
      <c r="E1131" s="7" t="s">
        <v>26</v>
      </c>
      <c r="F1131" s="7" t="s">
        <v>2581</v>
      </c>
      <c r="G1131" s="8" t="s">
        <v>18</v>
      </c>
      <c r="H1131" s="7" t="s">
        <v>28</v>
      </c>
      <c r="I1131" s="7" t="s">
        <v>92</v>
      </c>
      <c r="J1131" s="7" t="s">
        <v>281</v>
      </c>
      <c r="K1131" s="7" t="s">
        <v>92</v>
      </c>
      <c r="L1131" s="7" t="s">
        <v>92</v>
      </c>
      <c r="M1131" s="7">
        <v>5.7569444399999998</v>
      </c>
      <c r="N1131" s="7">
        <v>9.3078611000000002</v>
      </c>
      <c r="O1131" s="7" t="s">
        <v>23</v>
      </c>
      <c r="P1131" s="3"/>
      <c r="Q1131" s="3"/>
      <c r="R1131" s="3"/>
    </row>
    <row r="1132" spans="1:18" x14ac:dyDescent="0.25">
      <c r="A1132" s="2">
        <v>1460</v>
      </c>
      <c r="B1132" s="7" t="s">
        <v>2765</v>
      </c>
      <c r="C1132" s="7" t="s">
        <v>2766</v>
      </c>
      <c r="D1132" s="7" t="s">
        <v>2765</v>
      </c>
      <c r="E1132" s="7" t="s">
        <v>26</v>
      </c>
      <c r="F1132" s="7" t="s">
        <v>88</v>
      </c>
      <c r="G1132" s="8" t="s">
        <v>18</v>
      </c>
      <c r="H1132" s="7" t="s">
        <v>28</v>
      </c>
      <c r="I1132" s="7" t="s">
        <v>92</v>
      </c>
      <c r="J1132" s="7" t="s">
        <v>281</v>
      </c>
      <c r="K1132" s="7" t="s">
        <v>88</v>
      </c>
      <c r="L1132" s="7" t="s">
        <v>92</v>
      </c>
      <c r="M1132" s="7">
        <v>5.5456200000000004</v>
      </c>
      <c r="N1132" s="7">
        <v>9.5905900000000006</v>
      </c>
      <c r="O1132" s="7" t="s">
        <v>23</v>
      </c>
      <c r="P1132" s="3"/>
      <c r="Q1132" s="3"/>
      <c r="R1132" s="3"/>
    </row>
    <row r="1133" spans="1:18" x14ac:dyDescent="0.25">
      <c r="A1133" s="2">
        <v>1461</v>
      </c>
      <c r="B1133" s="7" t="s">
        <v>2818</v>
      </c>
      <c r="C1133" s="7" t="s">
        <v>2819</v>
      </c>
      <c r="D1133" s="7" t="s">
        <v>2818</v>
      </c>
      <c r="E1133" s="7" t="s">
        <v>26</v>
      </c>
      <c r="F1133" s="7" t="s">
        <v>2820</v>
      </c>
      <c r="G1133" s="8" t="s">
        <v>18</v>
      </c>
      <c r="H1133" s="7" t="s">
        <v>19</v>
      </c>
      <c r="I1133" s="7" t="s">
        <v>92</v>
      </c>
      <c r="J1133" s="7" t="s">
        <v>281</v>
      </c>
      <c r="K1133" s="7" t="s">
        <v>92</v>
      </c>
      <c r="L1133" s="7" t="s">
        <v>92</v>
      </c>
      <c r="M1133" s="7">
        <v>5.71469</v>
      </c>
      <c r="N1133" s="7">
        <v>9.3915900000000008</v>
      </c>
      <c r="O1133" s="7" t="s">
        <v>23</v>
      </c>
      <c r="P1133" s="3"/>
      <c r="Q1133" s="3"/>
      <c r="R1133" s="3"/>
    </row>
    <row r="1134" spans="1:18" x14ac:dyDescent="0.25">
      <c r="A1134" s="2">
        <v>1462</v>
      </c>
      <c r="B1134" s="7" t="s">
        <v>3163</v>
      </c>
      <c r="C1134" s="7" t="s">
        <v>3164</v>
      </c>
      <c r="D1134" s="7" t="s">
        <v>3163</v>
      </c>
      <c r="E1134" s="7" t="s">
        <v>26</v>
      </c>
      <c r="F1134" s="7" t="s">
        <v>3165</v>
      </c>
      <c r="G1134" s="8" t="s">
        <v>18</v>
      </c>
      <c r="H1134" s="7" t="s">
        <v>28</v>
      </c>
      <c r="I1134" s="7" t="s">
        <v>90</v>
      </c>
      <c r="J1134" s="7" t="s">
        <v>281</v>
      </c>
      <c r="K1134" s="7" t="s">
        <v>92</v>
      </c>
      <c r="L1134" s="7" t="s">
        <v>92</v>
      </c>
      <c r="M1134" s="7">
        <v>5.7632500000000002</v>
      </c>
      <c r="N1134" s="7">
        <v>9.3114166669999996</v>
      </c>
      <c r="O1134" s="7" t="s">
        <v>23</v>
      </c>
      <c r="P1134" s="3"/>
      <c r="Q1134" s="3"/>
      <c r="R1134" s="3"/>
    </row>
    <row r="1135" spans="1:18" x14ac:dyDescent="0.25">
      <c r="A1135" s="2">
        <v>1463</v>
      </c>
      <c r="B1135" s="7" t="s">
        <v>3203</v>
      </c>
      <c r="C1135" s="7" t="s">
        <v>3204</v>
      </c>
      <c r="D1135" s="7" t="s">
        <v>3203</v>
      </c>
      <c r="E1135" s="7" t="s">
        <v>26</v>
      </c>
      <c r="F1135" s="7" t="s">
        <v>3205</v>
      </c>
      <c r="G1135" s="8" t="s">
        <v>18</v>
      </c>
      <c r="H1135" s="7" t="s">
        <v>19</v>
      </c>
      <c r="I1135" s="7" t="s">
        <v>92</v>
      </c>
      <c r="J1135" s="7" t="s">
        <v>281</v>
      </c>
      <c r="K1135" s="7" t="s">
        <v>282</v>
      </c>
      <c r="L1135" s="7" t="s">
        <v>92</v>
      </c>
      <c r="M1135" s="7">
        <v>5.8100222219999997</v>
      </c>
      <c r="N1135" s="7">
        <v>8.8572638890000004</v>
      </c>
      <c r="O1135" s="7" t="s">
        <v>23</v>
      </c>
      <c r="P1135" s="3"/>
      <c r="Q1135" s="3"/>
      <c r="R1135" s="3"/>
    </row>
    <row r="1136" spans="1:18" x14ac:dyDescent="0.25">
      <c r="A1136" s="2">
        <v>1464</v>
      </c>
      <c r="B1136" s="7" t="s">
        <v>4181</v>
      </c>
      <c r="C1136" s="7" t="s">
        <v>4182</v>
      </c>
      <c r="D1136" s="7" t="s">
        <v>4181</v>
      </c>
      <c r="E1136" s="7" t="s">
        <v>26</v>
      </c>
      <c r="F1136" s="7" t="s">
        <v>4183</v>
      </c>
      <c r="G1136" s="8" t="s">
        <v>18</v>
      </c>
      <c r="H1136" s="7" t="s">
        <v>19</v>
      </c>
      <c r="I1136" s="7" t="s">
        <v>92</v>
      </c>
      <c r="J1136" s="7" t="s">
        <v>281</v>
      </c>
      <c r="K1136" s="7" t="s">
        <v>92</v>
      </c>
      <c r="L1136" s="7" t="s">
        <v>92</v>
      </c>
      <c r="M1136" s="7">
        <v>5.714611111</v>
      </c>
      <c r="N1136" s="7">
        <v>9.3907500000000006</v>
      </c>
      <c r="O1136" s="7" t="s">
        <v>23</v>
      </c>
      <c r="P1136" s="3"/>
      <c r="Q1136" s="3"/>
      <c r="R1136" s="3"/>
    </row>
    <row r="1137" spans="1:18" x14ac:dyDescent="0.25">
      <c r="A1137" s="2">
        <v>1465</v>
      </c>
      <c r="B1137" s="7" t="s">
        <v>4330</v>
      </c>
      <c r="C1137" s="7" t="s">
        <v>4331</v>
      </c>
      <c r="D1137" s="7" t="s">
        <v>4330</v>
      </c>
      <c r="E1137" s="7" t="s">
        <v>26</v>
      </c>
      <c r="F1137" s="7" t="s">
        <v>4332</v>
      </c>
      <c r="G1137" s="8" t="s">
        <v>18</v>
      </c>
      <c r="H1137" s="7" t="s">
        <v>28</v>
      </c>
      <c r="I1137" s="7" t="s">
        <v>92</v>
      </c>
      <c r="J1137" s="7" t="s">
        <v>281</v>
      </c>
      <c r="K1137" s="7" t="s">
        <v>282</v>
      </c>
      <c r="L1137" s="7" t="s">
        <v>92</v>
      </c>
      <c r="M1137" s="7">
        <v>5.6207500000000001</v>
      </c>
      <c r="N1137" s="7">
        <v>9.2497100000000003</v>
      </c>
      <c r="O1137" s="7" t="s">
        <v>23</v>
      </c>
      <c r="P1137" s="3"/>
      <c r="Q1137" s="3"/>
      <c r="R1137" s="3"/>
    </row>
    <row r="1138" spans="1:18" x14ac:dyDescent="0.25">
      <c r="A1138" s="2">
        <v>1466</v>
      </c>
      <c r="B1138" s="7" t="s">
        <v>5874</v>
      </c>
      <c r="C1138" s="7" t="s">
        <v>5875</v>
      </c>
      <c r="D1138" s="7" t="s">
        <v>5874</v>
      </c>
      <c r="E1138" s="7" t="s">
        <v>26</v>
      </c>
      <c r="F1138" s="7" t="s">
        <v>5876</v>
      </c>
      <c r="G1138" s="8" t="s">
        <v>18</v>
      </c>
      <c r="H1138" s="7" t="s">
        <v>28</v>
      </c>
      <c r="I1138" s="7" t="s">
        <v>92</v>
      </c>
      <c r="J1138" s="7" t="s">
        <v>281</v>
      </c>
      <c r="K1138" s="7" t="s">
        <v>282</v>
      </c>
      <c r="L1138" s="7" t="s">
        <v>92</v>
      </c>
      <c r="M1138" s="7">
        <v>5.64025</v>
      </c>
      <c r="N1138" s="7">
        <v>9.3138888889999993</v>
      </c>
      <c r="O1138" s="7" t="s">
        <v>23</v>
      </c>
      <c r="P1138" s="3"/>
      <c r="Q1138" s="3"/>
      <c r="R1138" s="3"/>
    </row>
    <row r="1139" spans="1:18" x14ac:dyDescent="0.25">
      <c r="A1139" s="2">
        <v>1467</v>
      </c>
      <c r="B1139" s="7" t="s">
        <v>5877</v>
      </c>
      <c r="C1139" s="7" t="s">
        <v>5878</v>
      </c>
      <c r="D1139" s="7" t="s">
        <v>5877</v>
      </c>
      <c r="E1139" s="7" t="s">
        <v>26</v>
      </c>
      <c r="F1139" s="7" t="s">
        <v>5879</v>
      </c>
      <c r="G1139" s="8" t="s">
        <v>18</v>
      </c>
      <c r="H1139" s="7" t="s">
        <v>28</v>
      </c>
      <c r="I1139" s="7" t="s">
        <v>108</v>
      </c>
      <c r="J1139" s="7" t="s">
        <v>1314</v>
      </c>
      <c r="K1139" s="7" t="s">
        <v>5880</v>
      </c>
      <c r="L1139" s="7" t="s">
        <v>92</v>
      </c>
      <c r="M1139" s="7">
        <v>5.2804500000000001</v>
      </c>
      <c r="N1139" s="7">
        <v>9.41465</v>
      </c>
      <c r="O1139" s="7" t="s">
        <v>23</v>
      </c>
      <c r="P1139" s="3"/>
      <c r="Q1139" s="3"/>
      <c r="R1139" s="3"/>
    </row>
    <row r="1140" spans="1:18" x14ac:dyDescent="0.25">
      <c r="A1140" s="2">
        <v>1468</v>
      </c>
      <c r="B1140" s="7" t="s">
        <v>5890</v>
      </c>
      <c r="C1140" s="7" t="s">
        <v>5891</v>
      </c>
      <c r="D1140" s="7" t="s">
        <v>5890</v>
      </c>
      <c r="E1140" s="7" t="s">
        <v>26</v>
      </c>
      <c r="F1140" s="7" t="s">
        <v>5892</v>
      </c>
      <c r="G1140" s="8" t="s">
        <v>18</v>
      </c>
      <c r="H1140" s="7" t="s">
        <v>28</v>
      </c>
      <c r="I1140" s="7" t="s">
        <v>92</v>
      </c>
      <c r="J1140" s="7" t="s">
        <v>365</v>
      </c>
      <c r="K1140" s="7" t="s">
        <v>2147</v>
      </c>
      <c r="L1140" s="7" t="s">
        <v>92</v>
      </c>
      <c r="M1140" s="7">
        <v>5.83718</v>
      </c>
      <c r="N1140" s="7">
        <v>9.7138500000000008</v>
      </c>
      <c r="O1140" s="7" t="s">
        <v>23</v>
      </c>
      <c r="P1140" s="3"/>
      <c r="Q1140" s="3"/>
      <c r="R1140" s="3"/>
    </row>
    <row r="1141" spans="1:18" x14ac:dyDescent="0.25">
      <c r="A1141" s="2">
        <v>1469</v>
      </c>
      <c r="B1141" s="7" t="s">
        <v>5948</v>
      </c>
      <c r="C1141" s="7" t="s">
        <v>5949</v>
      </c>
      <c r="D1141" s="7" t="s">
        <v>5948</v>
      </c>
      <c r="E1141" s="7" t="s">
        <v>26</v>
      </c>
      <c r="F1141" s="7" t="s">
        <v>5950</v>
      </c>
      <c r="G1141" s="8" t="s">
        <v>18</v>
      </c>
      <c r="H1141" s="7" t="s">
        <v>28</v>
      </c>
      <c r="I1141" s="7" t="s">
        <v>92</v>
      </c>
      <c r="J1141" s="7" t="s">
        <v>281</v>
      </c>
      <c r="K1141" s="7" t="s">
        <v>88</v>
      </c>
      <c r="L1141" s="7" t="s">
        <v>92</v>
      </c>
      <c r="M1141" s="7">
        <v>5.6146388890000001</v>
      </c>
      <c r="N1141" s="7">
        <v>9.5173888889999994</v>
      </c>
      <c r="O1141" s="7" t="s">
        <v>23</v>
      </c>
      <c r="P1141" s="3"/>
      <c r="Q1141" s="3"/>
      <c r="R1141" s="3"/>
    </row>
    <row r="1142" spans="1:18" x14ac:dyDescent="0.25">
      <c r="A1142" s="2">
        <v>1470</v>
      </c>
      <c r="B1142" s="7" t="s">
        <v>5970</v>
      </c>
      <c r="C1142" s="7" t="s">
        <v>5971</v>
      </c>
      <c r="D1142" s="7" t="s">
        <v>5970</v>
      </c>
      <c r="E1142" s="7" t="s">
        <v>26</v>
      </c>
      <c r="F1142" s="7" t="s">
        <v>5972</v>
      </c>
      <c r="G1142" s="8" t="s">
        <v>18</v>
      </c>
      <c r="H1142" s="7" t="s">
        <v>28</v>
      </c>
      <c r="I1142" s="7" t="s">
        <v>92</v>
      </c>
      <c r="J1142" s="7" t="s">
        <v>281</v>
      </c>
      <c r="K1142" s="7" t="s">
        <v>92</v>
      </c>
      <c r="L1142" s="7" t="s">
        <v>92</v>
      </c>
      <c r="M1142" s="7">
        <v>5.7688800000000002</v>
      </c>
      <c r="N1142" s="7">
        <v>9.3219899999999996</v>
      </c>
      <c r="O1142" s="7" t="s">
        <v>23</v>
      </c>
      <c r="P1142" s="3"/>
      <c r="Q1142" s="3"/>
      <c r="R1142" s="3"/>
    </row>
    <row r="1143" spans="1:18" x14ac:dyDescent="0.25">
      <c r="A1143" s="2">
        <v>1471</v>
      </c>
      <c r="B1143" s="7" t="s">
        <v>6072</v>
      </c>
      <c r="C1143" s="7" t="s">
        <v>6073</v>
      </c>
      <c r="D1143" s="7" t="s">
        <v>6072</v>
      </c>
      <c r="E1143" s="7" t="s">
        <v>26</v>
      </c>
      <c r="F1143" s="7" t="s">
        <v>6074</v>
      </c>
      <c r="G1143" s="8" t="s">
        <v>18</v>
      </c>
      <c r="H1143" s="7" t="s">
        <v>28</v>
      </c>
      <c r="I1143" s="7" t="s">
        <v>92</v>
      </c>
      <c r="J1143" s="7" t="s">
        <v>281</v>
      </c>
      <c r="K1143" s="7" t="s">
        <v>282</v>
      </c>
      <c r="L1143" s="7" t="s">
        <v>92</v>
      </c>
      <c r="M1143" s="7">
        <v>5.6990109999999996</v>
      </c>
      <c r="N1143" s="7">
        <v>9.1825329999999994</v>
      </c>
      <c r="O1143" s="7" t="s">
        <v>23</v>
      </c>
      <c r="P1143" s="3"/>
      <c r="Q1143" s="3"/>
      <c r="R1143" s="3"/>
    </row>
    <row r="1144" spans="1:18" x14ac:dyDescent="0.25">
      <c r="A1144" s="2">
        <v>1472</v>
      </c>
      <c r="B1144" s="7" t="s">
        <v>6084</v>
      </c>
      <c r="C1144" s="7" t="s">
        <v>6085</v>
      </c>
      <c r="D1144" s="7" t="s">
        <v>6084</v>
      </c>
      <c r="E1144" s="7" t="s">
        <v>26</v>
      </c>
      <c r="F1144" s="7" t="s">
        <v>6086</v>
      </c>
      <c r="G1144" s="8" t="s">
        <v>18</v>
      </c>
      <c r="H1144" s="7" t="s">
        <v>28</v>
      </c>
      <c r="I1144" s="7" t="s">
        <v>92</v>
      </c>
      <c r="J1144" s="7" t="s">
        <v>281</v>
      </c>
      <c r="K1144" s="7" t="s">
        <v>88</v>
      </c>
      <c r="L1144" s="7" t="s">
        <v>92</v>
      </c>
      <c r="M1144" s="7">
        <v>5.4960699999999996</v>
      </c>
      <c r="N1144" s="7">
        <v>9.5214599999999994</v>
      </c>
      <c r="O1144" s="7" t="s">
        <v>23</v>
      </c>
      <c r="P1144" s="3"/>
      <c r="Q1144" s="3"/>
      <c r="R1144" s="3"/>
    </row>
    <row r="1145" spans="1:18" x14ac:dyDescent="0.25">
      <c r="A1145" s="2">
        <v>1473</v>
      </c>
      <c r="B1145" s="7" t="s">
        <v>6115</v>
      </c>
      <c r="C1145" s="7" t="s">
        <v>6116</v>
      </c>
      <c r="D1145" s="7" t="s">
        <v>6115</v>
      </c>
      <c r="E1145" s="7" t="s">
        <v>26</v>
      </c>
      <c r="F1145" s="7" t="s">
        <v>3205</v>
      </c>
      <c r="G1145" s="8" t="s">
        <v>18</v>
      </c>
      <c r="H1145" s="7" t="s">
        <v>19</v>
      </c>
      <c r="I1145" s="7" t="s">
        <v>92</v>
      </c>
      <c r="J1145" s="7" t="s">
        <v>281</v>
      </c>
      <c r="K1145" s="7" t="s">
        <v>282</v>
      </c>
      <c r="L1145" s="7" t="s">
        <v>92</v>
      </c>
      <c r="M1145" s="7">
        <v>5.8151299999999999</v>
      </c>
      <c r="N1145" s="7">
        <v>8.8577100000000009</v>
      </c>
      <c r="O1145" s="7" t="s">
        <v>23</v>
      </c>
      <c r="P1145" s="3"/>
      <c r="Q1145" s="3"/>
      <c r="R1145" s="3"/>
    </row>
    <row r="1146" spans="1:18" x14ac:dyDescent="0.25">
      <c r="A1146" s="2">
        <v>1474</v>
      </c>
      <c r="B1146" s="7" t="s">
        <v>6287</v>
      </c>
      <c r="C1146" s="7" t="s">
        <v>6288</v>
      </c>
      <c r="D1146" s="7" t="s">
        <v>6287</v>
      </c>
      <c r="E1146" s="7" t="s">
        <v>26</v>
      </c>
      <c r="F1146" s="7" t="s">
        <v>6289</v>
      </c>
      <c r="G1146" s="8" t="s">
        <v>36</v>
      </c>
      <c r="H1146" s="7" t="s">
        <v>28</v>
      </c>
      <c r="I1146" s="7" t="s">
        <v>92</v>
      </c>
      <c r="J1146" s="7" t="s">
        <v>281</v>
      </c>
      <c r="K1146" s="7" t="s">
        <v>92</v>
      </c>
      <c r="L1146" s="7" t="s">
        <v>92</v>
      </c>
      <c r="M1146" s="7">
        <v>5.70852</v>
      </c>
      <c r="N1146" s="7">
        <v>9.6258999999999997</v>
      </c>
      <c r="O1146" s="7" t="s">
        <v>23</v>
      </c>
      <c r="P1146" s="3"/>
      <c r="Q1146" s="3"/>
      <c r="R1146" s="3"/>
    </row>
    <row r="1147" spans="1:18" x14ac:dyDescent="0.25">
      <c r="A1147" s="2">
        <v>1475</v>
      </c>
      <c r="B1147" s="7" t="s">
        <v>6462</v>
      </c>
      <c r="C1147" s="7" t="s">
        <v>6463</v>
      </c>
      <c r="D1147" s="7" t="s">
        <v>6462</v>
      </c>
      <c r="E1147" s="7" t="s">
        <v>26</v>
      </c>
      <c r="F1147" s="7" t="s">
        <v>2112</v>
      </c>
      <c r="G1147" s="8" t="s">
        <v>18</v>
      </c>
      <c r="H1147" s="7" t="s">
        <v>19</v>
      </c>
      <c r="I1147" s="7" t="s">
        <v>90</v>
      </c>
      <c r="J1147" s="7" t="s">
        <v>281</v>
      </c>
      <c r="K1147" s="7" t="s">
        <v>282</v>
      </c>
      <c r="L1147" s="7" t="s">
        <v>92</v>
      </c>
      <c r="M1147" s="7">
        <v>5.7736388889999999</v>
      </c>
      <c r="N1147" s="7">
        <v>8.9948611110000005</v>
      </c>
      <c r="O1147" s="7" t="s">
        <v>23</v>
      </c>
      <c r="P1147" s="3"/>
      <c r="Q1147" s="3"/>
      <c r="R1147" s="3"/>
    </row>
    <row r="1148" spans="1:18" x14ac:dyDescent="0.25">
      <c r="A1148" s="2">
        <v>1476</v>
      </c>
      <c r="B1148" s="7" t="s">
        <v>6674</v>
      </c>
      <c r="C1148" s="7" t="s">
        <v>6675</v>
      </c>
      <c r="D1148" s="7" t="s">
        <v>6674</v>
      </c>
      <c r="E1148" s="7" t="s">
        <v>26</v>
      </c>
      <c r="F1148" s="7" t="s">
        <v>6676</v>
      </c>
      <c r="G1148" s="8" t="s">
        <v>18</v>
      </c>
      <c r="H1148" s="7" t="s">
        <v>28</v>
      </c>
      <c r="I1148" s="7" t="s">
        <v>92</v>
      </c>
      <c r="J1148" s="7" t="s">
        <v>281</v>
      </c>
      <c r="K1148" s="7" t="s">
        <v>88</v>
      </c>
      <c r="L1148" s="7" t="s">
        <v>92</v>
      </c>
      <c r="M1148" s="7">
        <v>5.4222169999999998</v>
      </c>
      <c r="N1148" s="7">
        <v>9.4724330000000005</v>
      </c>
      <c r="O1148" s="7" t="s">
        <v>23</v>
      </c>
      <c r="P1148" s="3"/>
      <c r="Q1148" s="3"/>
      <c r="R1148" s="3"/>
    </row>
    <row r="1149" spans="1:18" x14ac:dyDescent="0.25">
      <c r="A1149" s="2">
        <v>1477</v>
      </c>
      <c r="B1149" s="7" t="s">
        <v>6751</v>
      </c>
      <c r="C1149" s="7" t="s">
        <v>6752</v>
      </c>
      <c r="D1149" s="7" t="s">
        <v>6751</v>
      </c>
      <c r="E1149" s="7" t="s">
        <v>26</v>
      </c>
      <c r="F1149" s="7" t="s">
        <v>6753</v>
      </c>
      <c r="G1149" s="8" t="s">
        <v>36</v>
      </c>
      <c r="H1149" s="7" t="s">
        <v>28</v>
      </c>
      <c r="I1149" s="7" t="s">
        <v>6754</v>
      </c>
      <c r="J1149" s="7" t="s">
        <v>1314</v>
      </c>
      <c r="K1149" s="7" t="s">
        <v>5880</v>
      </c>
      <c r="L1149" s="7" t="s">
        <v>92</v>
      </c>
      <c r="M1149" s="7">
        <v>5.214321</v>
      </c>
      <c r="N1149" s="7">
        <v>9.3944919999999996</v>
      </c>
      <c r="O1149" s="7" t="s">
        <v>23</v>
      </c>
      <c r="P1149" s="3"/>
      <c r="Q1149" s="3"/>
      <c r="R1149" s="3"/>
    </row>
    <row r="1150" spans="1:18" x14ac:dyDescent="0.25">
      <c r="A1150" s="2">
        <v>1478</v>
      </c>
      <c r="B1150" s="7" t="s">
        <v>7212</v>
      </c>
      <c r="C1150" s="7" t="s">
        <v>7213</v>
      </c>
      <c r="D1150" s="7" t="s">
        <v>7212</v>
      </c>
      <c r="E1150" s="7" t="s">
        <v>131</v>
      </c>
      <c r="F1150" s="7" t="s">
        <v>7214</v>
      </c>
      <c r="G1150" s="17" t="s">
        <v>7747</v>
      </c>
      <c r="H1150" s="7" t="s">
        <v>28</v>
      </c>
      <c r="I1150" s="7" t="s">
        <v>92</v>
      </c>
      <c r="J1150" s="7" t="s">
        <v>281</v>
      </c>
      <c r="K1150" s="7" t="s">
        <v>88</v>
      </c>
      <c r="L1150" s="7" t="s">
        <v>92</v>
      </c>
      <c r="M1150" s="7">
        <v>5.7219720000000001</v>
      </c>
      <c r="N1150" s="7">
        <v>9.5183060000000008</v>
      </c>
      <c r="O1150" s="7" t="s">
        <v>23</v>
      </c>
      <c r="P1150" s="3"/>
      <c r="Q1150" s="3"/>
      <c r="R1150" s="3"/>
    </row>
    <row r="1151" spans="1:18" x14ac:dyDescent="0.25">
      <c r="A1151" s="2">
        <v>1657</v>
      </c>
      <c r="B1151" s="7" t="s">
        <v>1285</v>
      </c>
      <c r="C1151" s="7" t="s">
        <v>1286</v>
      </c>
      <c r="D1151" s="7" t="s">
        <v>1285</v>
      </c>
      <c r="E1151" s="7" t="s">
        <v>131</v>
      </c>
      <c r="F1151" s="7" t="s">
        <v>1287</v>
      </c>
      <c r="G1151" s="8" t="s">
        <v>18</v>
      </c>
      <c r="H1151" s="7" t="s">
        <v>28</v>
      </c>
      <c r="I1151" s="7" t="s">
        <v>194</v>
      </c>
      <c r="J1151" s="7" t="s">
        <v>1054</v>
      </c>
      <c r="K1151" s="7" t="s">
        <v>1152</v>
      </c>
      <c r="L1151" s="7" t="s">
        <v>47</v>
      </c>
      <c r="M1151" s="7">
        <v>5.8903999999999996</v>
      </c>
      <c r="N1151" s="7">
        <v>13.52262</v>
      </c>
      <c r="O1151" s="7" t="s">
        <v>23</v>
      </c>
      <c r="P1151" s="3"/>
      <c r="Q1151" s="3"/>
      <c r="R1151" s="3"/>
    </row>
    <row r="1152" spans="1:18" x14ac:dyDescent="0.25">
      <c r="A1152" s="2">
        <v>1787</v>
      </c>
      <c r="B1152" s="7" t="s">
        <v>148</v>
      </c>
      <c r="C1152" s="7" t="s">
        <v>149</v>
      </c>
      <c r="D1152" s="7" t="s">
        <v>148</v>
      </c>
      <c r="E1152" s="7" t="s">
        <v>34</v>
      </c>
      <c r="F1152" s="7" t="s">
        <v>150</v>
      </c>
      <c r="G1152" s="17" t="s">
        <v>7747</v>
      </c>
      <c r="H1152" s="7" t="s">
        <v>28</v>
      </c>
      <c r="I1152" s="7" t="s">
        <v>151</v>
      </c>
      <c r="J1152" s="7" t="s">
        <v>152</v>
      </c>
      <c r="K1152" s="7" t="s">
        <v>153</v>
      </c>
      <c r="L1152" s="7" t="s">
        <v>7744</v>
      </c>
      <c r="M1152" s="7">
        <v>4.6047500000000001</v>
      </c>
      <c r="N1152" s="7">
        <v>9.8095099999999995</v>
      </c>
      <c r="O1152" s="7" t="s">
        <v>23</v>
      </c>
      <c r="P1152" s="3"/>
      <c r="Q1152" s="3"/>
      <c r="R1152" s="3"/>
    </row>
    <row r="1153" spans="1:18" x14ac:dyDescent="0.25">
      <c r="A1153" s="2">
        <v>1788</v>
      </c>
      <c r="B1153" s="7" t="s">
        <v>162</v>
      </c>
      <c r="C1153" s="7" t="s">
        <v>163</v>
      </c>
      <c r="D1153" s="7" t="s">
        <v>162</v>
      </c>
      <c r="E1153" s="7" t="s">
        <v>131</v>
      </c>
      <c r="F1153" s="7" t="s">
        <v>164</v>
      </c>
      <c r="G1153" s="17" t="s">
        <v>7747</v>
      </c>
      <c r="H1153" s="7" t="s">
        <v>28</v>
      </c>
      <c r="I1153" s="7" t="s">
        <v>165</v>
      </c>
      <c r="J1153" s="7" t="s">
        <v>166</v>
      </c>
      <c r="K1153" s="7" t="s">
        <v>167</v>
      </c>
      <c r="L1153" s="7" t="s">
        <v>7744</v>
      </c>
      <c r="M1153" s="7">
        <v>4.9741900000000001</v>
      </c>
      <c r="N1153" s="7">
        <v>10.229229999999999</v>
      </c>
      <c r="O1153" s="7" t="s">
        <v>23</v>
      </c>
      <c r="P1153" s="3"/>
      <c r="Q1153" s="3"/>
      <c r="R1153" s="3"/>
    </row>
    <row r="1154" spans="1:18" x14ac:dyDescent="0.25">
      <c r="A1154" s="2">
        <v>1789</v>
      </c>
      <c r="B1154" s="7" t="s">
        <v>330</v>
      </c>
      <c r="C1154" s="7" t="s">
        <v>331</v>
      </c>
      <c r="D1154" s="7" t="s">
        <v>330</v>
      </c>
      <c r="E1154" s="7" t="s">
        <v>34</v>
      </c>
      <c r="F1154" s="7" t="s">
        <v>332</v>
      </c>
      <c r="G1154" s="17" t="s">
        <v>7747</v>
      </c>
      <c r="H1154" s="7" t="s">
        <v>28</v>
      </c>
      <c r="I1154" s="7" t="s">
        <v>151</v>
      </c>
      <c r="J1154" s="7" t="s">
        <v>152</v>
      </c>
      <c r="K1154" s="7" t="s">
        <v>333</v>
      </c>
      <c r="L1154" s="7" t="s">
        <v>7744</v>
      </c>
      <c r="M1154" s="7">
        <v>4.9723040000000003</v>
      </c>
      <c r="N1154" s="7">
        <v>9.9402880000000007</v>
      </c>
      <c r="O1154" s="7" t="s">
        <v>23</v>
      </c>
      <c r="P1154" s="3"/>
      <c r="Q1154" s="3"/>
      <c r="R1154" s="3"/>
    </row>
    <row r="1155" spans="1:18" x14ac:dyDescent="0.25">
      <c r="A1155" s="2">
        <v>1790</v>
      </c>
      <c r="B1155" s="7" t="s">
        <v>367</v>
      </c>
      <c r="C1155" s="7" t="s">
        <v>368</v>
      </c>
      <c r="D1155" s="7" t="s">
        <v>367</v>
      </c>
      <c r="E1155" s="7" t="s">
        <v>34</v>
      </c>
      <c r="F1155" s="7" t="s">
        <v>369</v>
      </c>
      <c r="G1155" s="8" t="s">
        <v>36</v>
      </c>
      <c r="H1155" s="7" t="s">
        <v>28</v>
      </c>
      <c r="I1155" s="7" t="s">
        <v>108</v>
      </c>
      <c r="J1155" s="7" t="s">
        <v>109</v>
      </c>
      <c r="K1155" s="7" t="s">
        <v>370</v>
      </c>
      <c r="L1155" s="7" t="s">
        <v>7744</v>
      </c>
      <c r="M1155" s="7">
        <v>4.8634170000000001</v>
      </c>
      <c r="N1155" s="7">
        <v>9.6634720000000005</v>
      </c>
      <c r="O1155" s="7" t="s">
        <v>23</v>
      </c>
      <c r="P1155" s="3"/>
      <c r="Q1155" s="3"/>
      <c r="R1155" s="3"/>
    </row>
    <row r="1156" spans="1:18" x14ac:dyDescent="0.25">
      <c r="A1156" s="2">
        <v>1791</v>
      </c>
      <c r="B1156" s="7" t="s">
        <v>632</v>
      </c>
      <c r="C1156" s="7" t="s">
        <v>633</v>
      </c>
      <c r="D1156" s="7" t="s">
        <v>632</v>
      </c>
      <c r="E1156" s="7" t="s">
        <v>34</v>
      </c>
      <c r="F1156" s="7" t="s">
        <v>634</v>
      </c>
      <c r="G1156" s="8" t="s">
        <v>18</v>
      </c>
      <c r="H1156" s="7" t="s">
        <v>28</v>
      </c>
      <c r="I1156" s="7" t="s">
        <v>151</v>
      </c>
      <c r="J1156" s="7" t="s">
        <v>152</v>
      </c>
      <c r="K1156" s="7" t="s">
        <v>635</v>
      </c>
      <c r="L1156" s="7" t="s">
        <v>7744</v>
      </c>
      <c r="M1156" s="7">
        <v>4.7097920000000002</v>
      </c>
      <c r="N1156" s="7">
        <v>9.7479770000000006</v>
      </c>
      <c r="O1156" s="7" t="s">
        <v>23</v>
      </c>
      <c r="P1156" s="3"/>
      <c r="Q1156" s="3"/>
      <c r="R1156" s="3"/>
    </row>
    <row r="1157" spans="1:18" x14ac:dyDescent="0.25">
      <c r="A1157" s="2">
        <v>1792</v>
      </c>
      <c r="B1157" s="7" t="s">
        <v>686</v>
      </c>
      <c r="C1157" s="7" t="s">
        <v>687</v>
      </c>
      <c r="D1157" s="7" t="s">
        <v>686</v>
      </c>
      <c r="E1157" s="7" t="s">
        <v>131</v>
      </c>
      <c r="F1157" s="7" t="s">
        <v>688</v>
      </c>
      <c r="G1157" s="17" t="s">
        <v>7747</v>
      </c>
      <c r="H1157" s="7" t="s">
        <v>28</v>
      </c>
      <c r="I1157" s="7" t="s">
        <v>165</v>
      </c>
      <c r="J1157" s="7" t="s">
        <v>166</v>
      </c>
      <c r="K1157" s="7" t="s">
        <v>167</v>
      </c>
      <c r="L1157" s="7" t="s">
        <v>7744</v>
      </c>
      <c r="M1157" s="7">
        <v>4.7744999999999997</v>
      </c>
      <c r="N1157" s="7">
        <v>10.292332999999999</v>
      </c>
      <c r="O1157" s="7" t="s">
        <v>23</v>
      </c>
      <c r="P1157" s="3"/>
      <c r="Q1157" s="3"/>
      <c r="R1157" s="3"/>
    </row>
    <row r="1158" spans="1:18" x14ac:dyDescent="0.25">
      <c r="A1158" s="2">
        <v>1793</v>
      </c>
      <c r="B1158" s="7" t="s">
        <v>712</v>
      </c>
      <c r="C1158" s="7" t="s">
        <v>713</v>
      </c>
      <c r="D1158" s="7" t="s">
        <v>712</v>
      </c>
      <c r="E1158" s="7" t="s">
        <v>131</v>
      </c>
      <c r="F1158" s="7" t="s">
        <v>714</v>
      </c>
      <c r="G1158" s="17" t="s">
        <v>7747</v>
      </c>
      <c r="H1158" s="7" t="s">
        <v>28</v>
      </c>
      <c r="I1158" s="7" t="s">
        <v>165</v>
      </c>
      <c r="J1158" s="7" t="s">
        <v>715</v>
      </c>
      <c r="K1158" s="7" t="s">
        <v>714</v>
      </c>
      <c r="L1158" s="7" t="s">
        <v>7744</v>
      </c>
      <c r="M1158" s="7">
        <v>5.1633889999999996</v>
      </c>
      <c r="N1158" s="7">
        <v>10.036611000000001</v>
      </c>
      <c r="O1158" s="7" t="s">
        <v>23</v>
      </c>
      <c r="P1158" s="3"/>
      <c r="Q1158" s="3"/>
      <c r="R1158" s="3"/>
    </row>
    <row r="1159" spans="1:18" x14ac:dyDescent="0.25">
      <c r="A1159" s="2">
        <v>1794</v>
      </c>
      <c r="B1159" s="7" t="s">
        <v>797</v>
      </c>
      <c r="C1159" s="7" t="s">
        <v>798</v>
      </c>
      <c r="D1159" s="7" t="s">
        <v>797</v>
      </c>
      <c r="E1159" s="7" t="s">
        <v>131</v>
      </c>
      <c r="F1159" s="7" t="s">
        <v>799</v>
      </c>
      <c r="G1159" s="17" t="s">
        <v>7747</v>
      </c>
      <c r="H1159" s="7" t="s">
        <v>28</v>
      </c>
      <c r="I1159" s="7" t="s">
        <v>165</v>
      </c>
      <c r="J1159" s="7" t="s">
        <v>715</v>
      </c>
      <c r="K1159" s="7" t="s">
        <v>800</v>
      </c>
      <c r="L1159" s="7" t="s">
        <v>7744</v>
      </c>
      <c r="M1159" s="7">
        <v>5.0668049999999996</v>
      </c>
      <c r="N1159" s="7">
        <v>10.216673999999999</v>
      </c>
      <c r="O1159" s="7" t="s">
        <v>23</v>
      </c>
      <c r="P1159" s="3"/>
      <c r="Q1159" s="3"/>
      <c r="R1159" s="3"/>
    </row>
    <row r="1160" spans="1:18" x14ac:dyDescent="0.25">
      <c r="A1160" s="2">
        <v>1795</v>
      </c>
      <c r="B1160" s="7" t="s">
        <v>1288</v>
      </c>
      <c r="C1160" s="7" t="s">
        <v>1289</v>
      </c>
      <c r="D1160" s="7" t="s">
        <v>1288</v>
      </c>
      <c r="E1160" s="7" t="s">
        <v>131</v>
      </c>
      <c r="F1160" s="7" t="s">
        <v>800</v>
      </c>
      <c r="G1160" s="17" t="s">
        <v>7747</v>
      </c>
      <c r="H1160" s="7" t="s">
        <v>28</v>
      </c>
      <c r="I1160" s="7" t="s">
        <v>165</v>
      </c>
      <c r="J1160" s="7" t="s">
        <v>715</v>
      </c>
      <c r="K1160" s="7" t="s">
        <v>800</v>
      </c>
      <c r="L1160" s="7" t="s">
        <v>7744</v>
      </c>
      <c r="M1160" s="7">
        <v>5.0770499999999998</v>
      </c>
      <c r="N1160" s="7">
        <v>10.181570000000001</v>
      </c>
      <c r="O1160" s="7" t="s">
        <v>23</v>
      </c>
      <c r="P1160" s="3"/>
      <c r="Q1160" s="3"/>
      <c r="R1160" s="3"/>
    </row>
    <row r="1161" spans="1:18" x14ac:dyDescent="0.25">
      <c r="A1161" s="2">
        <v>1796</v>
      </c>
      <c r="B1161" s="7" t="s">
        <v>1306</v>
      </c>
      <c r="C1161" s="7" t="s">
        <v>1307</v>
      </c>
      <c r="D1161" s="7" t="s">
        <v>1306</v>
      </c>
      <c r="E1161" s="7" t="s">
        <v>131</v>
      </c>
      <c r="F1161" s="7" t="s">
        <v>1308</v>
      </c>
      <c r="G1161" s="17" t="s">
        <v>7747</v>
      </c>
      <c r="H1161" s="7" t="s">
        <v>28</v>
      </c>
      <c r="I1161" s="7" t="s">
        <v>165</v>
      </c>
      <c r="J1161" s="7" t="s">
        <v>1309</v>
      </c>
      <c r="K1161" s="7" t="s">
        <v>1310</v>
      </c>
      <c r="L1161" s="7" t="s">
        <v>7744</v>
      </c>
      <c r="M1161" s="7">
        <v>5.1165000000000003</v>
      </c>
      <c r="N1161" s="7">
        <v>9.9460560000000005</v>
      </c>
      <c r="O1161" s="7" t="s">
        <v>23</v>
      </c>
      <c r="P1161" s="3"/>
      <c r="Q1161" s="3"/>
      <c r="R1161" s="3"/>
    </row>
    <row r="1162" spans="1:18" x14ac:dyDescent="0.25">
      <c r="A1162" s="2">
        <v>1797</v>
      </c>
      <c r="B1162" s="7" t="s">
        <v>1311</v>
      </c>
      <c r="C1162" s="7" t="s">
        <v>1312</v>
      </c>
      <c r="D1162" s="7" t="s">
        <v>1311</v>
      </c>
      <c r="E1162" s="7" t="s">
        <v>131</v>
      </c>
      <c r="F1162" s="7" t="s">
        <v>1313</v>
      </c>
      <c r="G1162" s="8" t="s">
        <v>18</v>
      </c>
      <c r="H1162" s="7" t="s">
        <v>28</v>
      </c>
      <c r="I1162" s="7" t="s">
        <v>165</v>
      </c>
      <c r="J1162" s="7" t="s">
        <v>1314</v>
      </c>
      <c r="K1162" s="7" t="s">
        <v>1315</v>
      </c>
      <c r="L1162" s="7" t="s">
        <v>7744</v>
      </c>
      <c r="M1162" s="7">
        <v>5.0845039999999999</v>
      </c>
      <c r="N1162" s="7">
        <v>9.769304</v>
      </c>
      <c r="O1162" s="7" t="s">
        <v>23</v>
      </c>
      <c r="P1162" s="3"/>
      <c r="Q1162" s="3"/>
      <c r="R1162" s="3"/>
    </row>
    <row r="1163" spans="1:18" x14ac:dyDescent="0.25">
      <c r="A1163" s="2">
        <v>1798</v>
      </c>
      <c r="B1163" s="7" t="s">
        <v>1405</v>
      </c>
      <c r="C1163" s="7" t="s">
        <v>1406</v>
      </c>
      <c r="D1163" s="7" t="s">
        <v>1405</v>
      </c>
      <c r="E1163" s="7" t="s">
        <v>34</v>
      </c>
      <c r="F1163" s="7" t="s">
        <v>1407</v>
      </c>
      <c r="G1163" s="8" t="s">
        <v>18</v>
      </c>
      <c r="H1163" s="7" t="s">
        <v>28</v>
      </c>
      <c r="I1163" s="7" t="s">
        <v>151</v>
      </c>
      <c r="J1163" s="7" t="s">
        <v>152</v>
      </c>
      <c r="K1163" s="7" t="s">
        <v>1408</v>
      </c>
      <c r="L1163" s="7" t="s">
        <v>7744</v>
      </c>
      <c r="M1163" s="7">
        <v>4.85304</v>
      </c>
      <c r="N1163" s="7">
        <v>9.8334919999999997</v>
      </c>
      <c r="O1163" s="7" t="s">
        <v>23</v>
      </c>
      <c r="P1163" s="3"/>
      <c r="Q1163" s="3"/>
      <c r="R1163" s="3"/>
    </row>
    <row r="1164" spans="1:18" x14ac:dyDescent="0.25">
      <c r="A1164" s="2">
        <v>1799</v>
      </c>
      <c r="B1164" s="7" t="s">
        <v>1422</v>
      </c>
      <c r="C1164" s="7" t="s">
        <v>1423</v>
      </c>
      <c r="D1164" s="7" t="s">
        <v>1422</v>
      </c>
      <c r="E1164" s="7" t="s">
        <v>131</v>
      </c>
      <c r="F1164" s="7" t="s">
        <v>1424</v>
      </c>
      <c r="G1164" s="17" t="s">
        <v>7747</v>
      </c>
      <c r="H1164" s="7" t="s">
        <v>28</v>
      </c>
      <c r="I1164" s="7" t="s">
        <v>165</v>
      </c>
      <c r="J1164" s="7" t="s">
        <v>1309</v>
      </c>
      <c r="K1164" s="7" t="s">
        <v>1310</v>
      </c>
      <c r="L1164" s="7" t="s">
        <v>7744</v>
      </c>
      <c r="M1164" s="7">
        <v>5.0613890000000001</v>
      </c>
      <c r="N1164" s="7">
        <v>9.8936670000000007</v>
      </c>
      <c r="O1164" s="7" t="s">
        <v>23</v>
      </c>
      <c r="P1164" s="3"/>
      <c r="Q1164" s="3"/>
      <c r="R1164" s="3"/>
    </row>
    <row r="1165" spans="1:18" x14ac:dyDescent="0.25">
      <c r="A1165" s="2">
        <v>1800</v>
      </c>
      <c r="B1165" s="7" t="s">
        <v>1668</v>
      </c>
      <c r="C1165" s="7" t="s">
        <v>1669</v>
      </c>
      <c r="D1165" s="7" t="s">
        <v>1668</v>
      </c>
      <c r="E1165" s="7" t="s">
        <v>34</v>
      </c>
      <c r="F1165" s="7" t="s">
        <v>1670</v>
      </c>
      <c r="G1165" s="17" t="s">
        <v>7747</v>
      </c>
      <c r="H1165" s="7" t="s">
        <v>28</v>
      </c>
      <c r="I1165" s="7" t="s">
        <v>151</v>
      </c>
      <c r="J1165" s="7" t="s">
        <v>152</v>
      </c>
      <c r="K1165" s="7" t="s">
        <v>333</v>
      </c>
      <c r="L1165" s="7" t="s">
        <v>7744</v>
      </c>
      <c r="M1165" s="7">
        <v>4.9617950000000004</v>
      </c>
      <c r="N1165" s="7">
        <v>9.9390400000000003</v>
      </c>
      <c r="O1165" s="7" t="s">
        <v>23</v>
      </c>
      <c r="P1165" s="3"/>
      <c r="Q1165" s="3"/>
      <c r="R1165" s="3"/>
    </row>
    <row r="1166" spans="1:18" x14ac:dyDescent="0.25">
      <c r="A1166" s="2">
        <v>1801</v>
      </c>
      <c r="B1166" s="7" t="s">
        <v>1714</v>
      </c>
      <c r="C1166" s="7" t="s">
        <v>1715</v>
      </c>
      <c r="D1166" s="7" t="s">
        <v>1714</v>
      </c>
      <c r="E1166" s="7" t="s">
        <v>34</v>
      </c>
      <c r="F1166" s="7" t="s">
        <v>1716</v>
      </c>
      <c r="G1166" s="8" t="s">
        <v>18</v>
      </c>
      <c r="H1166" s="7" t="s">
        <v>28</v>
      </c>
      <c r="I1166" s="7" t="s">
        <v>151</v>
      </c>
      <c r="J1166" s="7" t="s">
        <v>152</v>
      </c>
      <c r="K1166" s="7" t="s">
        <v>1717</v>
      </c>
      <c r="L1166" s="7" t="s">
        <v>7744</v>
      </c>
      <c r="M1166" s="7">
        <v>4.936299</v>
      </c>
      <c r="N1166" s="7">
        <v>9.9313350000000007</v>
      </c>
      <c r="O1166" s="7" t="s">
        <v>613</v>
      </c>
      <c r="P1166" s="3"/>
      <c r="Q1166" s="3"/>
      <c r="R1166" s="3"/>
    </row>
    <row r="1167" spans="1:18" x14ac:dyDescent="0.25">
      <c r="A1167" s="2">
        <v>1802</v>
      </c>
      <c r="B1167" s="7" t="s">
        <v>1747</v>
      </c>
      <c r="C1167" s="7" t="s">
        <v>1748</v>
      </c>
      <c r="D1167" s="7" t="s">
        <v>1747</v>
      </c>
      <c r="E1167" s="7" t="s">
        <v>131</v>
      </c>
      <c r="F1167" s="7" t="s">
        <v>167</v>
      </c>
      <c r="G1167" s="17" t="s">
        <v>7747</v>
      </c>
      <c r="H1167" s="7" t="s">
        <v>28</v>
      </c>
      <c r="I1167" s="7" t="s">
        <v>165</v>
      </c>
      <c r="J1167" s="7" t="s">
        <v>166</v>
      </c>
      <c r="K1167" s="7" t="s">
        <v>167</v>
      </c>
      <c r="L1167" s="7" t="s">
        <v>7744</v>
      </c>
      <c r="M1167" s="7">
        <v>4.8526340000000001</v>
      </c>
      <c r="N1167" s="7">
        <v>10.243321999999999</v>
      </c>
      <c r="O1167" s="7" t="s">
        <v>23</v>
      </c>
      <c r="P1167" s="3"/>
      <c r="Q1167" s="3"/>
      <c r="R1167" s="3"/>
    </row>
    <row r="1168" spans="1:18" x14ac:dyDescent="0.25">
      <c r="A1168" s="2">
        <v>1803</v>
      </c>
      <c r="B1168" s="7" t="s">
        <v>1867</v>
      </c>
      <c r="C1168" s="7" t="s">
        <v>1868</v>
      </c>
      <c r="D1168" s="7" t="s">
        <v>1867</v>
      </c>
      <c r="E1168" s="7" t="s">
        <v>131</v>
      </c>
      <c r="F1168" s="7" t="s">
        <v>1869</v>
      </c>
      <c r="G1168" s="17" t="s">
        <v>7747</v>
      </c>
      <c r="H1168" s="7" t="s">
        <v>28</v>
      </c>
      <c r="I1168" s="7" t="s">
        <v>165</v>
      </c>
      <c r="J1168" s="7" t="s">
        <v>1309</v>
      </c>
      <c r="K1168" s="7" t="s">
        <v>1870</v>
      </c>
      <c r="L1168" s="7" t="s">
        <v>7744</v>
      </c>
      <c r="M1168" s="7">
        <v>5.1017219999999996</v>
      </c>
      <c r="N1168" s="7">
        <v>9.8460560000000008</v>
      </c>
      <c r="O1168" s="7" t="s">
        <v>23</v>
      </c>
      <c r="P1168" s="3"/>
      <c r="Q1168" s="3"/>
      <c r="R1168" s="3"/>
    </row>
    <row r="1169" spans="1:18" x14ac:dyDescent="0.25">
      <c r="A1169" s="2">
        <v>1804</v>
      </c>
      <c r="B1169" s="7" t="s">
        <v>2256</v>
      </c>
      <c r="C1169" s="7" t="s">
        <v>2257</v>
      </c>
      <c r="D1169" s="7" t="s">
        <v>2256</v>
      </c>
      <c r="E1169" s="7" t="s">
        <v>34</v>
      </c>
      <c r="F1169" s="7" t="s">
        <v>2258</v>
      </c>
      <c r="G1169" s="17" t="s">
        <v>7747</v>
      </c>
      <c r="H1169" s="7" t="s">
        <v>19</v>
      </c>
      <c r="I1169" s="7" t="s">
        <v>151</v>
      </c>
      <c r="J1169" s="7" t="s">
        <v>152</v>
      </c>
      <c r="K1169" s="7" t="s">
        <v>2259</v>
      </c>
      <c r="L1169" s="7" t="s">
        <v>7744</v>
      </c>
      <c r="M1169" s="7">
        <v>4.9432989999999997</v>
      </c>
      <c r="N1169" s="7">
        <v>9.9436</v>
      </c>
      <c r="O1169" s="7" t="s">
        <v>23</v>
      </c>
      <c r="P1169" s="3"/>
      <c r="Q1169" s="3"/>
      <c r="R1169" s="3"/>
    </row>
    <row r="1170" spans="1:18" x14ac:dyDescent="0.25">
      <c r="A1170" s="2">
        <v>1805</v>
      </c>
      <c r="B1170" s="7" t="s">
        <v>2388</v>
      </c>
      <c r="C1170" s="7" t="s">
        <v>2389</v>
      </c>
      <c r="D1170" s="7" t="s">
        <v>2388</v>
      </c>
      <c r="E1170" s="7" t="s">
        <v>34</v>
      </c>
      <c r="F1170" s="7" t="s">
        <v>2390</v>
      </c>
      <c r="G1170" s="17" t="s">
        <v>7747</v>
      </c>
      <c r="H1170" s="7" t="s">
        <v>19</v>
      </c>
      <c r="I1170" s="7" t="s">
        <v>151</v>
      </c>
      <c r="J1170" s="7" t="s">
        <v>152</v>
      </c>
      <c r="K1170" s="7" t="s">
        <v>2259</v>
      </c>
      <c r="L1170" s="7" t="s">
        <v>7744</v>
      </c>
      <c r="M1170" s="7">
        <v>4.9568469999999998</v>
      </c>
      <c r="N1170" s="7">
        <v>9.9386390000000002</v>
      </c>
      <c r="O1170" s="7" t="s">
        <v>613</v>
      </c>
      <c r="P1170" s="3"/>
      <c r="Q1170" s="3"/>
      <c r="R1170" s="3"/>
    </row>
    <row r="1171" spans="1:18" x14ac:dyDescent="0.25">
      <c r="A1171" s="2">
        <v>1806</v>
      </c>
      <c r="B1171" s="7" t="s">
        <v>2610</v>
      </c>
      <c r="C1171" s="7" t="s">
        <v>2611</v>
      </c>
      <c r="D1171" s="7" t="s">
        <v>2610</v>
      </c>
      <c r="E1171" s="7" t="s">
        <v>131</v>
      </c>
      <c r="F1171" s="7" t="s">
        <v>2612</v>
      </c>
      <c r="G1171" s="17" t="s">
        <v>7747</v>
      </c>
      <c r="H1171" s="7" t="s">
        <v>28</v>
      </c>
      <c r="I1171" s="7" t="s">
        <v>165</v>
      </c>
      <c r="J1171" s="7" t="s">
        <v>715</v>
      </c>
      <c r="K1171" s="7" t="s">
        <v>165</v>
      </c>
      <c r="L1171" s="7" t="s">
        <v>7744</v>
      </c>
      <c r="M1171" s="7">
        <v>5.1525800000000004</v>
      </c>
      <c r="N1171" s="7">
        <v>10.166230000000001</v>
      </c>
      <c r="O1171" s="7" t="s">
        <v>23</v>
      </c>
      <c r="P1171" s="3"/>
      <c r="Q1171" s="3"/>
      <c r="R1171" s="3"/>
    </row>
    <row r="1172" spans="1:18" x14ac:dyDescent="0.25">
      <c r="A1172" s="2">
        <v>1807</v>
      </c>
      <c r="B1172" s="7" t="s">
        <v>2728</v>
      </c>
      <c r="C1172" s="7" t="s">
        <v>2729</v>
      </c>
      <c r="D1172" s="7" t="s">
        <v>2728</v>
      </c>
      <c r="E1172" s="7" t="s">
        <v>34</v>
      </c>
      <c r="F1172" s="7" t="s">
        <v>2730</v>
      </c>
      <c r="G1172" s="17" t="s">
        <v>7747</v>
      </c>
      <c r="H1172" s="7" t="s">
        <v>28</v>
      </c>
      <c r="I1172" s="7" t="s">
        <v>151</v>
      </c>
      <c r="J1172" s="7" t="s">
        <v>152</v>
      </c>
      <c r="K1172" s="7" t="s">
        <v>1717</v>
      </c>
      <c r="L1172" s="7" t="s">
        <v>7744</v>
      </c>
      <c r="M1172" s="7">
        <v>4.9448280000000002</v>
      </c>
      <c r="N1172" s="7">
        <v>9.9232379999999996</v>
      </c>
      <c r="O1172" s="7" t="s">
        <v>23</v>
      </c>
      <c r="P1172" s="3"/>
      <c r="Q1172" s="3"/>
      <c r="R1172" s="3"/>
    </row>
    <row r="1173" spans="1:18" x14ac:dyDescent="0.25">
      <c r="A1173" s="2">
        <v>1808</v>
      </c>
      <c r="B1173" s="7" t="s">
        <v>2907</v>
      </c>
      <c r="C1173" s="7" t="s">
        <v>2908</v>
      </c>
      <c r="D1173" s="7" t="s">
        <v>2907</v>
      </c>
      <c r="E1173" s="7" t="s">
        <v>34</v>
      </c>
      <c r="F1173" s="7" t="s">
        <v>2909</v>
      </c>
      <c r="G1173" s="8" t="s">
        <v>18</v>
      </c>
      <c r="H1173" s="7" t="s">
        <v>19</v>
      </c>
      <c r="I1173" s="7" t="s">
        <v>151</v>
      </c>
      <c r="J1173" s="7" t="s">
        <v>152</v>
      </c>
      <c r="K1173" s="7" t="s">
        <v>2910</v>
      </c>
      <c r="L1173" s="7" t="s">
        <v>7744</v>
      </c>
      <c r="M1173" s="7">
        <v>4.9714499999999999</v>
      </c>
      <c r="N1173" s="7">
        <v>9.9169990000000006</v>
      </c>
      <c r="O1173" s="7" t="s">
        <v>23</v>
      </c>
      <c r="P1173" s="3"/>
      <c r="Q1173" s="3"/>
      <c r="R1173" s="3"/>
    </row>
    <row r="1174" spans="1:18" x14ac:dyDescent="0.25">
      <c r="A1174" s="2">
        <v>1809</v>
      </c>
      <c r="B1174" s="7" t="s">
        <v>3324</v>
      </c>
      <c r="C1174" s="7" t="s">
        <v>3325</v>
      </c>
      <c r="D1174" s="7" t="s">
        <v>3324</v>
      </c>
      <c r="E1174" s="7" t="s">
        <v>131</v>
      </c>
      <c r="F1174" s="7" t="s">
        <v>3326</v>
      </c>
      <c r="G1174" s="17" t="s">
        <v>7747</v>
      </c>
      <c r="H1174" s="7" t="s">
        <v>28</v>
      </c>
      <c r="I1174" s="7" t="s">
        <v>165</v>
      </c>
      <c r="J1174" s="7" t="s">
        <v>715</v>
      </c>
      <c r="K1174" s="7" t="s">
        <v>165</v>
      </c>
      <c r="L1174" s="7" t="s">
        <v>7744</v>
      </c>
      <c r="M1174" s="7">
        <v>5.1073599999999999</v>
      </c>
      <c r="N1174" s="7">
        <v>10.18317</v>
      </c>
      <c r="O1174" s="7" t="s">
        <v>23</v>
      </c>
      <c r="P1174" s="3"/>
      <c r="Q1174" s="3"/>
      <c r="R1174" s="3"/>
    </row>
    <row r="1175" spans="1:18" x14ac:dyDescent="0.25">
      <c r="A1175" s="2">
        <v>1810</v>
      </c>
      <c r="B1175" s="7" t="s">
        <v>3456</v>
      </c>
      <c r="C1175" s="7" t="s">
        <v>3457</v>
      </c>
      <c r="D1175" s="7" t="s">
        <v>3456</v>
      </c>
      <c r="E1175" s="7" t="s">
        <v>131</v>
      </c>
      <c r="F1175" s="7" t="s">
        <v>3458</v>
      </c>
      <c r="G1175" s="17" t="s">
        <v>7747</v>
      </c>
      <c r="H1175" s="7" t="s">
        <v>28</v>
      </c>
      <c r="I1175" s="7" t="s">
        <v>165</v>
      </c>
      <c r="J1175" s="7" t="s">
        <v>715</v>
      </c>
      <c r="K1175" s="7" t="s">
        <v>165</v>
      </c>
      <c r="L1175" s="7" t="s">
        <v>7744</v>
      </c>
      <c r="M1175" s="7">
        <v>5.1547999999999998</v>
      </c>
      <c r="N1175" s="7">
        <v>10.17008</v>
      </c>
      <c r="O1175" s="7" t="s">
        <v>613</v>
      </c>
      <c r="P1175" s="3"/>
      <c r="Q1175" s="3"/>
      <c r="R1175" s="3"/>
    </row>
    <row r="1176" spans="1:18" x14ac:dyDescent="0.25">
      <c r="A1176" s="2">
        <v>1811</v>
      </c>
      <c r="B1176" s="7" t="s">
        <v>3648</v>
      </c>
      <c r="C1176" s="7" t="s">
        <v>3649</v>
      </c>
      <c r="D1176" s="7" t="s">
        <v>3648</v>
      </c>
      <c r="E1176" s="7" t="s">
        <v>34</v>
      </c>
      <c r="F1176" s="7" t="s">
        <v>3650</v>
      </c>
      <c r="G1176" s="17" t="s">
        <v>7747</v>
      </c>
      <c r="H1176" s="7" t="s">
        <v>28</v>
      </c>
      <c r="I1176" s="7" t="s">
        <v>151</v>
      </c>
      <c r="J1176" s="7" t="s">
        <v>152</v>
      </c>
      <c r="K1176" s="7" t="s">
        <v>2259</v>
      </c>
      <c r="L1176" s="7" t="s">
        <v>7744</v>
      </c>
      <c r="M1176" s="7">
        <v>4.9499110000000002</v>
      </c>
      <c r="N1176" s="7">
        <v>9.9377189999999995</v>
      </c>
      <c r="O1176" s="7" t="s">
        <v>23</v>
      </c>
      <c r="P1176" s="3"/>
      <c r="Q1176" s="3"/>
      <c r="R1176" s="3"/>
    </row>
    <row r="1177" spans="1:18" x14ac:dyDescent="0.25">
      <c r="A1177" s="2">
        <v>1812</v>
      </c>
      <c r="B1177" s="7" t="s">
        <v>3739</v>
      </c>
      <c r="C1177" s="7" t="s">
        <v>3740</v>
      </c>
      <c r="D1177" s="7" t="s">
        <v>3739</v>
      </c>
      <c r="E1177" s="7" t="s">
        <v>34</v>
      </c>
      <c r="F1177" s="7" t="s">
        <v>3741</v>
      </c>
      <c r="G1177" s="17" t="s">
        <v>7747</v>
      </c>
      <c r="H1177" s="7" t="s">
        <v>19</v>
      </c>
      <c r="I1177" s="7" t="s">
        <v>151</v>
      </c>
      <c r="J1177" s="7" t="s">
        <v>152</v>
      </c>
      <c r="K1177" s="7" t="s">
        <v>3742</v>
      </c>
      <c r="L1177" s="7" t="s">
        <v>7744</v>
      </c>
      <c r="M1177" s="7">
        <v>4.9266670000000001</v>
      </c>
      <c r="N1177" s="7">
        <v>9.891</v>
      </c>
      <c r="O1177" s="7" t="s">
        <v>23</v>
      </c>
      <c r="P1177" s="3"/>
      <c r="Q1177" s="3"/>
      <c r="R1177" s="3"/>
    </row>
    <row r="1178" spans="1:18" x14ac:dyDescent="0.25">
      <c r="A1178" s="2">
        <v>1813</v>
      </c>
      <c r="B1178" s="7" t="s">
        <v>4025</v>
      </c>
      <c r="C1178" s="7" t="s">
        <v>4026</v>
      </c>
      <c r="D1178" s="7" t="s">
        <v>4025</v>
      </c>
      <c r="E1178" s="7" t="s">
        <v>34</v>
      </c>
      <c r="F1178" s="7" t="s">
        <v>4027</v>
      </c>
      <c r="G1178" s="17" t="s">
        <v>7747</v>
      </c>
      <c r="H1178" s="7" t="s">
        <v>19</v>
      </c>
      <c r="I1178" s="7" t="s">
        <v>151</v>
      </c>
      <c r="J1178" s="7" t="s">
        <v>152</v>
      </c>
      <c r="K1178" s="7" t="s">
        <v>4028</v>
      </c>
      <c r="L1178" s="7" t="s">
        <v>7744</v>
      </c>
      <c r="M1178" s="7">
        <v>5.0229150000000002</v>
      </c>
      <c r="N1178" s="7">
        <v>9.9660860000000007</v>
      </c>
      <c r="O1178" s="7" t="s">
        <v>23</v>
      </c>
      <c r="P1178" s="3"/>
      <c r="Q1178" s="3"/>
      <c r="R1178" s="3"/>
    </row>
    <row r="1179" spans="1:18" x14ac:dyDescent="0.25">
      <c r="A1179" s="2">
        <v>1814</v>
      </c>
      <c r="B1179" s="7" t="s">
        <v>4057</v>
      </c>
      <c r="C1179" s="7" t="s">
        <v>4058</v>
      </c>
      <c r="D1179" s="7" t="s">
        <v>4057</v>
      </c>
      <c r="E1179" s="7" t="s">
        <v>131</v>
      </c>
      <c r="F1179" s="7" t="s">
        <v>714</v>
      </c>
      <c r="G1179" s="17" t="s">
        <v>7747</v>
      </c>
      <c r="H1179" s="7" t="s">
        <v>28</v>
      </c>
      <c r="I1179" s="7" t="s">
        <v>165</v>
      </c>
      <c r="J1179" s="7" t="s">
        <v>715</v>
      </c>
      <c r="K1179" s="7" t="s">
        <v>714</v>
      </c>
      <c r="L1179" s="7" t="s">
        <v>7744</v>
      </c>
      <c r="M1179" s="7">
        <v>5.1428269999999996</v>
      </c>
      <c r="N1179" s="7">
        <v>10.019307</v>
      </c>
      <c r="O1179" s="7" t="s">
        <v>23</v>
      </c>
      <c r="P1179" s="3"/>
      <c r="Q1179" s="3"/>
      <c r="R1179" s="3"/>
    </row>
    <row r="1180" spans="1:18" x14ac:dyDescent="0.25">
      <c r="A1180" s="2">
        <v>1815</v>
      </c>
      <c r="B1180" s="7" t="s">
        <v>4100</v>
      </c>
      <c r="C1180" s="7" t="s">
        <v>4101</v>
      </c>
      <c r="D1180" s="7" t="s">
        <v>4100</v>
      </c>
      <c r="E1180" s="7" t="s">
        <v>34</v>
      </c>
      <c r="F1180" s="7" t="s">
        <v>4102</v>
      </c>
      <c r="G1180" s="17" t="s">
        <v>7747</v>
      </c>
      <c r="H1180" s="7" t="s">
        <v>28</v>
      </c>
      <c r="I1180" s="7" t="s">
        <v>151</v>
      </c>
      <c r="J1180" s="7" t="s">
        <v>152</v>
      </c>
      <c r="K1180" s="7" t="s">
        <v>1408</v>
      </c>
      <c r="L1180" s="7" t="s">
        <v>7744</v>
      </c>
      <c r="M1180" s="7">
        <v>4.8759949999999996</v>
      </c>
      <c r="N1180" s="7">
        <v>9.8637759999999997</v>
      </c>
      <c r="O1180" s="7" t="s">
        <v>23</v>
      </c>
      <c r="P1180" s="3"/>
      <c r="Q1180" s="3"/>
      <c r="R1180" s="3"/>
    </row>
    <row r="1181" spans="1:18" x14ac:dyDescent="0.25">
      <c r="A1181" s="2">
        <v>1816</v>
      </c>
      <c r="B1181" s="7" t="s">
        <v>4371</v>
      </c>
      <c r="C1181" s="7" t="s">
        <v>4372</v>
      </c>
      <c r="D1181" s="7" t="s">
        <v>4371</v>
      </c>
      <c r="E1181" s="7" t="s">
        <v>131</v>
      </c>
      <c r="F1181" s="7" t="s">
        <v>1310</v>
      </c>
      <c r="G1181" s="17" t="s">
        <v>7747</v>
      </c>
      <c r="H1181" s="7" t="s">
        <v>19</v>
      </c>
      <c r="I1181" s="7" t="s">
        <v>165</v>
      </c>
      <c r="J1181" s="7" t="s">
        <v>1309</v>
      </c>
      <c r="K1181" s="7" t="s">
        <v>1310</v>
      </c>
      <c r="L1181" s="7" t="s">
        <v>7744</v>
      </c>
      <c r="M1181" s="7">
        <v>5.1247299999999996</v>
      </c>
      <c r="N1181" s="7">
        <v>9.9426100000000002</v>
      </c>
      <c r="O1181" s="7" t="s">
        <v>23</v>
      </c>
      <c r="P1181" s="3"/>
      <c r="Q1181" s="3"/>
      <c r="R1181" s="3"/>
    </row>
    <row r="1182" spans="1:18" x14ac:dyDescent="0.25">
      <c r="A1182" s="2">
        <v>1817</v>
      </c>
      <c r="B1182" s="7" t="s">
        <v>4376</v>
      </c>
      <c r="C1182" s="7" t="s">
        <v>4377</v>
      </c>
      <c r="D1182" s="7" t="s">
        <v>4376</v>
      </c>
      <c r="E1182" s="7" t="s">
        <v>34</v>
      </c>
      <c r="F1182" s="7" t="s">
        <v>3741</v>
      </c>
      <c r="G1182" s="8" t="s">
        <v>18</v>
      </c>
      <c r="H1182" s="7" t="s">
        <v>28</v>
      </c>
      <c r="I1182" s="7" t="s">
        <v>151</v>
      </c>
      <c r="J1182" s="7" t="s">
        <v>152</v>
      </c>
      <c r="K1182" s="7" t="s">
        <v>3742</v>
      </c>
      <c r="L1182" s="7" t="s">
        <v>7744</v>
      </c>
      <c r="M1182" s="7">
        <v>4.9224240000000004</v>
      </c>
      <c r="N1182" s="7">
        <v>9.893497</v>
      </c>
      <c r="O1182" s="7" t="s">
        <v>23</v>
      </c>
      <c r="P1182" s="3"/>
      <c r="Q1182" s="3"/>
      <c r="R1182" s="3"/>
    </row>
    <row r="1183" spans="1:18" x14ac:dyDescent="0.25">
      <c r="A1183" s="2">
        <v>1818</v>
      </c>
      <c r="B1183" s="7" t="s">
        <v>4462</v>
      </c>
      <c r="C1183" s="7" t="s">
        <v>4463</v>
      </c>
      <c r="D1183" s="7" t="s">
        <v>4462</v>
      </c>
      <c r="E1183" s="7" t="s">
        <v>131</v>
      </c>
      <c r="F1183" s="7" t="s">
        <v>4464</v>
      </c>
      <c r="G1183" s="17" t="s">
        <v>7747</v>
      </c>
      <c r="H1183" s="7" t="s">
        <v>19</v>
      </c>
      <c r="I1183" s="7" t="s">
        <v>165</v>
      </c>
      <c r="J1183" s="7" t="s">
        <v>715</v>
      </c>
      <c r="K1183" s="7" t="s">
        <v>714</v>
      </c>
      <c r="L1183" s="7" t="s">
        <v>7744</v>
      </c>
      <c r="M1183" s="7">
        <v>5.1649700000000003</v>
      </c>
      <c r="N1183" s="7">
        <v>10.08859</v>
      </c>
      <c r="O1183" s="7" t="s">
        <v>23</v>
      </c>
      <c r="P1183" s="3"/>
      <c r="Q1183" s="3"/>
      <c r="R1183" s="3"/>
    </row>
    <row r="1184" spans="1:18" x14ac:dyDescent="0.25">
      <c r="A1184" s="2">
        <v>1819</v>
      </c>
      <c r="B1184" s="7" t="s">
        <v>4482</v>
      </c>
      <c r="C1184" s="7" t="s">
        <v>4483</v>
      </c>
      <c r="D1184" s="7" t="s">
        <v>4482</v>
      </c>
      <c r="E1184" s="7" t="s">
        <v>131</v>
      </c>
      <c r="F1184" s="7" t="s">
        <v>4484</v>
      </c>
      <c r="G1184" s="17" t="s">
        <v>7747</v>
      </c>
      <c r="H1184" s="7" t="s">
        <v>28</v>
      </c>
      <c r="I1184" s="7" t="s">
        <v>165</v>
      </c>
      <c r="J1184" s="7" t="s">
        <v>715</v>
      </c>
      <c r="K1184" s="7" t="s">
        <v>165</v>
      </c>
      <c r="L1184" s="7" t="s">
        <v>7744</v>
      </c>
      <c r="M1184" s="7">
        <v>5.1540720000000002</v>
      </c>
      <c r="N1184" s="7">
        <v>10.159383</v>
      </c>
      <c r="O1184" s="7" t="s">
        <v>23</v>
      </c>
      <c r="P1184" s="3"/>
      <c r="Q1184" s="3"/>
      <c r="R1184" s="3"/>
    </row>
    <row r="1185" spans="1:18" x14ac:dyDescent="0.25">
      <c r="A1185" s="2">
        <v>1820</v>
      </c>
      <c r="B1185" s="7" t="s">
        <v>4555</v>
      </c>
      <c r="C1185" s="7" t="s">
        <v>4556</v>
      </c>
      <c r="D1185" s="7" t="s">
        <v>4555</v>
      </c>
      <c r="E1185" s="7" t="s">
        <v>131</v>
      </c>
      <c r="F1185" s="7" t="s">
        <v>4557</v>
      </c>
      <c r="G1185" s="17" t="s">
        <v>7747</v>
      </c>
      <c r="H1185" s="7" t="s">
        <v>28</v>
      </c>
      <c r="I1185" s="7" t="s">
        <v>165</v>
      </c>
      <c r="J1185" s="7" t="s">
        <v>715</v>
      </c>
      <c r="K1185" s="7" t="s">
        <v>4557</v>
      </c>
      <c r="L1185" s="7" t="s">
        <v>7744</v>
      </c>
      <c r="M1185" s="7">
        <v>5.1036669999999997</v>
      </c>
      <c r="N1185" s="7">
        <v>10.075278000000001</v>
      </c>
      <c r="O1185" s="7" t="s">
        <v>23</v>
      </c>
      <c r="P1185" s="3"/>
      <c r="Q1185" s="3"/>
      <c r="R1185" s="3"/>
    </row>
    <row r="1186" spans="1:18" x14ac:dyDescent="0.25">
      <c r="A1186" s="2">
        <v>1821</v>
      </c>
      <c r="B1186" s="7" t="s">
        <v>4564</v>
      </c>
      <c r="C1186" s="7" t="s">
        <v>4565</v>
      </c>
      <c r="D1186" s="7" t="s">
        <v>4564</v>
      </c>
      <c r="E1186" s="7" t="s">
        <v>131</v>
      </c>
      <c r="F1186" s="7" t="s">
        <v>4566</v>
      </c>
      <c r="G1186" s="17" t="s">
        <v>7747</v>
      </c>
      <c r="H1186" s="7" t="s">
        <v>28</v>
      </c>
      <c r="I1186" s="7" t="s">
        <v>165</v>
      </c>
      <c r="J1186" s="7" t="s">
        <v>715</v>
      </c>
      <c r="K1186" s="7" t="s">
        <v>165</v>
      </c>
      <c r="L1186" s="7" t="s">
        <v>7744</v>
      </c>
      <c r="M1186" s="7">
        <v>5.1532299999999998</v>
      </c>
      <c r="N1186" s="7">
        <v>10.12814</v>
      </c>
      <c r="O1186" s="7" t="s">
        <v>23</v>
      </c>
      <c r="P1186" s="3"/>
      <c r="Q1186" s="3"/>
      <c r="R1186" s="3"/>
    </row>
    <row r="1187" spans="1:18" x14ac:dyDescent="0.25">
      <c r="A1187" s="2">
        <v>1822</v>
      </c>
      <c r="B1187" s="7" t="s">
        <v>4579</v>
      </c>
      <c r="C1187" s="7" t="s">
        <v>4580</v>
      </c>
      <c r="D1187" s="7" t="s">
        <v>4579</v>
      </c>
      <c r="E1187" s="7" t="s">
        <v>34</v>
      </c>
      <c r="F1187" s="7" t="s">
        <v>4581</v>
      </c>
      <c r="G1187" s="8" t="s">
        <v>18</v>
      </c>
      <c r="H1187" s="7" t="s">
        <v>19</v>
      </c>
      <c r="I1187" s="7" t="s">
        <v>151</v>
      </c>
      <c r="J1187" s="7" t="s">
        <v>152</v>
      </c>
      <c r="K1187" s="7" t="s">
        <v>1408</v>
      </c>
      <c r="L1187" s="7" t="s">
        <v>7744</v>
      </c>
      <c r="M1187" s="7">
        <v>4.8483999999999998</v>
      </c>
      <c r="N1187" s="7">
        <v>9.8259000000000007</v>
      </c>
      <c r="O1187" s="7" t="s">
        <v>23</v>
      </c>
      <c r="P1187" s="3"/>
      <c r="Q1187" s="3"/>
      <c r="R1187" s="3"/>
    </row>
    <row r="1188" spans="1:18" x14ac:dyDescent="0.25">
      <c r="A1188" s="2">
        <v>1823</v>
      </c>
      <c r="B1188" s="7" t="s">
        <v>4582</v>
      </c>
      <c r="C1188" s="7" t="s">
        <v>4583</v>
      </c>
      <c r="D1188" s="7" t="s">
        <v>4582</v>
      </c>
      <c r="E1188" s="7" t="s">
        <v>34</v>
      </c>
      <c r="F1188" s="7" t="s">
        <v>4581</v>
      </c>
      <c r="G1188" s="17" t="s">
        <v>7747</v>
      </c>
      <c r="H1188" s="7" t="s">
        <v>19</v>
      </c>
      <c r="I1188" s="7" t="s">
        <v>151</v>
      </c>
      <c r="J1188" s="7" t="s">
        <v>152</v>
      </c>
      <c r="K1188" s="7" t="s">
        <v>1408</v>
      </c>
      <c r="L1188" s="7" t="s">
        <v>7744</v>
      </c>
      <c r="M1188" s="7">
        <v>4.850886</v>
      </c>
      <c r="N1188" s="7">
        <v>9.8316669999999995</v>
      </c>
      <c r="O1188" s="7" t="s">
        <v>23</v>
      </c>
      <c r="P1188" s="3"/>
      <c r="Q1188" s="3"/>
      <c r="R1188" s="3"/>
    </row>
    <row r="1189" spans="1:18" x14ac:dyDescent="0.25">
      <c r="A1189" s="2">
        <v>1824</v>
      </c>
      <c r="B1189" s="7" t="s">
        <v>4610</v>
      </c>
      <c r="C1189" s="7" t="s">
        <v>4611</v>
      </c>
      <c r="D1189" s="7" t="s">
        <v>4610</v>
      </c>
      <c r="E1189" s="7" t="s">
        <v>131</v>
      </c>
      <c r="F1189" s="7" t="s">
        <v>1310</v>
      </c>
      <c r="G1189" s="17" t="s">
        <v>7747</v>
      </c>
      <c r="H1189" s="7" t="s">
        <v>19</v>
      </c>
      <c r="I1189" s="7" t="s">
        <v>165</v>
      </c>
      <c r="J1189" s="7" t="s">
        <v>1309</v>
      </c>
      <c r="K1189" s="7" t="s">
        <v>1310</v>
      </c>
      <c r="L1189" s="7" t="s">
        <v>7744</v>
      </c>
      <c r="M1189" s="7">
        <v>5.1240220000000001</v>
      </c>
      <c r="N1189" s="7">
        <v>9.9424720000000004</v>
      </c>
      <c r="O1189" s="7" t="s">
        <v>23</v>
      </c>
      <c r="P1189" s="3"/>
      <c r="Q1189" s="3"/>
      <c r="R1189" s="3"/>
    </row>
    <row r="1190" spans="1:18" x14ac:dyDescent="0.25">
      <c r="A1190" s="2">
        <v>1825</v>
      </c>
      <c r="B1190" s="7" t="s">
        <v>4668</v>
      </c>
      <c r="C1190" s="7" t="s">
        <v>4669</v>
      </c>
      <c r="D1190" s="7" t="s">
        <v>4668</v>
      </c>
      <c r="E1190" s="7" t="s">
        <v>131</v>
      </c>
      <c r="F1190" s="7" t="s">
        <v>1315</v>
      </c>
      <c r="G1190" s="8" t="s">
        <v>18</v>
      </c>
      <c r="H1190" s="7" t="s">
        <v>19</v>
      </c>
      <c r="I1190" s="7" t="s">
        <v>165</v>
      </c>
      <c r="J1190" s="7" t="s">
        <v>1314</v>
      </c>
      <c r="K1190" s="7" t="s">
        <v>1315</v>
      </c>
      <c r="L1190" s="7" t="s">
        <v>7744</v>
      </c>
      <c r="M1190" s="7">
        <v>5.0767499999999997</v>
      </c>
      <c r="N1190" s="7">
        <v>9.7753610000000002</v>
      </c>
      <c r="O1190" s="7" t="s">
        <v>23</v>
      </c>
      <c r="P1190" s="3"/>
      <c r="Q1190" s="3"/>
      <c r="R1190" s="3"/>
    </row>
    <row r="1191" spans="1:18" x14ac:dyDescent="0.25">
      <c r="A1191" s="2">
        <v>1826</v>
      </c>
      <c r="B1191" s="7" t="s">
        <v>4670</v>
      </c>
      <c r="C1191" s="7" t="s">
        <v>4671</v>
      </c>
      <c r="D1191" s="7" t="s">
        <v>4670</v>
      </c>
      <c r="E1191" s="7" t="s">
        <v>131</v>
      </c>
      <c r="F1191" s="7" t="s">
        <v>1315</v>
      </c>
      <c r="G1191" s="8" t="s">
        <v>18</v>
      </c>
      <c r="H1191" s="7" t="s">
        <v>28</v>
      </c>
      <c r="I1191" s="7" t="s">
        <v>165</v>
      </c>
      <c r="J1191" s="7" t="s">
        <v>1314</v>
      </c>
      <c r="K1191" s="7" t="s">
        <v>1315</v>
      </c>
      <c r="L1191" s="7" t="s">
        <v>7744</v>
      </c>
      <c r="M1191" s="7">
        <v>5.0737569999999996</v>
      </c>
      <c r="N1191" s="7">
        <v>9.7635380000000005</v>
      </c>
      <c r="O1191" s="7" t="s">
        <v>23</v>
      </c>
      <c r="P1191" s="3"/>
      <c r="Q1191" s="3"/>
      <c r="R1191" s="3"/>
    </row>
    <row r="1192" spans="1:18" x14ac:dyDescent="0.25">
      <c r="A1192" s="2">
        <v>1827</v>
      </c>
      <c r="B1192" s="7" t="s">
        <v>5017</v>
      </c>
      <c r="C1192" s="7" t="s">
        <v>5018</v>
      </c>
      <c r="D1192" s="7" t="s">
        <v>5017</v>
      </c>
      <c r="E1192" s="7" t="s">
        <v>34</v>
      </c>
      <c r="F1192" s="7" t="s">
        <v>5019</v>
      </c>
      <c r="G1192" s="8" t="s">
        <v>18</v>
      </c>
      <c r="H1192" s="7" t="s">
        <v>28</v>
      </c>
      <c r="I1192" s="7" t="s">
        <v>151</v>
      </c>
      <c r="J1192" s="7" t="s">
        <v>152</v>
      </c>
      <c r="K1192" s="7" t="s">
        <v>4576</v>
      </c>
      <c r="L1192" s="7" t="s">
        <v>7744</v>
      </c>
      <c r="M1192" s="7">
        <v>4.82951</v>
      </c>
      <c r="N1192" s="7">
        <v>9.6786399999999997</v>
      </c>
      <c r="O1192" s="7" t="s">
        <v>23</v>
      </c>
      <c r="P1192" s="3"/>
      <c r="Q1192" s="3"/>
      <c r="R1192" s="3"/>
    </row>
    <row r="1193" spans="1:18" x14ac:dyDescent="0.25">
      <c r="A1193" s="2">
        <v>1828</v>
      </c>
      <c r="B1193" s="7" t="s">
        <v>6173</v>
      </c>
      <c r="C1193" s="7" t="s">
        <v>6174</v>
      </c>
      <c r="D1193" s="7" t="s">
        <v>6173</v>
      </c>
      <c r="E1193" s="7" t="s">
        <v>50</v>
      </c>
      <c r="F1193" s="7" t="s">
        <v>6175</v>
      </c>
      <c r="G1193" s="17" t="s">
        <v>7747</v>
      </c>
      <c r="H1193" s="7" t="s">
        <v>28</v>
      </c>
      <c r="I1193" s="7" t="s">
        <v>1516</v>
      </c>
      <c r="J1193" s="7" t="s">
        <v>4599</v>
      </c>
      <c r="K1193" s="7" t="s">
        <v>153</v>
      </c>
      <c r="L1193" s="7" t="s">
        <v>7744</v>
      </c>
      <c r="M1193" s="7">
        <v>4.5128329999999997</v>
      </c>
      <c r="N1193" s="7">
        <v>10.285306</v>
      </c>
      <c r="O1193" s="7" t="s">
        <v>23</v>
      </c>
      <c r="P1193" s="3"/>
      <c r="Q1193" s="3"/>
      <c r="R1193" s="3"/>
    </row>
    <row r="1194" spans="1:18" x14ac:dyDescent="0.25">
      <c r="A1194" s="2">
        <v>1829</v>
      </c>
      <c r="B1194" s="7" t="s">
        <v>6695</v>
      </c>
      <c r="C1194" s="7" t="s">
        <v>6696</v>
      </c>
      <c r="D1194" s="7" t="s">
        <v>6695</v>
      </c>
      <c r="E1194" s="7" t="s">
        <v>34</v>
      </c>
      <c r="F1194" s="7" t="s">
        <v>6697</v>
      </c>
      <c r="G1194" s="8" t="s">
        <v>18</v>
      </c>
      <c r="H1194" s="7" t="s">
        <v>28</v>
      </c>
      <c r="I1194" s="7" t="s">
        <v>151</v>
      </c>
      <c r="J1194" s="7" t="s">
        <v>152</v>
      </c>
      <c r="K1194" s="7" t="s">
        <v>6698</v>
      </c>
      <c r="L1194" s="7" t="s">
        <v>7744</v>
      </c>
      <c r="M1194" s="7">
        <v>4.8058189999999996</v>
      </c>
      <c r="N1194" s="7">
        <v>9.7655309999999993</v>
      </c>
      <c r="O1194" s="7" t="s">
        <v>23</v>
      </c>
      <c r="P1194" s="3"/>
      <c r="Q1194" s="3"/>
      <c r="R1194" s="3"/>
    </row>
    <row r="1195" spans="1:18" x14ac:dyDescent="0.25">
      <c r="A1195" s="2">
        <v>1830</v>
      </c>
      <c r="B1195" s="7" t="s">
        <v>6932</v>
      </c>
      <c r="C1195" s="7" t="s">
        <v>6933</v>
      </c>
      <c r="D1195" s="7" t="s">
        <v>6932</v>
      </c>
      <c r="E1195" s="7" t="s">
        <v>131</v>
      </c>
      <c r="F1195" s="7" t="s">
        <v>6934</v>
      </c>
      <c r="G1195" s="17" t="s">
        <v>7747</v>
      </c>
      <c r="H1195" s="7" t="s">
        <v>28</v>
      </c>
      <c r="I1195" s="7" t="s">
        <v>522</v>
      </c>
      <c r="J1195" s="7" t="s">
        <v>317</v>
      </c>
      <c r="K1195" s="7" t="s">
        <v>6935</v>
      </c>
      <c r="L1195" s="7" t="s">
        <v>7744</v>
      </c>
      <c r="M1195" s="7">
        <v>5.1884499999999996</v>
      </c>
      <c r="N1195" s="7">
        <v>9.9850700000000003</v>
      </c>
      <c r="O1195" s="7" t="s">
        <v>23</v>
      </c>
      <c r="P1195" s="3"/>
      <c r="Q1195" s="3"/>
      <c r="R1195" s="3"/>
    </row>
    <row r="1196" spans="1:18" x14ac:dyDescent="0.25">
      <c r="A1196" s="2">
        <v>1831</v>
      </c>
      <c r="B1196" s="7" t="s">
        <v>7275</v>
      </c>
      <c r="C1196" s="7" t="s">
        <v>7276</v>
      </c>
      <c r="D1196" s="7" t="s">
        <v>7275</v>
      </c>
      <c r="E1196" s="7" t="s">
        <v>34</v>
      </c>
      <c r="F1196" s="7" t="s">
        <v>7277</v>
      </c>
      <c r="G1196" s="8" t="s">
        <v>18</v>
      </c>
      <c r="H1196" s="7" t="s">
        <v>28</v>
      </c>
      <c r="I1196" s="7" t="s">
        <v>165</v>
      </c>
      <c r="J1196" s="7" t="s">
        <v>7063</v>
      </c>
      <c r="K1196" s="7" t="s">
        <v>1389</v>
      </c>
      <c r="L1196" s="7" t="s">
        <v>7744</v>
      </c>
      <c r="M1196" s="7">
        <v>5.0864000000000003</v>
      </c>
      <c r="N1196" s="7">
        <v>9.8047810000000002</v>
      </c>
      <c r="O1196" s="7" t="s">
        <v>23</v>
      </c>
      <c r="P1196" s="3"/>
      <c r="Q1196" s="3"/>
      <c r="R1196" s="3"/>
    </row>
    <row r="1197" spans="1:18" x14ac:dyDescent="0.25">
      <c r="A1197" s="2">
        <v>1832</v>
      </c>
      <c r="B1197" s="7" t="s">
        <v>7364</v>
      </c>
      <c r="C1197" s="7" t="s">
        <v>7365</v>
      </c>
      <c r="D1197" s="7" t="s">
        <v>7364</v>
      </c>
      <c r="E1197" s="7" t="s">
        <v>26</v>
      </c>
      <c r="F1197" s="7" t="s">
        <v>7366</v>
      </c>
      <c r="G1197" s="8" t="s">
        <v>18</v>
      </c>
      <c r="H1197" s="7" t="s">
        <v>28</v>
      </c>
      <c r="I1197" s="7" t="s">
        <v>1010</v>
      </c>
      <c r="J1197" s="7" t="s">
        <v>195</v>
      </c>
      <c r="K1197" s="7" t="s">
        <v>241</v>
      </c>
      <c r="L1197" s="7" t="s">
        <v>7744</v>
      </c>
      <c r="M1197" s="7">
        <v>4.7012999999999998</v>
      </c>
      <c r="N1197" s="7">
        <v>10.233700000000001</v>
      </c>
      <c r="O1197" s="7" t="s">
        <v>23</v>
      </c>
      <c r="P1197" s="3"/>
      <c r="Q1197" s="3"/>
      <c r="R1197" s="3"/>
    </row>
    <row r="1198" spans="1:18" x14ac:dyDescent="0.25">
      <c r="A1198" s="2">
        <v>1833</v>
      </c>
      <c r="B1198" s="7" t="s">
        <v>7530</v>
      </c>
      <c r="C1198" s="7" t="s">
        <v>7531</v>
      </c>
      <c r="D1198" s="7" t="s">
        <v>7530</v>
      </c>
      <c r="E1198" s="7" t="s">
        <v>50</v>
      </c>
      <c r="F1198" s="7" t="s">
        <v>7532</v>
      </c>
      <c r="G1198" s="17" t="s">
        <v>7747</v>
      </c>
      <c r="H1198" s="7" t="s">
        <v>28</v>
      </c>
      <c r="I1198" s="7" t="s">
        <v>1516</v>
      </c>
      <c r="J1198" s="7" t="s">
        <v>7533</v>
      </c>
      <c r="K1198" s="7" t="s">
        <v>153</v>
      </c>
      <c r="L1198" s="7" t="s">
        <v>7744</v>
      </c>
      <c r="M1198" s="7">
        <v>4.7014360000000002</v>
      </c>
      <c r="N1198" s="7">
        <v>10.233653</v>
      </c>
      <c r="O1198" s="7" t="s">
        <v>23</v>
      </c>
      <c r="P1198" s="3"/>
      <c r="Q1198" s="3"/>
      <c r="R1198" s="3"/>
    </row>
    <row r="1199" spans="1:18" x14ac:dyDescent="0.25">
      <c r="A1199" s="2">
        <v>1834</v>
      </c>
      <c r="B1199" s="7" t="s">
        <v>129</v>
      </c>
      <c r="C1199" s="7" t="s">
        <v>130</v>
      </c>
      <c r="D1199" s="7" t="s">
        <v>129</v>
      </c>
      <c r="E1199" s="7" t="s">
        <v>131</v>
      </c>
      <c r="F1199" s="7" t="s">
        <v>132</v>
      </c>
      <c r="G1199" s="17" t="s">
        <v>7747</v>
      </c>
      <c r="H1199" s="7" t="s">
        <v>28</v>
      </c>
      <c r="I1199" s="7" t="s">
        <v>133</v>
      </c>
      <c r="J1199" s="7" t="s">
        <v>134</v>
      </c>
      <c r="K1199" s="7" t="s">
        <v>135</v>
      </c>
      <c r="L1199" s="7" t="s">
        <v>136</v>
      </c>
      <c r="M1199" s="7">
        <v>4.6001979999999998</v>
      </c>
      <c r="N1199" s="7">
        <v>11.475698</v>
      </c>
      <c r="O1199" s="7" t="s">
        <v>23</v>
      </c>
      <c r="P1199" s="3"/>
      <c r="Q1199" s="3"/>
      <c r="R1199" s="3"/>
    </row>
    <row r="1200" spans="1:18" x14ac:dyDescent="0.25">
      <c r="A1200" s="2">
        <v>1858</v>
      </c>
      <c r="B1200" s="7" t="s">
        <v>702</v>
      </c>
      <c r="C1200" s="7" t="s">
        <v>703</v>
      </c>
      <c r="D1200" s="7" t="s">
        <v>702</v>
      </c>
      <c r="E1200" s="7" t="s">
        <v>131</v>
      </c>
      <c r="F1200" s="7" t="s">
        <v>704</v>
      </c>
      <c r="G1200" s="17" t="s">
        <v>7747</v>
      </c>
      <c r="H1200" s="7" t="s">
        <v>28</v>
      </c>
      <c r="I1200" s="7" t="s">
        <v>133</v>
      </c>
      <c r="J1200" s="7" t="s">
        <v>705</v>
      </c>
      <c r="K1200" s="7" t="s">
        <v>706</v>
      </c>
      <c r="L1200" s="7" t="s">
        <v>136</v>
      </c>
      <c r="M1200" s="7">
        <v>4.6678059999999997</v>
      </c>
      <c r="N1200" s="7">
        <v>11.171749999999999</v>
      </c>
      <c r="O1200" s="7" t="s">
        <v>23</v>
      </c>
      <c r="P1200" s="3"/>
      <c r="Q1200" s="3"/>
      <c r="R1200" s="3"/>
    </row>
    <row r="1201" spans="1:18" x14ac:dyDescent="0.25">
      <c r="A1201" s="2">
        <v>1866</v>
      </c>
      <c r="B1201" s="7" t="s">
        <v>1143</v>
      </c>
      <c r="C1201" s="7" t="s">
        <v>1144</v>
      </c>
      <c r="D1201" s="7" t="s">
        <v>1143</v>
      </c>
      <c r="E1201" s="7" t="s">
        <v>131</v>
      </c>
      <c r="F1201" s="7" t="s">
        <v>1145</v>
      </c>
      <c r="G1201" s="17" t="s">
        <v>7747</v>
      </c>
      <c r="H1201" s="7" t="s">
        <v>28</v>
      </c>
      <c r="I1201" s="7" t="s">
        <v>133</v>
      </c>
      <c r="J1201" s="7" t="s">
        <v>705</v>
      </c>
      <c r="K1201" s="7" t="s">
        <v>133</v>
      </c>
      <c r="L1201" s="7" t="s">
        <v>136</v>
      </c>
      <c r="M1201" s="7">
        <v>4.7475100000000001</v>
      </c>
      <c r="N1201" s="7">
        <v>11.24198</v>
      </c>
      <c r="O1201" s="7" t="s">
        <v>23</v>
      </c>
      <c r="P1201" s="3"/>
      <c r="Q1201" s="3"/>
      <c r="R1201" s="3"/>
    </row>
    <row r="1202" spans="1:18" x14ac:dyDescent="0.25">
      <c r="A1202" s="2">
        <v>1867</v>
      </c>
      <c r="B1202" s="7" t="s">
        <v>1146</v>
      </c>
      <c r="C1202" s="7" t="s">
        <v>1147</v>
      </c>
      <c r="D1202" s="7" t="s">
        <v>1146</v>
      </c>
      <c r="E1202" s="7" t="s">
        <v>131</v>
      </c>
      <c r="F1202" s="7" t="s">
        <v>1148</v>
      </c>
      <c r="G1202" s="17" t="s">
        <v>7747</v>
      </c>
      <c r="H1202" s="7" t="s">
        <v>28</v>
      </c>
      <c r="I1202" s="7" t="s">
        <v>133</v>
      </c>
      <c r="J1202" s="7" t="s">
        <v>705</v>
      </c>
      <c r="K1202" s="7" t="s">
        <v>133</v>
      </c>
      <c r="L1202" s="7" t="s">
        <v>136</v>
      </c>
      <c r="M1202" s="7">
        <v>4.7377219999999998</v>
      </c>
      <c r="N1202" s="7">
        <v>11.235777000000001</v>
      </c>
      <c r="O1202" s="7" t="s">
        <v>23</v>
      </c>
      <c r="P1202" s="3"/>
      <c r="Q1202" s="3"/>
      <c r="R1202" s="3"/>
    </row>
    <row r="1203" spans="1:18" x14ac:dyDescent="0.25">
      <c r="A1203" s="2">
        <v>1965</v>
      </c>
      <c r="B1203" s="7" t="s">
        <v>2236</v>
      </c>
      <c r="C1203" s="7" t="s">
        <v>2237</v>
      </c>
      <c r="D1203" s="7" t="s">
        <v>2236</v>
      </c>
      <c r="E1203" s="7" t="s">
        <v>131</v>
      </c>
      <c r="F1203" s="7" t="s">
        <v>133</v>
      </c>
      <c r="G1203" s="17" t="s">
        <v>7747</v>
      </c>
      <c r="H1203" s="7" t="s">
        <v>19</v>
      </c>
      <c r="I1203" s="7" t="s">
        <v>133</v>
      </c>
      <c r="J1203" s="7" t="s">
        <v>317</v>
      </c>
      <c r="K1203" s="7" t="s">
        <v>133</v>
      </c>
      <c r="L1203" s="7" t="s">
        <v>136</v>
      </c>
      <c r="M1203" s="7">
        <v>4.756062</v>
      </c>
      <c r="N1203" s="7">
        <v>11.228605</v>
      </c>
      <c r="O1203" s="7" t="s">
        <v>613</v>
      </c>
      <c r="P1203" s="3"/>
      <c r="Q1203" s="3"/>
      <c r="R1203" s="3"/>
    </row>
    <row r="1204" spans="1:18" x14ac:dyDescent="0.25">
      <c r="A1204" s="2">
        <v>1967</v>
      </c>
      <c r="B1204" s="7" t="s">
        <v>2275</v>
      </c>
      <c r="C1204" s="7" t="s">
        <v>2276</v>
      </c>
      <c r="D1204" s="7" t="s">
        <v>2275</v>
      </c>
      <c r="E1204" s="7" t="s">
        <v>131</v>
      </c>
      <c r="F1204" s="7" t="s">
        <v>2277</v>
      </c>
      <c r="G1204" s="17" t="s">
        <v>7747</v>
      </c>
      <c r="H1204" s="7" t="s">
        <v>19</v>
      </c>
      <c r="I1204" s="7" t="s">
        <v>1042</v>
      </c>
      <c r="J1204" s="7" t="s">
        <v>159</v>
      </c>
      <c r="K1204" s="7" t="s">
        <v>2278</v>
      </c>
      <c r="L1204" s="7" t="s">
        <v>136</v>
      </c>
      <c r="M1204" s="7">
        <v>4.5699449999999997</v>
      </c>
      <c r="N1204" s="7">
        <v>10.881710999999999</v>
      </c>
      <c r="O1204" s="7" t="s">
        <v>23</v>
      </c>
      <c r="P1204" s="3"/>
      <c r="Q1204" s="3"/>
      <c r="R1204" s="3"/>
    </row>
    <row r="1205" spans="1:18" x14ac:dyDescent="0.25">
      <c r="A1205" s="2">
        <v>1999</v>
      </c>
      <c r="B1205" s="7" t="s">
        <v>2647</v>
      </c>
      <c r="C1205" s="7" t="s">
        <v>2648</v>
      </c>
      <c r="D1205" s="7" t="s">
        <v>2647</v>
      </c>
      <c r="E1205" s="7" t="s">
        <v>131</v>
      </c>
      <c r="F1205" s="7" t="s">
        <v>2649</v>
      </c>
      <c r="G1205" s="17" t="s">
        <v>7747</v>
      </c>
      <c r="H1205" s="7" t="s">
        <v>28</v>
      </c>
      <c r="I1205" s="7" t="s">
        <v>133</v>
      </c>
      <c r="J1205" s="7" t="s">
        <v>317</v>
      </c>
      <c r="K1205" s="7" t="s">
        <v>133</v>
      </c>
      <c r="L1205" s="7" t="s">
        <v>136</v>
      </c>
      <c r="M1205" s="7">
        <v>4.7447049999999997</v>
      </c>
      <c r="N1205" s="7">
        <v>11.227257</v>
      </c>
      <c r="O1205" s="7" t="s">
        <v>23</v>
      </c>
      <c r="P1205" s="3"/>
      <c r="Q1205" s="3"/>
      <c r="R1205" s="3"/>
    </row>
    <row r="1206" spans="1:18" x14ac:dyDescent="0.25">
      <c r="A1206" s="2">
        <v>2050</v>
      </c>
      <c r="B1206" s="7" t="s">
        <v>3335</v>
      </c>
      <c r="C1206" s="7" t="s">
        <v>3336</v>
      </c>
      <c r="D1206" s="7" t="s">
        <v>3335</v>
      </c>
      <c r="E1206" s="7" t="s">
        <v>131</v>
      </c>
      <c r="F1206" s="7" t="s">
        <v>3337</v>
      </c>
      <c r="G1206" s="17" t="s">
        <v>7747</v>
      </c>
      <c r="H1206" s="7" t="s">
        <v>19</v>
      </c>
      <c r="I1206" s="7" t="s">
        <v>133</v>
      </c>
      <c r="J1206" s="7" t="s">
        <v>317</v>
      </c>
      <c r="K1206" s="7" t="s">
        <v>3337</v>
      </c>
      <c r="L1206" s="7" t="s">
        <v>136</v>
      </c>
      <c r="M1206" s="7">
        <v>4.6042500000000004</v>
      </c>
      <c r="N1206" s="7">
        <v>11.257277999999999</v>
      </c>
      <c r="O1206" s="7" t="s">
        <v>23</v>
      </c>
      <c r="P1206" s="3"/>
      <c r="Q1206" s="3"/>
      <c r="R1206" s="3"/>
    </row>
    <row r="1207" spans="1:18" x14ac:dyDescent="0.25">
      <c r="A1207" s="2">
        <v>2068</v>
      </c>
      <c r="B1207" s="7" t="s">
        <v>3517</v>
      </c>
      <c r="C1207" s="7" t="s">
        <v>3518</v>
      </c>
      <c r="D1207" s="7" t="s">
        <v>3517</v>
      </c>
      <c r="E1207" s="7" t="s">
        <v>131</v>
      </c>
      <c r="F1207" s="7" t="s">
        <v>3519</v>
      </c>
      <c r="G1207" s="17" t="s">
        <v>7747</v>
      </c>
      <c r="H1207" s="7" t="s">
        <v>28</v>
      </c>
      <c r="I1207" s="7" t="s">
        <v>133</v>
      </c>
      <c r="J1207" s="7" t="s">
        <v>317</v>
      </c>
      <c r="K1207" s="7" t="s">
        <v>133</v>
      </c>
      <c r="L1207" s="7" t="s">
        <v>136</v>
      </c>
      <c r="M1207" s="7">
        <v>4.7309999999999999</v>
      </c>
      <c r="N1207" s="7">
        <v>11.285917</v>
      </c>
      <c r="O1207" s="7" t="s">
        <v>23</v>
      </c>
      <c r="P1207" s="3"/>
      <c r="Q1207" s="3"/>
      <c r="R1207" s="3"/>
    </row>
    <row r="1208" spans="1:18" x14ac:dyDescent="0.25">
      <c r="A1208" s="2">
        <v>2123</v>
      </c>
      <c r="B1208" s="7" t="s">
        <v>4083</v>
      </c>
      <c r="C1208" s="7" t="s">
        <v>4084</v>
      </c>
      <c r="D1208" s="7" t="s">
        <v>4083</v>
      </c>
      <c r="E1208" s="7" t="s">
        <v>131</v>
      </c>
      <c r="F1208" s="7" t="s">
        <v>135</v>
      </c>
      <c r="G1208" s="17" t="s">
        <v>7747</v>
      </c>
      <c r="H1208" s="7" t="s">
        <v>28</v>
      </c>
      <c r="I1208" s="7" t="s">
        <v>133</v>
      </c>
      <c r="J1208" s="7" t="s">
        <v>134</v>
      </c>
      <c r="K1208" s="7" t="s">
        <v>135</v>
      </c>
      <c r="L1208" s="7" t="s">
        <v>136</v>
      </c>
      <c r="M1208" s="7">
        <v>4.5560510000000001</v>
      </c>
      <c r="N1208" s="7">
        <v>11.393134</v>
      </c>
      <c r="O1208" s="7" t="s">
        <v>23</v>
      </c>
      <c r="P1208" s="3"/>
      <c r="Q1208" s="3"/>
      <c r="R1208" s="3"/>
    </row>
    <row r="1209" spans="1:18" x14ac:dyDescent="0.25">
      <c r="A1209" s="2">
        <v>2128</v>
      </c>
      <c r="B1209" s="7" t="s">
        <v>4165</v>
      </c>
      <c r="C1209" s="7" t="s">
        <v>4166</v>
      </c>
      <c r="D1209" s="7" t="s">
        <v>4165</v>
      </c>
      <c r="E1209" s="7" t="s">
        <v>131</v>
      </c>
      <c r="F1209" s="7" t="s">
        <v>4167</v>
      </c>
      <c r="G1209" s="17" t="s">
        <v>7747</v>
      </c>
      <c r="H1209" s="7" t="s">
        <v>19</v>
      </c>
      <c r="I1209" s="7" t="s">
        <v>133</v>
      </c>
      <c r="J1209" s="7" t="s">
        <v>317</v>
      </c>
      <c r="K1209" s="7" t="s">
        <v>133</v>
      </c>
      <c r="L1209" s="7" t="s">
        <v>136</v>
      </c>
      <c r="M1209" s="7">
        <v>4.6559299999999997</v>
      </c>
      <c r="N1209" s="7">
        <v>11.25079</v>
      </c>
      <c r="O1209" s="7" t="s">
        <v>23</v>
      </c>
      <c r="P1209" s="3"/>
      <c r="Q1209" s="3"/>
      <c r="R1209" s="3"/>
    </row>
    <row r="1210" spans="1:18" x14ac:dyDescent="0.25">
      <c r="A1210" s="2">
        <v>2164</v>
      </c>
      <c r="B1210" s="7" t="s">
        <v>4546</v>
      </c>
      <c r="C1210" s="7" t="s">
        <v>4547</v>
      </c>
      <c r="D1210" s="7" t="s">
        <v>4546</v>
      </c>
      <c r="E1210" s="7" t="s">
        <v>131</v>
      </c>
      <c r="F1210" s="7" t="s">
        <v>4548</v>
      </c>
      <c r="G1210" s="17" t="s">
        <v>7747</v>
      </c>
      <c r="H1210" s="7" t="s">
        <v>28</v>
      </c>
      <c r="I1210" s="7" t="s">
        <v>133</v>
      </c>
      <c r="J1210" s="7" t="s">
        <v>317</v>
      </c>
      <c r="K1210" s="7" t="s">
        <v>4549</v>
      </c>
      <c r="L1210" s="7" t="s">
        <v>136</v>
      </c>
      <c r="M1210" s="7">
        <v>4.5303329999999997</v>
      </c>
      <c r="N1210" s="7">
        <v>11.256306</v>
      </c>
      <c r="O1210" s="7" t="s">
        <v>23</v>
      </c>
      <c r="P1210" s="3"/>
      <c r="Q1210" s="3"/>
      <c r="R1210" s="3"/>
    </row>
    <row r="1211" spans="1:18" x14ac:dyDescent="0.25">
      <c r="A1211" s="2">
        <v>2165</v>
      </c>
      <c r="B1211" s="7" t="s">
        <v>4550</v>
      </c>
      <c r="C1211" s="7" t="s">
        <v>4551</v>
      </c>
      <c r="D1211" s="7" t="s">
        <v>4550</v>
      </c>
      <c r="E1211" s="7" t="s">
        <v>131</v>
      </c>
      <c r="F1211" s="7" t="s">
        <v>4549</v>
      </c>
      <c r="G1211" s="17" t="s">
        <v>7747</v>
      </c>
      <c r="H1211" s="7" t="s">
        <v>19</v>
      </c>
      <c r="I1211" s="7" t="s">
        <v>133</v>
      </c>
      <c r="J1211" s="7" t="s">
        <v>317</v>
      </c>
      <c r="K1211" s="7" t="s">
        <v>4549</v>
      </c>
      <c r="L1211" s="7" t="s">
        <v>136</v>
      </c>
      <c r="M1211" s="7">
        <v>4.5825050000000003</v>
      </c>
      <c r="N1211" s="7">
        <v>11.127359</v>
      </c>
      <c r="O1211" s="7" t="s">
        <v>23</v>
      </c>
      <c r="P1211" s="3"/>
      <c r="Q1211" s="3"/>
      <c r="R1211" s="3"/>
    </row>
    <row r="1212" spans="1:18" x14ac:dyDescent="0.25">
      <c r="A1212" s="2">
        <v>2170</v>
      </c>
      <c r="B1212" s="7" t="s">
        <v>4687</v>
      </c>
      <c r="C1212" s="7" t="s">
        <v>4688</v>
      </c>
      <c r="D1212" s="7" t="s">
        <v>4687</v>
      </c>
      <c r="E1212" s="7" t="s">
        <v>131</v>
      </c>
      <c r="F1212" s="7" t="s">
        <v>2278</v>
      </c>
      <c r="G1212" s="8" t="s">
        <v>18</v>
      </c>
      <c r="H1212" s="7" t="s">
        <v>19</v>
      </c>
      <c r="I1212" s="7" t="s">
        <v>1042</v>
      </c>
      <c r="J1212" s="7" t="s">
        <v>159</v>
      </c>
      <c r="K1212" s="7" t="s">
        <v>2278</v>
      </c>
      <c r="L1212" s="7" t="s">
        <v>136</v>
      </c>
      <c r="M1212" s="7">
        <v>4.3961550000000003</v>
      </c>
      <c r="N1212" s="7">
        <v>10.825452</v>
      </c>
      <c r="O1212" s="7" t="s">
        <v>23</v>
      </c>
      <c r="P1212" s="3"/>
      <c r="Q1212" s="3"/>
      <c r="R1212" s="3"/>
    </row>
    <row r="1213" spans="1:18" x14ac:dyDescent="0.25">
      <c r="A1213" s="2">
        <v>2204</v>
      </c>
      <c r="B1213" s="7" t="s">
        <v>5006</v>
      </c>
      <c r="C1213" s="7" t="s">
        <v>5007</v>
      </c>
      <c r="D1213" s="7" t="s">
        <v>5006</v>
      </c>
      <c r="E1213" s="7" t="s">
        <v>131</v>
      </c>
      <c r="F1213" s="7" t="s">
        <v>2277</v>
      </c>
      <c r="G1213" s="17" t="s">
        <v>7747</v>
      </c>
      <c r="H1213" s="7" t="s">
        <v>28</v>
      </c>
      <c r="I1213" s="7" t="s">
        <v>1042</v>
      </c>
      <c r="J1213" s="7" t="s">
        <v>159</v>
      </c>
      <c r="K1213" s="7" t="s">
        <v>2278</v>
      </c>
      <c r="L1213" s="7" t="s">
        <v>136</v>
      </c>
      <c r="M1213" s="7">
        <v>4.5144330000000004</v>
      </c>
      <c r="N1213" s="7">
        <v>10.823603</v>
      </c>
      <c r="O1213" s="7" t="s">
        <v>23</v>
      </c>
      <c r="P1213" s="3"/>
      <c r="Q1213" s="3"/>
      <c r="R1213" s="3"/>
    </row>
    <row r="1214" spans="1:18" x14ac:dyDescent="0.25">
      <c r="A1214" s="2">
        <v>2327</v>
      </c>
      <c r="B1214" s="7" t="s">
        <v>5865</v>
      </c>
      <c r="C1214" s="7" t="s">
        <v>5866</v>
      </c>
      <c r="D1214" s="7" t="s">
        <v>5865</v>
      </c>
      <c r="E1214" s="7" t="s">
        <v>131</v>
      </c>
      <c r="F1214" s="7" t="s">
        <v>5867</v>
      </c>
      <c r="G1214" s="17" t="s">
        <v>7747</v>
      </c>
      <c r="H1214" s="7" t="s">
        <v>28</v>
      </c>
      <c r="I1214" s="7" t="s">
        <v>133</v>
      </c>
      <c r="J1214" s="7" t="s">
        <v>134</v>
      </c>
      <c r="K1214" s="7" t="s">
        <v>135</v>
      </c>
      <c r="L1214" s="7" t="s">
        <v>136</v>
      </c>
      <c r="M1214" s="7">
        <v>4.6516289999999998</v>
      </c>
      <c r="N1214" s="7">
        <v>11.519522</v>
      </c>
      <c r="O1214" s="7" t="s">
        <v>23</v>
      </c>
      <c r="P1214" s="3"/>
      <c r="Q1214" s="3"/>
      <c r="R1214" s="3"/>
    </row>
    <row r="1215" spans="1:18" x14ac:dyDescent="0.25">
      <c r="A1215" s="2">
        <v>2333</v>
      </c>
      <c r="B1215" s="7" t="s">
        <v>5921</v>
      </c>
      <c r="C1215" s="7" t="s">
        <v>5922</v>
      </c>
      <c r="D1215" s="7" t="s">
        <v>5921</v>
      </c>
      <c r="E1215" s="7" t="s">
        <v>131</v>
      </c>
      <c r="F1215" s="7" t="s">
        <v>5923</v>
      </c>
      <c r="G1215" s="17" t="s">
        <v>7747</v>
      </c>
      <c r="H1215" s="7" t="s">
        <v>28</v>
      </c>
      <c r="I1215" s="7" t="s">
        <v>133</v>
      </c>
      <c r="J1215" s="7" t="s">
        <v>134</v>
      </c>
      <c r="K1215" s="7" t="s">
        <v>135</v>
      </c>
      <c r="L1215" s="7" t="s">
        <v>136</v>
      </c>
      <c r="M1215" s="7">
        <v>4.766</v>
      </c>
      <c r="N1215" s="7">
        <v>11.535259999999999</v>
      </c>
      <c r="O1215" s="7" t="s">
        <v>23</v>
      </c>
      <c r="P1215" s="3"/>
      <c r="Q1215" s="3"/>
      <c r="R1215" s="3"/>
    </row>
    <row r="1216" spans="1:18" x14ac:dyDescent="0.25">
      <c r="A1216" s="2">
        <v>2349</v>
      </c>
      <c r="B1216" s="7" t="s">
        <v>6519</v>
      </c>
      <c r="C1216" s="7" t="s">
        <v>6520</v>
      </c>
      <c r="D1216" s="7" t="s">
        <v>6519</v>
      </c>
      <c r="E1216" s="7" t="s">
        <v>131</v>
      </c>
      <c r="F1216" s="7" t="s">
        <v>6521</v>
      </c>
      <c r="G1216" s="17" t="s">
        <v>7747</v>
      </c>
      <c r="H1216" s="7" t="s">
        <v>19</v>
      </c>
      <c r="I1216" s="7" t="s">
        <v>133</v>
      </c>
      <c r="J1216" s="7" t="s">
        <v>317</v>
      </c>
      <c r="K1216" s="7" t="s">
        <v>6522</v>
      </c>
      <c r="L1216" s="7" t="s">
        <v>136</v>
      </c>
      <c r="M1216" s="7">
        <v>4.4062999999999999</v>
      </c>
      <c r="N1216" s="7">
        <v>11.24884</v>
      </c>
      <c r="O1216" s="7" t="s">
        <v>23</v>
      </c>
      <c r="P1216" s="3"/>
      <c r="Q1216" s="3"/>
      <c r="R1216" s="3"/>
    </row>
    <row r="1217" spans="1:18" x14ac:dyDescent="0.25">
      <c r="A1217" s="2">
        <v>2350</v>
      </c>
      <c r="B1217" s="7" t="s">
        <v>6542</v>
      </c>
      <c r="C1217" s="7" t="s">
        <v>6543</v>
      </c>
      <c r="D1217" s="7" t="s">
        <v>6542</v>
      </c>
      <c r="E1217" s="7" t="s">
        <v>131</v>
      </c>
      <c r="F1217" s="7" t="s">
        <v>6544</v>
      </c>
      <c r="G1217" s="17" t="s">
        <v>7747</v>
      </c>
      <c r="H1217" s="7" t="s">
        <v>19</v>
      </c>
      <c r="I1217" s="7" t="s">
        <v>133</v>
      </c>
      <c r="J1217" s="7" t="s">
        <v>134</v>
      </c>
      <c r="K1217" s="7" t="s">
        <v>135</v>
      </c>
      <c r="L1217" s="7" t="s">
        <v>136</v>
      </c>
      <c r="M1217" s="7">
        <v>4.5496879999999997</v>
      </c>
      <c r="N1217" s="7">
        <v>11.474515999999999</v>
      </c>
      <c r="O1217" s="7" t="s">
        <v>23</v>
      </c>
      <c r="P1217" s="3"/>
      <c r="Q1217" s="3"/>
      <c r="R1217" s="3"/>
    </row>
    <row r="1218" spans="1:18" x14ac:dyDescent="0.25">
      <c r="A1218" s="2">
        <v>2401</v>
      </c>
      <c r="B1218" s="7" t="s">
        <v>7154</v>
      </c>
      <c r="C1218" s="7" t="s">
        <v>7155</v>
      </c>
      <c r="D1218" s="7" t="s">
        <v>7154</v>
      </c>
      <c r="E1218" s="7" t="s">
        <v>131</v>
      </c>
      <c r="F1218" s="7" t="s">
        <v>7156</v>
      </c>
      <c r="G1218" s="17" t="s">
        <v>7747</v>
      </c>
      <c r="H1218" s="7" t="s">
        <v>28</v>
      </c>
      <c r="I1218" s="7" t="s">
        <v>133</v>
      </c>
      <c r="J1218" s="7" t="s">
        <v>7157</v>
      </c>
      <c r="K1218" s="7" t="s">
        <v>133</v>
      </c>
      <c r="L1218" s="7" t="s">
        <v>136</v>
      </c>
      <c r="M1218" s="7">
        <v>4.7655599999999998</v>
      </c>
      <c r="N1218" s="7">
        <v>11.22837</v>
      </c>
      <c r="O1218" s="7" t="s">
        <v>613</v>
      </c>
      <c r="P1218" s="3"/>
      <c r="Q1218" s="3"/>
      <c r="R1218" s="3"/>
    </row>
  </sheetData>
  <mergeCells count="1"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Raw data - Sites list</vt:lpstr>
      <vt:lpstr>Red Zone Sites </vt:lpstr>
      <vt:lpstr>Sites Audit Plan  </vt:lpstr>
      <vt:lpstr>PIP</vt:lpstr>
      <vt:lpstr>Sites Audit Plan Region 1</vt:lpstr>
      <vt:lpstr>Sites Audit Plan Region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Ndongson Ivan</dc:creator>
  <cp:lastModifiedBy>michael Bakam</cp:lastModifiedBy>
  <dcterms:created xsi:type="dcterms:W3CDTF">2026-08-06T16:07:48Z</dcterms:created>
  <dcterms:modified xsi:type="dcterms:W3CDTF">2026-08-17T17:49:08Z</dcterms:modified>
</cp:coreProperties>
</file>